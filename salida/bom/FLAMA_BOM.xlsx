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Resumen" sheetId="2" state="visible" r:id="rId2"/>
    <sheet xmlns:r="http://schemas.openxmlformats.org/officeDocument/2006/relationships" name="Quimica_agentes" sheetId="3" state="visible" r:id="rId3"/>
    <sheet xmlns:r="http://schemas.openxmlformats.org/officeDocument/2006/relationships" name="Carga_N2" sheetId="4" state="visible" r:id="rId4"/>
    <sheet xmlns:r="http://schemas.openxmlformats.org/officeDocument/2006/relationships" name="BOM_Terminados" sheetId="5" state="visible" r:id="rId5"/>
    <sheet xmlns:r="http://schemas.openxmlformats.org/officeDocument/2006/relationships" name="BOM_Cilindros" sheetId="6" state="visible" r:id="rId6"/>
    <sheet xmlns:r="http://schemas.openxmlformats.org/officeDocument/2006/relationships" name="FL_MAT_ABC_1kg" sheetId="7" state="visible" r:id="rId7"/>
    <sheet xmlns:r="http://schemas.openxmlformats.org/officeDocument/2006/relationships" name="FL_MAT_ABC_2.5kg" sheetId="8" state="visible" r:id="rId8"/>
    <sheet xmlns:r="http://schemas.openxmlformats.org/officeDocument/2006/relationships" name="FL_MAT_ABC_5kg" sheetId="9" state="visible" r:id="rId9"/>
    <sheet xmlns:r="http://schemas.openxmlformats.org/officeDocument/2006/relationships" name="FL_MAT_ABC_10kg" sheetId="10" state="visible" r:id="rId10"/>
    <sheet xmlns:r="http://schemas.openxmlformats.org/officeDocument/2006/relationships" name="FL_MAT_AGUA_10l" sheetId="11" state="visible" r:id="rId11"/>
    <sheet xmlns:r="http://schemas.openxmlformats.org/officeDocument/2006/relationships" name="FL_MAT_AFFF_10l" sheetId="12" state="visible" r:id="rId12"/>
    <sheet xmlns:r="http://schemas.openxmlformats.org/officeDocument/2006/relationships" name="FL_MAT_AFFF_50l" sheetId="13" state="visible" r:id="rId13"/>
    <sheet xmlns:r="http://schemas.openxmlformats.org/officeDocument/2006/relationships" name="FL_MAT_BC_5kg" sheetId="14" state="visible" r:id="rId14"/>
    <sheet xmlns:r="http://schemas.openxmlformats.org/officeDocument/2006/relationships" name="FL_MAT_SALESK_6l" sheetId="15" state="visible" r:id="rId15"/>
    <sheet xmlns:r="http://schemas.openxmlformats.org/officeDocument/2006/relationships" name="FL_MAT_CO2_2kg" sheetId="16" state="visible" r:id="rId16"/>
    <sheet xmlns:r="http://schemas.openxmlformats.org/officeDocument/2006/relationships" name="FL_MAT_CO2_5kg" sheetId="17" state="visible" r:id="rId17"/>
    <sheet xmlns:r="http://schemas.openxmlformats.org/officeDocument/2006/relationships" name="FL_MAT_HCFC-HFC_5kg" sheetId="18" state="visible" r:id="rId18"/>
    <sheet xmlns:r="http://schemas.openxmlformats.org/officeDocument/2006/relationships" name="FL_MAT_CLASED_9l" sheetId="19" state="visible" r:id="rId19"/>
    <sheet xmlns:r="http://schemas.openxmlformats.org/officeDocument/2006/relationships" name="FL_MAT_ABC_25kg" sheetId="20" state="visible" r:id="rId20"/>
    <sheet xmlns:r="http://schemas.openxmlformats.org/officeDocument/2006/relationships" name="FL_MAT_ABC_50kg" sheetId="21" state="visible" r:id="rId21"/>
    <sheet xmlns:r="http://schemas.openxmlformats.org/officeDocument/2006/relationships" name="FL_MAT_ABC_70kg" sheetId="22" state="visible" r:id="rId22"/>
    <sheet xmlns:r="http://schemas.openxmlformats.org/officeDocument/2006/relationships" name="FL_MAT_ABC_100kg" sheetId="23" state="visible" r:id="rId23"/>
    <sheet xmlns:r="http://schemas.openxmlformats.org/officeDocument/2006/relationships" name="FL_REC_ABC_1kg" sheetId="24" state="visible" r:id="rId24"/>
    <sheet xmlns:r="http://schemas.openxmlformats.org/officeDocument/2006/relationships" name="FL_REC_ABC_2.5kg" sheetId="25" state="visible" r:id="rId25"/>
    <sheet xmlns:r="http://schemas.openxmlformats.org/officeDocument/2006/relationships" name="FL_REC_ABC_5kg" sheetId="26" state="visible" r:id="rId26"/>
    <sheet xmlns:r="http://schemas.openxmlformats.org/officeDocument/2006/relationships" name="FL_REC_ABC_10kg" sheetId="27" state="visible" r:id="rId27"/>
    <sheet xmlns:r="http://schemas.openxmlformats.org/officeDocument/2006/relationships" name="FL_REC_ABC_25kg" sheetId="28" state="visible" r:id="rId28"/>
    <sheet xmlns:r="http://schemas.openxmlformats.org/officeDocument/2006/relationships" name="FL_REC_ABC_50kg" sheetId="29" state="visible" r:id="rId29"/>
    <sheet xmlns:r="http://schemas.openxmlformats.org/officeDocument/2006/relationships" name="FL_REC_ABC_70kg" sheetId="30" state="visible" r:id="rId30"/>
    <sheet xmlns:r="http://schemas.openxmlformats.org/officeDocument/2006/relationships" name="FL_REC_ABC_100kg" sheetId="31" state="visible" r:id="rId31"/>
    <sheet xmlns:r="http://schemas.openxmlformats.org/officeDocument/2006/relationships" name="Mercado" sheetId="32" state="visible" r:id="rId32"/>
    <sheet xmlns:r="http://schemas.openxmlformats.org/officeDocument/2006/relationships" name="Fuentes" sheetId="33" state="visible" r:id="rId33"/>
    <sheet xmlns:r="http://schemas.openxmlformats.org/officeDocument/2006/relationships" name="Recargas" sheetId="34" state="visible" r:id="rId34"/>
    <sheet xmlns:r="http://schemas.openxmlformats.org/officeDocument/2006/relationships" name="Explosion_MP" sheetId="35" state="visible" r:id="rId35"/>
    <sheet xmlns:r="http://schemas.openxmlformats.org/officeDocument/2006/relationships" name="Despiece" sheetId="36" state="visible" r:id="rId36"/>
  </sheets>
  <definedNames>
    <definedName name="_xlnm._FilterDatabase" localSheetId="1" hidden="1">'Resumen'!$A$1:$T$18</definedName>
    <definedName name="_xlnm._FilterDatabase" localSheetId="4" hidden="1">'BOM_Terminados'!$A$1:$P$838</definedName>
    <definedName name="_xlnm._FilterDatabase" localSheetId="5" hidden="1">'BOM_Cilindros'!$A$1:$P$161</definedName>
    <definedName name="_xlnm._FilterDatabase" localSheetId="6" hidden="1">'FL_MAT_ABC_1kg'!$A$10:$O$57</definedName>
    <definedName name="_xlnm._FilterDatabase" localSheetId="7" hidden="1">'FL_MAT_ABC_2.5kg'!$A$10:$O$62</definedName>
    <definedName name="_xlnm._FilterDatabase" localSheetId="8" hidden="1">'FL_MAT_ABC_5kg'!$A$10:$O$62</definedName>
    <definedName name="_xlnm._FilterDatabase" localSheetId="9" hidden="1">'FL_MAT_ABC_10kg'!$A$10:$O$62</definedName>
    <definedName name="_xlnm._FilterDatabase" localSheetId="10" hidden="1">'FL_MAT_AGUA_10l'!$A$10:$O$55</definedName>
    <definedName name="_xlnm._FilterDatabase" localSheetId="11" hidden="1">'FL_MAT_AFFF_10l'!$A$10:$O$56</definedName>
    <definedName name="_xlnm._FilterDatabase" localSheetId="12" hidden="1">'FL_MAT_AFFF_50l'!$A$10:$O$63</definedName>
    <definedName name="_xlnm._FilterDatabase" localSheetId="13" hidden="1">'FL_MAT_BC_5kg'!$A$10:$O$62</definedName>
    <definedName name="_xlnm._FilterDatabase" localSheetId="14" hidden="1">'FL_MAT_SALESK_6l'!$A$10:$O$55</definedName>
    <definedName name="_xlnm._FilterDatabase" localSheetId="15" hidden="1">'FL_MAT_CO2_2kg'!$A$10:$O$49</definedName>
    <definedName name="_xlnm._FilterDatabase" localSheetId="16" hidden="1">'FL_MAT_CO2_5kg'!$A$10:$O$51</definedName>
    <definedName name="_xlnm._FilterDatabase" localSheetId="17" hidden="1">'FL_MAT_HCFC-HFC_5kg'!$A$10:$O$58</definedName>
    <definedName name="_xlnm._FilterDatabase" localSheetId="18" hidden="1">'FL_MAT_CLASED_9l'!$A$10:$O$59</definedName>
    <definedName name="_xlnm._FilterDatabase" localSheetId="19" hidden="1">'FL_MAT_ABC_25kg'!$A$10:$O$64</definedName>
    <definedName name="_xlnm._FilterDatabase" localSheetId="20" hidden="1">'FL_MAT_ABC_50kg'!$A$10:$O$64</definedName>
    <definedName name="_xlnm._FilterDatabase" localSheetId="21" hidden="1">'FL_MAT_ABC_70kg'!$A$10:$O$64</definedName>
    <definedName name="_xlnm._FilterDatabase" localSheetId="22" hidden="1">'FL_MAT_ABC_100kg'!$A$10:$O$64</definedName>
    <definedName name="_xlnm._FilterDatabase" localSheetId="23" hidden="1">'FL_REC_ABC_1kg'!$A$10:$O$31</definedName>
    <definedName name="_xlnm._FilterDatabase" localSheetId="24" hidden="1">'FL_REC_ABC_2.5kg'!$A$10:$O$31</definedName>
    <definedName name="_xlnm._FilterDatabase" localSheetId="25" hidden="1">'FL_REC_ABC_5kg'!$A$10:$O$31</definedName>
    <definedName name="_xlnm._FilterDatabase" localSheetId="26" hidden="1">'FL_REC_ABC_10kg'!$A$10:$O$31</definedName>
    <definedName name="_xlnm._FilterDatabase" localSheetId="27" hidden="1">'FL_REC_ABC_25kg'!$A$10:$O$29</definedName>
    <definedName name="_xlnm._FilterDatabase" localSheetId="28" hidden="1">'FL_REC_ABC_50kg'!$A$10:$O$29</definedName>
    <definedName name="_xlnm._FilterDatabase" localSheetId="29" hidden="1">'FL_REC_ABC_70kg'!$A$10:$O$29</definedName>
    <definedName name="_xlnm._FilterDatabase" localSheetId="30" hidden="1">'FL_REC_ABC_100kg'!$A$10:$O$29</definedName>
    <definedName name="_xlnm._FilterDatabase" localSheetId="33" hidden="1">'Recargas'!$A$8:$I$298</definedName>
    <definedName name="_xlnm._FilterDatabase" localSheetId="34" hidden="1">'Explosion_MP'!$A$3:$S$346</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9">
    <font>
      <name val="Calibri"/>
      <family val="2"/>
      <color theme="1"/>
      <sz val="11"/>
      <scheme val="minor"/>
    </font>
    <font>
      <b val="1"/>
      <sz val="14"/>
    </font>
    <font>
      <b val="1"/>
      <sz val="11"/>
    </font>
    <font>
      <b val="1"/>
      <color rgb="00FFFFFF"/>
    </font>
    <font>
      <color rgb="000563C1"/>
      <u val="single"/>
    </font>
    <font>
      <b val="1"/>
      <sz val="12"/>
    </font>
    <font>
      <b val="1"/>
    </font>
    <font>
      <i val="1"/>
      <color rgb="00555555"/>
    </font>
    <font>
      <i val="1"/>
      <sz val="9"/>
    </font>
  </fonts>
  <fills count="7">
    <fill>
      <patternFill/>
    </fill>
    <fill>
      <patternFill patternType="gray125"/>
    </fill>
    <fill>
      <patternFill patternType="solid">
        <fgColor rgb="007F1D1D"/>
      </patternFill>
    </fill>
    <fill>
      <patternFill patternType="solid">
        <fgColor rgb="00FFF2CC"/>
      </patternFill>
    </fill>
    <fill>
      <patternFill patternType="solid">
        <fgColor rgb="00E5B8B7"/>
      </patternFill>
    </fill>
    <fill>
      <patternFill patternType="solid">
        <fgColor rgb="00F2DCDB"/>
      </patternFill>
    </fill>
    <fill>
      <patternFill patternType="solid">
        <fgColor rgb="00F2F2F2"/>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wrapText="1"/>
    </xf>
    <xf numFmtId="0" fontId="0" fillId="0" borderId="1" pivotButton="0" quotePrefix="0" xfId="0"/>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5" fillId="0"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6" fillId="0" borderId="0" pivotButton="0" quotePrefix="0" xfId="0"/>
    <xf numFmtId="9" fontId="0" fillId="3" borderId="0" pivotButton="0" quotePrefix="0" xfId="0"/>
    <xf numFmtId="0" fontId="0" fillId="3" borderId="0" pivotButton="0" quotePrefix="0" xfId="0"/>
    <xf numFmtId="2" fontId="6" fillId="0" borderId="1" pivotButton="0" quotePrefix="0" xfId="0"/>
    <xf numFmtId="0" fontId="3" fillId="2" borderId="1" applyAlignment="1" pivotButton="0" quotePrefix="0" xfId="0">
      <alignment vertical="center" wrapText="1"/>
    </xf>
    <xf numFmtId="0" fontId="6" fillId="4" borderId="1" applyAlignment="1" pivotButton="0" quotePrefix="0" xfId="0">
      <alignment vertical="top"/>
    </xf>
    <xf numFmtId="0" fontId="6" fillId="4" borderId="1" applyAlignment="1" pivotButton="0" quotePrefix="0" xfId="0">
      <alignment vertical="top" wrapText="1"/>
    </xf>
    <xf numFmtId="165" fontId="6" fillId="4" borderId="1" applyAlignment="1" pivotButton="0" quotePrefix="0" xfId="0">
      <alignment vertical="top"/>
    </xf>
    <xf numFmtId="0" fontId="6" fillId="5" borderId="1" applyAlignment="1" pivotButton="0" quotePrefix="0" xfId="0">
      <alignment vertical="top"/>
    </xf>
    <xf numFmtId="0" fontId="6" fillId="5" borderId="1" applyAlignment="1" pivotButton="0" quotePrefix="0" xfId="0">
      <alignment vertical="top" wrapText="1"/>
    </xf>
    <xf numFmtId="165" fontId="6" fillId="5"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7" fillId="6" borderId="1" applyAlignment="1" pivotButton="0" quotePrefix="0" xfId="0">
      <alignment vertical="top"/>
    </xf>
    <xf numFmtId="0" fontId="7" fillId="6" borderId="1" applyAlignment="1" pivotButton="0" quotePrefix="0" xfId="0">
      <alignment vertical="top" wrapText="1"/>
    </xf>
    <xf numFmtId="165" fontId="7" fillId="6" borderId="1" applyAlignment="1" pivotButton="0" quotePrefix="0" xfId="0">
      <alignment vertical="top"/>
    </xf>
    <xf numFmtId="165" fontId="0" fillId="0" borderId="0" pivotButton="0" quotePrefix="0" xfId="0"/>
    <xf numFmtId="0" fontId="8" fillId="0" borderId="0" pivotButton="0" quotePrefix="0" xfId="0"/>
    <xf numFmtId="0" fontId="3" fillId="2" borderId="0" pivotButton="0" quotePrefix="0" xfId="0"/>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FL_MAT_ABC_1kg'!A1" TargetMode="External" Id="rId1"/><Relationship Type="http://schemas.openxmlformats.org/officeDocument/2006/relationships/hyperlink" Target="#'FL_MAT_ABC_2.5kg'!A1" TargetMode="External" Id="rId2"/><Relationship Type="http://schemas.openxmlformats.org/officeDocument/2006/relationships/hyperlink" Target="#'FL_MAT_ABC_5kg'!A1" TargetMode="External" Id="rId3"/><Relationship Type="http://schemas.openxmlformats.org/officeDocument/2006/relationships/hyperlink" Target="#'FL_MAT_ABC_10kg'!A1" TargetMode="External" Id="rId4"/><Relationship Type="http://schemas.openxmlformats.org/officeDocument/2006/relationships/hyperlink" Target="#'FL_MAT_AGUA_10l'!A1" TargetMode="External" Id="rId5"/><Relationship Type="http://schemas.openxmlformats.org/officeDocument/2006/relationships/hyperlink" Target="#'FL_MAT_AFFF_10l'!A1" TargetMode="External" Id="rId6"/><Relationship Type="http://schemas.openxmlformats.org/officeDocument/2006/relationships/hyperlink" Target="#'FL_MAT_AFFF_50l'!A1" TargetMode="External" Id="rId7"/><Relationship Type="http://schemas.openxmlformats.org/officeDocument/2006/relationships/hyperlink" Target="#'FL_MAT_BC_5kg'!A1" TargetMode="External" Id="rId8"/><Relationship Type="http://schemas.openxmlformats.org/officeDocument/2006/relationships/hyperlink" Target="#'FL_MAT_SALESK_6l'!A1" TargetMode="External" Id="rId9"/><Relationship Type="http://schemas.openxmlformats.org/officeDocument/2006/relationships/hyperlink" Target="#'FL_MAT_CO2_2kg'!A1" TargetMode="External" Id="rId10"/><Relationship Type="http://schemas.openxmlformats.org/officeDocument/2006/relationships/hyperlink" Target="#'FL_MAT_CO2_5kg'!A1" TargetMode="External" Id="rId11"/><Relationship Type="http://schemas.openxmlformats.org/officeDocument/2006/relationships/hyperlink" Target="#'FL_MAT_HCFC-HFC_5kg'!A1" TargetMode="External" Id="rId12"/><Relationship Type="http://schemas.openxmlformats.org/officeDocument/2006/relationships/hyperlink" Target="#'FL_MAT_CLASED_9l'!A1" TargetMode="External" Id="rId13"/><Relationship Type="http://schemas.openxmlformats.org/officeDocument/2006/relationships/hyperlink" Target="#'FL_MAT_ABC_25kg'!A1" TargetMode="External" Id="rId14"/><Relationship Type="http://schemas.openxmlformats.org/officeDocument/2006/relationships/hyperlink" Target="#'FL_MAT_ABC_50kg'!A1" TargetMode="External" Id="rId15"/><Relationship Type="http://schemas.openxmlformats.org/officeDocument/2006/relationships/hyperlink" Target="#'FL_MAT_ABC_70kg'!A1" TargetMode="External" Id="rId16"/><Relationship Type="http://schemas.openxmlformats.org/officeDocument/2006/relationships/hyperlink" Target="#'FL_MAT_ABC_100kg'!A1" TargetMode="External" Id="rId17"/></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6" customWidth="1" min="1" max="1"/>
    <col width="120" customWidth="1" min="2" max="2"/>
  </cols>
  <sheetData>
    <row r="1">
      <c r="A1" s="1" t="inlineStr">
        <is>
          <t>FLAMA S.A. - BOM de matafuegos y cilindros</t>
        </is>
      </c>
    </row>
    <row r="2" ht="45" customHeight="1">
      <c r="A2" s="2" t="inlineStr">
        <is>
          <t>Origen</t>
        </is>
      </c>
      <c r="B2" s="3" t="inlineStr">
        <is>
          <t>Generado por código (python generar.py --bom) a partir del MISMO modelo 3D que los planos FL_MAT_* y FL_REC_*: código de pieza, posición, denominación y material son los de la lista de piezas de cada plano; medida y peso se miden sobre el sólido.</t>
        </is>
      </c>
    </row>
    <row r="3" ht="45" customHeight="1">
      <c r="A3" s="2" t="inlineStr">
        <is>
          <t>Química</t>
        </is>
      </c>
      <c r="B3" s="3" t="inlineStr">
        <is>
          <t>Quimica_agentes (ENTRADA: composición, mecanismo, saponificación y densidad de cada agente) -&gt; Carga_N2 (fórmulas: volumen libre, gas impulsor y densidad mínima exigible al polvo para que el recipiente del plano alcance). Si la formulación cambia, se cambia la densidad y se ve el efecto.</t>
        </is>
      </c>
    </row>
    <row r="4" ht="30" customHeight="1">
      <c r="A4" s="2" t="inlineStr">
        <is>
          <t>Hojas</t>
        </is>
      </c>
      <c r="B4" s="3" t="inlineStr">
        <is>
          <t>Resumen · BOM_Terminados (17 productos, tabla plana filtrable) · BOM_Cilindros (8 recipientes FL_REC) · una hoja por plano (BOM multinivel plegable) · Recargas · Explosion_MP · Despiece (planos FL_DES)</t>
        </is>
      </c>
    </row>
    <row r="5" ht="30" customHeight="1">
      <c r="A5" s="2" t="inlineStr">
        <is>
          <t>Niveles</t>
        </is>
      </c>
      <c r="B5" s="3" t="inlineStr">
        <is>
          <t>0 producto (= plano) · 1 subconjunto · 2 pieza o insumo · 3 materia prima de la pieza fabricada (gris; NO suma al peso porque ya está en la pieza)</t>
        </is>
      </c>
    </row>
    <row r="6" ht="45" customHeight="1">
      <c r="A6" s="2" t="inlineStr">
        <is>
          <t>Subconjuntos</t>
        </is>
      </c>
      <c r="B6" s="3" t="inlineStr">
        <is>
          <t>S1 Recipiente (cilindro) · S2 Conjunto de válvula · S3 Dispositivo de descarga · S4 Carro (bastidor y ruedas) · S5 Carga: agente extintor y gas impulsor · S6 Identificación y precinto · S7 Embalaje · S8 Soporte (accesorio de montaje). En los ABC el S1 es el plano FL_REC_* (el mismo recipiente que se vende suelto).</t>
        </is>
      </c>
    </row>
    <row r="7" ht="45" customHeight="1">
      <c r="A7" s="2" t="inlineStr">
        <is>
          <t>Peso unitario</t>
        </is>
      </c>
      <c r="B7" s="3" t="inlineStr">
        <is>
          <t>kg por unidad de medida. Peso total = Cant. × Peso unit. (fórmula). Subconjunto = suma de sus piezas. Consumibles: aporte = fracción depositada, pintura = 65 % depositado, granalla y gas de protección no quedan en el producto.</t>
        </is>
      </c>
    </row>
    <row r="8" ht="45" customHeight="1">
      <c r="A8" s="2" t="inlineStr">
        <is>
          <t>Códigos</t>
        </is>
      </c>
      <c r="B8" s="3" t="inlineStr">
        <is>
          <t>ABC10-01… = pieza del plano (posición 01). ABC10-S1…S7 subconjuntos. Sufijos: C consumible de recipiente, V interno de válvula (no dibujado), A carga, I identificación, E embalaje, T cilindro suelto. MP-* materia prima. RK-*-A/B/C kits de recarga.</t>
        </is>
      </c>
    </row>
    <row r="9" ht="18" customHeight="1">
      <c r="A9" s="2" t="inlineStr">
        <is>
          <t>Fuente P</t>
        </is>
      </c>
      <c r="B9" s="3" t="inlineStr">
        <is>
          <t>Plano / modelo 3D (misma geometría que el plano FL_MAT / FL_REC)</t>
        </is>
      </c>
    </row>
    <row r="10" ht="18" customHeight="1">
      <c r="A10" s="2" t="inlineStr">
        <is>
          <t>Fuente C</t>
        </is>
      </c>
      <c r="B10" s="3" t="inlineStr">
        <is>
          <t>Catálogo técnico (flama/catalogo.py)</t>
        </is>
      </c>
    </row>
    <row r="11" ht="18" customHeight="1">
      <c r="A11" s="2" t="inlineStr">
        <is>
          <t>Fuente N</t>
        </is>
      </c>
      <c r="B11" s="3" t="inlineStr">
        <is>
          <t>Norma IRAM (se cita el apartado; texto no transcripto por licencia)</t>
        </is>
      </c>
    </row>
    <row r="12" ht="18" customHeight="1">
      <c r="A12" s="2" t="inlineStr">
        <is>
          <t>Fuente L</t>
        </is>
      </c>
      <c r="B12" s="3" t="inlineStr">
        <is>
          <t>Layout de planta FLAMA (FL_PI_04: aprovechamiento de chapa, proveedores, ubicaciones)</t>
        </is>
      </c>
    </row>
    <row r="13" ht="18" customHeight="1">
      <c r="A13" s="2" t="inlineStr">
        <is>
          <t>Fuente R</t>
        </is>
      </c>
      <c r="B13" s="3" t="inlineStr">
        <is>
          <t>Valor de referencia a confirmar con proveedor o en planta</t>
        </is>
      </c>
    </row>
    <row r="14">
      <c r="A14" s="2" t="inlineStr">
        <is>
          <t>Para definir</t>
        </is>
      </c>
    </row>
    <row r="15" ht="30" customHeight="1">
      <c r="A15" s="2" t="inlineStr">
        <is>
          <t>1. Espesores</t>
        </is>
      </c>
      <c r="B15" s="3" t="inlineStr">
        <is>
          <t>Hoja de corte (layout) vs plano: cuerpo 70 y 100 kg LAC e=4,75 en la hoja de corte y e=3,2 en el plano; cúpula 10 kg fleje e=2,0 y plano e=1,6. Marcado «OJO» en el nivel 3.</t>
        </is>
      </c>
    </row>
    <row r="16" ht="30" customHeight="1">
      <c r="A16" s="2" t="inlineStr">
        <is>
          <t>2. Válvula</t>
        </is>
      </c>
      <c r="B16" s="3" t="inlineStr">
        <is>
          <t>Hoy la válvula es un subconjunto (S2) con sus piezas. Si se compra armada (lo habitual) conviene pasarla a un único código comprado con su propio plano de proveedor.</t>
        </is>
      </c>
    </row>
    <row r="17" ht="30" customHeight="1">
      <c r="A17" s="2" t="inlineStr">
        <is>
          <t>3. Tercerizados</t>
        </is>
      </c>
      <c r="B17" s="3" t="inlineStr">
        <is>
          <t>Agua, AFFF, Sales K, CO₂ y HCFC se compran terminados (S4): su BOM es de referencia para repuestos y recarga, no de fabricación.</t>
        </is>
      </c>
    </row>
    <row r="18" ht="30" customHeight="1">
      <c r="A18" s="2" t="inlineStr">
        <is>
          <t>4. Polvo</t>
        </is>
      </c>
      <c r="B18" s="3" t="inlineStr">
        <is>
          <t>Con densidad aparente típica 0,90 los ABC del plano quedan con ≈ 10 % de volumen libre; con 0,72 no entran. Exigir densidad aparente mínima en la compra (Carga_N2 col. U) o agrandar el recipiente (col. V).</t>
        </is>
      </c>
    </row>
    <row r="19" ht="18" customHeight="1">
      <c r="A19" s="2" t="inlineStr">
        <is>
          <t>5. Recargas</t>
        </is>
      </c>
      <c r="B19" s="3" t="inlineStr">
        <is>
          <t>Mermas de polvo y HCFC (R) a medir. Ver hoja Recargas.</t>
        </is>
      </c>
    </row>
    <row r="20" ht="30" customHeight="1">
      <c r="A20" s="2" t="inlineStr">
        <is>
          <t>Normas</t>
        </is>
      </c>
      <c r="B20" s="3" t="inlineStr">
        <is>
          <t>IRAM 3517-2:2020, IRAM 3504:2001 y las IRAM de producto citadas. Los PDF de las normas tienen licencia monousuario: se citan apartados, no se transcribe texto.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18" customWidth="1" min="17" max="17"/>
    <col width="8" customWidth="1" min="18" max="18"/>
    <col width="14" customWidth="1" min="19" max="19"/>
    <col width="12" customWidth="1" min="20" max="20"/>
  </cols>
  <sheetData>
    <row r="1" ht="32" customHeight="1">
      <c r="A1" s="4" t="inlineStr">
        <is>
          <t>Plano</t>
        </is>
      </c>
      <c r="B1" s="4" t="inlineStr">
        <is>
          <t>Producto</t>
        </is>
      </c>
      <c r="C1" s="4" t="inlineStr">
        <is>
          <t>Familia</t>
        </is>
      </c>
      <c r="D1" s="4" t="inlineStr">
        <is>
          <t>Fabricación</t>
        </is>
      </c>
      <c r="E1" s="4" t="inlineStr">
        <is>
          <t>Norma IRAM</t>
        </is>
      </c>
      <c r="F1" s="4" t="inlineStr">
        <is>
          <t>Agente</t>
        </is>
      </c>
      <c r="G1" s="4" t="inlineStr">
        <is>
          <t>Carga</t>
        </is>
      </c>
      <c r="H1" s="4" t="inlineStr">
        <is>
          <t>UM</t>
        </is>
      </c>
      <c r="I1" s="4" t="inlineStr">
        <is>
          <t>Gas impulsor</t>
        </is>
      </c>
      <c r="J1" s="4" t="inlineStr">
        <is>
          <t>Gas (kg)</t>
        </is>
      </c>
      <c r="K1" s="4" t="inlineStr">
        <is>
          <t>Peso vacío S1-S4 (kg)</t>
        </is>
      </c>
      <c r="L1" s="4" t="inlineStr">
        <is>
          <t>Peso cargado (kg)</t>
        </is>
      </c>
      <c r="M1" s="4" t="inlineStr">
        <is>
          <t>Peso catálogo (kg)</t>
        </is>
      </c>
      <c r="N1" s="4" t="inlineStr">
        <is>
          <t>Desvío</t>
        </is>
      </c>
      <c r="O1" s="4" t="inlineStr">
        <is>
          <t>Piezas del plano</t>
        </is>
      </c>
      <c r="P1" s="4" t="inlineStr">
        <is>
          <t>Ítems BOM</t>
        </is>
      </c>
      <c r="Q1" s="4" t="inlineStr">
        <is>
          <t>Recipiente suelto</t>
        </is>
      </c>
      <c r="R1" s="4" t="inlineStr">
        <is>
          <t>Hoja</t>
        </is>
      </c>
      <c r="S1" s="4" t="inlineStr">
        <is>
          <t>Tara catálogo (kg) = catálogo - carga - gas</t>
        </is>
      </c>
      <c r="T1" s="4" t="inlineStr">
        <is>
          <t>Desvío de tara (modelo vs catálogo)</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0.0012</v>
      </c>
      <c r="K2" s="6">
        <f>'FL_MAT_ABC_1kg'!G3</f>
        <v/>
      </c>
      <c r="L2" s="6">
        <f>'FL_MAT_ABC_1kg'!G4</f>
        <v/>
      </c>
      <c r="M2" s="5" t="n">
        <v>1.9</v>
      </c>
      <c r="N2" s="7">
        <f>L2/M2-1</f>
        <v/>
      </c>
      <c r="O2" s="5" t="n">
        <v>20</v>
      </c>
      <c r="P2" s="5" t="n">
        <v>47</v>
      </c>
      <c r="Q2" s="5" t="inlineStr">
        <is>
          <t>FL_REC_ABC_1kg</t>
        </is>
      </c>
      <c r="R2" s="8" t="inlineStr">
        <is>
          <t>ir »</t>
        </is>
      </c>
      <c r="S2" s="9">
        <f>M2-1.05-J2</f>
        <v/>
      </c>
      <c r="T2" s="10">
        <f>(L2-1.05-J2)/S2-1</f>
        <v/>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0.0125</v>
      </c>
      <c r="K3" s="6">
        <f>'FL_MAT_ABC_2.5kg'!G3</f>
        <v/>
      </c>
      <c r="L3" s="6">
        <f>'FL_MAT_ABC_2.5kg'!G4</f>
        <v/>
      </c>
      <c r="M3" s="5" t="n">
        <v>4.6</v>
      </c>
      <c r="N3" s="7">
        <f>L3/M3-1</f>
        <v/>
      </c>
      <c r="O3" s="5" t="n">
        <v>23</v>
      </c>
      <c r="P3" s="5" t="n">
        <v>52</v>
      </c>
      <c r="Q3" s="5" t="inlineStr">
        <is>
          <t>FL_REC_ABC_2.5kg</t>
        </is>
      </c>
      <c r="R3" s="8" t="inlineStr">
        <is>
          <t>ir »</t>
        </is>
      </c>
      <c r="S3" s="9">
        <f>M3-2.55-J3</f>
        <v/>
      </c>
      <c r="T3" s="10">
        <f>(L3-2.55-J3)/S3-1</f>
        <v/>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0.0077</v>
      </c>
      <c r="K4" s="6">
        <f>'FL_MAT_ABC_5kg'!G3</f>
        <v/>
      </c>
      <c r="L4" s="6">
        <f>'FL_MAT_ABC_5kg'!G4</f>
        <v/>
      </c>
      <c r="M4" s="5" t="n">
        <v>8.5</v>
      </c>
      <c r="N4" s="7">
        <f>L4/M4-1</f>
        <v/>
      </c>
      <c r="O4" s="5" t="n">
        <v>23</v>
      </c>
      <c r="P4" s="5" t="n">
        <v>52</v>
      </c>
      <c r="Q4" s="5" t="inlineStr">
        <is>
          <t>FL_REC_ABC_5kg</t>
        </is>
      </c>
      <c r="R4" s="8" t="inlineStr">
        <is>
          <t>ir »</t>
        </is>
      </c>
      <c r="S4" s="9">
        <f>M4-5.15-J4</f>
        <v/>
      </c>
      <c r="T4" s="10">
        <f>(L4-5.15-J4)/S4-1</f>
        <v/>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0.024</v>
      </c>
      <c r="K5" s="6">
        <f>'FL_MAT_ABC_10kg'!G3</f>
        <v/>
      </c>
      <c r="L5" s="6">
        <f>'FL_MAT_ABC_10kg'!G4</f>
        <v/>
      </c>
      <c r="M5" s="5" t="n">
        <v>16.5</v>
      </c>
      <c r="N5" s="7">
        <f>L5/M5-1</f>
        <v/>
      </c>
      <c r="O5" s="5" t="n">
        <v>23</v>
      </c>
      <c r="P5" s="5" t="n">
        <v>52</v>
      </c>
      <c r="Q5" s="5" t="inlineStr">
        <is>
          <t>FL_REC_ABC_10kg</t>
        </is>
      </c>
      <c r="R5" s="8" t="inlineStr">
        <is>
          <t>ir »</t>
        </is>
      </c>
      <c r="S5" s="9">
        <f>M5-10.15-J5</f>
        <v/>
      </c>
      <c r="T5" s="10">
        <f>(L5-10.15-J5)/S5-1</f>
        <v/>
      </c>
    </row>
    <row r="6">
      <c r="A6" s="5" t="inlineStr">
        <is>
          <t>FL_MAT_AGUA_10l</t>
        </is>
      </c>
      <c r="B6" s="5" t="inlineStr">
        <is>
          <t>Extintor Agua 10 l</t>
        </is>
      </c>
      <c r="C6" s="5" t="inlineStr">
        <is>
          <t>inox</t>
        </is>
      </c>
      <c r="D6" s="5" t="inlineStr">
        <is>
          <t>Tercerizado S4</t>
        </is>
      </c>
      <c r="E6" s="5" t="inlineStr">
        <is>
          <t>3525</t>
        </is>
      </c>
      <c r="F6" s="5" t="inlineStr">
        <is>
          <t>Agua</t>
        </is>
      </c>
      <c r="G6" s="5" t="n">
        <v>10</v>
      </c>
      <c r="H6" s="5" t="inlineStr">
        <is>
          <t>L</t>
        </is>
      </c>
      <c r="I6" s="5" t="inlineStr">
        <is>
          <t>Aire comprimido</t>
        </is>
      </c>
      <c r="J6" s="5" t="n">
        <v>0.0427</v>
      </c>
      <c r="K6" s="6">
        <f>'FL_MAT_AGUA_10l'!G3</f>
        <v/>
      </c>
      <c r="L6" s="6">
        <f>'FL_MAT_AGUA_10l'!G4</f>
        <v/>
      </c>
      <c r="M6" s="5" t="n">
        <v>12.55</v>
      </c>
      <c r="N6" s="7">
        <f>L6/M6-1</f>
        <v/>
      </c>
      <c r="O6" s="5" t="n">
        <v>23</v>
      </c>
      <c r="P6" s="5" t="n">
        <v>45</v>
      </c>
      <c r="Q6" s="5" t="inlineStr">
        <is>
          <t>-</t>
        </is>
      </c>
      <c r="R6" s="8" t="inlineStr">
        <is>
          <t>ir »</t>
        </is>
      </c>
      <c r="S6" s="9">
        <f>M6-10.0-J6</f>
        <v/>
      </c>
      <c r="T6" s="10">
        <f>(L6-10.0-J6)/S6-1</f>
        <v/>
      </c>
    </row>
    <row r="7">
      <c r="A7" s="5" t="inlineStr">
        <is>
          <t>FL_MAT_AFFF_10l</t>
        </is>
      </c>
      <c r="B7" s="5" t="inlineStr">
        <is>
          <t>Extintor AFFF 10 l</t>
        </is>
      </c>
      <c r="C7" s="5" t="inlineStr">
        <is>
          <t>inox</t>
        </is>
      </c>
      <c r="D7" s="5" t="inlineStr">
        <is>
          <t>Tercerizado S4</t>
        </is>
      </c>
      <c r="E7" s="5" t="inlineStr">
        <is>
          <t>3527</t>
        </is>
      </c>
      <c r="F7" s="5" t="inlineStr">
        <is>
          <t>Agua + espumígeno AFFF 3 % (DEMSA 203 MN, IRAM 3515)</t>
        </is>
      </c>
      <c r="G7" s="5" t="n">
        <v>10</v>
      </c>
      <c r="H7" s="5" t="inlineStr">
        <is>
          <t>L</t>
        </is>
      </c>
      <c r="I7" s="5" t="inlineStr">
        <is>
          <t>Aire comprimido</t>
        </is>
      </c>
      <c r="J7" s="5" t="n">
        <v>0.0427</v>
      </c>
      <c r="K7" s="6">
        <f>'FL_MAT_AFFF_10l'!G3</f>
        <v/>
      </c>
      <c r="L7" s="6">
        <f>'FL_MAT_AFFF_10l'!G4</f>
        <v/>
      </c>
      <c r="M7" s="5" t="n">
        <v>12.6</v>
      </c>
      <c r="N7" s="7">
        <f>L7/M7-1</f>
        <v/>
      </c>
      <c r="O7" s="5" t="n">
        <v>23</v>
      </c>
      <c r="P7" s="5" t="n">
        <v>46</v>
      </c>
      <c r="Q7" s="5" t="inlineStr">
        <is>
          <t>-</t>
        </is>
      </c>
      <c r="R7" s="8" t="inlineStr">
        <is>
          <t>ir »</t>
        </is>
      </c>
      <c r="S7" s="9">
        <f>M7-10.0-J7</f>
        <v/>
      </c>
      <c r="T7" s="10">
        <f>(L7-10.0-J7)/S7-1</f>
        <v/>
      </c>
    </row>
    <row r="8">
      <c r="A8" s="5" t="inlineStr">
        <is>
          <t>FL_MAT_AFFF_50l</t>
        </is>
      </c>
      <c r="B8" s="5" t="inlineStr">
        <is>
          <t>Extintor AFFF 50 l sobre ruedas</t>
        </is>
      </c>
      <c r="C8" s="5" t="inlineStr">
        <is>
          <t>rodante</t>
        </is>
      </c>
      <c r="D8" s="5" t="inlineStr">
        <is>
          <t>Tercerizado S4</t>
        </is>
      </c>
      <c r="E8" s="5" t="inlineStr">
        <is>
          <t>3541</t>
        </is>
      </c>
      <c r="F8" s="5" t="inlineStr">
        <is>
          <t>Agua + espumígeno AFFF 3 % (DEMSA 203 MN, IRAM 3515)</t>
        </is>
      </c>
      <c r="G8" s="5" t="n">
        <v>50</v>
      </c>
      <c r="H8" s="5" t="inlineStr">
        <is>
          <t>L</t>
        </is>
      </c>
      <c r="I8" s="5" t="inlineStr">
        <is>
          <t>Aire comprimido</t>
        </is>
      </c>
      <c r="J8" s="5" t="n">
        <v>0.1265</v>
      </c>
      <c r="K8" s="6">
        <f>'FL_MAT_AFFF_50l'!G3</f>
        <v/>
      </c>
      <c r="L8" s="6">
        <f>'FL_MAT_AFFF_50l'!G4</f>
        <v/>
      </c>
      <c r="M8" s="5" t="n">
        <v>100</v>
      </c>
      <c r="N8" s="7">
        <f>L8/M8-1</f>
        <v/>
      </c>
      <c r="O8" s="5" t="n">
        <v>31</v>
      </c>
      <c r="P8" s="5" t="n">
        <v>53</v>
      </c>
      <c r="Q8" s="5" t="inlineStr">
        <is>
          <t>-</t>
        </is>
      </c>
      <c r="R8" s="8" t="inlineStr">
        <is>
          <t>ir »</t>
        </is>
      </c>
      <c r="S8" s="9">
        <f>M8-50.0-J8</f>
        <v/>
      </c>
      <c r="T8" s="10">
        <f>(L8-50.0-J8)/S8-1</f>
        <v/>
      </c>
    </row>
    <row r="9">
      <c r="A9" s="5" t="inlineStr">
        <is>
          <t>FL_MAT_BC_5kg</t>
        </is>
      </c>
      <c r="B9" s="5" t="inlineStr">
        <is>
          <t>Extintor BC 5 kg</t>
        </is>
      </c>
      <c r="C9" s="5" t="inlineStr">
        <is>
          <t>manual</t>
        </is>
      </c>
      <c r="D9" s="5" t="inlineStr">
        <is>
          <t>Propia</t>
        </is>
      </c>
      <c r="E9" s="5" t="inlineStr">
        <is>
          <t>3523</t>
        </is>
      </c>
      <c r="F9" s="5" t="inlineStr">
        <is>
          <t>Polvo químico seco BC (bicarbonato)</t>
        </is>
      </c>
      <c r="G9" s="5" t="n">
        <v>5.15</v>
      </c>
      <c r="H9" s="5" t="inlineStr">
        <is>
          <t>kg</t>
        </is>
      </c>
      <c r="I9" s="5" t="inlineStr">
        <is>
          <t>N₂</t>
        </is>
      </c>
      <c r="J9" s="5" t="n">
        <v>0.0077</v>
      </c>
      <c r="K9" s="6">
        <f>'FL_MAT_BC_5kg'!G3</f>
        <v/>
      </c>
      <c r="L9" s="6">
        <f>'FL_MAT_BC_5kg'!G4</f>
        <v/>
      </c>
      <c r="M9" s="5" t="n">
        <v>8.5</v>
      </c>
      <c r="N9" s="7">
        <f>L9/M9-1</f>
        <v/>
      </c>
      <c r="O9" s="5" t="n">
        <v>23</v>
      </c>
      <c r="P9" s="5" t="n">
        <v>52</v>
      </c>
      <c r="Q9" s="5" t="inlineStr">
        <is>
          <t>-</t>
        </is>
      </c>
      <c r="R9" s="8" t="inlineStr">
        <is>
          <t>ir »</t>
        </is>
      </c>
      <c r="S9" s="9">
        <f>M9-5.15-J9</f>
        <v/>
      </c>
      <c r="T9" s="10">
        <f>(L9-5.15-J9)/S9-1</f>
        <v/>
      </c>
    </row>
    <row r="10">
      <c r="A10" s="5" t="inlineStr">
        <is>
          <t>FL_MAT_SALESK_6l</t>
        </is>
      </c>
      <c r="B10" s="5" t="inlineStr">
        <is>
          <t>Extintor Sales K 6 l</t>
        </is>
      </c>
      <c r="C10" s="5" t="inlineStr">
        <is>
          <t>inox</t>
        </is>
      </c>
      <c r="D10" s="5" t="inlineStr">
        <is>
          <t>Tercerizado S4</t>
        </is>
      </c>
      <c r="E10" s="5" t="inlineStr">
        <is>
          <t>3694</t>
        </is>
      </c>
      <c r="F10" s="5" t="inlineStr">
        <is>
          <t>Acetato de potasio - DEMSA Kitchen (IRAM 3697)</t>
        </is>
      </c>
      <c r="G10" s="5" t="n">
        <v>6.09</v>
      </c>
      <c r="H10" s="5" t="inlineStr">
        <is>
          <t>L</t>
        </is>
      </c>
      <c r="I10" s="5" t="inlineStr">
        <is>
          <t>N₂</t>
        </is>
      </c>
      <c r="J10" s="5" t="n">
        <v>0.0306</v>
      </c>
      <c r="K10" s="6">
        <f>'FL_MAT_SALESK_6l'!G3</f>
        <v/>
      </c>
      <c r="L10" s="6">
        <f>'FL_MAT_SALESK_6l'!G4</f>
        <v/>
      </c>
      <c r="M10" s="5" t="n">
        <v>8.25</v>
      </c>
      <c r="N10" s="7">
        <f>L10/M10-1</f>
        <v/>
      </c>
      <c r="O10" s="5" t="n">
        <v>23</v>
      </c>
      <c r="P10" s="5" t="n">
        <v>45</v>
      </c>
      <c r="Q10" s="5" t="inlineStr">
        <is>
          <t>-</t>
        </is>
      </c>
      <c r="R10" s="8" t="inlineStr">
        <is>
          <t>ir »</t>
        </is>
      </c>
      <c r="S10" s="9">
        <f>M10-7.8-J10</f>
        <v/>
      </c>
      <c r="T10" s="10">
        <f>(L10-7.8-J10)/S10-1</f>
        <v/>
      </c>
    </row>
    <row r="11">
      <c r="A11" s="5" t="inlineStr">
        <is>
          <t>FL_MAT_CO2_2kg</t>
        </is>
      </c>
      <c r="B11" s="5" t="inlineStr">
        <is>
          <t>Extintor CO₂ 2 kg</t>
        </is>
      </c>
      <c r="C11" s="5" t="inlineStr">
        <is>
          <t>co2</t>
        </is>
      </c>
      <c r="D11" s="5" t="inlineStr">
        <is>
          <t>Tercerizado S4</t>
        </is>
      </c>
      <c r="E11" s="5" t="inlineStr">
        <is>
          <t>3509</t>
        </is>
      </c>
      <c r="F11" s="5" t="inlineStr">
        <is>
          <t>Dióxido de carbono (IRAM 41170)</t>
        </is>
      </c>
      <c r="G11" s="5" t="n">
        <v>2</v>
      </c>
      <c r="H11" s="5" t="inlineStr">
        <is>
          <t>kg</t>
        </is>
      </c>
      <c r="I11" s="5" t="inlineStr">
        <is>
          <t>- (autopresurizado)</t>
        </is>
      </c>
      <c r="J11" s="5" t="n"/>
      <c r="K11" s="6">
        <f>'FL_MAT_CO2_2kg'!G3</f>
        <v/>
      </c>
      <c r="L11" s="6">
        <f>'FL_MAT_CO2_2kg'!G4</f>
        <v/>
      </c>
      <c r="M11" s="5" t="n">
        <v>9</v>
      </c>
      <c r="N11" s="7">
        <f>L11/M11-1</f>
        <v/>
      </c>
      <c r="O11" s="5" t="n">
        <v>20</v>
      </c>
      <c r="P11" s="5" t="n">
        <v>39</v>
      </c>
      <c r="Q11" s="5" t="inlineStr">
        <is>
          <t>-</t>
        </is>
      </c>
      <c r="R11" s="8" t="inlineStr">
        <is>
          <t>ir »</t>
        </is>
      </c>
      <c r="S11" s="9">
        <f>M11-2.0</f>
        <v/>
      </c>
      <c r="T11" s="10">
        <f>(L11-2.0)/S11-1</f>
        <v/>
      </c>
    </row>
    <row r="12">
      <c r="A12" s="5" t="inlineStr">
        <is>
          <t>FL_MAT_CO2_5kg</t>
        </is>
      </c>
      <c r="B12" s="5" t="inlineStr">
        <is>
          <t>Extintor CO₂ 5 kg</t>
        </is>
      </c>
      <c r="C12" s="5" t="inlineStr">
        <is>
          <t>co2</t>
        </is>
      </c>
      <c r="D12" s="5" t="inlineStr">
        <is>
          <t>Tercerizado S4</t>
        </is>
      </c>
      <c r="E12" s="5" t="inlineStr">
        <is>
          <t>3509</t>
        </is>
      </c>
      <c r="F12" s="5" t="inlineStr">
        <is>
          <t>Dióxido de carbono (IRAM 41170)</t>
        </is>
      </c>
      <c r="G12" s="5" t="n">
        <v>5</v>
      </c>
      <c r="H12" s="5" t="inlineStr">
        <is>
          <t>kg</t>
        </is>
      </c>
      <c r="I12" s="5" t="inlineStr">
        <is>
          <t>- (autopresurizado)</t>
        </is>
      </c>
      <c r="J12" s="5" t="n"/>
      <c r="K12" s="6">
        <f>'FL_MAT_CO2_5kg'!G3</f>
        <v/>
      </c>
      <c r="L12" s="6">
        <f>'FL_MAT_CO2_5kg'!G4</f>
        <v/>
      </c>
      <c r="M12" s="5" t="n">
        <v>20</v>
      </c>
      <c r="N12" s="7">
        <f>L12/M12-1</f>
        <v/>
      </c>
      <c r="O12" s="5" t="n">
        <v>22</v>
      </c>
      <c r="P12" s="5" t="n">
        <v>41</v>
      </c>
      <c r="Q12" s="5" t="inlineStr">
        <is>
          <t>-</t>
        </is>
      </c>
      <c r="R12" s="8" t="inlineStr">
        <is>
          <t>ir »</t>
        </is>
      </c>
      <c r="S12" s="9">
        <f>M12-5.0</f>
        <v/>
      </c>
      <c r="T12" s="10">
        <f>(L12-5.0)/S12-1</f>
        <v/>
      </c>
    </row>
    <row r="13">
      <c r="A13" s="5" t="inlineStr">
        <is>
          <t>FL_MAT_HCFC-HFC_5kg</t>
        </is>
      </c>
      <c r="B13" s="5" t="inlineStr">
        <is>
          <t>Extintor HCFC/HFC 5 kg</t>
        </is>
      </c>
      <c r="C13" s="5" t="inlineStr">
        <is>
          <t>manual</t>
        </is>
      </c>
      <c r="D13" s="5" t="inlineStr">
        <is>
          <t>Tercerizado S4</t>
        </is>
      </c>
      <c r="E13" s="5" t="inlineStr">
        <is>
          <t>3504</t>
        </is>
      </c>
      <c r="F13" s="5" t="inlineStr">
        <is>
          <t>HCFC 123 / HFC 236fa (agente limpio)</t>
        </is>
      </c>
      <c r="G13" s="5" t="n">
        <v>5</v>
      </c>
      <c r="H13" s="5" t="inlineStr">
        <is>
          <t>kg</t>
        </is>
      </c>
      <c r="I13" s="5" t="inlineStr">
        <is>
          <t>Argón</t>
        </is>
      </c>
      <c r="J13" s="5" t="n">
        <v>0.0388</v>
      </c>
      <c r="K13" s="6">
        <f>'FL_MAT_HCFC-HFC_5kg'!G3</f>
        <v/>
      </c>
      <c r="L13" s="6">
        <f>'FL_MAT_HCFC-HFC_5kg'!G4</f>
        <v/>
      </c>
      <c r="M13" s="5" t="n">
        <v>8.5</v>
      </c>
      <c r="N13" s="7">
        <f>L13/M13-1</f>
        <v/>
      </c>
      <c r="O13" s="5" t="n">
        <v>23</v>
      </c>
      <c r="P13" s="5" t="n">
        <v>48</v>
      </c>
      <c r="Q13" s="5" t="inlineStr">
        <is>
          <t>-</t>
        </is>
      </c>
      <c r="R13" s="8" t="inlineStr">
        <is>
          <t>ir »</t>
        </is>
      </c>
      <c r="S13" s="9">
        <f>M13-5.0-J13</f>
        <v/>
      </c>
      <c r="T13" s="10">
        <f>(L13-5.0-J13)/S13-1</f>
        <v/>
      </c>
    </row>
    <row r="14">
      <c r="A14" s="5" t="inlineStr">
        <is>
          <t>FL_MAT_CLASED_9l</t>
        </is>
      </c>
      <c r="B14" s="5" t="inlineStr">
        <is>
          <t>Extintor Clase D 9 l</t>
        </is>
      </c>
      <c r="C14" s="5" t="inlineStr">
        <is>
          <t>manual</t>
        </is>
      </c>
      <c r="D14" s="5" t="inlineStr">
        <is>
          <t>Propia</t>
        </is>
      </c>
      <c r="E14" s="5" t="inlineStr">
        <is>
          <t>3523</t>
        </is>
      </c>
      <c r="F14" s="5" t="inlineStr">
        <is>
          <t>Polvo para metales combustibles clase D</t>
        </is>
      </c>
      <c r="G14" s="5" t="n">
        <v>9.15</v>
      </c>
      <c r="H14" s="5" t="inlineStr">
        <is>
          <t>kg</t>
        </is>
      </c>
      <c r="I14" s="5" t="inlineStr">
        <is>
          <t>N₂</t>
        </is>
      </c>
      <c r="J14" s="5" t="n">
        <v>0.0604</v>
      </c>
      <c r="K14" s="6">
        <f>'FL_MAT_CLASED_9l'!G3</f>
        <v/>
      </c>
      <c r="L14" s="6">
        <f>'FL_MAT_CLASED_9l'!G4</f>
        <v/>
      </c>
      <c r="M14" s="5" t="n">
        <v>16.5</v>
      </c>
      <c r="N14" s="7">
        <f>L14/M14-1</f>
        <v/>
      </c>
      <c r="O14" s="5" t="n">
        <v>24</v>
      </c>
      <c r="P14" s="5" t="n">
        <v>49</v>
      </c>
      <c r="Q14" s="5" t="inlineStr">
        <is>
          <t>-</t>
        </is>
      </c>
      <c r="R14" s="8" t="inlineStr">
        <is>
          <t>ir »</t>
        </is>
      </c>
      <c r="S14" s="9">
        <f>M14-9.15-J14</f>
        <v/>
      </c>
      <c r="T14" s="10">
        <f>(L14-9.15-J14)/S14-1</f>
        <v/>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0.1142</v>
      </c>
      <c r="K15" s="6">
        <f>'FL_MAT_ABC_25kg'!G3</f>
        <v/>
      </c>
      <c r="L15" s="6">
        <f>'FL_MAT_ABC_25kg'!G4</f>
        <v/>
      </c>
      <c r="M15" s="5" t="n">
        <v>55</v>
      </c>
      <c r="N15" s="7">
        <f>L15/M15-1</f>
        <v/>
      </c>
      <c r="O15" s="5" t="n">
        <v>31</v>
      </c>
      <c r="P15" s="5" t="n">
        <v>54</v>
      </c>
      <c r="Q15" s="5" t="inlineStr">
        <is>
          <t>FL_REC_ABC_25kg</t>
        </is>
      </c>
      <c r="R15" s="8" t="inlineStr">
        <is>
          <t>ir »</t>
        </is>
      </c>
      <c r="S15" s="9">
        <f>M15-25.0-J15</f>
        <v/>
      </c>
      <c r="T15" s="10">
        <f>(L15-25.0-J15)/S15-1</f>
        <v/>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0.1077</v>
      </c>
      <c r="K16" s="6">
        <f>'FL_MAT_ABC_50kg'!G3</f>
        <v/>
      </c>
      <c r="L16" s="6">
        <f>'FL_MAT_ABC_50kg'!G4</f>
        <v/>
      </c>
      <c r="M16" s="5" t="n">
        <v>100</v>
      </c>
      <c r="N16" s="7">
        <f>L16/M16-1</f>
        <v/>
      </c>
      <c r="O16" s="5" t="n">
        <v>31</v>
      </c>
      <c r="P16" s="5" t="n">
        <v>54</v>
      </c>
      <c r="Q16" s="5" t="inlineStr">
        <is>
          <t>FL_REC_ABC_50kg</t>
        </is>
      </c>
      <c r="R16" s="8" t="inlineStr">
        <is>
          <t>ir »</t>
        </is>
      </c>
      <c r="S16" s="9">
        <f>M16-50.0-J16</f>
        <v/>
      </c>
      <c r="T16" s="10">
        <f>(L16-50.0-J16)/S16-1</f>
        <v/>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0.1418</v>
      </c>
      <c r="K17" s="6">
        <f>'FL_MAT_ABC_70kg'!G3</f>
        <v/>
      </c>
      <c r="L17" s="6">
        <f>'FL_MAT_ABC_70kg'!G4</f>
        <v/>
      </c>
      <c r="M17" s="5" t="n">
        <v>140</v>
      </c>
      <c r="N17" s="7">
        <f>L17/M17-1</f>
        <v/>
      </c>
      <c r="O17" s="5" t="n">
        <v>31</v>
      </c>
      <c r="P17" s="5" t="n">
        <v>54</v>
      </c>
      <c r="Q17" s="5" t="inlineStr">
        <is>
          <t>FL_REC_ABC_70kg</t>
        </is>
      </c>
      <c r="R17" s="8" t="inlineStr">
        <is>
          <t>ir »</t>
        </is>
      </c>
      <c r="S17" s="9">
        <f>M17-70.0-J17</f>
        <v/>
      </c>
      <c r="T17" s="10">
        <f>(L17-70.0-J17)/S17-1</f>
        <v/>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0.205</v>
      </c>
      <c r="K18" s="6">
        <f>'FL_MAT_ABC_100kg'!G3</f>
        <v/>
      </c>
      <c r="L18" s="6">
        <f>'FL_MAT_ABC_100kg'!G4</f>
        <v/>
      </c>
      <c r="M18" s="5" t="n">
        <v>185</v>
      </c>
      <c r="N18" s="7">
        <f>L18/M18-1</f>
        <v/>
      </c>
      <c r="O18" s="5" t="n">
        <v>31</v>
      </c>
      <c r="P18" s="5" t="n">
        <v>54</v>
      </c>
      <c r="Q18" s="5" t="inlineStr">
        <is>
          <t>FL_REC_ABC_100kg</t>
        </is>
      </c>
      <c r="R18" s="8" t="inlineStr">
        <is>
          <t>ir »</t>
        </is>
      </c>
      <c r="S18" s="9">
        <f>M18-100.0-J18</f>
        <v/>
      </c>
      <c r="T18" s="10">
        <f>(L18-100.0-J18)/S18-1</f>
        <v/>
      </c>
    </row>
  </sheetData>
  <autoFilter ref="A1:T18"/>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s>
  <sheetData>
    <row r="1">
      <c r="A1" s="11" t="inlineStr">
        <is>
          <t>Química de los agentes extintores - DATOS DE ENTRADA (celdas amarillas)</t>
        </is>
      </c>
    </row>
    <row r="2">
      <c r="A2" t="inlineStr">
        <is>
          <t>Si cambia la formulación (% de MAP, tipo de bicarbonato, concentración del acetato o del AFFF) cambia la densidad, y con ella el volumen que ocupa la carga, el volumen libre, el N₂ y si el recipiente alcanza. Cambie la densidad acá y mire la hoja Carga_N2.</t>
        </is>
      </c>
    </row>
    <row r="4" ht="45" customHeight="1">
      <c r="A4" s="4" t="inlineStr">
        <is>
          <t>Clave</t>
        </is>
      </c>
      <c r="B4" s="4" t="inlineStr">
        <is>
          <t>Agente</t>
        </is>
      </c>
      <c r="C4" s="4" t="inlineStr">
        <is>
          <t>Composición</t>
        </is>
      </c>
      <c r="D4" s="4" t="inlineStr">
        <is>
          <t>Mecanismo de extinción</t>
        </is>
      </c>
      <c r="E4" s="4" t="inlineStr">
        <is>
          <t>¿Saponifica?</t>
        </is>
      </c>
      <c r="F4" s="4" t="inlineStr">
        <is>
          <t>Gas impulsor</t>
        </is>
      </c>
      <c r="G4" s="4" t="inlineStr">
        <is>
          <t>ρ mín (kg/dm³)</t>
        </is>
      </c>
      <c r="H4" s="4" t="inlineStr">
        <is>
          <t>ρ típica (kg/dm³)</t>
        </is>
      </c>
      <c r="I4" s="4" t="inlineStr">
        <is>
          <t>ρ máx (kg/dm³)</t>
        </is>
      </c>
      <c r="J4" s="4" t="inlineStr">
        <is>
          <t>Masa molar gas (kg/mol)</t>
        </is>
      </c>
      <c r="K4" s="4" t="inlineStr">
        <is>
          <t>Fuente</t>
        </is>
      </c>
    </row>
    <row r="5" ht="48" customHeight="1">
      <c r="A5" s="12" t="inlineStr">
        <is>
          <t>ABC</t>
        </is>
      </c>
      <c r="B5" s="12" t="inlineStr">
        <is>
          <t>Polvo ABC (fosfato monoamónico) con Sello IRAM 3569 - DEMSA</t>
        </is>
      </c>
      <c r="C5" s="12" t="inlineStr">
        <is>
          <t>MAP 40-90 % según grado (nominal ± 5 %) + sulfato de amonio 5-55 % + mica, sílice y silicona</t>
        </is>
      </c>
      <c r="D5" s="12" t="inlineStr">
        <is>
          <t>Captura de radicales; en clase A el MAP funde (≈177-190 °C) y cubre las brasas con una capa vítrea: el potencial A depende del grado (licencias IRAM 3523: 5 kg DEM-60 = 6A, DEM-90 = 10A)</t>
        </is>
      </c>
      <c r="E5" s="12" t="inlineStr">
        <is>
          <t>No. Ácido (pH 6-7,5 al 1 % según DEMSA; 4-5 otras fichas): no saponifica, no apto clase K; con BC reacciona (CO₂ + apelmazamiento)</t>
        </is>
      </c>
      <c r="F5" s="12" t="inlineStr">
        <is>
          <t>N₂</t>
        </is>
      </c>
      <c r="G5" s="13" t="n">
        <v>0.85</v>
      </c>
      <c r="H5" s="13" t="n">
        <v>0.9</v>
      </c>
      <c r="I5" s="13" t="n">
        <v>0.98</v>
      </c>
      <c r="J5" s="13" t="n">
        <v>0.028</v>
      </c>
      <c r="K5" s="12" t="inlineStr">
        <is>
          <t>DEMSA HDS ABC: densidad aparente &gt; 0,85 (piso garantizado) · típica 0,90 (ficha IZ; Corponor 0,85-0,98) · IRAM 3569 no fija densidad: exigirla en la orden de compra</t>
        </is>
      </c>
    </row>
    <row r="6" ht="48" customHeight="1">
      <c r="A6" s="12" t="inlineStr">
        <is>
          <t>BC</t>
        </is>
      </c>
      <c r="B6" s="12" t="inlineStr">
        <is>
          <t>Polvo BC sódico con Sello IRAM 3566 - DEMSA</t>
        </is>
      </c>
      <c r="C6" s="12" t="inlineStr">
        <is>
          <t>NaHCO₃ ≥ 85,5 % (85,5-94,5) + estearatos, sílice, silicona (Púrpura K: KHCO₃ 92 ± 5 %)</t>
        </is>
      </c>
      <c r="D6" s="12" t="inlineStr">
        <is>
          <t>Captura de radicales y descomposición endotérmica (CO₂ + H₂O)</t>
        </is>
      </c>
      <c r="E6" s="12" t="inlineStr">
        <is>
          <t>Leve: alcalino (pH 8-9), saponifica superficialmente aceites; no reemplaza clase K</t>
        </is>
      </c>
      <c r="F6" s="12" t="inlineStr">
        <is>
          <t>N₂</t>
        </is>
      </c>
      <c r="G6" s="13" t="n">
        <v>0.85</v>
      </c>
      <c r="H6" s="13" t="n">
        <v>0.9</v>
      </c>
      <c r="I6" s="13" t="n">
        <v>1</v>
      </c>
      <c r="J6" s="13" t="n">
        <v>0.028</v>
      </c>
      <c r="K6" s="12" t="inlineStr">
        <is>
          <t>DEMSA HDS Púrpura K: &gt; 0,85 · Buckeye estándar 0,90 · Purple K aireado 0,88</t>
        </is>
      </c>
    </row>
    <row r="7" ht="48" customHeight="1">
      <c r="A7" s="12" t="inlineStr">
        <is>
          <t>D</t>
        </is>
      </c>
      <c r="B7" s="12" t="inlineStr">
        <is>
          <t>Polvo clase D (cloruro de sodio) - DEMSA</t>
        </is>
      </c>
      <c r="C7" s="12" t="inlineStr">
        <is>
          <t>NaCl &gt; 90 % + aditivos siliconados</t>
        </is>
      </c>
      <c r="D7" s="12" t="inlineStr">
        <is>
          <t>Forma costra sobre el metal fundido y lo aísla del aire</t>
        </is>
      </c>
      <c r="E7" s="12" t="inlineStr">
        <is>
          <t>No (pH 6-7,5)</t>
        </is>
      </c>
      <c r="F7" s="12" t="inlineStr">
        <is>
          <t>N₂</t>
        </is>
      </c>
      <c r="G7" s="13" t="n">
        <v>0.85</v>
      </c>
      <c r="H7" s="13" t="n">
        <v>1</v>
      </c>
      <c r="I7" s="13" t="n">
        <v>1.2</v>
      </c>
      <c r="J7" s="13" t="n">
        <v>0.028</v>
      </c>
      <c r="K7" s="12" t="inlineStr">
        <is>
          <t>DEMSA HDS polvo D: &gt; 0,85 · típica R (pedir valor garantizado)</t>
        </is>
      </c>
    </row>
    <row r="8" ht="48" customHeight="1">
      <c r="A8" s="12" t="inlineStr">
        <is>
          <t>HCFC</t>
        </is>
      </c>
      <c r="B8" s="12" t="inlineStr">
        <is>
          <t>HCFC Mezcla B (HCFC-123 base)</t>
        </is>
      </c>
      <c r="C8" s="12" t="inlineStr">
        <is>
          <t>HCFC-123 &gt; 93 % + mezcla de gases &lt; 7 %</t>
        </is>
      </c>
      <c r="D8" s="12" t="inlineStr">
        <is>
          <t>Enfriamiento y captura de radicales; no deja residuo</t>
        </is>
      </c>
      <c r="E8" s="12" t="inlineStr">
        <is>
          <t>No</t>
        </is>
      </c>
      <c r="F8" s="12" t="inlineStr">
        <is>
          <t>Argón</t>
        </is>
      </c>
      <c r="G8" s="13" t="n">
        <v>1.47</v>
      </c>
      <c r="H8" s="13" t="n">
        <v>1.48</v>
      </c>
      <c r="I8" s="13" t="n">
        <v>1.48</v>
      </c>
      <c r="J8" s="13" t="n">
        <v>0.04</v>
      </c>
      <c r="K8" s="12" t="inlineStr">
        <is>
          <t>Halotron I HDS: 1,48 kg/L a 25 °C; 655 kPa a 20 °C (IRAM 3526-1: pedir ficha local)</t>
        </is>
      </c>
    </row>
    <row r="9" ht="48" customHeight="1">
      <c r="A9" s="12" t="inlineStr">
        <is>
          <t>AGUA</t>
        </is>
      </c>
      <c r="B9" s="12" t="inlineStr">
        <is>
          <t>Agua</t>
        </is>
      </c>
      <c r="C9" s="12" t="inlineStr">
        <is>
          <t>Agua potable</t>
        </is>
      </c>
      <c r="D9" s="12" t="inlineStr">
        <is>
          <t>Enfriamiento</t>
        </is>
      </c>
      <c r="E9" s="12" t="inlineStr">
        <is>
          <t>No</t>
        </is>
      </c>
      <c r="F9" s="12" t="inlineStr">
        <is>
          <t>Aire comprimido</t>
        </is>
      </c>
      <c r="G9" s="13" t="n">
        <v>1</v>
      </c>
      <c r="H9" s="13" t="n">
        <v>1</v>
      </c>
      <c r="I9" s="13" t="n">
        <v>1</v>
      </c>
      <c r="J9" s="13" t="n">
        <v>0.029</v>
      </c>
      <c r="K9" s="12" t="inlineStr">
        <is>
          <t>Catálogo de referencia: aire comprimido</t>
        </is>
      </c>
    </row>
    <row r="10" ht="48" customHeight="1">
      <c r="A10" s="12" t="inlineStr">
        <is>
          <t>AFFF</t>
        </is>
      </c>
      <c r="B10" s="12" t="inlineStr">
        <is>
          <t>Agua + espumígeno AFFF 3 % (DEMSA 203 MN, IRAM 3515)</t>
        </is>
      </c>
      <c r="C10" s="12" t="inlineStr">
        <is>
          <t>97 % agua + 3 % concentrado (1,025 g/cm³)</t>
        </is>
      </c>
      <c r="D10" s="12" t="inlineStr">
        <is>
          <t>Película acuosa que sella vapores + enfriamiento</t>
        </is>
      </c>
      <c r="E10" s="12" t="inlineStr">
        <is>
          <t>No</t>
        </is>
      </c>
      <c r="F10" s="12" t="inlineStr">
        <is>
          <t>Aire comprimido</t>
        </is>
      </c>
      <c r="G10" s="13" t="n">
        <v>1</v>
      </c>
      <c r="H10" s="13" t="n">
        <v>1</v>
      </c>
      <c r="I10" s="13" t="n">
        <v>1</v>
      </c>
      <c r="J10" s="13" t="n">
        <v>0.029</v>
      </c>
      <c r="K10" s="12" t="inlineStr">
        <is>
          <t>DEMSA 203 MN: concentrado 1,025 g/cm³ → premezcla ≈ 1,001</t>
        </is>
      </c>
    </row>
    <row r="11" ht="48" customHeight="1">
      <c r="A11" s="12" t="inlineStr">
        <is>
          <t>K</t>
        </is>
      </c>
      <c r="B11" s="12" t="inlineStr">
        <is>
          <t>Acetato de potasio - DEMSA Kitchen (IRAM 3697)</t>
        </is>
      </c>
      <c r="C11" s="12" t="inlineStr">
        <is>
          <t>Sales orgánicas de potasio + aditivos en agua</t>
        </is>
      </c>
      <c r="D11" s="12" t="inlineStr">
        <is>
          <t>SAPONIFICACIÓN y enfriamiento: el agente alcalino reacciona con los ácidos grasos del aceite caliente y forma una espuma jabonosa que sella la superficie y evita la reignición</t>
        </is>
      </c>
      <c r="E11" s="12" t="inlineStr">
        <is>
          <t>Sí: mecanismo principal (pH 8,5)</t>
        </is>
      </c>
      <c r="F11" s="12" t="inlineStr">
        <is>
          <t>N₂</t>
        </is>
      </c>
      <c r="G11" s="13" t="n">
        <v>1.3</v>
      </c>
      <c r="H11" s="13" t="n">
        <v>1.3</v>
      </c>
      <c r="I11" s="13" t="n">
        <v>1.3</v>
      </c>
      <c r="J11" s="13" t="n">
        <v>0.028</v>
      </c>
      <c r="K11" s="12" t="inlineStr">
        <is>
          <t>DEMSA Kitchen: 1,300 g/ml a 20 °C, pH 8,5; agente certificado en las licencias IRAM 3694 de Drago y Georgia/Fadesa</t>
        </is>
      </c>
    </row>
    <row r="13">
      <c r="A13" s="14" t="inlineStr">
        <is>
          <t>Volumen libre mínimo (fracción del recipiente)</t>
        </is>
      </c>
      <c r="G13" s="15" t="n">
        <v>0.1</v>
      </c>
      <c r="H13" t="inlineStr">
        <is>
          <t>R: a validar con el ensayo de descarga continua ≥ 85 % de la masa (IRAM 3523 4.9.1)</t>
        </is>
      </c>
    </row>
    <row r="14">
      <c r="A14" s="14" t="inlineStr">
        <is>
          <t>Factor de compactación en el recipiente (ρ asentado / ρ aparente de ficha)</t>
        </is>
      </c>
      <c r="G14" s="16" t="n">
        <v>1</v>
      </c>
      <c r="H14" t="inlineStr">
        <is>
          <t>R: 1,00 = criterio conservador. Medir: llenar un recipiente con el polvo comprado, vibrar como en la línea T01 y medir el volumen ocupado. La ficha da densidad aparente suelta; asentado ocupa menos.</t>
        </is>
      </c>
    </row>
    <row r="16">
      <c r="A16" s="14" t="inlineStr">
        <is>
          <t>Grado del polvo ABC: la masa la fija la norma; el % de MAP fija el potencial A (licencias IRAM 3523 Drago y Georgia/Fadesa)</t>
        </is>
      </c>
    </row>
    <row r="17" ht="20" customHeight="1">
      <c r="A17" s="4" t="inlineStr">
        <is>
          <t>Grado</t>
        </is>
      </c>
      <c r="B17" s="4" t="inlineStr">
        <is>
          <t>MAP nominal %</t>
        </is>
      </c>
      <c r="C17" s="4" t="inlineStr">
        <is>
          <t>Banda IRAM %</t>
        </is>
      </c>
      <c r="D17" s="4" t="inlineStr">
        <is>
          <t>Relleno</t>
        </is>
      </c>
      <c r="E17" s="4" t="inlineStr">
        <is>
          <t>1 kg</t>
        </is>
      </c>
      <c r="F17" s="4" t="inlineStr">
        <is>
          <t>2,5 kg</t>
        </is>
      </c>
      <c r="G17" s="4" t="inlineStr">
        <is>
          <t>5 kg</t>
        </is>
      </c>
      <c r="H17" s="4" t="inlineStr">
        <is>
          <t>10 kg</t>
        </is>
      </c>
      <c r="I17" s="4" t="inlineStr">
        <is>
          <t>Hoja técnica</t>
        </is>
      </c>
    </row>
    <row r="18">
      <c r="A18" s="5" t="inlineStr">
        <is>
          <t>ABC 40</t>
        </is>
      </c>
      <c r="B18" s="5" t="n">
        <v>40</v>
      </c>
      <c r="C18" s="5" t="inlineStr">
        <is>
          <t>38 - 42</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40 (Rev 02, 2019)</t>
        </is>
      </c>
    </row>
    <row r="19">
      <c r="A19" s="5" t="inlineStr">
        <is>
          <t>ABC 55</t>
        </is>
      </c>
      <c r="B19" s="5" t="n">
        <v>55</v>
      </c>
      <c r="C19" s="5" t="inlineStr">
        <is>
          <t>52,25 - 57,75</t>
        </is>
      </c>
      <c r="D19" s="5" t="inlineStr">
        <is>
          <t>sulfato de amonio + 3 % aditivos</t>
        </is>
      </c>
      <c r="E19" s="5" t="inlineStr">
        <is>
          <t>sin licencia relevada</t>
        </is>
      </c>
      <c r="F19" s="5" t="inlineStr">
        <is>
          <t>sin licencia relevada</t>
        </is>
      </c>
      <c r="G19" s="5" t="inlineStr">
        <is>
          <t>sin licencia relevada</t>
        </is>
      </c>
      <c r="H19" s="5" t="inlineStr">
        <is>
          <t>sin licencia relevada</t>
        </is>
      </c>
      <c r="I19" s="5" t="inlineStr">
        <is>
          <t>DEMSA ABC 55 (Rev 02, 2019)</t>
        </is>
      </c>
    </row>
    <row r="20">
      <c r="A20" s="5" t="inlineStr">
        <is>
          <t>ABC 60</t>
        </is>
      </c>
      <c r="B20" s="5" t="n">
        <v>60</v>
      </c>
      <c r="C20" s="5" t="inlineStr">
        <is>
          <t>57 - 63</t>
        </is>
      </c>
      <c r="D20" s="5" t="inlineStr">
        <is>
          <t>sulfato de amonio + 3 % aditivos</t>
        </is>
      </c>
      <c r="E20" s="5" t="inlineStr">
        <is>
          <t>1A-3B:C</t>
        </is>
      </c>
      <c r="F20" s="5" t="inlineStr">
        <is>
          <t>3A-20B:C</t>
        </is>
      </c>
      <c r="G20" s="5" t="inlineStr">
        <is>
          <t>6A-40B:C</t>
        </is>
      </c>
      <c r="H20" s="5" t="inlineStr">
        <is>
          <t>6A-60B:C</t>
        </is>
      </c>
      <c r="I20" s="5" t="inlineStr">
        <is>
          <t>DEMSA catálogo (ABC 60)</t>
        </is>
      </c>
    </row>
    <row r="21">
      <c r="A21" s="5" t="inlineStr">
        <is>
          <t>ABC 75</t>
        </is>
      </c>
      <c r="B21" s="5" t="n">
        <v>75</v>
      </c>
      <c r="C21" s="5" t="inlineStr">
        <is>
          <t>71,25 - 78,75</t>
        </is>
      </c>
      <c r="D21" s="5" t="inlineStr">
        <is>
          <t>sulfato de amonio + 3 % aditivos</t>
        </is>
      </c>
      <c r="E21" s="5" t="inlineStr">
        <is>
          <t>sin licencia relevada</t>
        </is>
      </c>
      <c r="F21" s="5" t="inlineStr">
        <is>
          <t>sin licencia relevada</t>
        </is>
      </c>
      <c r="G21" s="5" t="inlineStr">
        <is>
          <t>sin licencia relevada</t>
        </is>
      </c>
      <c r="H21" s="5" t="inlineStr">
        <is>
          <t>sin licencia relevada</t>
        </is>
      </c>
      <c r="I21" s="5" t="inlineStr">
        <is>
          <t>DEMSA catálogo (ABC 75)</t>
        </is>
      </c>
    </row>
    <row r="22">
      <c r="A22" s="5" t="inlineStr">
        <is>
          <t>ABC 90</t>
        </is>
      </c>
      <c r="B22" s="5" t="n">
        <v>90</v>
      </c>
      <c r="C22" s="5" t="inlineStr">
        <is>
          <t>85,5 - 94,5</t>
        </is>
      </c>
      <c r="D22" s="5" t="inlineStr">
        <is>
          <t>sulfato de amonio + 3 % aditivos</t>
        </is>
      </c>
      <c r="E22" s="5" t="inlineStr">
        <is>
          <t>-</t>
        </is>
      </c>
      <c r="F22" s="5" t="inlineStr">
        <is>
          <t>3A-20B:C</t>
        </is>
      </c>
      <c r="G22" s="5" t="inlineStr">
        <is>
          <t>10A-40B:C</t>
        </is>
      </c>
      <c r="H22" s="5" t="inlineStr">
        <is>
          <t>10A-60B:C</t>
        </is>
      </c>
      <c r="I22" s="5" t="inlineStr">
        <is>
          <t>DEMSA ABC 90 (Rev 02, 2019)</t>
        </is>
      </c>
    </row>
    <row r="24">
      <c r="A24" s="14" t="inlineStr">
        <is>
          <t>Agente y grado adoptado por modelo (DECISIÓN DE PRODUCTO a confirmar)</t>
        </is>
      </c>
    </row>
    <row r="25" ht="20" customHeight="1">
      <c r="A25" s="4" t="inlineStr">
        <is>
          <t>Plano</t>
        </is>
      </c>
      <c r="B25" s="4" t="inlineStr">
        <is>
          <t>Agente / grado</t>
        </is>
      </c>
      <c r="C25" s="4" t="inlineStr">
        <is>
          <t>Norma agente</t>
        </is>
      </c>
      <c r="D25" s="4" t="inlineStr">
        <is>
          <t>Gas</t>
        </is>
      </c>
      <c r="E25" s="4" t="inlineStr">
        <is>
          <t>Potencial</t>
        </is>
      </c>
      <c r="F25" s="4" t="inlineStr">
        <is>
          <t>Alternativa</t>
        </is>
      </c>
      <c r="G25" s="4" t="inlineStr"/>
      <c r="H25" s="4" t="inlineStr"/>
      <c r="I25" s="4" t="inlineStr"/>
    </row>
    <row r="26">
      <c r="A26" s="5" t="inlineStr">
        <is>
          <t>FL_MAT_ABC_1kg</t>
        </is>
      </c>
      <c r="B26" s="5" t="inlineStr">
        <is>
          <t>ABC 60</t>
        </is>
      </c>
      <c r="C26" s="5" t="inlineStr">
        <is>
          <t>IRAM 3569</t>
        </is>
      </c>
      <c r="D26" s="5" t="inlineStr">
        <is>
          <t>N₂ seco</t>
        </is>
      </c>
      <c r="E26" s="5" t="inlineStr">
        <is>
          <t>1A-3B:C</t>
        </is>
      </c>
      <c r="F26" s="5" t="inlineStr"/>
    </row>
    <row r="27">
      <c r="A27" s="5" t="inlineStr">
        <is>
          <t>FL_MAT_ABC_2.5kg</t>
        </is>
      </c>
      <c r="B27" s="5" t="inlineStr">
        <is>
          <t>ABC 60</t>
        </is>
      </c>
      <c r="C27" s="5" t="inlineStr">
        <is>
          <t>IRAM 3569</t>
        </is>
      </c>
      <c r="D27" s="5" t="inlineStr">
        <is>
          <t>N₂ seco</t>
        </is>
      </c>
      <c r="E27" s="5" t="inlineStr">
        <is>
          <t>3A-20B:C</t>
        </is>
      </c>
      <c r="F27" s="5" t="inlineStr"/>
    </row>
    <row r="28">
      <c r="A28" s="5" t="inlineStr">
        <is>
          <t>FL_MAT_ABC_5kg</t>
        </is>
      </c>
      <c r="B28" s="5" t="inlineStr">
        <is>
          <t>ABC 60</t>
        </is>
      </c>
      <c r="C28" s="5" t="inlineStr">
        <is>
          <t>IRAM 3569</t>
        </is>
      </c>
      <c r="D28" s="5" t="inlineStr">
        <is>
          <t>N₂ seco</t>
        </is>
      </c>
      <c r="E28" s="5" t="inlineStr">
        <is>
          <t>6A-40B:C</t>
        </is>
      </c>
      <c r="F28" s="5" t="inlineStr">
        <is>
          <t>ABC 90: 10A-40B:C</t>
        </is>
      </c>
    </row>
    <row r="29">
      <c r="A29" s="5" t="inlineStr">
        <is>
          <t>FL_MAT_ABC_10kg</t>
        </is>
      </c>
      <c r="B29" s="5" t="inlineStr">
        <is>
          <t>ABC 60</t>
        </is>
      </c>
      <c r="C29" s="5" t="inlineStr">
        <is>
          <t>IRAM 3569</t>
        </is>
      </c>
      <c r="D29" s="5" t="inlineStr">
        <is>
          <t>N₂ seco</t>
        </is>
      </c>
      <c r="E29" s="5" t="inlineStr">
        <is>
          <t>6A-60B:C</t>
        </is>
      </c>
      <c r="F29" s="5" t="inlineStr">
        <is>
          <t>ABC 90: 10A-60B:C</t>
        </is>
      </c>
    </row>
    <row r="30">
      <c r="A30" s="5" t="inlineStr">
        <is>
          <t>FL_MAT_AGUA_10l</t>
        </is>
      </c>
      <c r="B30" s="5" t="inlineStr">
        <is>
          <t>Agua potable</t>
        </is>
      </c>
      <c r="C30" s="5" t="inlineStr">
        <is>
          <t>-</t>
        </is>
      </c>
      <c r="D30" s="5" t="inlineStr">
        <is>
          <t>Aire comprimido</t>
        </is>
      </c>
      <c r="E30" s="5" t="inlineStr">
        <is>
          <t>1A</t>
        </is>
      </c>
      <c r="F30" s="5" t="inlineStr"/>
    </row>
    <row r="31">
      <c r="A31" s="5" t="inlineStr">
        <is>
          <t>FL_MAT_AFFF_10l</t>
        </is>
      </c>
      <c r="B31" s="5" t="inlineStr">
        <is>
          <t>Premezcla AFFF 3 % (DEMSA 203 MN, IRAM 3515)</t>
        </is>
      </c>
      <c r="C31" s="5" t="inlineStr">
        <is>
          <t>IRAM 3515</t>
        </is>
      </c>
      <c r="D31" s="5" t="inlineStr">
        <is>
          <t>Aire comprimido</t>
        </is>
      </c>
      <c r="E31" s="5" t="inlineStr">
        <is>
          <t>3A-10B</t>
        </is>
      </c>
      <c r="F31" s="5" t="inlineStr"/>
    </row>
    <row r="32">
      <c r="A32" s="5" t="inlineStr">
        <is>
          <t>FL_MAT_AFFF_50l</t>
        </is>
      </c>
      <c r="B32" s="5" t="inlineStr">
        <is>
          <t>Premezcla AFFF 3 % (DEMSA 203 MN, IRAM 3515)</t>
        </is>
      </c>
      <c r="C32" s="5" t="inlineStr">
        <is>
          <t>IRAM 3515</t>
        </is>
      </c>
      <c r="D32" s="5" t="inlineStr">
        <is>
          <t>Aire comprimido</t>
        </is>
      </c>
      <c r="E32" s="5" t="inlineStr">
        <is>
          <t>-</t>
        </is>
      </c>
      <c r="F32" s="5" t="inlineStr"/>
    </row>
    <row r="33">
      <c r="A33" s="5" t="inlineStr">
        <is>
          <t>FL_MAT_BC_5kg</t>
        </is>
      </c>
      <c r="B33" s="5" t="inlineStr">
        <is>
          <t>BC sódico (NaHCO₃ ≥ 85,5 %)</t>
        </is>
      </c>
      <c r="C33" s="5" t="inlineStr">
        <is>
          <t>IRAM 3566</t>
        </is>
      </c>
      <c r="D33" s="5" t="inlineStr">
        <is>
          <t>N₂ seco</t>
        </is>
      </c>
      <c r="E33" s="5" t="inlineStr">
        <is>
          <t>-</t>
        </is>
      </c>
      <c r="F33" s="5" t="inlineStr">
        <is>
          <t>BC Púrpura K (KHCO₃ 92 ± 5 %): 40B</t>
        </is>
      </c>
    </row>
    <row r="34">
      <c r="A34" s="5" t="inlineStr">
        <is>
          <t>FL_MAT_SALESK_6l</t>
        </is>
      </c>
      <c r="B34" s="5" t="inlineStr">
        <is>
          <t>Acetato de potasio (DEMSA Kitchen, 1,300 g/ml, pH 8,5)</t>
        </is>
      </c>
      <c r="C34" s="5" t="inlineStr">
        <is>
          <t>IRAM 3697</t>
        </is>
      </c>
      <c r="D34" s="5" t="inlineStr">
        <is>
          <t>N₂ seco</t>
        </is>
      </c>
      <c r="E34" s="5" t="inlineStr">
        <is>
          <t>1A-K</t>
        </is>
      </c>
      <c r="F34" s="5" t="inlineStr"/>
    </row>
    <row r="35">
      <c r="A35" s="5" t="inlineStr">
        <is>
          <t>FL_MAT_CO2_2kg</t>
        </is>
      </c>
      <c r="B35" s="5" t="inlineStr">
        <is>
          <t>CO₂ ≥ 99,5 %</t>
        </is>
      </c>
      <c r="C35" s="5" t="inlineStr">
        <is>
          <t>IRAM 41170</t>
        </is>
      </c>
      <c r="D35" s="5" t="inlineStr">
        <is>
          <t>autopresurizado</t>
        </is>
      </c>
      <c r="E35" s="5" t="inlineStr">
        <is>
          <t>-</t>
        </is>
      </c>
      <c r="F35" s="5" t="inlineStr"/>
    </row>
    <row r="36">
      <c r="A36" s="5" t="inlineStr">
        <is>
          <t>FL_MAT_CO2_5kg</t>
        </is>
      </c>
      <c r="B36" s="5" t="inlineStr">
        <is>
          <t>CO₂ ≥ 99,5 %</t>
        </is>
      </c>
      <c r="C36" s="5" t="inlineStr">
        <is>
          <t>IRAM 41170</t>
        </is>
      </c>
      <c r="D36" s="5" t="inlineStr">
        <is>
          <t>autopresurizado</t>
        </is>
      </c>
      <c r="E36" s="5" t="inlineStr">
        <is>
          <t>-</t>
        </is>
      </c>
      <c r="F36" s="5" t="inlineStr"/>
    </row>
    <row r="37">
      <c r="A37" s="5" t="inlineStr">
        <is>
          <t>FL_MAT_HCFC-HFC_5kg</t>
        </is>
      </c>
      <c r="B37" s="5" t="inlineStr">
        <is>
          <t>HCFC-123 (Mezcla B) &gt; 93 %</t>
        </is>
      </c>
      <c r="C37" s="5" t="inlineStr">
        <is>
          <t>IRAM 3526-1</t>
        </is>
      </c>
      <c r="D37" s="5" t="inlineStr">
        <is>
          <t>Argón</t>
        </is>
      </c>
      <c r="E37" s="5" t="inlineStr">
        <is>
          <t>-</t>
        </is>
      </c>
      <c r="F37" s="5" t="inlineStr"/>
    </row>
    <row r="38">
      <c r="A38" s="5" t="inlineStr">
        <is>
          <t>FL_MAT_CLASED_9l</t>
        </is>
      </c>
      <c r="B38" s="5" t="inlineStr">
        <is>
          <t>Clase D (NaCl &gt; 90 %)</t>
        </is>
      </c>
      <c r="C38" s="5" t="inlineStr">
        <is>
          <t>sin norma IRAM de agente (DEMSA ISO 9001)</t>
        </is>
      </c>
      <c r="D38" s="5" t="inlineStr">
        <is>
          <t>N₂ seco</t>
        </is>
      </c>
      <c r="E38" s="5" t="inlineStr">
        <is>
          <t>-</t>
        </is>
      </c>
      <c r="F38" s="5" t="inlineStr"/>
    </row>
    <row r="39">
      <c r="A39" s="5" t="inlineStr">
        <is>
          <t>FL_MAT_ABC_25kg</t>
        </is>
      </c>
      <c r="B39" s="5" t="inlineStr">
        <is>
          <t>ABC 90</t>
        </is>
      </c>
      <c r="C39" s="5" t="inlineStr">
        <is>
          <t>IRAM 3569</t>
        </is>
      </c>
      <c r="D39" s="5" t="inlineStr">
        <is>
          <t>N₂ seco</t>
        </is>
      </c>
      <c r="E39" s="5" t="inlineStr">
        <is>
          <t>-</t>
        </is>
      </c>
      <c r="F39" s="5" t="inlineStr"/>
    </row>
    <row r="40">
      <c r="A40" s="5" t="inlineStr">
        <is>
          <t>FL_MAT_ABC_50kg</t>
        </is>
      </c>
      <c r="B40" s="5" t="inlineStr">
        <is>
          <t>ABC 90</t>
        </is>
      </c>
      <c r="C40" s="5" t="inlineStr">
        <is>
          <t>IRAM 3569</t>
        </is>
      </c>
      <c r="D40" s="5" t="inlineStr">
        <is>
          <t>N₂ seco</t>
        </is>
      </c>
      <c r="E40" s="5" t="inlineStr">
        <is>
          <t>-</t>
        </is>
      </c>
      <c r="F40" s="5" t="inlineStr"/>
    </row>
    <row r="41">
      <c r="A41" s="5" t="inlineStr">
        <is>
          <t>FL_MAT_ABC_70kg</t>
        </is>
      </c>
      <c r="B41" s="5" t="inlineStr">
        <is>
          <t>ABC 90</t>
        </is>
      </c>
      <c r="C41" s="5" t="inlineStr">
        <is>
          <t>IRAM 3569</t>
        </is>
      </c>
      <c r="D41" s="5" t="inlineStr">
        <is>
          <t>N₂ seco</t>
        </is>
      </c>
      <c r="E41" s="5" t="inlineStr">
        <is>
          <t>-</t>
        </is>
      </c>
      <c r="F41" s="5" t="inlineStr"/>
    </row>
    <row r="42">
      <c r="A42" s="5" t="inlineStr">
        <is>
          <t>FL_MAT_ABC_100kg</t>
        </is>
      </c>
      <c r="B42" s="5" t="inlineStr">
        <is>
          <t>ABC 90</t>
        </is>
      </c>
      <c r="C42" s="5" t="inlineStr">
        <is>
          <t>IRAM 3569</t>
        </is>
      </c>
      <c r="D42" s="5" t="inlineStr">
        <is>
          <t>N₂ seco</t>
        </is>
      </c>
      <c r="E42" s="5" t="inlineStr">
        <is>
          <t>-</t>
        </is>
      </c>
      <c r="F42" s="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7" customWidth="1" min="9" max="9"/>
    <col width="7" customWidth="1" min="10" max="10"/>
    <col width="7" customWidth="1" min="11" max="11"/>
    <col width="10" customWidth="1" min="12" max="12"/>
    <col width="10"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2" customWidth="1" min="21" max="21"/>
    <col width="12" customWidth="1" min="22" max="22"/>
    <col width="52" customWidth="1" min="23" max="23"/>
  </cols>
  <sheetData>
    <row r="1">
      <c r="A1" s="11" t="inlineStr">
        <is>
          <t>Carga de agente y gas impulsor por extintor (fórmulas ligadas a Quimica_agentes) - la capacidad es la MASA de agente (IRAM 3523 2.2); el gas no es una concentración: es la masa que da Ps a 20 °C en el volumen libre</t>
        </is>
      </c>
    </row>
    <row r="2">
      <c r="A2" t="inlineStr">
        <is>
          <t>• Carga: nominal con la tolerancia de IRAM 3517-2:2020 tabla 3 / IRAM 3523 tabla II; si la tolerancia es sólo positiva se carga al centro de la banda.</t>
        </is>
      </c>
    </row>
    <row r="3">
      <c r="A3" t="inlineStr">
        <is>
          <t>• Gas: m = (Ps + 0,101 MPa) × V libre / (8,314 × 293,15 K) × M. Gas según IRAM 3517-2 tabla 2 y catálogo: N₂ seco en polvos, argón en HCFC, aire comprimido en agua, AFFF y acetato de potasio.</t>
        </is>
      </c>
    </row>
    <row r="4">
      <c r="A4" t="inlineStr">
        <is>
          <t>• Control: con la densidad MÍNIMA (polvo más liviano) el agente debe entrar y dejar el volumen libre mínimo; si no, el recipiente queda chico para esa formulación. La columna U es la densidad aparente mínima que hay que exigir en la orden de compra del polvo para que el recipiente del plano alcance; la V es el volumen que necesitaría el recipiente si se acepta el polvo más liviano.</t>
        </is>
      </c>
    </row>
    <row r="6" ht="45" customHeight="1">
      <c r="A6" s="4" t="inlineStr">
        <is>
          <t>Plano</t>
        </is>
      </c>
      <c r="B6" s="4" t="inlineStr">
        <is>
          <t>Clave agente</t>
        </is>
      </c>
      <c r="C6" s="4" t="inlineStr">
        <is>
          <t>Carga objetivo</t>
        </is>
      </c>
      <c r="D6" s="4" t="inlineStr">
        <is>
          <t>UM</t>
        </is>
      </c>
      <c r="E6" s="4" t="inlineStr">
        <is>
          <t>Tolerancia</t>
        </is>
      </c>
      <c r="F6" s="4" t="inlineStr">
        <is>
          <t>V recipiente (dm³)</t>
        </is>
      </c>
      <c r="G6" s="4" t="inlineStr">
        <is>
          <t>Ps (MPa)</t>
        </is>
      </c>
      <c r="H6" s="4" t="inlineStr">
        <is>
          <t>Gas</t>
        </is>
      </c>
      <c r="I6" s="4" t="inlineStr">
        <is>
          <t>ρ mín</t>
        </is>
      </c>
      <c r="J6" s="4" t="inlineStr">
        <is>
          <t>ρ típica</t>
        </is>
      </c>
      <c r="K6" s="4" t="inlineStr">
        <is>
          <t>ρ máx</t>
        </is>
      </c>
      <c r="L6" s="4" t="inlineStr">
        <is>
          <t>V agente con ρ típica (dm³)</t>
        </is>
      </c>
      <c r="M6" s="4" t="inlineStr">
        <is>
          <t>V libre con ρ típica (dm³)</t>
        </is>
      </c>
      <c r="N6" s="4" t="inlineStr">
        <is>
          <t>V libre (%) ρ típica</t>
        </is>
      </c>
      <c r="O6" s="4" t="inlineStr">
        <is>
          <t>V libre (%) ρ mín</t>
        </is>
      </c>
      <c r="P6" s="4" t="inlineStr">
        <is>
          <t>V libre (%) ρ máx</t>
        </is>
      </c>
      <c r="Q6" s="4" t="inlineStr">
        <is>
          <t>Gas (g) ρ típica</t>
        </is>
      </c>
      <c r="R6" s="4" t="inlineStr">
        <is>
          <t>Gas (g) ρ mín</t>
        </is>
      </c>
      <c r="S6" s="4" t="inlineStr">
        <is>
          <t>Gas (g) ρ máx</t>
        </is>
      </c>
      <c r="T6" s="4" t="inlineStr">
        <is>
          <t>Control con ρ mín</t>
        </is>
      </c>
      <c r="U6" s="4" t="inlineStr">
        <is>
          <t>ρ MÍNIMA EXIGIBLE al proveedor (kg/dm³)</t>
        </is>
      </c>
      <c r="V6" s="4" t="inlineStr">
        <is>
          <t>V recipiente necesario con ρ mín (dm³)</t>
        </is>
      </c>
      <c r="W6" s="4" t="inlineStr">
        <is>
          <t>Observaciones</t>
        </is>
      </c>
    </row>
    <row r="7">
      <c r="A7" s="5" t="inlineStr">
        <is>
          <t>FL_MAT_ABC_1kg</t>
        </is>
      </c>
      <c r="B7" s="5" t="inlineStr">
        <is>
          <t>ABC</t>
        </is>
      </c>
      <c r="C7" s="5" t="n">
        <v>1.05</v>
      </c>
      <c r="D7" s="5" t="inlineStr">
        <is>
          <t>kg</t>
        </is>
      </c>
      <c r="E7" s="5" t="inlineStr">
        <is>
          <t>0 / +100 g</t>
        </is>
      </c>
      <c r="F7" s="5" t="n">
        <v>1.18</v>
      </c>
      <c r="G7" s="5" t="n">
        <v>1.4</v>
      </c>
      <c r="H7" s="5" t="inlineStr">
        <is>
          <t>N₂</t>
        </is>
      </c>
      <c r="I7" s="5">
        <f>Quimica_agentes!$G$5*Quimica_agentes!$G$14</f>
        <v/>
      </c>
      <c r="J7" s="5">
        <f>Quimica_agentes!$H$5*Quimica_agentes!$G$14</f>
        <v/>
      </c>
      <c r="K7" s="5">
        <f>Quimica_agentes!$I$5*Quimica_agentes!$G$14</f>
        <v/>
      </c>
      <c r="L7" s="6">
        <f>C7/J7</f>
        <v/>
      </c>
      <c r="M7" s="6">
        <f>F7-L7</f>
        <v/>
      </c>
      <c r="N7" s="7">
        <f>M7/F7</f>
        <v/>
      </c>
      <c r="O7" s="7">
        <f>(F7-C7/I7)/F7</f>
        <v/>
      </c>
      <c r="P7" s="7">
        <f>(F7-C7/K7)/F7</f>
        <v/>
      </c>
      <c r="Q7" s="6">
        <f>(G7+0.101)*1000000*MAX(0,M7)/1000/(8.314*293.15)*Quimica_agentes!$J$5*1000</f>
        <v/>
      </c>
      <c r="R7" s="6">
        <f>(G7+0.101)*1000000*MAX(0,F7-C7/I7)/1000/(8.314*293.15)*Quimica_agentes!$J$5*1000</f>
        <v/>
      </c>
      <c r="S7" s="6">
        <f>(G7+0.101)*1000000*(F7-C7/K7)/1000/(8.314*293.15)*Quimica_agentes!$J$5*1000</f>
        <v/>
      </c>
      <c r="T7" s="5">
        <f>IF(O7&lt;0,"NO ENTRA",IF(O7&lt;Quimica_agentes!$G$13,"LIBRE INSUFICIENTE","OK"))</f>
        <v/>
      </c>
      <c r="U7" s="17">
        <f>C7/(F7*(1-Quimica_agentes!$G$13))/Quimica_agentes!$G$14</f>
        <v/>
      </c>
      <c r="V7" s="6">
        <f>C7/I7/(1-Quimica_agentes!$G$13)</f>
        <v/>
      </c>
      <c r="W7" s="5" t="n"/>
    </row>
    <row r="8">
      <c r="A8" s="5" t="inlineStr">
        <is>
          <t>FL_MAT_ABC_2.5kg</t>
        </is>
      </c>
      <c r="B8" s="5" t="inlineStr">
        <is>
          <t>ABC</t>
        </is>
      </c>
      <c r="C8" s="5" t="n">
        <v>2.55</v>
      </c>
      <c r="D8" s="5" t="inlineStr">
        <is>
          <t>kg</t>
        </is>
      </c>
      <c r="E8" s="5" t="inlineStr">
        <is>
          <t>0 / +100 g</t>
        </is>
      </c>
      <c r="F8" s="5" t="n">
        <v>3.5</v>
      </c>
      <c r="G8" s="5" t="n">
        <v>1.4</v>
      </c>
      <c r="H8" s="5" t="inlineStr">
        <is>
          <t>N₂</t>
        </is>
      </c>
      <c r="I8" s="5">
        <f>Quimica_agentes!$G$5*Quimica_agentes!$G$14</f>
        <v/>
      </c>
      <c r="J8" s="5">
        <f>Quimica_agentes!$H$5*Quimica_agentes!$G$14</f>
        <v/>
      </c>
      <c r="K8" s="5">
        <f>Quimica_agentes!$I$5*Quimica_agentes!$G$14</f>
        <v/>
      </c>
      <c r="L8" s="6">
        <f>C8/J8</f>
        <v/>
      </c>
      <c r="M8" s="6">
        <f>F8-L8</f>
        <v/>
      </c>
      <c r="N8" s="7">
        <f>M8/F8</f>
        <v/>
      </c>
      <c r="O8" s="7">
        <f>(F8-C8/I8)/F8</f>
        <v/>
      </c>
      <c r="P8" s="7">
        <f>(F8-C8/K8)/F8</f>
        <v/>
      </c>
      <c r="Q8" s="6">
        <f>(G8+0.101)*1000000*MAX(0,M8)/1000/(8.314*293.15)*Quimica_agentes!$J$5*1000</f>
        <v/>
      </c>
      <c r="R8" s="6">
        <f>(G8+0.101)*1000000*MAX(0,F8-C8/I8)/1000/(8.314*293.15)*Quimica_agentes!$J$5*1000</f>
        <v/>
      </c>
      <c r="S8" s="6">
        <f>(G8+0.101)*1000000*(F8-C8/K8)/1000/(8.314*293.15)*Quimica_agentes!$J$5*1000</f>
        <v/>
      </c>
      <c r="T8" s="5">
        <f>IF(O8&lt;0,"NO ENTRA",IF(O8&lt;Quimica_agentes!$G$13,"LIBRE INSUFICIENTE","OK"))</f>
        <v/>
      </c>
      <c r="U8" s="17">
        <f>C8/(F8*(1-Quimica_agentes!$G$13))/Quimica_agentes!$G$14</f>
        <v/>
      </c>
      <c r="V8" s="6">
        <f>C8/I8/(1-Quimica_agentes!$G$13)</f>
        <v/>
      </c>
      <c r="W8" s="5" t="n"/>
    </row>
    <row r="9">
      <c r="A9" s="5" t="inlineStr">
        <is>
          <t>FL_MAT_ABC_5kg</t>
        </is>
      </c>
      <c r="B9" s="5" t="inlineStr">
        <is>
          <t>ABC</t>
        </is>
      </c>
      <c r="C9" s="5" t="n">
        <v>5.15</v>
      </c>
      <c r="D9" s="5" t="inlineStr">
        <is>
          <t>kg</t>
        </is>
      </c>
      <c r="E9" s="5" t="inlineStr">
        <is>
          <t>0 / +300 g</t>
        </is>
      </c>
      <c r="F9" s="5" t="n">
        <v>6</v>
      </c>
      <c r="G9" s="5" t="n">
        <v>1.4</v>
      </c>
      <c r="H9" s="5" t="inlineStr">
        <is>
          <t>N₂</t>
        </is>
      </c>
      <c r="I9" s="5">
        <f>Quimica_agentes!$G$5*Quimica_agentes!$G$14</f>
        <v/>
      </c>
      <c r="J9" s="5">
        <f>Quimica_agentes!$H$5*Quimica_agentes!$G$14</f>
        <v/>
      </c>
      <c r="K9" s="5">
        <f>Quimica_agentes!$I$5*Quimica_agentes!$G$14</f>
        <v/>
      </c>
      <c r="L9" s="6">
        <f>C9/J9</f>
        <v/>
      </c>
      <c r="M9" s="6">
        <f>F9-L9</f>
        <v/>
      </c>
      <c r="N9" s="7">
        <f>M9/F9</f>
        <v/>
      </c>
      <c r="O9" s="7">
        <f>(F9-C9/I9)/F9</f>
        <v/>
      </c>
      <c r="P9" s="7">
        <f>(F9-C9/K9)/F9</f>
        <v/>
      </c>
      <c r="Q9" s="6">
        <f>(G9+0.101)*1000000*MAX(0,M9)/1000/(8.314*293.15)*Quimica_agentes!$J$5*1000</f>
        <v/>
      </c>
      <c r="R9" s="6">
        <f>(G9+0.101)*1000000*MAX(0,F9-C9/I9)/1000/(8.314*293.15)*Quimica_agentes!$J$5*1000</f>
        <v/>
      </c>
      <c r="S9" s="6">
        <f>(G9+0.101)*1000000*(F9-C9/K9)/1000/(8.314*293.15)*Quimica_agentes!$J$5*1000</f>
        <v/>
      </c>
      <c r="T9" s="5">
        <f>IF(O9&lt;0,"NO ENTRA",IF(O9&lt;Quimica_agentes!$G$13,"LIBRE INSUFICIENTE","OK"))</f>
        <v/>
      </c>
      <c r="U9" s="17">
        <f>C9/(F9*(1-Quimica_agentes!$G$13))/Quimica_agentes!$G$14</f>
        <v/>
      </c>
      <c r="V9" s="6">
        <f>C9/I9/(1-Quimica_agentes!$G$13)</f>
        <v/>
      </c>
      <c r="W9" s="5" t="n"/>
    </row>
    <row r="10">
      <c r="A10" s="5" t="inlineStr">
        <is>
          <t>FL_MAT_ABC_10kg</t>
        </is>
      </c>
      <c r="B10" s="5" t="inlineStr">
        <is>
          <t>ABC</t>
        </is>
      </c>
      <c r="C10" s="5" t="n">
        <v>10.15</v>
      </c>
      <c r="D10" s="5" t="inlineStr">
        <is>
          <t>kg</t>
        </is>
      </c>
      <c r="E10" s="5" t="inlineStr">
        <is>
          <t>0 / +300 g</t>
        </is>
      </c>
      <c r="F10" s="5" t="n">
        <v>12.5</v>
      </c>
      <c r="G10" s="5" t="n">
        <v>1.4</v>
      </c>
      <c r="H10" s="5" t="inlineStr">
        <is>
          <t>N₂</t>
        </is>
      </c>
      <c r="I10" s="5">
        <f>Quimica_agentes!$G$5*Quimica_agentes!$G$14</f>
        <v/>
      </c>
      <c r="J10" s="5">
        <f>Quimica_agentes!$H$5*Quimica_agentes!$G$14</f>
        <v/>
      </c>
      <c r="K10" s="5">
        <f>Quimica_agentes!$I$5*Quimica_agentes!$G$14</f>
        <v/>
      </c>
      <c r="L10" s="6">
        <f>C10/J10</f>
        <v/>
      </c>
      <c r="M10" s="6">
        <f>F10-L10</f>
        <v/>
      </c>
      <c r="N10" s="7">
        <f>M10/F10</f>
        <v/>
      </c>
      <c r="O10" s="7">
        <f>(F10-C10/I10)/F10</f>
        <v/>
      </c>
      <c r="P10" s="7">
        <f>(F10-C10/K10)/F10</f>
        <v/>
      </c>
      <c r="Q10" s="6">
        <f>(G10+0.101)*1000000*MAX(0,M10)/1000/(8.314*293.15)*Quimica_agentes!$J$5*1000</f>
        <v/>
      </c>
      <c r="R10" s="6">
        <f>(G10+0.101)*1000000*MAX(0,F10-C10/I10)/1000/(8.314*293.15)*Quimica_agentes!$J$5*1000</f>
        <v/>
      </c>
      <c r="S10" s="6">
        <f>(G10+0.101)*1000000*(F10-C10/K10)/1000/(8.314*293.15)*Quimica_agentes!$J$5*1000</f>
        <v/>
      </c>
      <c r="T10" s="5">
        <f>IF(O10&lt;0,"NO ENTRA",IF(O10&lt;Quimica_agentes!$G$13,"LIBRE INSUFICIENTE","OK"))</f>
        <v/>
      </c>
      <c r="U10" s="17">
        <f>C10/(F10*(1-Quimica_agentes!$G$13))/Quimica_agentes!$G$14</f>
        <v/>
      </c>
      <c r="V10" s="6">
        <f>C10/I10/(1-Quimica_agentes!$G$13)</f>
        <v/>
      </c>
      <c r="W10" s="5" t="n"/>
    </row>
    <row r="11">
      <c r="A11" s="5" t="inlineStr">
        <is>
          <t>FL_MAT_AGUA_10l</t>
        </is>
      </c>
      <c r="B11" s="5" t="inlineStr">
        <is>
          <t>AGUA</t>
        </is>
      </c>
      <c r="C11" s="5" t="n">
        <v>10</v>
      </c>
      <c r="D11" s="5" t="inlineStr">
        <is>
          <t>L</t>
        </is>
      </c>
      <c r="E11" s="5" t="inlineStr">
        <is>
          <t>± 3 %</t>
        </is>
      </c>
      <c r="F11" s="5" t="n">
        <v>13.98</v>
      </c>
      <c r="G11" s="5" t="n">
        <v>0.8</v>
      </c>
      <c r="H11" s="5" t="inlineStr">
        <is>
          <t>Aire comprimido</t>
        </is>
      </c>
      <c r="I11" s="5">
        <f>Quimica_agentes!$G$9*1</f>
        <v/>
      </c>
      <c r="J11" s="5">
        <f>Quimica_agentes!$H$9*1</f>
        <v/>
      </c>
      <c r="K11" s="5">
        <f>Quimica_agentes!$I$9*1</f>
        <v/>
      </c>
      <c r="L11" s="6">
        <f>C11</f>
        <v/>
      </c>
      <c r="M11" s="6">
        <f>F11-L11</f>
        <v/>
      </c>
      <c r="N11" s="7">
        <f>M11/F11</f>
        <v/>
      </c>
      <c r="O11" s="7">
        <f>(F11-C11)/F11</f>
        <v/>
      </c>
      <c r="P11" s="7">
        <f>(F11-C11)/F11</f>
        <v/>
      </c>
      <c r="Q11" s="6">
        <f>(G11+0.101)*1000000*MAX(0,M11)/1000/(8.314*293.15)*Quimica_agentes!$J$9*1000</f>
        <v/>
      </c>
      <c r="R11" s="6">
        <f>(G11+0.101)*1000000*MAX(0,F11-C11)/1000/(8.314*293.15)*Quimica_agentes!$J$9*1000</f>
        <v/>
      </c>
      <c r="S11" s="6">
        <f>(G11+0.101)*1000000*(F11-C11)/1000/(8.314*293.15)*Quimica_agentes!$J$9*1000</f>
        <v/>
      </c>
      <c r="T11" s="5">
        <f>IF(O11&lt;0,"NO ENTRA",IF(O11&lt;Quimica_agentes!$G$13,"LIBRE INSUFICIENTE","OK"))</f>
        <v/>
      </c>
      <c r="U11" s="6" t="n"/>
      <c r="V11" s="6" t="n"/>
      <c r="W11" s="5" t="n"/>
    </row>
    <row r="12">
      <c r="A12" s="5" t="inlineStr">
        <is>
          <t>FL_MAT_AFFF_10l</t>
        </is>
      </c>
      <c r="B12" s="5" t="inlineStr">
        <is>
          <t>AFFF</t>
        </is>
      </c>
      <c r="C12" s="5" t="n">
        <v>10</v>
      </c>
      <c r="D12" s="5" t="inlineStr">
        <is>
          <t>L</t>
        </is>
      </c>
      <c r="E12" s="5" t="inlineStr">
        <is>
          <t>± 3 %</t>
        </is>
      </c>
      <c r="F12" s="5" t="n">
        <v>13.98</v>
      </c>
      <c r="G12" s="5" t="n">
        <v>0.8</v>
      </c>
      <c r="H12" s="5" t="inlineStr">
        <is>
          <t>Aire comprimido</t>
        </is>
      </c>
      <c r="I12" s="5">
        <f>Quimica_agentes!$G$10*1</f>
        <v/>
      </c>
      <c r="J12" s="5">
        <f>Quimica_agentes!$H$10*1</f>
        <v/>
      </c>
      <c r="K12" s="5">
        <f>Quimica_agentes!$I$10*1</f>
        <v/>
      </c>
      <c r="L12" s="6">
        <f>C12</f>
        <v/>
      </c>
      <c r="M12" s="6">
        <f>F12-L12</f>
        <v/>
      </c>
      <c r="N12" s="7">
        <f>M12/F12</f>
        <v/>
      </c>
      <c r="O12" s="7">
        <f>(F12-C12)/F12</f>
        <v/>
      </c>
      <c r="P12" s="7">
        <f>(F12-C12)/F12</f>
        <v/>
      </c>
      <c r="Q12" s="6">
        <f>(G12+0.101)*1000000*MAX(0,M12)/1000/(8.314*293.15)*Quimica_agentes!$J$10*1000</f>
        <v/>
      </c>
      <c r="R12" s="6">
        <f>(G12+0.101)*1000000*MAX(0,F12-C12)/1000/(8.314*293.15)*Quimica_agentes!$J$10*1000</f>
        <v/>
      </c>
      <c r="S12" s="6">
        <f>(G12+0.101)*1000000*(F12-C12)/1000/(8.314*293.15)*Quimica_agentes!$J$10*1000</f>
        <v/>
      </c>
      <c r="T12" s="5">
        <f>IF(O12&lt;0,"NO ENTRA",IF(O12&lt;Quimica_agentes!$G$13,"LIBRE INSUFICIENTE","OK"))</f>
        <v/>
      </c>
      <c r="U12" s="6" t="n"/>
      <c r="V12" s="6" t="n"/>
      <c r="W12" s="5" t="n"/>
    </row>
    <row r="13">
      <c r="A13" s="5" t="inlineStr">
        <is>
          <t>FL_MAT_AFFF_50l</t>
        </is>
      </c>
      <c r="B13" s="5" t="inlineStr">
        <is>
          <t>AFFF</t>
        </is>
      </c>
      <c r="C13" s="5" t="n">
        <v>50</v>
      </c>
      <c r="D13" s="5" t="inlineStr">
        <is>
          <t>L</t>
        </is>
      </c>
      <c r="E13" s="5" t="inlineStr">
        <is>
          <t>± 3 %</t>
        </is>
      </c>
      <c r="F13" s="5" t="n">
        <v>61.8</v>
      </c>
      <c r="G13" s="5" t="n">
        <v>0.8</v>
      </c>
      <c r="H13" s="5" t="inlineStr">
        <is>
          <t>Aire comprimido</t>
        </is>
      </c>
      <c r="I13" s="5">
        <f>Quimica_agentes!$G$10*1</f>
        <v/>
      </c>
      <c r="J13" s="5">
        <f>Quimica_agentes!$H$10*1</f>
        <v/>
      </c>
      <c r="K13" s="5">
        <f>Quimica_agentes!$I$10*1</f>
        <v/>
      </c>
      <c r="L13" s="6">
        <f>C13</f>
        <v/>
      </c>
      <c r="M13" s="6">
        <f>F13-L13</f>
        <v/>
      </c>
      <c r="N13" s="7">
        <f>M13/F13</f>
        <v/>
      </c>
      <c r="O13" s="7">
        <f>(F13-C13)/F13</f>
        <v/>
      </c>
      <c r="P13" s="7">
        <f>(F13-C13)/F13</f>
        <v/>
      </c>
      <c r="Q13" s="6">
        <f>(G13+0.101)*1000000*MAX(0,M13)/1000/(8.314*293.15)*Quimica_agentes!$J$10*1000</f>
        <v/>
      </c>
      <c r="R13" s="6">
        <f>(G13+0.101)*1000000*MAX(0,F13-C13)/1000/(8.314*293.15)*Quimica_agentes!$J$10*1000</f>
        <v/>
      </c>
      <c r="S13" s="6">
        <f>(G13+0.101)*1000000*(F13-C13)/1000/(8.314*293.15)*Quimica_agentes!$J$10*1000</f>
        <v/>
      </c>
      <c r="T13" s="5">
        <f>IF(O13&lt;0,"NO ENTRA",IF(O13&lt;Quimica_agentes!$G$13,"LIBRE INSUFICIENTE","OK"))</f>
        <v/>
      </c>
      <c r="U13" s="6" t="n"/>
      <c r="V13" s="6" t="n"/>
      <c r="W13" s="5" t="n"/>
    </row>
    <row r="14">
      <c r="A14" s="5" t="inlineStr">
        <is>
          <t>FL_MAT_BC_5kg</t>
        </is>
      </c>
      <c r="B14" s="5" t="inlineStr">
        <is>
          <t>BC</t>
        </is>
      </c>
      <c r="C14" s="5" t="n">
        <v>5.15</v>
      </c>
      <c r="D14" s="5" t="inlineStr">
        <is>
          <t>kg</t>
        </is>
      </c>
      <c r="E14" s="5" t="inlineStr">
        <is>
          <t>0 / +300 g</t>
        </is>
      </c>
      <c r="F14" s="5" t="n">
        <v>6</v>
      </c>
      <c r="G14" s="5" t="n">
        <v>1.4</v>
      </c>
      <c r="H14" s="5" t="inlineStr">
        <is>
          <t>N₂</t>
        </is>
      </c>
      <c r="I14" s="5">
        <f>Quimica_agentes!$G$6*Quimica_agentes!$G$14</f>
        <v/>
      </c>
      <c r="J14" s="5">
        <f>Quimica_agentes!$H$6*Quimica_agentes!$G$14</f>
        <v/>
      </c>
      <c r="K14" s="5">
        <f>Quimica_agentes!$I$6*Quimica_agentes!$G$14</f>
        <v/>
      </c>
      <c r="L14" s="6">
        <f>C14/J14</f>
        <v/>
      </c>
      <c r="M14" s="6">
        <f>F14-L14</f>
        <v/>
      </c>
      <c r="N14" s="7">
        <f>M14/F14</f>
        <v/>
      </c>
      <c r="O14" s="7">
        <f>(F14-C14/I14)/F14</f>
        <v/>
      </c>
      <c r="P14" s="7">
        <f>(F14-C14/K14)/F14</f>
        <v/>
      </c>
      <c r="Q14" s="6">
        <f>(G14+0.101)*1000000*MAX(0,M14)/1000/(8.314*293.15)*Quimica_agentes!$J$6*1000</f>
        <v/>
      </c>
      <c r="R14" s="6">
        <f>(G14+0.101)*1000000*MAX(0,F14-C14/I14)/1000/(8.314*293.15)*Quimica_agentes!$J$6*1000</f>
        <v/>
      </c>
      <c r="S14" s="6">
        <f>(G14+0.101)*1000000*(F14-C14/K14)/1000/(8.314*293.15)*Quimica_agentes!$J$6*1000</f>
        <v/>
      </c>
      <c r="T14" s="5">
        <f>IF(O14&lt;0,"NO ENTRA",IF(O14&lt;Quimica_agentes!$G$13,"LIBRE INSUFICIENTE","OK"))</f>
        <v/>
      </c>
      <c r="U14" s="17">
        <f>C14/(F14*(1-Quimica_agentes!$G$13))/Quimica_agentes!$G$14</f>
        <v/>
      </c>
      <c r="V14" s="6">
        <f>C14/I14/(1-Quimica_agentes!$G$13)</f>
        <v/>
      </c>
      <c r="W14" s="5" t="n"/>
    </row>
    <row r="15">
      <c r="A15" s="5" t="inlineStr">
        <is>
          <t>FL_MAT_SALESK_6l</t>
        </is>
      </c>
      <c r="B15" s="5" t="inlineStr">
        <is>
          <t>K</t>
        </is>
      </c>
      <c r="C15" s="5" t="n">
        <v>6.09</v>
      </c>
      <c r="D15" s="5" t="inlineStr">
        <is>
          <t>L</t>
        </is>
      </c>
      <c r="E15" s="5" t="inlineStr">
        <is>
          <t>0 / +3 %</t>
        </is>
      </c>
      <c r="F15" s="5" t="n">
        <v>8.960000000000001</v>
      </c>
      <c r="G15" s="5" t="n">
        <v>0.8</v>
      </c>
      <c r="H15" s="5" t="inlineStr">
        <is>
          <t>N₂</t>
        </is>
      </c>
      <c r="I15" s="5">
        <f>Quimica_agentes!$G$11*1</f>
        <v/>
      </c>
      <c r="J15" s="5">
        <f>Quimica_agentes!$H$11*1</f>
        <v/>
      </c>
      <c r="K15" s="5">
        <f>Quimica_agentes!$I$11*1</f>
        <v/>
      </c>
      <c r="L15" s="6">
        <f>C15</f>
        <v/>
      </c>
      <c r="M15" s="6">
        <f>F15-L15</f>
        <v/>
      </c>
      <c r="N15" s="7">
        <f>M15/F15</f>
        <v/>
      </c>
      <c r="O15" s="7">
        <f>(F15-C15)/F15</f>
        <v/>
      </c>
      <c r="P15" s="7">
        <f>(F15-C15)/F15</f>
        <v/>
      </c>
      <c r="Q15" s="6">
        <f>(G15+0.101)*1000000*MAX(0,M15)/1000/(8.314*293.15)*Quimica_agentes!$J$11*1000</f>
        <v/>
      </c>
      <c r="R15" s="6">
        <f>(G15+0.101)*1000000*MAX(0,F15-C15)/1000/(8.314*293.15)*Quimica_agentes!$J$11*1000</f>
        <v/>
      </c>
      <c r="S15" s="6">
        <f>(G15+0.101)*1000000*(F15-C15)/1000/(8.314*293.15)*Quimica_agentes!$J$11*1000</f>
        <v/>
      </c>
      <c r="T15" s="5">
        <f>IF(O15&lt;0,"NO ENTRA",IF(O15&lt;Quimica_agentes!$G$13,"LIBRE INSUFICIENTE","OK"))</f>
        <v/>
      </c>
      <c r="U15" s="6" t="n"/>
      <c r="V15" s="6" t="n"/>
      <c r="W15" s="5" t="n"/>
    </row>
    <row r="16">
      <c r="A16" s="5" t="inlineStr">
        <is>
          <t>FL_MAT_CO2_2kg</t>
        </is>
      </c>
      <c r="B16" s="5" t="inlineStr">
        <is>
          <t>CO2</t>
        </is>
      </c>
      <c r="C16" s="5" t="n">
        <v>2</v>
      </c>
      <c r="D16" s="5" t="inlineStr">
        <is>
          <t>kg</t>
        </is>
      </c>
      <c r="E16" s="5" t="inlineStr">
        <is>
          <t>0 / -5 %</t>
        </is>
      </c>
      <c r="F16" s="5" t="n">
        <v>2.96</v>
      </c>
      <c r="G16" s="5" t="n">
        <v>15</v>
      </c>
      <c r="H16" s="5" t="inlineStr">
        <is>
          <t>- (autopresurizado)</t>
        </is>
      </c>
      <c r="I16" s="5" t="n"/>
      <c r="J16" s="5" t="n"/>
      <c r="K16" s="5" t="n"/>
      <c r="L16" s="6" t="n"/>
      <c r="M16" s="6" t="n"/>
      <c r="N16" s="7" t="n"/>
      <c r="O16" s="7" t="n"/>
      <c r="P16" s="7" t="n"/>
      <c r="Q16" s="6" t="n"/>
      <c r="R16" s="6" t="n"/>
      <c r="S16" s="6" t="n"/>
      <c r="T16" s="5" t="n"/>
      <c r="U16" s="6" t="n"/>
      <c r="V16" s="6" t="n"/>
      <c r="W16" s="5" t="inlineStr">
        <is>
          <t>Grado de llenado 0,676 kg/dm³ (máx. 0,75 kg/dm³, R: IRAM 2533 / ADR P200)</t>
        </is>
      </c>
    </row>
    <row r="17">
      <c r="A17" s="5" t="inlineStr">
        <is>
          <t>FL_MAT_CO2_5kg</t>
        </is>
      </c>
      <c r="B17" s="5" t="inlineStr">
        <is>
          <t>CO2</t>
        </is>
      </c>
      <c r="C17" s="5" t="n">
        <v>5</v>
      </c>
      <c r="D17" s="5" t="inlineStr">
        <is>
          <t>kg</t>
        </is>
      </c>
      <c r="E17" s="5" t="inlineStr">
        <is>
          <t>0 / -5 %</t>
        </is>
      </c>
      <c r="F17" s="5" t="n">
        <v>7.92</v>
      </c>
      <c r="G17" s="5" t="n">
        <v>15</v>
      </c>
      <c r="H17" s="5" t="inlineStr">
        <is>
          <t>- (autopresurizado)</t>
        </is>
      </c>
      <c r="I17" s="5" t="n"/>
      <c r="J17" s="5" t="n"/>
      <c r="K17" s="5" t="n"/>
      <c r="L17" s="6" t="n"/>
      <c r="M17" s="6" t="n"/>
      <c r="N17" s="7" t="n"/>
      <c r="O17" s="7" t="n"/>
      <c r="P17" s="7" t="n"/>
      <c r="Q17" s="6" t="n"/>
      <c r="R17" s="6" t="n"/>
      <c r="S17" s="6" t="n"/>
      <c r="T17" s="5" t="n"/>
      <c r="U17" s="6" t="n"/>
      <c r="V17" s="6" t="n"/>
      <c r="W17" s="5" t="inlineStr">
        <is>
          <t>Grado de llenado 0,631 kg/dm³ (máx. 0,75 kg/dm³, R: IRAM 2533 / ADR P200)</t>
        </is>
      </c>
    </row>
    <row r="18">
      <c r="A18" s="5" t="inlineStr">
        <is>
          <t>FL_MAT_HCFC-HFC_5kg</t>
        </is>
      </c>
      <c r="B18" s="5" t="inlineStr">
        <is>
          <t>HCFC</t>
        </is>
      </c>
      <c r="C18" s="5" t="n">
        <v>5</v>
      </c>
      <c r="D18" s="5" t="inlineStr">
        <is>
          <t>kg</t>
        </is>
      </c>
      <c r="E18" s="5" t="inlineStr">
        <is>
          <t>0 / -3 %</t>
        </is>
      </c>
      <c r="F18" s="5" t="n">
        <v>6</v>
      </c>
      <c r="G18" s="5" t="n">
        <v>0.8</v>
      </c>
      <c r="H18" s="5" t="inlineStr">
        <is>
          <t>Argón</t>
        </is>
      </c>
      <c r="I18" s="5">
        <f>Quimica_agentes!$G$8*1</f>
        <v/>
      </c>
      <c r="J18" s="5">
        <f>Quimica_agentes!$H$8*1</f>
        <v/>
      </c>
      <c r="K18" s="5">
        <f>Quimica_agentes!$I$8*1</f>
        <v/>
      </c>
      <c r="L18" s="6">
        <f>C18/J18</f>
        <v/>
      </c>
      <c r="M18" s="6">
        <f>F18-L18</f>
        <v/>
      </c>
      <c r="N18" s="7">
        <f>M18/F18</f>
        <v/>
      </c>
      <c r="O18" s="7">
        <f>(F18-C18/I18)/F18</f>
        <v/>
      </c>
      <c r="P18" s="7">
        <f>(F18-C18/K18)/F18</f>
        <v/>
      </c>
      <c r="Q18" s="6">
        <f>(G18+0.101)*1000000*MAX(0,M18)/1000/(8.314*293.15)*Quimica_agentes!$J$8*1000</f>
        <v/>
      </c>
      <c r="R18" s="6">
        <f>(G18+0.101)*1000000*MAX(0,F18-C18/I18)/1000/(8.314*293.15)*Quimica_agentes!$J$8*1000</f>
        <v/>
      </c>
      <c r="S18" s="6">
        <f>(G18+0.101)*1000000*(F18-C18/K18)/1000/(8.314*293.15)*Quimica_agentes!$J$8*1000</f>
        <v/>
      </c>
      <c r="T18" s="5">
        <f>IF(O18&lt;0,"NO ENTRA",IF(O18&lt;Quimica_agentes!$G$13,"LIBRE INSUFICIENTE","OK"))</f>
        <v/>
      </c>
      <c r="U18" s="6" t="n"/>
      <c r="V18" s="6" t="n"/>
      <c r="W18" s="5" t="n"/>
    </row>
    <row r="19">
      <c r="A19" s="5" t="inlineStr">
        <is>
          <t>FL_MAT_CLASED_9l</t>
        </is>
      </c>
      <c r="B19" s="5" t="inlineStr">
        <is>
          <t>D</t>
        </is>
      </c>
      <c r="C19" s="5" t="n">
        <v>9.15</v>
      </c>
      <c r="D19" s="5" t="inlineStr">
        <is>
          <t>kg</t>
        </is>
      </c>
      <c r="E19" s="5" t="inlineStr">
        <is>
          <t>0 / +300 g</t>
        </is>
      </c>
      <c r="F19" s="5" t="n">
        <v>12.5</v>
      </c>
      <c r="G19" s="5" t="n">
        <v>1.4</v>
      </c>
      <c r="H19" s="5" t="inlineStr">
        <is>
          <t>N₂</t>
        </is>
      </c>
      <c r="I19" s="5">
        <f>Quimica_agentes!$G$7*Quimica_agentes!$G$14</f>
        <v/>
      </c>
      <c r="J19" s="5">
        <f>Quimica_agentes!$H$7*Quimica_agentes!$G$14</f>
        <v/>
      </c>
      <c r="K19" s="5">
        <f>Quimica_agentes!$I$7*Quimica_agentes!$G$14</f>
        <v/>
      </c>
      <c r="L19" s="6">
        <f>C19/J19</f>
        <v/>
      </c>
      <c r="M19" s="6">
        <f>F19-L19</f>
        <v/>
      </c>
      <c r="N19" s="7">
        <f>M19/F19</f>
        <v/>
      </c>
      <c r="O19" s="7">
        <f>(F19-C19/I19)/F19</f>
        <v/>
      </c>
      <c r="P19" s="7">
        <f>(F19-C19/K19)/F19</f>
        <v/>
      </c>
      <c r="Q19" s="6">
        <f>(G19+0.101)*1000000*MAX(0,M19)/1000/(8.314*293.15)*Quimica_agentes!$J$7*1000</f>
        <v/>
      </c>
      <c r="R19" s="6">
        <f>(G19+0.101)*1000000*MAX(0,F19-C19/I19)/1000/(8.314*293.15)*Quimica_agentes!$J$7*1000</f>
        <v/>
      </c>
      <c r="S19" s="6">
        <f>(G19+0.101)*1000000*(F19-C19/K19)/1000/(8.314*293.15)*Quimica_agentes!$J$7*1000</f>
        <v/>
      </c>
      <c r="T19" s="5">
        <f>IF(O19&lt;0,"NO ENTRA",IF(O19&lt;Quimica_agentes!$G$13,"LIBRE INSUFICIENTE","OK"))</f>
        <v/>
      </c>
      <c r="U19" s="17">
        <f>C19/(F19*(1-Quimica_agentes!$G$13))/Quimica_agentes!$G$14</f>
        <v/>
      </c>
      <c r="V19" s="6">
        <f>C19/I19/(1-Quimica_agentes!$G$13)</f>
        <v/>
      </c>
      <c r="W19" s="5" t="inlineStr">
        <is>
          <t>Capacidad en dm³ en el catálogo; IRAM 3523 la define en kg: definir 9 o 10 kg</t>
        </is>
      </c>
    </row>
    <row r="20">
      <c r="A20" s="5" t="inlineStr">
        <is>
          <t>FL_MAT_ABC_25kg</t>
        </is>
      </c>
      <c r="B20" s="5" t="inlineStr">
        <is>
          <t>ABC</t>
        </is>
      </c>
      <c r="C20" s="5" t="n">
        <v>25</v>
      </c>
      <c r="D20" s="5" t="inlineStr">
        <is>
          <t>kg</t>
        </is>
      </c>
      <c r="E20" s="5" t="inlineStr">
        <is>
          <t>± 3 %</t>
        </is>
      </c>
      <c r="F20" s="5" t="n">
        <v>34.4</v>
      </c>
      <c r="G20" s="5" t="n">
        <v>1.4</v>
      </c>
      <c r="H20" s="5" t="inlineStr">
        <is>
          <t>N₂</t>
        </is>
      </c>
      <c r="I20" s="5">
        <f>Quimica_agentes!$G$5*Quimica_agentes!$G$14</f>
        <v/>
      </c>
      <c r="J20" s="5">
        <f>Quimica_agentes!$H$5*Quimica_agentes!$G$14</f>
        <v/>
      </c>
      <c r="K20" s="5">
        <f>Quimica_agentes!$I$5*Quimica_agentes!$G$14</f>
        <v/>
      </c>
      <c r="L20" s="6">
        <f>C20/J20</f>
        <v/>
      </c>
      <c r="M20" s="6">
        <f>F20-L20</f>
        <v/>
      </c>
      <c r="N20" s="7">
        <f>M20/F20</f>
        <v/>
      </c>
      <c r="O20" s="7">
        <f>(F20-C20/I20)/F20</f>
        <v/>
      </c>
      <c r="P20" s="7">
        <f>(F20-C20/K20)/F20</f>
        <v/>
      </c>
      <c r="Q20" s="6">
        <f>(G20+0.101)*1000000*MAX(0,M20)/1000/(8.314*293.15)*Quimica_agentes!$J$5*1000</f>
        <v/>
      </c>
      <c r="R20" s="6">
        <f>(G20+0.101)*1000000*MAX(0,F20-C20/I20)/1000/(8.314*293.15)*Quimica_agentes!$J$5*1000</f>
        <v/>
      </c>
      <c r="S20" s="6">
        <f>(G20+0.101)*1000000*(F20-C20/K20)/1000/(8.314*293.15)*Quimica_agentes!$J$5*1000</f>
        <v/>
      </c>
      <c r="T20" s="5">
        <f>IF(O20&lt;0,"NO ENTRA",IF(O20&lt;Quimica_agentes!$G$13,"LIBRE INSUFICIENTE","OK"))</f>
        <v/>
      </c>
      <c r="U20" s="17">
        <f>C20/(F20*(1-Quimica_agentes!$G$13))/Quimica_agentes!$G$14</f>
        <v/>
      </c>
      <c r="V20" s="6">
        <f>C20/I20/(1-Quimica_agentes!$G$13)</f>
        <v/>
      </c>
      <c r="W20" s="5" t="n"/>
    </row>
    <row r="21">
      <c r="A21" s="5" t="inlineStr">
        <is>
          <t>FL_MAT_ABC_50kg</t>
        </is>
      </c>
      <c r="B21" s="5" t="inlineStr">
        <is>
          <t>ABC</t>
        </is>
      </c>
      <c r="C21" s="5" t="n">
        <v>50</v>
      </c>
      <c r="D21" s="5" t="inlineStr">
        <is>
          <t>kg</t>
        </is>
      </c>
      <c r="E21" s="5" t="inlineStr">
        <is>
          <t>± 3 %</t>
        </is>
      </c>
      <c r="F21" s="5" t="n">
        <v>61.8</v>
      </c>
      <c r="G21" s="5" t="n">
        <v>1.4</v>
      </c>
      <c r="H21" s="5" t="inlineStr">
        <is>
          <t>N₂</t>
        </is>
      </c>
      <c r="I21" s="5">
        <f>Quimica_agentes!$G$5*Quimica_agentes!$G$14</f>
        <v/>
      </c>
      <c r="J21" s="5">
        <f>Quimica_agentes!$H$5*Quimica_agentes!$G$14</f>
        <v/>
      </c>
      <c r="K21" s="5">
        <f>Quimica_agentes!$I$5*Quimica_agentes!$G$14</f>
        <v/>
      </c>
      <c r="L21" s="6">
        <f>C21/J21</f>
        <v/>
      </c>
      <c r="M21" s="6">
        <f>F21-L21</f>
        <v/>
      </c>
      <c r="N21" s="7">
        <f>M21/F21</f>
        <v/>
      </c>
      <c r="O21" s="7">
        <f>(F21-C21/I21)/F21</f>
        <v/>
      </c>
      <c r="P21" s="7">
        <f>(F21-C21/K21)/F21</f>
        <v/>
      </c>
      <c r="Q21" s="6">
        <f>(G21+0.101)*1000000*MAX(0,M21)/1000/(8.314*293.15)*Quimica_agentes!$J$5*1000</f>
        <v/>
      </c>
      <c r="R21" s="6">
        <f>(G21+0.101)*1000000*MAX(0,F21-C21/I21)/1000/(8.314*293.15)*Quimica_agentes!$J$5*1000</f>
        <v/>
      </c>
      <c r="S21" s="6">
        <f>(G21+0.101)*1000000*(F21-C21/K21)/1000/(8.314*293.15)*Quimica_agentes!$J$5*1000</f>
        <v/>
      </c>
      <c r="T21" s="5">
        <f>IF(O21&lt;0,"NO ENTRA",IF(O21&lt;Quimica_agentes!$G$13,"LIBRE INSUFICIENTE","OK"))</f>
        <v/>
      </c>
      <c r="U21" s="17">
        <f>C21/(F21*(1-Quimica_agentes!$G$13))/Quimica_agentes!$G$14</f>
        <v/>
      </c>
      <c r="V21" s="6">
        <f>C21/I21/(1-Quimica_agentes!$G$13)</f>
        <v/>
      </c>
      <c r="W21" s="5" t="n"/>
    </row>
    <row r="22">
      <c r="A22" s="5" t="inlineStr">
        <is>
          <t>FL_MAT_ABC_70kg</t>
        </is>
      </c>
      <c r="B22" s="5" t="inlineStr">
        <is>
          <t>ABC</t>
        </is>
      </c>
      <c r="C22" s="5" t="n">
        <v>70</v>
      </c>
      <c r="D22" s="5" t="inlineStr">
        <is>
          <t>kg</t>
        </is>
      </c>
      <c r="E22" s="5" t="inlineStr">
        <is>
          <t>± 3 %</t>
        </is>
      </c>
      <c r="F22" s="5" t="n">
        <v>86</v>
      </c>
      <c r="G22" s="5" t="n">
        <v>1.4</v>
      </c>
      <c r="H22" s="5" t="inlineStr">
        <is>
          <t>N₂</t>
        </is>
      </c>
      <c r="I22" s="5">
        <f>Quimica_agentes!$G$5*Quimica_agentes!$G$14</f>
        <v/>
      </c>
      <c r="J22" s="5">
        <f>Quimica_agentes!$H$5*Quimica_agentes!$G$14</f>
        <v/>
      </c>
      <c r="K22" s="5">
        <f>Quimica_agentes!$I$5*Quimica_agentes!$G$14</f>
        <v/>
      </c>
      <c r="L22" s="6">
        <f>C22/J22</f>
        <v/>
      </c>
      <c r="M22" s="6">
        <f>F22-L22</f>
        <v/>
      </c>
      <c r="N22" s="7">
        <f>M22/F22</f>
        <v/>
      </c>
      <c r="O22" s="7">
        <f>(F22-C22/I22)/F22</f>
        <v/>
      </c>
      <c r="P22" s="7">
        <f>(F22-C22/K22)/F22</f>
        <v/>
      </c>
      <c r="Q22" s="6">
        <f>(G22+0.101)*1000000*MAX(0,M22)/1000/(8.314*293.15)*Quimica_agentes!$J$5*1000</f>
        <v/>
      </c>
      <c r="R22" s="6">
        <f>(G22+0.101)*1000000*MAX(0,F22-C22/I22)/1000/(8.314*293.15)*Quimica_agentes!$J$5*1000</f>
        <v/>
      </c>
      <c r="S22" s="6">
        <f>(G22+0.101)*1000000*(F22-C22/K22)/1000/(8.314*293.15)*Quimica_agentes!$J$5*1000</f>
        <v/>
      </c>
      <c r="T22" s="5">
        <f>IF(O22&lt;0,"NO ENTRA",IF(O22&lt;Quimica_agentes!$G$13,"LIBRE INSUFICIENTE","OK"))</f>
        <v/>
      </c>
      <c r="U22" s="17">
        <f>C22/(F22*(1-Quimica_agentes!$G$13))/Quimica_agentes!$G$14</f>
        <v/>
      </c>
      <c r="V22" s="6">
        <f>C22/I22/(1-Quimica_agentes!$G$13)</f>
        <v/>
      </c>
      <c r="W22" s="5" t="n"/>
    </row>
    <row r="23">
      <c r="A23" s="5" t="inlineStr">
        <is>
          <t>FL_MAT_ABC_100kg</t>
        </is>
      </c>
      <c r="B23" s="5" t="inlineStr">
        <is>
          <t>ABC</t>
        </is>
      </c>
      <c r="C23" s="5" t="n">
        <v>100</v>
      </c>
      <c r="D23" s="5" t="inlineStr">
        <is>
          <t>kg</t>
        </is>
      </c>
      <c r="E23" s="5" t="inlineStr">
        <is>
          <t>± 3 %</t>
        </is>
      </c>
      <c r="F23" s="5" t="n">
        <v>123</v>
      </c>
      <c r="G23" s="5" t="n">
        <v>1.4</v>
      </c>
      <c r="H23" s="5" t="inlineStr">
        <is>
          <t>N₂</t>
        </is>
      </c>
      <c r="I23" s="5">
        <f>Quimica_agentes!$G$5*Quimica_agentes!$G$14</f>
        <v/>
      </c>
      <c r="J23" s="5">
        <f>Quimica_agentes!$H$5*Quimica_agentes!$G$14</f>
        <v/>
      </c>
      <c r="K23" s="5">
        <f>Quimica_agentes!$I$5*Quimica_agentes!$G$14</f>
        <v/>
      </c>
      <c r="L23" s="6">
        <f>C23/J23</f>
        <v/>
      </c>
      <c r="M23" s="6">
        <f>F23-L23</f>
        <v/>
      </c>
      <c r="N23" s="7">
        <f>M23/F23</f>
        <v/>
      </c>
      <c r="O23" s="7">
        <f>(F23-C23/I23)/F23</f>
        <v/>
      </c>
      <c r="P23" s="7">
        <f>(F23-C23/K23)/F23</f>
        <v/>
      </c>
      <c r="Q23" s="6">
        <f>(G23+0.101)*1000000*MAX(0,M23)/1000/(8.314*293.15)*Quimica_agentes!$J$5*1000</f>
        <v/>
      </c>
      <c r="R23" s="6">
        <f>(G23+0.101)*1000000*MAX(0,F23-C23/I23)/1000/(8.314*293.15)*Quimica_agentes!$J$5*1000</f>
        <v/>
      </c>
      <c r="S23" s="6">
        <f>(G23+0.101)*1000000*(F23-C23/K23)/1000/(8.314*293.15)*Quimica_agentes!$J$5*1000</f>
        <v/>
      </c>
      <c r="T23" s="5">
        <f>IF(O23&lt;0,"NO ENTRA",IF(O23&lt;Quimica_agentes!$G$13,"LIBRE INSUFICIENTE","OK"))</f>
        <v/>
      </c>
      <c r="U23" s="17">
        <f>C23/(F23*(1-Quimica_agentes!$G$13))/Quimica_agentes!$G$14</f>
        <v/>
      </c>
      <c r="V23" s="6">
        <f>C23/I23/(1-Quimica_agentes!$G$13)</f>
        <v/>
      </c>
      <c r="W23" s="5" t="n"/>
    </row>
  </sheetData>
  <conditionalFormatting sqref="T7:T23">
    <cfRule type="cellIs" priority="1" operator="notEqual" dxfId="0">
      <formula>"OK"</formula>
    </cfRule>
  </conditionalFormatting>
  <pageMargins left="0.75" right="0.75" top="1" bottom="1" header="0.5" footer="0.5"/>
</worksheet>
</file>

<file path=xl/worksheets/sheet5.xml><?xml version="1.0" encoding="utf-8"?>
<worksheet xmlns="http://schemas.openxmlformats.org/spreadsheetml/2006/main">
  <sheetPr>
    <outlinePr summaryBelow="0" summaryRight="1"/>
    <pageSetUpPr/>
  </sheetPr>
  <dimension ref="A1:P8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18" t="inlineStr">
        <is>
          <t>Producto</t>
        </is>
      </c>
      <c r="B1" s="18" t="inlineStr">
        <is>
          <t>Nivel</t>
        </is>
      </c>
      <c r="C1" s="18" t="inlineStr">
        <is>
          <t>Código</t>
        </is>
      </c>
      <c r="D1" s="18" t="inlineStr">
        <is>
          <t>Descripción</t>
        </is>
      </c>
      <c r="E1" s="18" t="inlineStr">
        <is>
          <t>Cant.</t>
        </is>
      </c>
      <c r="F1" s="18" t="inlineStr">
        <is>
          <t>UM</t>
        </is>
      </c>
      <c r="G1" s="18" t="inlineStr">
        <is>
          <t>Peso unit. (kg/UM)</t>
        </is>
      </c>
      <c r="H1" s="18" t="inlineStr">
        <is>
          <t>Peso total (kg)</t>
        </is>
      </c>
      <c r="I1" s="18" t="inlineStr">
        <is>
          <t>Material</t>
        </is>
      </c>
      <c r="J1" s="18" t="inlineStr">
        <is>
          <t>Medida (mm)</t>
        </is>
      </c>
      <c r="K1" s="18" t="inlineStr">
        <is>
          <t>Origen</t>
        </is>
      </c>
      <c r="L1" s="18" t="inlineStr">
        <is>
          <t>Operación / puesto (layout FLAMA)</t>
        </is>
      </c>
      <c r="M1" s="18" t="inlineStr">
        <is>
          <t>Norma / referencia</t>
        </is>
      </c>
      <c r="N1" s="18" t="inlineStr">
        <is>
          <t>Fte.</t>
        </is>
      </c>
      <c r="O1" s="18" t="inlineStr">
        <is>
          <t>Plano</t>
        </is>
      </c>
      <c r="P1" s="18" t="inlineStr">
        <is>
          <t>Observaciones</t>
        </is>
      </c>
    </row>
    <row r="2">
      <c r="A2" s="19" t="inlineStr">
        <is>
          <t>FL_MAT_ABC_1kg</t>
        </is>
      </c>
      <c r="B2" s="19" t="n">
        <v>0</v>
      </c>
      <c r="C2" s="19" t="inlineStr">
        <is>
          <t>FL_MAT_ABC_1kg</t>
        </is>
      </c>
      <c r="D2" s="20" t="inlineStr">
        <is>
          <t>Extintor ABC 1 kg</t>
        </is>
      </c>
      <c r="E2" s="19" t="n">
        <v>1</v>
      </c>
      <c r="F2" s="19" t="inlineStr">
        <is>
          <t>u</t>
        </is>
      </c>
      <c r="G2" s="21" t="n"/>
      <c r="H2" s="21" t="n"/>
      <c r="I2" s="19" t="n"/>
      <c r="J2" s="20" t="n"/>
      <c r="K2" s="19" t="n"/>
      <c r="L2" s="20" t="n"/>
      <c r="M2" s="20" t="inlineStr">
        <is>
          <t>IRAM 3523</t>
        </is>
      </c>
      <c r="N2" s="19" t="inlineStr">
        <is>
          <t>P</t>
        </is>
      </c>
      <c r="O2" s="19" t="inlineStr">
        <is>
          <t>FL_MAT_ABC_1kg</t>
        </is>
      </c>
      <c r="P2" s="20" t="inlineStr">
        <is>
          <t>Fabricación propia</t>
        </is>
      </c>
    </row>
    <row r="3">
      <c r="A3" s="22" t="inlineStr">
        <is>
          <t>FL_MAT_ABC_1kg</t>
        </is>
      </c>
      <c r="B3" s="22" t="n">
        <v>1</v>
      </c>
      <c r="C3" s="22" t="inlineStr">
        <is>
          <t>FL_REC_ABC_1kg</t>
        </is>
      </c>
      <c r="D3" s="23" t="inlineStr">
        <is>
          <t xml:space="preserve">    Recipiente (cilindro)</t>
        </is>
      </c>
      <c r="E3" s="22" t="n">
        <v>1</v>
      </c>
      <c r="F3" s="22" t="inlineStr">
        <is>
          <t>u</t>
        </is>
      </c>
      <c r="G3" s="24" t="n"/>
      <c r="H3" s="24">
        <f>H4+H6+H8+H10+H12+H15</f>
        <v/>
      </c>
      <c r="I3" s="22" t="n"/>
      <c r="J3" s="23" t="n"/>
      <c r="K3" s="22" t="inlineStr">
        <is>
          <t>Fabricación</t>
        </is>
      </c>
      <c r="L3" s="23" t="n"/>
      <c r="M3" s="23" t="inlineStr">
        <is>
          <t>IRAM 3523 / 3550 (recipiente)</t>
        </is>
      </c>
      <c r="N3" s="22" t="inlineStr">
        <is>
          <t>P</t>
        </is>
      </c>
      <c r="O3" s="22" t="inlineStr">
        <is>
          <t>FL_REC_ABC_1kg</t>
        </is>
      </c>
      <c r="P3" s="23" t="n"/>
    </row>
    <row r="4">
      <c r="A4" s="25" t="inlineStr">
        <is>
          <t>FL_MAT_ABC_1kg</t>
        </is>
      </c>
      <c r="B4" s="25" t="n">
        <v>2</v>
      </c>
      <c r="C4" s="25" t="inlineStr">
        <is>
          <t>ABC1-01</t>
        </is>
      </c>
      <c r="D4" s="12" t="inlineStr">
        <is>
          <t xml:space="preserve">        Cuerpo (virola)</t>
        </is>
      </c>
      <c r="E4" s="25" t="n">
        <v>1</v>
      </c>
      <c r="F4" s="25" t="inlineStr">
        <is>
          <t>u</t>
        </is>
      </c>
      <c r="G4" s="26" t="n">
        <v>0.5817</v>
      </c>
      <c r="H4" s="26">
        <f>E4*G4</f>
        <v/>
      </c>
      <c r="I4" s="25" t="inlineStr">
        <is>
          <t>Chapa acero SAE 1010 e=1,25</t>
        </is>
      </c>
      <c r="J4" s="12" t="inlineStr">
        <is>
          <t>Ø76,2 × e1,25 × 251,8 de alto; desarrollo 235,5 × 251,8</t>
        </is>
      </c>
      <c r="K4" s="25" t="inlineStr">
        <is>
          <t>Fabricación</t>
        </is>
      </c>
      <c r="L4" s="12" t="inlineStr">
        <is>
          <t>5 Corte láser de caño (M15/M16) -&gt; 9 encastre</t>
        </is>
      </c>
      <c r="M4" s="12" t="n"/>
      <c r="N4" s="25" t="inlineStr">
        <is>
          <t>P</t>
        </is>
      </c>
      <c r="O4" s="25" t="inlineStr">
        <is>
          <t>FL_DES_ABC_1kg</t>
        </is>
      </c>
      <c r="P4" s="12" t="inlineStr">
        <is>
          <t>costura long. MIG</t>
        </is>
      </c>
    </row>
    <row r="5">
      <c r="A5" s="27" t="inlineStr">
        <is>
          <t>FL_MAT_ABC_1kg</t>
        </is>
      </c>
      <c r="B5" s="27" t="n">
        <v>3</v>
      </c>
      <c r="C5" s="27" t="inlineStr">
        <is>
          <t>MP-CANO</t>
        </is>
      </c>
      <c r="D5" s="28" t="inlineStr">
        <is>
          <t xml:space="preserve">            Caño Ø76,2 × 1,25 (tramo de barra de 6 m)</t>
        </is>
      </c>
      <c r="E5" s="27" t="n">
        <v>0.0435</v>
      </c>
      <c r="F5" s="27" t="inlineStr">
        <is>
          <t>barra</t>
        </is>
      </c>
      <c r="G5" s="29" t="n">
        <v>13.686</v>
      </c>
      <c r="H5" s="29">
        <f>E5*G5</f>
        <v/>
      </c>
      <c r="I5" s="27" t="inlineStr">
        <is>
          <t>Caño acero SAE 1010 con costura</t>
        </is>
      </c>
      <c r="J5" s="28" t="inlineStr">
        <is>
          <t>255 mm por cuerpo; 23 cuerpos por barra (kg por barra)</t>
        </is>
      </c>
      <c r="K5" s="27" t="inlineStr">
        <is>
          <t>Compra (Metalprisa)</t>
        </is>
      </c>
      <c r="L5" s="28" t="inlineStr">
        <is>
          <t>AL-1T cantiléver</t>
        </is>
      </c>
      <c r="M5" s="28" t="n"/>
      <c r="N5" s="27" t="inlineStr">
        <is>
          <t>L</t>
        </is>
      </c>
      <c r="O5" s="27" t="inlineStr">
        <is>
          <t>FL_PI_04 h2</t>
        </is>
      </c>
      <c r="P5" s="28" t="n"/>
    </row>
    <row r="6">
      <c r="A6" s="25" t="inlineStr">
        <is>
          <t>FL_MAT_ABC_1kg</t>
        </is>
      </c>
      <c r="B6" s="25" t="n">
        <v>2</v>
      </c>
      <c r="C6" s="25" t="inlineStr">
        <is>
          <t>ABC1-02</t>
        </is>
      </c>
      <c r="D6" s="12" t="inlineStr">
        <is>
          <t xml:space="preserve">        Cúpula</t>
        </is>
      </c>
      <c r="E6" s="25" t="n">
        <v>1</v>
      </c>
      <c r="F6" s="25" t="inlineStr">
        <is>
          <t>u</t>
        </is>
      </c>
      <c r="G6" s="26" t="n">
        <v>0.0309</v>
      </c>
      <c r="H6" s="26">
        <f>E6*G6</f>
        <v/>
      </c>
      <c r="I6" s="25" t="inlineStr">
        <is>
          <t>Chapa acero SAE 1010 e=0,9</t>
        </is>
      </c>
      <c r="J6" s="12" t="inlineStr">
        <is>
          <t>Ø76,2 × e0,9 × 11,7 de alto; disco Ø108</t>
        </is>
      </c>
      <c r="K6" s="25" t="inlineStr">
        <is>
          <t>Fabricación</t>
        </is>
      </c>
      <c r="L6" s="12" t="inlineStr">
        <is>
          <t>6 Desbobinado + embutido (M06-M08)</t>
        </is>
      </c>
      <c r="M6" s="12" t="n"/>
      <c r="N6" s="25" t="inlineStr">
        <is>
          <t>P</t>
        </is>
      </c>
      <c r="O6" s="25" t="inlineStr">
        <is>
          <t>FL_DES_ABC_1kg</t>
        </is>
      </c>
      <c r="P6" s="12" t="inlineStr">
        <is>
          <t>embutida</t>
        </is>
      </c>
    </row>
    <row r="7">
      <c r="A7" s="27" t="inlineStr">
        <is>
          <t>FL_MAT_ABC_1kg</t>
        </is>
      </c>
      <c r="B7" s="27" t="n">
        <v>3</v>
      </c>
      <c r="C7" s="27" t="inlineStr">
        <is>
          <t>MP-FLEJE</t>
        </is>
      </c>
      <c r="D7" s="28" t="inlineStr">
        <is>
          <t xml:space="preserve">            Fleje e=0,9 × 114 (paso 111)</t>
        </is>
      </c>
      <c r="E7" s="27" t="n">
        <v>0.111</v>
      </c>
      <c r="F7" s="27" t="inlineStr">
        <is>
          <t>m</t>
        </is>
      </c>
      <c r="G7" s="29" t="n">
        <v>0.805</v>
      </c>
      <c r="H7" s="29">
        <f>E7*G7</f>
        <v/>
      </c>
      <c r="I7" s="27" t="inlineStr">
        <is>
          <t>Fleje SAE 1010</t>
        </is>
      </c>
      <c r="J7" s="28" t="inlineStr">
        <is>
          <t>disco Ø108 (kg por m de fleje)</t>
        </is>
      </c>
      <c r="K7" s="27" t="inlineStr">
        <is>
          <t>Compra (Pacheco / Pradecon)</t>
        </is>
      </c>
      <c r="L7" s="28" t="inlineStr">
        <is>
          <t>AL-1F porta-flejes</t>
        </is>
      </c>
      <c r="M7" s="28" t="n"/>
      <c r="N7" s="27" t="inlineStr">
        <is>
          <t>L</t>
        </is>
      </c>
      <c r="O7" s="27" t="inlineStr">
        <is>
          <t>FL_PI_04 h2</t>
        </is>
      </c>
      <c r="P7" s="28" t="n"/>
    </row>
    <row r="8">
      <c r="A8" s="25" t="inlineStr">
        <is>
          <t>FL_MAT_ABC_1kg</t>
        </is>
      </c>
      <c r="B8" s="25" t="n">
        <v>2</v>
      </c>
      <c r="C8" s="25" t="inlineStr">
        <is>
          <t>ABC1-03</t>
        </is>
      </c>
      <c r="D8" s="12" t="inlineStr">
        <is>
          <t xml:space="preserve">        Fondo</t>
        </is>
      </c>
      <c r="E8" s="25" t="n">
        <v>1</v>
      </c>
      <c r="F8" s="25" t="inlineStr">
        <is>
          <t>u</t>
        </is>
      </c>
      <c r="G8" s="26" t="n">
        <v>0.0622</v>
      </c>
      <c r="H8" s="26">
        <f>E8*G8</f>
        <v/>
      </c>
      <c r="I8" s="25" t="inlineStr">
        <is>
          <t>Chapa acero SAE 1010 e=1,25</t>
        </is>
      </c>
      <c r="J8" s="12" t="inlineStr">
        <is>
          <t>Ø76,2 × e1,25 × 22 de alto; disco Ø100</t>
        </is>
      </c>
      <c r="K8" s="25" t="inlineStr">
        <is>
          <t>Fabricación</t>
        </is>
      </c>
      <c r="L8" s="12" t="inlineStr">
        <is>
          <t>6 Desbobinado + embutido (M06-M08)</t>
        </is>
      </c>
      <c r="M8" s="12" t="n"/>
      <c r="N8" s="25" t="inlineStr">
        <is>
          <t>P</t>
        </is>
      </c>
      <c r="O8" s="25" t="inlineStr">
        <is>
          <t>FL_DES_ABC_1kg</t>
        </is>
      </c>
      <c r="P8" s="12" t="inlineStr">
        <is>
          <t>embutido</t>
        </is>
      </c>
    </row>
    <row r="9">
      <c r="A9" s="27" t="inlineStr">
        <is>
          <t>FL_MAT_ABC_1kg</t>
        </is>
      </c>
      <c r="B9" s="27" t="n">
        <v>3</v>
      </c>
      <c r="C9" s="27" t="inlineStr">
        <is>
          <t>MP-FLEJE</t>
        </is>
      </c>
      <c r="D9" s="28" t="inlineStr">
        <is>
          <t xml:space="preserve">            Fleje e=0,9 × 106 (paso 103)</t>
        </is>
      </c>
      <c r="E9" s="27" t="n">
        <v>0.103</v>
      </c>
      <c r="F9" s="27" t="inlineStr">
        <is>
          <t>m</t>
        </is>
      </c>
      <c r="G9" s="29" t="n">
        <v>0.749</v>
      </c>
      <c r="H9" s="29">
        <f>E9*G9</f>
        <v/>
      </c>
      <c r="I9" s="27" t="inlineStr">
        <is>
          <t>Fleje SAE 1010</t>
        </is>
      </c>
      <c r="J9" s="28" t="inlineStr">
        <is>
          <t>disco Ø100 (kg por m de fleje)</t>
        </is>
      </c>
      <c r="K9" s="27" t="inlineStr">
        <is>
          <t>Compra (Pacheco / Pradecon)</t>
        </is>
      </c>
      <c r="L9" s="28" t="inlineStr">
        <is>
          <t>AL-1F porta-flejes</t>
        </is>
      </c>
      <c r="M9" s="28" t="n"/>
      <c r="N9" s="27" t="inlineStr">
        <is>
          <t>L</t>
        </is>
      </c>
      <c r="O9" s="27" t="inlineStr">
        <is>
          <t>FL_PI_04 h2</t>
        </is>
      </c>
      <c r="P9" s="28" t="inlineStr">
        <is>
          <t>OJO: el fleje es e=0,9 y el plano e=1,25</t>
        </is>
      </c>
    </row>
    <row r="10">
      <c r="A10" s="25" t="inlineStr">
        <is>
          <t>FL_MAT_ABC_1kg</t>
        </is>
      </c>
      <c r="B10" s="25" t="n">
        <v>2</v>
      </c>
      <c r="C10" s="25" t="inlineStr">
        <is>
          <t>ABC1-04</t>
        </is>
      </c>
      <c r="D10" s="12" t="inlineStr">
        <is>
          <t xml:space="preserve">        Cuello roscado</t>
        </is>
      </c>
      <c r="E10" s="25" t="n">
        <v>1</v>
      </c>
      <c r="F10" s="25" t="inlineStr">
        <is>
          <t>u</t>
        </is>
      </c>
      <c r="G10" s="26" t="n">
        <v>0.0359</v>
      </c>
      <c r="H10" s="26">
        <f>E10*G10</f>
        <v/>
      </c>
      <c r="I10" s="25" t="inlineStr">
        <is>
          <t>Acero SAE 1010</t>
        </is>
      </c>
      <c r="J10" s="12" t="inlineStr">
        <is>
          <t>Ø29 × 12,5 de alto, rosca M22x1,5, asiento Ø26</t>
        </is>
      </c>
      <c r="K10" s="25" t="inlineStr">
        <is>
          <t>Fabricación</t>
        </is>
      </c>
      <c r="L10" s="12" t="inlineStr">
        <is>
          <t>7 Preparación de cuello -&gt; 8 soldadura de cuello</t>
        </is>
      </c>
      <c r="M10" s="12" t="n"/>
      <c r="N10" s="25" t="inlineStr">
        <is>
          <t>P</t>
        </is>
      </c>
      <c r="O10" s="25" t="inlineStr">
        <is>
          <t>FL_DES_ABC_1kg</t>
        </is>
      </c>
      <c r="P10" s="12" t="inlineStr">
        <is>
          <t>M22x1,5</t>
        </is>
      </c>
    </row>
    <row r="11">
      <c r="A11" s="27" t="inlineStr">
        <is>
          <t>FL_MAT_ABC_1kg</t>
        </is>
      </c>
      <c r="B11" s="27" t="n">
        <v>3</v>
      </c>
      <c r="C11" s="27" t="inlineStr">
        <is>
          <t>MP-CUELLO</t>
        </is>
      </c>
      <c r="D11" s="28" t="inlineStr">
        <is>
          <t xml:space="preserve">            Cuello roscado mecanizado (pieza comprada lista para soldar)</t>
        </is>
      </c>
      <c r="E11" s="27" t="n">
        <v>1</v>
      </c>
      <c r="F11" s="27" t="inlineStr">
        <is>
          <t>u</t>
        </is>
      </c>
      <c r="G11" s="29" t="n">
        <v>0.036</v>
      </c>
      <c r="H11" s="29">
        <f>E11*G11</f>
        <v/>
      </c>
      <c r="I11" s="27" t="inlineStr">
        <is>
          <t>Acero SAE 1010 / 1020</t>
        </is>
      </c>
      <c r="J11" s="28" t="inlineStr">
        <is>
          <t>rosca M22x1,5</t>
        </is>
      </c>
      <c r="K11" s="27" t="inlineStr">
        <is>
          <t>Compra (Eli-Met)</t>
        </is>
      </c>
      <c r="L11" s="28" t="inlineStr">
        <is>
          <t>AL-1C cuellos y roscas</t>
        </is>
      </c>
      <c r="M11" s="28" t="n"/>
      <c r="N11" s="27" t="inlineStr">
        <is>
          <t>L</t>
        </is>
      </c>
      <c r="O11" s="27" t="n"/>
      <c r="P11" s="28" t="n"/>
    </row>
    <row r="12">
      <c r="A12" s="25" t="inlineStr">
        <is>
          <t>FL_MAT_ABC_1kg</t>
        </is>
      </c>
      <c r="B12" s="25" t="n">
        <v>2</v>
      </c>
      <c r="C12" s="25" t="inlineStr">
        <is>
          <t>ABC1-C1</t>
        </is>
      </c>
      <c r="D12" s="12" t="inlineStr">
        <is>
          <t xml:space="preserve">        Aporte de soldadura: Alambre MAG ER70S-6 Ø0,9/1,2</t>
        </is>
      </c>
      <c r="E12" s="25" t="n">
        <v>0.0215</v>
      </c>
      <c r="F12" s="25" t="inlineStr">
        <is>
          <t>kg</t>
        </is>
      </c>
      <c r="G12" s="26" t="n">
        <v>0.92</v>
      </c>
      <c r="H12" s="26">
        <f>E12*G12</f>
        <v/>
      </c>
      <c r="I12" s="25" t="inlineStr">
        <is>
          <t>Alambre MAG ER70S-6 Ø0,9/1,2</t>
        </is>
      </c>
      <c r="J12" s="12" t="inlineStr">
        <is>
          <t>cordones del plano: 20 g depositados (rend. 92 %)</t>
        </is>
      </c>
      <c r="K12" s="25" t="inlineStr">
        <is>
          <t>Compra</t>
        </is>
      </c>
      <c r="L12" s="12" t="inlineStr">
        <is>
          <t>4 sold. long. / 8 cuello / 11 circunferencial</t>
        </is>
      </c>
      <c r="M12" s="12" t="inlineStr">
        <is>
          <t>ISO 4063 131 / 141</t>
        </is>
      </c>
      <c r="N12" s="25" t="inlineStr">
        <is>
          <t>P</t>
        </is>
      </c>
      <c r="O12" s="25" t="n"/>
      <c r="P12" s="12" t="n"/>
    </row>
    <row r="13">
      <c r="A13" s="25" t="inlineStr">
        <is>
          <t>FL_MAT_ABC_1kg</t>
        </is>
      </c>
      <c r="B13" s="25" t="n">
        <v>2</v>
      </c>
      <c r="C13" s="25" t="inlineStr">
        <is>
          <t>ABC1-C2</t>
        </is>
      </c>
      <c r="D13" s="12" t="inlineStr">
        <is>
          <t xml:space="preserve">        Gas de protección: Arcal 21 (Ar + 18 % CO₂)</t>
        </is>
      </c>
      <c r="E13" s="25" t="n">
        <v>9.699999999999999</v>
      </c>
      <c r="F13" s="25" t="inlineStr">
        <is>
          <t>L</t>
        </is>
      </c>
      <c r="G13" s="26" t="n"/>
      <c r="H13" s="26" t="n"/>
      <c r="I13" s="25" t="inlineStr">
        <is>
          <t>Arcal 21 (Ar + 18 % CO₂)</t>
        </is>
      </c>
      <c r="J13" s="12" t="inlineStr">
        <is>
          <t>0,6 min de arco × 15 L/min</t>
        </is>
      </c>
      <c r="K13" s="25" t="inlineStr">
        <is>
          <t>Compra</t>
        </is>
      </c>
      <c r="L13" s="12" t="inlineStr">
        <is>
          <t>Colector SC</t>
        </is>
      </c>
      <c r="M13" s="12" t="n"/>
      <c r="N13" s="25" t="inlineStr">
        <is>
          <t>R</t>
        </is>
      </c>
      <c r="O13" s="25" t="n"/>
      <c r="P13" s="12" t="n"/>
    </row>
    <row r="14">
      <c r="A14" s="25" t="inlineStr">
        <is>
          <t>FL_MAT_ABC_1kg</t>
        </is>
      </c>
      <c r="B14" s="25" t="n">
        <v>2</v>
      </c>
      <c r="C14" s="25" t="inlineStr">
        <is>
          <t>ABC1-C3</t>
        </is>
      </c>
      <c r="D14" s="12" t="inlineStr">
        <is>
          <t xml:space="preserve">        Granalla de acero (consumo)</t>
        </is>
      </c>
      <c r="E14" s="25" t="n">
        <v>0.006</v>
      </c>
      <c r="F14" s="25" t="inlineStr">
        <is>
          <t>kg</t>
        </is>
      </c>
      <c r="G14" s="26" t="n"/>
      <c r="H14" s="26" t="n"/>
      <c r="I14" s="25" t="inlineStr">
        <is>
          <t>Granalla S-230</t>
        </is>
      </c>
      <c r="J14" s="12" t="inlineStr">
        <is>
          <t>0,07 m² a Sa 2½</t>
        </is>
      </c>
      <c r="K14" s="25" t="inlineStr">
        <is>
          <t>Compra</t>
        </is>
      </c>
      <c r="L14" s="12" t="inlineStr">
        <is>
          <t>14 Granallado (B08)</t>
        </is>
      </c>
      <c r="M14" s="12" t="inlineStr">
        <is>
          <t>ISO 8501-1</t>
        </is>
      </c>
      <c r="N14" s="25" t="inlineStr">
        <is>
          <t>R</t>
        </is>
      </c>
      <c r="O14" s="25" t="n"/>
      <c r="P14" s="12" t="n"/>
    </row>
    <row r="15">
      <c r="A15" s="25" t="inlineStr">
        <is>
          <t>FL_MAT_ABC_1kg</t>
        </is>
      </c>
      <c r="B15" s="25" t="n">
        <v>2</v>
      </c>
      <c r="C15" s="25" t="inlineStr">
        <is>
          <t>ABC1-C4</t>
        </is>
      </c>
      <c r="D15" s="12" t="inlineStr">
        <is>
          <t xml:space="preserve">        Pintura en polvo poliéster rojo</t>
        </is>
      </c>
      <c r="E15" s="25" t="n">
        <v>0.013</v>
      </c>
      <c r="F15" s="25" t="inlineStr">
        <is>
          <t>kg</t>
        </is>
      </c>
      <c r="G15" s="26" t="n">
        <v>0.65</v>
      </c>
      <c r="H15" s="26">
        <f>E15*G15</f>
        <v/>
      </c>
      <c r="I15" s="25" t="inlineStr">
        <is>
          <t>Poliéster rojo 03-1-050</t>
        </is>
      </c>
      <c r="J15" s="12" t="inlineStr">
        <is>
          <t>0,07 m² × 80 µm (60-100 µm), rendimiento 65 %</t>
        </is>
      </c>
      <c r="K15" s="25" t="inlineStr">
        <is>
          <t>Compra</t>
        </is>
      </c>
      <c r="L15" s="12" t="inlineStr">
        <is>
          <t>17 Pintura (S-P) / tercerizada en carros</t>
        </is>
      </c>
      <c r="M15" s="12" t="inlineStr">
        <is>
          <t>DOC-01 · IRAM 3517-2 9.10</t>
        </is>
      </c>
      <c r="N15" s="25" t="inlineStr">
        <is>
          <t>R</t>
        </is>
      </c>
      <c r="O15" s="25" t="n"/>
      <c r="P15" s="12" t="n"/>
    </row>
    <row r="16">
      <c r="A16" s="22" t="inlineStr">
        <is>
          <t>FL_MAT_ABC_1kg</t>
        </is>
      </c>
      <c r="B16" s="22" t="n">
        <v>1</v>
      </c>
      <c r="C16" s="22" t="inlineStr">
        <is>
          <t>ABC1-S2</t>
        </is>
      </c>
      <c r="D16" s="23" t="inlineStr">
        <is>
          <t xml:space="preserve">    Conjunto de válvula</t>
        </is>
      </c>
      <c r="E16" s="22" t="n">
        <v>1</v>
      </c>
      <c r="F16" s="22" t="inlineStr">
        <is>
          <t>u</t>
        </is>
      </c>
      <c r="G16" s="24" t="n"/>
      <c r="H16" s="24">
        <f>H17+H18+H19+H20+H21+H22+H23+H24+H25+H26+H27+H28+H29</f>
        <v/>
      </c>
      <c r="I16" s="22" t="n"/>
      <c r="J16" s="23" t="n"/>
      <c r="K16" s="22" t="inlineStr">
        <is>
          <t>Compra / armado</t>
        </is>
      </c>
      <c r="L16" s="23" t="n"/>
      <c r="M16" s="23" t="inlineStr">
        <is>
          <t>Manómetro IRAM 3533</t>
        </is>
      </c>
      <c r="N16" s="22" t="inlineStr">
        <is>
          <t>P</t>
        </is>
      </c>
      <c r="O16" s="22" t="inlineStr">
        <is>
          <t>FL_DES_ABC_1kg</t>
        </is>
      </c>
      <c r="P16" s="23" t="n"/>
    </row>
    <row r="17">
      <c r="A17" s="25" t="inlineStr">
        <is>
          <t>FL_MAT_ABC_1kg</t>
        </is>
      </c>
      <c r="B17" s="25" t="n">
        <v>2</v>
      </c>
      <c r="C17" s="25" t="inlineStr">
        <is>
          <t>ABC1-05</t>
        </is>
      </c>
      <c r="D17" s="12" t="inlineStr">
        <is>
          <t xml:space="preserve">        Collarín de válvula</t>
        </is>
      </c>
      <c r="E17" s="25" t="n">
        <v>1</v>
      </c>
      <c r="F17" s="25" t="inlineStr">
        <is>
          <t>u</t>
        </is>
      </c>
      <c r="G17" s="26" t="n">
        <v>0.0464</v>
      </c>
      <c r="H17" s="26">
        <f>E17*G17</f>
        <v/>
      </c>
      <c r="I17" s="25" t="inlineStr">
        <is>
          <t>Latón forjado</t>
        </is>
      </c>
      <c r="J17" s="12" t="inlineStr">
        <is>
          <t>33,8 × 33,8 × 8</t>
        </is>
      </c>
      <c r="K17" s="25" t="inlineStr">
        <is>
          <t>Compra</t>
        </is>
      </c>
      <c r="L17" s="12" t="inlineStr">
        <is>
          <t>19 Ensamblaje de válvula (T03/T04)</t>
        </is>
      </c>
      <c r="M17" s="12" t="n"/>
      <c r="N17" s="25" t="inlineStr">
        <is>
          <t>P</t>
        </is>
      </c>
      <c r="O17" s="25" t="inlineStr">
        <is>
          <t>FL_DES_ABC_1kg</t>
        </is>
      </c>
      <c r="P17" s="12" t="n"/>
    </row>
    <row r="18">
      <c r="A18" s="25" t="inlineStr">
        <is>
          <t>FL_MAT_ABC_1kg</t>
        </is>
      </c>
      <c r="B18" s="25" t="n">
        <v>2</v>
      </c>
      <c r="C18" s="25" t="inlineStr">
        <is>
          <t>ABC1-06</t>
        </is>
      </c>
      <c r="D18" s="12" t="inlineStr">
        <is>
          <t xml:space="preserve">        Espiga roscada</t>
        </is>
      </c>
      <c r="E18" s="25" t="n">
        <v>1</v>
      </c>
      <c r="F18" s="25" t="inlineStr">
        <is>
          <t>u</t>
        </is>
      </c>
      <c r="G18" s="26" t="n">
        <v>0.011</v>
      </c>
      <c r="H18" s="26">
        <f>E18*G18</f>
        <v/>
      </c>
      <c r="I18" s="25" t="inlineStr">
        <is>
          <t>Latón forjado</t>
        </is>
      </c>
      <c r="J18" s="12" t="inlineStr">
        <is>
          <t>20,4 × 20,4 × 9,6</t>
        </is>
      </c>
      <c r="K18" s="25" t="inlineStr">
        <is>
          <t>Compra</t>
        </is>
      </c>
      <c r="L18" s="12" t="inlineStr">
        <is>
          <t>19 Ensamblaje de válvula (T03/T04)</t>
        </is>
      </c>
      <c r="M18" s="12" t="n"/>
      <c r="N18" s="25" t="inlineStr">
        <is>
          <t>P</t>
        </is>
      </c>
      <c r="O18" s="25" t="inlineStr">
        <is>
          <t>FL_DES_ABC_1kg</t>
        </is>
      </c>
      <c r="P18" s="12" t="n"/>
    </row>
    <row r="19">
      <c r="A19" s="25" t="inlineStr">
        <is>
          <t>FL_MAT_ABC_1kg</t>
        </is>
      </c>
      <c r="B19" s="25" t="n">
        <v>2</v>
      </c>
      <c r="C19" s="25" t="inlineStr">
        <is>
          <t>ABC1-07</t>
        </is>
      </c>
      <c r="D19" s="12" t="inlineStr">
        <is>
          <t xml:space="preserve">        Cuerpo de válvula</t>
        </is>
      </c>
      <c r="E19" s="25" t="n">
        <v>1</v>
      </c>
      <c r="F19" s="25" t="inlineStr">
        <is>
          <t>u</t>
        </is>
      </c>
      <c r="G19" s="26" t="n">
        <v>0.1044</v>
      </c>
      <c r="H19" s="26">
        <f>E19*G19</f>
        <v/>
      </c>
      <c r="I19" s="25" t="inlineStr">
        <is>
          <t>Latón forjado</t>
        </is>
      </c>
      <c r="J19" s="12" t="inlineStr">
        <is>
          <t>34,2 × 27 × 21,1</t>
        </is>
      </c>
      <c r="K19" s="25" t="inlineStr">
        <is>
          <t>Compra</t>
        </is>
      </c>
      <c r="L19" s="12" t="inlineStr">
        <is>
          <t>19 Ensamblaje de válvula (T03/T04)</t>
        </is>
      </c>
      <c r="M19" s="12" t="n"/>
      <c r="N19" s="25" t="inlineStr">
        <is>
          <t>P</t>
        </is>
      </c>
      <c r="O19" s="25" t="inlineStr">
        <is>
          <t>FL_DES_ABC_1kg</t>
        </is>
      </c>
      <c r="P19" s="12" t="n"/>
    </row>
    <row r="20">
      <c r="A20" s="25" t="inlineStr">
        <is>
          <t>FL_MAT_ABC_1kg</t>
        </is>
      </c>
      <c r="B20" s="25" t="n">
        <v>2</v>
      </c>
      <c r="C20" s="25" t="inlineStr">
        <is>
          <t>ABC1-08</t>
        </is>
      </c>
      <c r="D20" s="12" t="inlineStr">
        <is>
          <t xml:space="preserve">        Manómetro</t>
        </is>
      </c>
      <c r="E20" s="25" t="n">
        <v>1</v>
      </c>
      <c r="F20" s="25" t="inlineStr">
        <is>
          <t>u</t>
        </is>
      </c>
      <c r="G20" s="26" t="n">
        <v>0.04</v>
      </c>
      <c r="H20" s="26">
        <f>E20*G20</f>
        <v/>
      </c>
      <c r="I20" s="25" t="inlineStr">
        <is>
          <t>Comercial</t>
        </is>
      </c>
      <c r="J20" s="12" t="inlineStr">
        <is>
          <t>Ø28 esfera, rango 0-3,5 MPa, sector verde en 1,4</t>
        </is>
      </c>
      <c r="K20" s="25" t="inlineStr">
        <is>
          <t>Compra</t>
        </is>
      </c>
      <c r="L20" s="12" t="inlineStr">
        <is>
          <t>19 Ensamblaje de válvula (T03/T04)</t>
        </is>
      </c>
      <c r="M20" s="12" t="inlineStr">
        <is>
          <t>IRAM 3533</t>
        </is>
      </c>
      <c r="N20" s="25" t="inlineStr">
        <is>
          <t>R</t>
        </is>
      </c>
      <c r="O20" s="25" t="inlineStr">
        <is>
          <t>FL_DES_ABC_1kg</t>
        </is>
      </c>
      <c r="P20" s="12" t="inlineStr">
        <is>
          <t>Pieza comercial; sello IRAM 3533</t>
        </is>
      </c>
    </row>
    <row r="21">
      <c r="A21" s="25" t="inlineStr">
        <is>
          <t>FL_MAT_ABC_1kg</t>
        </is>
      </c>
      <c r="B21" s="25" t="n">
        <v>2</v>
      </c>
      <c r="C21" s="25" t="inlineStr">
        <is>
          <t>ABC1-09</t>
        </is>
      </c>
      <c r="D21" s="12" t="inlineStr">
        <is>
          <t xml:space="preserve">        Manija de transporte</t>
        </is>
      </c>
      <c r="E21" s="25" t="n">
        <v>1</v>
      </c>
      <c r="F21" s="25" t="inlineStr">
        <is>
          <t>u</t>
        </is>
      </c>
      <c r="G21" s="26" t="n">
        <v>0.0106</v>
      </c>
      <c r="H21" s="26">
        <f>E21*G21</f>
        <v/>
      </c>
      <c r="I21" s="25" t="inlineStr">
        <is>
          <t>Chapa acero SAE 1010 pintada</t>
        </is>
      </c>
      <c r="J21" s="12" t="inlineStr">
        <is>
          <t>26,6 × 16 × 5,9</t>
        </is>
      </c>
      <c r="K21" s="25" t="inlineStr">
        <is>
          <t>Compra</t>
        </is>
      </c>
      <c r="L21" s="12" t="inlineStr">
        <is>
          <t>19 Ensamblaje de válvula (T03/T04)</t>
        </is>
      </c>
      <c r="M21" s="12" t="n"/>
      <c r="N21" s="25" t="inlineStr">
        <is>
          <t>P</t>
        </is>
      </c>
      <c r="O21" s="25" t="inlineStr">
        <is>
          <t>FL_DES_ABC_1kg</t>
        </is>
      </c>
      <c r="P21" s="12" t="n"/>
    </row>
    <row r="22">
      <c r="A22" s="25" t="inlineStr">
        <is>
          <t>FL_MAT_ABC_1kg</t>
        </is>
      </c>
      <c r="B22" s="25" t="n">
        <v>2</v>
      </c>
      <c r="C22" s="25" t="inlineStr">
        <is>
          <t>ABC1-10</t>
        </is>
      </c>
      <c r="D22" s="12" t="inlineStr">
        <is>
          <t xml:space="preserve">        Manija de accionamiento</t>
        </is>
      </c>
      <c r="E22" s="25" t="n">
        <v>1</v>
      </c>
      <c r="F22" s="25" t="inlineStr">
        <is>
          <t>u</t>
        </is>
      </c>
      <c r="G22" s="26" t="n">
        <v>0.0241</v>
      </c>
      <c r="H22" s="26">
        <f>E22*G22</f>
        <v/>
      </c>
      <c r="I22" s="25" t="inlineStr">
        <is>
          <t>Chapa acero SAE 1010 pintada</t>
        </is>
      </c>
      <c r="J22" s="12" t="inlineStr">
        <is>
          <t>60 × 16 × 10,5</t>
        </is>
      </c>
      <c r="K22" s="25" t="inlineStr">
        <is>
          <t>Compra</t>
        </is>
      </c>
      <c r="L22" s="12" t="inlineStr">
        <is>
          <t>19 Ensamblaje de válvula (T03/T04)</t>
        </is>
      </c>
      <c r="M22" s="12" t="n"/>
      <c r="N22" s="25" t="inlineStr">
        <is>
          <t>P</t>
        </is>
      </c>
      <c r="O22" s="25" t="inlineStr">
        <is>
          <t>FL_DES_ABC_1kg</t>
        </is>
      </c>
      <c r="P22" s="12" t="n"/>
    </row>
    <row r="23">
      <c r="A23" s="25" t="inlineStr">
        <is>
          <t>FL_MAT_ABC_1kg</t>
        </is>
      </c>
      <c r="B23" s="25" t="n">
        <v>2</v>
      </c>
      <c r="C23" s="25" t="inlineStr">
        <is>
          <t>ABC1-11</t>
        </is>
      </c>
      <c r="D23" s="12" t="inlineStr">
        <is>
          <t xml:space="preserve">        Eje de palanca</t>
        </is>
      </c>
      <c r="E23" s="25" t="n">
        <v>1</v>
      </c>
      <c r="F23" s="25" t="inlineStr">
        <is>
          <t>u</t>
        </is>
      </c>
      <c r="G23" s="26" t="n">
        <v>0.0041</v>
      </c>
      <c r="H23" s="26">
        <f>E23*G23</f>
        <v/>
      </c>
      <c r="I23" s="25" t="inlineStr">
        <is>
          <t>Acero inox. AISI 304</t>
        </is>
      </c>
      <c r="J23" s="12" t="inlineStr">
        <is>
          <t>28,8 × 4,8 × 4,8</t>
        </is>
      </c>
      <c r="K23" s="25" t="inlineStr">
        <is>
          <t>Compra</t>
        </is>
      </c>
      <c r="L23" s="12" t="inlineStr">
        <is>
          <t>19 Ensamblaje de válvula (T03/T04)</t>
        </is>
      </c>
      <c r="M23" s="12" t="n"/>
      <c r="N23" s="25" t="inlineStr">
        <is>
          <t>P</t>
        </is>
      </c>
      <c r="O23" s="25" t="inlineStr">
        <is>
          <t>FL_DES_ABC_1kg</t>
        </is>
      </c>
      <c r="P23" s="12" t="n"/>
    </row>
    <row r="24">
      <c r="A24" s="25" t="inlineStr">
        <is>
          <t>FL_MAT_ABC_1kg</t>
        </is>
      </c>
      <c r="B24" s="25" t="n">
        <v>2</v>
      </c>
      <c r="C24" s="25" t="inlineStr">
        <is>
          <t>ABC1-12</t>
        </is>
      </c>
      <c r="D24" s="12" t="inlineStr">
        <is>
          <t xml:space="preserve">        Vástago</t>
        </is>
      </c>
      <c r="E24" s="25" t="n">
        <v>1</v>
      </c>
      <c r="F24" s="25" t="inlineStr">
        <is>
          <t>u</t>
        </is>
      </c>
      <c r="G24" s="26" t="n">
        <v>0.0009</v>
      </c>
      <c r="H24" s="26">
        <f>E24*G24</f>
        <v/>
      </c>
      <c r="I24" s="25" t="inlineStr">
        <is>
          <t>Latón</t>
        </is>
      </c>
      <c r="J24" s="12" t="inlineStr">
        <is>
          <t>6,4 × 6,4 × 3,4</t>
        </is>
      </c>
      <c r="K24" s="25" t="inlineStr">
        <is>
          <t>Compra</t>
        </is>
      </c>
      <c r="L24" s="12" t="inlineStr">
        <is>
          <t>19 Ensamblaje de válvula (T03/T04)</t>
        </is>
      </c>
      <c r="M24" s="12" t="n"/>
      <c r="N24" s="25" t="inlineStr">
        <is>
          <t>P</t>
        </is>
      </c>
      <c r="O24" s="25" t="inlineStr">
        <is>
          <t>FL_DES_ABC_1kg</t>
        </is>
      </c>
      <c r="P24" s="12" t="inlineStr">
        <is>
          <t>con junta tórica</t>
        </is>
      </c>
    </row>
    <row r="25">
      <c r="A25" s="25" t="inlineStr">
        <is>
          <t>FL_MAT_ABC_1kg</t>
        </is>
      </c>
      <c r="B25" s="25" t="n">
        <v>2</v>
      </c>
      <c r="C25" s="25" t="inlineStr">
        <is>
          <t>ABC1-13</t>
        </is>
      </c>
      <c r="D25" s="12" t="inlineStr">
        <is>
          <t xml:space="preserve">        Pasador de seguridad</t>
        </is>
      </c>
      <c r="E25" s="25" t="n">
        <v>1</v>
      </c>
      <c r="F25" s="25" t="inlineStr">
        <is>
          <t>u</t>
        </is>
      </c>
      <c r="G25" s="26" t="n">
        <v>0.0028</v>
      </c>
      <c r="H25" s="26">
        <f>E25*G25</f>
        <v/>
      </c>
      <c r="I25" s="25" t="inlineStr">
        <is>
          <t>Alambre acero inox. AISI 304</t>
        </is>
      </c>
      <c r="J25" s="12" t="inlineStr">
        <is>
          <t>36,3 × 16,8 × 16,6</t>
        </is>
      </c>
      <c r="K25" s="25" t="inlineStr">
        <is>
          <t>Compra</t>
        </is>
      </c>
      <c r="L25" s="12" t="inlineStr">
        <is>
          <t>19 Ensamblaje de válvula (T03/T04)</t>
        </is>
      </c>
      <c r="M25" s="12" t="n"/>
      <c r="N25" s="25" t="inlineStr">
        <is>
          <t>P</t>
        </is>
      </c>
      <c r="O25" s="25" t="inlineStr">
        <is>
          <t>FL_DES_ABC_1kg</t>
        </is>
      </c>
      <c r="P25" s="12" t="inlineStr">
        <is>
          <t>con precinto</t>
        </is>
      </c>
    </row>
    <row r="26">
      <c r="A26" s="25" t="inlineStr">
        <is>
          <t>FL_MAT_ABC_1kg</t>
        </is>
      </c>
      <c r="B26" s="25" t="n">
        <v>2</v>
      </c>
      <c r="C26" s="25" t="inlineStr">
        <is>
          <t>ABC1-14</t>
        </is>
      </c>
      <c r="D26" s="12" t="inlineStr">
        <is>
          <t xml:space="preserve">        Caño de pesca (sifón)</t>
        </is>
      </c>
      <c r="E26" s="25" t="n">
        <v>1</v>
      </c>
      <c r="F26" s="25" t="inlineStr">
        <is>
          <t>u</t>
        </is>
      </c>
      <c r="G26" s="26" t="n">
        <v>0.0119</v>
      </c>
      <c r="H26" s="26">
        <f>E26*G26</f>
        <v/>
      </c>
      <c r="I26" s="25" t="inlineStr">
        <is>
          <t>Tubo PVC rígido</t>
        </is>
      </c>
      <c r="J26" s="12" t="inlineStr">
        <is>
          <t>Ø9,6 × 269,1 de largo</t>
        </is>
      </c>
      <c r="K26" s="25" t="inlineStr">
        <is>
          <t>Compra</t>
        </is>
      </c>
      <c r="L26" s="12" t="inlineStr">
        <is>
          <t>19 Ensamblaje de válvula (T03/T04)</t>
        </is>
      </c>
      <c r="M26" s="12" t="n"/>
      <c r="N26" s="25" t="inlineStr">
        <is>
          <t>P</t>
        </is>
      </c>
      <c r="O26" s="25" t="inlineStr">
        <is>
          <t>FL_DES_ABC_1kg</t>
        </is>
      </c>
      <c r="P26" s="12" t="n"/>
    </row>
    <row r="27">
      <c r="A27" s="25" t="inlineStr">
        <is>
          <t>FL_MAT_ABC_1kg</t>
        </is>
      </c>
      <c r="B27" s="25" t="n">
        <v>2</v>
      </c>
      <c r="C27" s="25" t="inlineStr">
        <is>
          <t>ABC1-19</t>
        </is>
      </c>
      <c r="D27" s="12" t="inlineStr">
        <is>
          <t xml:space="preserve">        Junta tórica de asiento</t>
        </is>
      </c>
      <c r="E27" s="25" t="n">
        <v>1</v>
      </c>
      <c r="F27" s="25" t="inlineStr">
        <is>
          <t>u</t>
        </is>
      </c>
      <c r="G27" s="26" t="n">
        <v>0.0007</v>
      </c>
      <c r="H27" s="26">
        <f>E27*G27</f>
        <v/>
      </c>
      <c r="I27" s="25" t="inlineStr">
        <is>
          <t>NBR 70 Shore A</t>
        </is>
      </c>
      <c r="J27" s="12" t="inlineStr">
        <is>
          <t>Ø23,4 ext. × cordón 3</t>
        </is>
      </c>
      <c r="K27" s="25" t="inlineStr">
        <is>
          <t>Compra</t>
        </is>
      </c>
      <c r="L27" s="12" t="inlineStr">
        <is>
          <t>19 Ensamblaje de válvula (T03/T04)</t>
        </is>
      </c>
      <c r="M27" s="12" t="n"/>
      <c r="N27" s="25" t="inlineStr">
        <is>
          <t>P</t>
        </is>
      </c>
      <c r="O27" s="25" t="inlineStr">
        <is>
          <t>FL_DES_ABC_1kg</t>
        </is>
      </c>
      <c r="P27" s="12" t="inlineStr">
        <is>
          <t>cambio c/recarga</t>
        </is>
      </c>
    </row>
    <row r="28">
      <c r="A28" s="25" t="inlineStr">
        <is>
          <t>FL_MAT_ABC_1kg</t>
        </is>
      </c>
      <c r="B28" s="25" t="n">
        <v>2</v>
      </c>
      <c r="C28" s="25" t="inlineStr">
        <is>
          <t>ABC1-V2</t>
        </is>
      </c>
      <c r="D28" s="12" t="inlineStr">
        <is>
          <t xml:space="preserve">        Resorte de retorno del vástago</t>
        </is>
      </c>
      <c r="E28" s="25" t="n">
        <v>1</v>
      </c>
      <c r="F28" s="25" t="inlineStr">
        <is>
          <t>u</t>
        </is>
      </c>
      <c r="G28" s="26" t="n">
        <v>0.003</v>
      </c>
      <c r="H28" s="26">
        <f>E28*G28</f>
        <v/>
      </c>
      <c r="I28" s="25" t="inlineStr">
        <is>
          <t>Alambre acero inox. AISI 302</t>
        </is>
      </c>
      <c r="J28" s="12" t="inlineStr">
        <is>
          <t>según válvula</t>
        </is>
      </c>
      <c r="K28" s="25" t="inlineStr">
        <is>
          <t>Compra</t>
        </is>
      </c>
      <c r="L28" s="12" t="inlineStr">
        <is>
          <t>19 Ensamblaje</t>
        </is>
      </c>
      <c r="M28" s="12" t="n"/>
      <c r="N28" s="25" t="inlineStr">
        <is>
          <t>R</t>
        </is>
      </c>
      <c r="O28" s="25" t="n"/>
      <c r="P28" s="12" t="n"/>
    </row>
    <row r="29">
      <c r="A29" s="25" t="inlineStr">
        <is>
          <t>FL_MAT_ABC_1kg</t>
        </is>
      </c>
      <c r="B29" s="25" t="n">
        <v>2</v>
      </c>
      <c r="C29" s="25" t="inlineStr">
        <is>
          <t>ABC1-V3</t>
        </is>
      </c>
      <c r="D29" s="12" t="inlineStr">
        <is>
          <t xml:space="preserve">        Junta tórica del vástago</t>
        </is>
      </c>
      <c r="E29" s="25" t="n">
        <v>1</v>
      </c>
      <c r="F29" s="25" t="inlineStr">
        <is>
          <t>u</t>
        </is>
      </c>
      <c r="G29" s="26" t="n">
        <v>0.001</v>
      </c>
      <c r="H29" s="26">
        <f>E29*G29</f>
        <v/>
      </c>
      <c r="I29" s="25" t="inlineStr">
        <is>
          <t>NBR 70 Shore A</t>
        </is>
      </c>
      <c r="J29" s="12" t="inlineStr">
        <is>
          <t>según válvula</t>
        </is>
      </c>
      <c r="K29" s="25" t="inlineStr">
        <is>
          <t>Compra</t>
        </is>
      </c>
      <c r="L29" s="12" t="inlineStr">
        <is>
          <t>19 Ensamblaje</t>
        </is>
      </c>
      <c r="M29" s="12" t="n"/>
      <c r="N29" s="25" t="inlineStr">
        <is>
          <t>P</t>
        </is>
      </c>
      <c r="O29" s="25" t="n"/>
      <c r="P29" s="12" t="inlineStr">
        <is>
          <t>Figura en el plano como «vástago con junta tórica»</t>
        </is>
      </c>
    </row>
    <row r="30">
      <c r="A30" s="22" t="inlineStr">
        <is>
          <t>FL_MAT_ABC_1kg</t>
        </is>
      </c>
      <c r="B30" s="22" t="n">
        <v>1</v>
      </c>
      <c r="C30" s="22" t="inlineStr">
        <is>
          <t>ABC1-S3</t>
        </is>
      </c>
      <c r="D30" s="23" t="inlineStr">
        <is>
          <t xml:space="preserve">    Dispositivo de descarga</t>
        </is>
      </c>
      <c r="E30" s="22" t="n">
        <v>1</v>
      </c>
      <c r="F30" s="22" t="inlineStr">
        <is>
          <t>u</t>
        </is>
      </c>
      <c r="G30" s="24" t="n"/>
      <c r="H30" s="24">
        <f>H31</f>
        <v/>
      </c>
      <c r="I30" s="22" t="n"/>
      <c r="J30" s="23" t="n"/>
      <c r="K30" s="22" t="inlineStr">
        <is>
          <t>Compra / armado</t>
        </is>
      </c>
      <c r="L30" s="23" t="n"/>
      <c r="M30" s="23" t="n"/>
      <c r="N30" s="22" t="inlineStr">
        <is>
          <t>P</t>
        </is>
      </c>
      <c r="O30" s="22" t="inlineStr">
        <is>
          <t>FL_DES_ABC_1kg</t>
        </is>
      </c>
      <c r="P30" s="23" t="n"/>
    </row>
    <row r="31">
      <c r="A31" s="25" t="inlineStr">
        <is>
          <t>FL_MAT_ABC_1kg</t>
        </is>
      </c>
      <c r="B31" s="25" t="n">
        <v>2</v>
      </c>
      <c r="C31" s="25" t="inlineStr">
        <is>
          <t>ABC1-15</t>
        </is>
      </c>
      <c r="D31" s="12" t="inlineStr">
        <is>
          <t xml:space="preserve">        Tobera</t>
        </is>
      </c>
      <c r="E31" s="25" t="n">
        <v>1</v>
      </c>
      <c r="F31" s="25" t="inlineStr">
        <is>
          <t>u</t>
        </is>
      </c>
      <c r="G31" s="26" t="n">
        <v>0.0007</v>
      </c>
      <c r="H31" s="26">
        <f>E31*G31</f>
        <v/>
      </c>
      <c r="I31" s="25" t="inlineStr">
        <is>
          <t>Polipropileno</t>
        </is>
      </c>
      <c r="J31" s="12" t="inlineStr">
        <is>
          <t>26 × 9,6 × 9,6</t>
        </is>
      </c>
      <c r="K31" s="25" t="inlineStr">
        <is>
          <t>Compra</t>
        </is>
      </c>
      <c r="L31" s="12" t="inlineStr">
        <is>
          <t>19 Ensamblaje (T03/T04)</t>
        </is>
      </c>
      <c r="M31" s="12" t="n"/>
      <c r="N31" s="25" t="inlineStr">
        <is>
          <t>P</t>
        </is>
      </c>
      <c r="O31" s="25" t="inlineStr">
        <is>
          <t>FL_DES_ABC_1kg</t>
        </is>
      </c>
      <c r="P31" s="12" t="n"/>
    </row>
    <row r="32">
      <c r="A32" s="22" t="inlineStr">
        <is>
          <t>FL_MAT_ABC_1kg</t>
        </is>
      </c>
      <c r="B32" s="22" t="n">
        <v>1</v>
      </c>
      <c r="C32" s="22" t="inlineStr">
        <is>
          <t>ABC1-S5</t>
        </is>
      </c>
      <c r="D32" s="23" t="inlineStr">
        <is>
          <t xml:space="preserve">    Carga: agente extintor y gas impulsor</t>
        </is>
      </c>
      <c r="E32" s="22" t="n">
        <v>1</v>
      </c>
      <c r="F32" s="22" t="inlineStr">
        <is>
          <t>u</t>
        </is>
      </c>
      <c r="G32" s="24" t="n"/>
      <c r="H32" s="24">
        <f>H33+H34</f>
        <v/>
      </c>
      <c r="I32" s="22" t="n"/>
      <c r="J32" s="23" t="n"/>
      <c r="K32" s="22" t="inlineStr">
        <is>
          <t>Carga en planta</t>
        </is>
      </c>
      <c r="L32" s="23" t="inlineStr">
        <is>
          <t>18 Carga de polvo (T01) / C8 (T02)</t>
        </is>
      </c>
      <c r="M32" s="23" t="n"/>
      <c r="N32" s="22" t="n"/>
      <c r="O32" s="22" t="n"/>
      <c r="P32" s="23" t="n"/>
    </row>
    <row r="33">
      <c r="A33" s="25" t="inlineStr">
        <is>
          <t>FL_MAT_ABC_1kg</t>
        </is>
      </c>
      <c r="B33" s="25" t="n">
        <v>2</v>
      </c>
      <c r="C33" s="25" t="inlineStr">
        <is>
          <t>ABC1-A1</t>
        </is>
      </c>
      <c r="D33" s="12" t="inlineStr">
        <is>
          <t xml:space="preserve">        Polvo químico seco ABC 60 (Sello IRAM 3569, DEMSA)</t>
        </is>
      </c>
      <c r="E33" s="25" t="n">
        <v>1.05</v>
      </c>
      <c r="F33" s="25" t="inlineStr">
        <is>
          <t>kg</t>
        </is>
      </c>
      <c r="G33" s="26" t="n">
        <v>1</v>
      </c>
      <c r="H33" s="26">
        <f>E33*G33</f>
        <v/>
      </c>
      <c r="I33" s="25" t="inlineStr">
        <is>
          <t>Polvo químico seco ABC 60 (Sello IRAM 3569, DEMSA)</t>
        </is>
      </c>
      <c r="J33" s="12" t="inlineStr">
        <is>
          <t>nominal 1 kg; tolerancia 0 / +100 g (IRAM 3517-2:2020 tabla 3 · IRAM 3523 tabla II)</t>
        </is>
      </c>
      <c r="K33" s="25" t="inlineStr">
        <is>
          <t>Compra</t>
        </is>
      </c>
      <c r="L33" s="12" t="inlineStr">
        <is>
          <t>SP-1 almacén previo a la carga</t>
        </is>
      </c>
      <c r="M33" s="12" t="inlineStr">
        <is>
          <t>IRAM 3569</t>
        </is>
      </c>
      <c r="N33" s="25" t="inlineStr">
        <is>
          <t>N</t>
        </is>
      </c>
      <c r="O33" s="25" t="n"/>
      <c r="P33" s="12" t="inlineStr">
        <is>
          <t>MAP 60 % (banda 57-63 %) = 0,63 kg MAP + 0,389 kg sulfato de amonio + 0,032 kg aditivos · potencial 1A-3B:C · Lote único por extintor; prohibido mezclar ABC con BC (3517-2 9.9.1.6)</t>
        </is>
      </c>
    </row>
    <row r="34">
      <c r="A34" s="25" t="inlineStr">
        <is>
          <t>FL_MAT_ABC_1kg</t>
        </is>
      </c>
      <c r="B34" s="25" t="n">
        <v>2</v>
      </c>
      <c r="C34" s="25" t="inlineStr">
        <is>
          <t>ABC1-A2</t>
        </is>
      </c>
      <c r="D34" s="12" t="inlineStr">
        <is>
          <t xml:space="preserve">        Gas impulsor: N₂</t>
        </is>
      </c>
      <c r="E34" s="25" t="n">
        <v>0.0012</v>
      </c>
      <c r="F34" s="25" t="inlineStr">
        <is>
          <t>kg</t>
        </is>
      </c>
      <c r="G34" s="26" t="n">
        <v>1</v>
      </c>
      <c r="H34" s="26">
        <f>E34*G34</f>
        <v/>
      </c>
      <c r="I34" s="25" t="inlineStr">
        <is>
          <t>N₂</t>
        </is>
      </c>
      <c r="J34" s="12" t="inlineStr">
        <is>
          <t>1 L normales para 1,4 MPa a 20 °C en 0,07 dm³ libres</t>
        </is>
      </c>
      <c r="K34" s="25" t="inlineStr">
        <is>
          <t>Compra</t>
        </is>
      </c>
      <c r="L34" s="12" t="inlineStr">
        <is>
          <t>20 Presurización (T05) / C10</t>
        </is>
      </c>
      <c r="M34" s="12" t="inlineStr">
        <is>
          <t>IRAM 3517-2 9.4.9 (tabla 2) · IRAM 3523 2.3 y 3.10</t>
        </is>
      </c>
      <c r="N34" s="25" t="inlineStr">
        <is>
          <t>C</t>
        </is>
      </c>
      <c r="O34" s="25" t="n"/>
      <c r="P34" s="12" t="inlineStr">
        <is>
          <t>VOLUMEN LIBRE INSUFICIENTE con ρ típica (0,07 dm³): ver Carga_N2 - exigir densidad aparente mínima al polvo o agrandar el recipiente</t>
        </is>
      </c>
    </row>
    <row r="35">
      <c r="A35" s="22" t="inlineStr">
        <is>
          <t>FL_MAT_ABC_1kg</t>
        </is>
      </c>
      <c r="B35" s="22" t="n">
        <v>1</v>
      </c>
      <c r="C35" s="22" t="inlineStr">
        <is>
          <t>ABC1-S6</t>
        </is>
      </c>
      <c r="D35" s="23" t="inlineStr">
        <is>
          <t xml:space="preserve">    Identificación y precinto</t>
        </is>
      </c>
      <c r="E35" s="22" t="n">
        <v>1</v>
      </c>
      <c r="F35" s="22" t="inlineStr">
        <is>
          <t>u</t>
        </is>
      </c>
      <c r="G35" s="24" t="n"/>
      <c r="H35" s="24">
        <f>H36+H37+H38+H39+H40</f>
        <v/>
      </c>
      <c r="I35" s="22" t="n"/>
      <c r="J35" s="23" t="n"/>
      <c r="K35" s="22" t="inlineStr">
        <is>
          <t>Compra</t>
        </is>
      </c>
      <c r="L35" s="23" t="inlineStr">
        <is>
          <t>22 Etiquetado (T07)</t>
        </is>
      </c>
      <c r="M35" s="23" t="n"/>
      <c r="N35" s="22" t="n"/>
      <c r="O35" s="22" t="n"/>
      <c r="P35" s="23" t="n"/>
    </row>
    <row r="36">
      <c r="A36" s="25" t="inlineStr">
        <is>
          <t>FL_MAT_ABC_1kg</t>
        </is>
      </c>
      <c r="B36" s="25" t="n">
        <v>2</v>
      </c>
      <c r="C36" s="25" t="inlineStr">
        <is>
          <t>ABC1-16</t>
        </is>
      </c>
      <c r="D36" s="12" t="inlineStr">
        <is>
          <t xml:space="preserve">        Placa de características</t>
        </is>
      </c>
      <c r="E36" s="25" t="n">
        <v>1</v>
      </c>
      <c r="F36" s="25" t="inlineStr">
        <is>
          <t>u</t>
        </is>
      </c>
      <c r="G36" s="26" t="n">
        <v>0.0043</v>
      </c>
      <c r="H36" s="26">
        <f>E36*G36</f>
        <v/>
      </c>
      <c r="I36" s="25" t="inlineStr">
        <is>
          <t>Vinilo autoadhesivo laminado</t>
        </is>
      </c>
      <c r="J36" s="12" t="inlineStr">
        <is>
          <t>72 × 143 (desarrollo × alto), e ≈ 0,3</t>
        </is>
      </c>
      <c r="K36" s="25" t="inlineStr">
        <is>
          <t>Compra</t>
        </is>
      </c>
      <c r="L36" s="12" t="inlineStr">
        <is>
          <t>22 Etiquetado (T07)</t>
        </is>
      </c>
      <c r="M36" s="12" t="inlineStr">
        <is>
          <t>IRAM 3534 · IRAM 3523 cap. 5</t>
        </is>
      </c>
      <c r="N36" s="25" t="inlineStr">
        <is>
          <t>P</t>
        </is>
      </c>
      <c r="O36" s="25" t="inlineStr">
        <is>
          <t>FL_DES_ABC_1kg</t>
        </is>
      </c>
      <c r="P36" s="12" t="inlineStr">
        <is>
          <t>IRAM 3534</t>
        </is>
      </c>
    </row>
    <row r="37">
      <c r="A37" s="25" t="inlineStr">
        <is>
          <t>FL_MAT_ABC_1kg</t>
        </is>
      </c>
      <c r="B37" s="25" t="n">
        <v>2</v>
      </c>
      <c r="C37" s="25" t="inlineStr">
        <is>
          <t>ABC1-17</t>
        </is>
      </c>
      <c r="D37" s="12" t="inlineStr">
        <is>
          <t xml:space="preserve">        Oblea de fabricación (PBA)</t>
        </is>
      </c>
      <c r="E37" s="25" t="n">
        <v>1</v>
      </c>
      <c r="F37" s="25" t="inlineStr">
        <is>
          <t>u</t>
        </is>
      </c>
      <c r="G37" s="26" t="n">
        <v>0.0009</v>
      </c>
      <c r="H37" s="26">
        <f>E37*G37</f>
        <v/>
      </c>
      <c r="I37" s="25" t="inlineStr">
        <is>
          <t>Papel de seguridad autodestructible</t>
        </is>
      </c>
      <c r="J37" s="12" t="inlineStr">
        <is>
          <t>Ø46 (Res. OPDS 522/07), numerada, autodestructible</t>
        </is>
      </c>
      <c r="K37" s="25" t="inlineStr">
        <is>
          <t>Compra</t>
        </is>
      </c>
      <c r="L37" s="12" t="inlineStr">
        <is>
          <t>22 Etiquetado (T07)</t>
        </is>
      </c>
      <c r="M37" s="12" t="inlineStr">
        <is>
          <t>Res. OPDS 522/07 anexos 1, 2 y 6</t>
        </is>
      </c>
      <c r="N37" s="25" t="inlineStr">
        <is>
          <t>P</t>
        </is>
      </c>
      <c r="O37" s="25" t="inlineStr">
        <is>
          <t>FL_DES_ABC_1kg</t>
        </is>
      </c>
      <c r="P37" s="12" t="inlineStr">
        <is>
          <t>Res. 522/07</t>
        </is>
      </c>
    </row>
    <row r="38">
      <c r="A38" s="25" t="inlineStr">
        <is>
          <t>FL_MAT_ABC_1kg</t>
        </is>
      </c>
      <c r="B38" s="25" t="n">
        <v>2</v>
      </c>
      <c r="C38" s="25" t="inlineStr">
        <is>
          <t>ABC1-18</t>
        </is>
      </c>
      <c r="D38" s="12" t="inlineStr">
        <is>
          <t xml:space="preserve">        Estampilla IRAM de conformidad</t>
        </is>
      </c>
      <c r="E38" s="25" t="n">
        <v>1</v>
      </c>
      <c r="F38" s="25" t="inlineStr">
        <is>
          <t>u</t>
        </is>
      </c>
      <c r="G38" s="26" t="n">
        <v>0.001</v>
      </c>
      <c r="H38" s="26">
        <f>E38*G38</f>
        <v/>
      </c>
      <c r="I38" s="25" t="inlineStr">
        <is>
          <t>Provista por IRAM (Anexo R)</t>
        </is>
      </c>
      <c r="J38" s="12" t="inlineStr">
        <is>
          <t>60 × 40</t>
        </is>
      </c>
      <c r="K38" s="25" t="inlineStr">
        <is>
          <t>Compra</t>
        </is>
      </c>
      <c r="L38" s="12" t="inlineStr">
        <is>
          <t>22 Etiquetado (T07)</t>
        </is>
      </c>
      <c r="M38" s="12" t="inlineStr">
        <is>
          <t>IRAM Anexo R (DC-PG-129)</t>
        </is>
      </c>
      <c r="N38" s="25" t="inlineStr">
        <is>
          <t>P</t>
        </is>
      </c>
      <c r="O38" s="25" t="inlineStr">
        <is>
          <t>FL_DES_ABC_1kg</t>
        </is>
      </c>
      <c r="P38" s="12" t="inlineStr">
        <is>
          <t>numerada</t>
        </is>
      </c>
    </row>
    <row r="39">
      <c r="A39" s="25" t="inlineStr">
        <is>
          <t>FL_MAT_ABC_1kg</t>
        </is>
      </c>
      <c r="B39" s="25" t="n">
        <v>2</v>
      </c>
      <c r="C39" s="25" t="inlineStr">
        <is>
          <t>ABC1-20</t>
        </is>
      </c>
      <c r="D39" s="12" t="inlineStr">
        <is>
          <t xml:space="preserve">        Precinto de fábrica</t>
        </is>
      </c>
      <c r="E39" s="25" t="n">
        <v>1</v>
      </c>
      <c r="F39" s="25" t="inlineStr">
        <is>
          <t>u</t>
        </is>
      </c>
      <c r="G39" s="26" t="n">
        <v>0.0002</v>
      </c>
      <c r="H39" s="26">
        <f>E39*G39</f>
        <v/>
      </c>
      <c r="I39" s="25" t="inlineStr">
        <is>
          <t>Polipropileno</t>
        </is>
      </c>
      <c r="J39" s="12" t="inlineStr">
        <is>
          <t>Ø5 × 10, numerado, rotura 30-50 N</t>
        </is>
      </c>
      <c r="K39" s="25" t="inlineStr">
        <is>
          <t>Compra</t>
        </is>
      </c>
      <c r="L39" s="12" t="inlineStr">
        <is>
          <t>20 Presurización (T05)</t>
        </is>
      </c>
      <c r="M39" s="12" t="inlineStr">
        <is>
          <t>IRAM 3523 3.3.2 · IRAM 3517-2:2020 9.4.13</t>
        </is>
      </c>
      <c r="N39" s="25" t="inlineStr">
        <is>
          <t>P</t>
        </is>
      </c>
      <c r="O39" s="25" t="inlineStr">
        <is>
          <t>FL_DES_ABC_1kg</t>
        </is>
      </c>
      <c r="P39" s="12" t="inlineStr">
        <is>
          <t>id. FLAMA y lote</t>
        </is>
      </c>
    </row>
    <row r="40">
      <c r="A40" s="25" t="inlineStr">
        <is>
          <t>FL_MAT_ABC_1kg</t>
        </is>
      </c>
      <c r="B40" s="25" t="n">
        <v>2</v>
      </c>
      <c r="C40" s="25" t="inlineStr">
        <is>
          <t>ABC1-I3</t>
        </is>
      </c>
      <c r="D40" s="12" t="inlineStr">
        <is>
          <t xml:space="preserve">        Tarjeta oficial de vigencia (CABA)</t>
        </is>
      </c>
      <c r="E40" s="25" t="n">
        <v>1</v>
      </c>
      <c r="F40" s="25" t="inlineStr">
        <is>
          <t>u</t>
        </is>
      </c>
      <c r="G40" s="26" t="n">
        <v>0.002</v>
      </c>
      <c r="H40" s="26">
        <f>E40*G40</f>
        <v/>
      </c>
      <c r="I40" s="25" t="inlineStr">
        <is>
          <t>Formulario oficial</t>
        </is>
      </c>
      <c r="J40" s="12" t="inlineStr">
        <is>
          <t>provista por DG Rentas GCBA</t>
        </is>
      </c>
      <c r="K40" s="25" t="inlineStr">
        <is>
          <t>Compra</t>
        </is>
      </c>
      <c r="L40" s="12" t="inlineStr">
        <is>
          <t>22 Etiquetado</t>
        </is>
      </c>
      <c r="M40" s="12" t="inlineStr">
        <is>
          <t>Ordenanza 40.473 art. 6</t>
        </is>
      </c>
      <c r="N40" s="25" t="inlineStr">
        <is>
          <t>N</t>
        </is>
      </c>
      <c r="O40" s="25" t="n"/>
      <c r="P40" s="12" t="inlineStr">
        <is>
          <t>Clase, capacidad, fecha de carga y vencimiento, garantía; se anexa al matafuego (no se dibuja)</t>
        </is>
      </c>
    </row>
    <row r="41">
      <c r="A41" s="22" t="inlineStr">
        <is>
          <t>FL_MAT_ABC_1kg</t>
        </is>
      </c>
      <c r="B41" s="22" t="n">
        <v>1</v>
      </c>
      <c r="C41" s="22" t="inlineStr">
        <is>
          <t>ABC1-S8</t>
        </is>
      </c>
      <c r="D41" s="23" t="inlineStr">
        <is>
          <t xml:space="preserve">    Soporte (accesorio de montaje)</t>
        </is>
      </c>
      <c r="E41" s="22" t="n">
        <v>1</v>
      </c>
      <c r="F41" s="22" t="inlineStr">
        <is>
          <t>u</t>
        </is>
      </c>
      <c r="G41" s="24" t="n"/>
      <c r="H41" s="24">
        <f>H42</f>
        <v/>
      </c>
      <c r="I41" s="22" t="n"/>
      <c r="J41" s="23" t="n"/>
      <c r="K41" s="22" t="inlineStr">
        <is>
          <t>Compra</t>
        </is>
      </c>
      <c r="L41" s="23" t="inlineStr">
        <is>
          <t>23 Embalaje (va dentro de la caja)</t>
        </is>
      </c>
      <c r="M41" s="23" t="inlineStr">
        <is>
          <t>IRAM 3517-2 7.4</t>
        </is>
      </c>
      <c r="N41" s="22" t="n"/>
      <c r="O41" s="22" t="n"/>
      <c r="P41" s="23" t="n"/>
    </row>
    <row r="42">
      <c r="A42" s="25" t="inlineStr">
        <is>
          <t>FL_MAT_ABC_1kg</t>
        </is>
      </c>
      <c r="B42" s="25" t="n">
        <v>2</v>
      </c>
      <c r="C42" s="25" t="inlineStr">
        <is>
          <t>ABC1-I7</t>
        </is>
      </c>
      <c r="D42" s="12" t="inlineStr">
        <is>
          <t xml:space="preserve">        Soporte vehicular con cierre rápido (FL_ACC_02)</t>
        </is>
      </c>
      <c r="E42" s="25" t="n">
        <v>1</v>
      </c>
      <c r="F42" s="25" t="inlineStr">
        <is>
          <t>u</t>
        </is>
      </c>
      <c r="G42" s="26" t="n">
        <v>0.631</v>
      </c>
      <c r="H42" s="26">
        <f>E42*G42</f>
        <v/>
      </c>
      <c r="I42" s="25" t="inlineStr">
        <is>
          <t>Chapa acero SAE 1010 e=2,5 pintada</t>
        </is>
      </c>
      <c r="J42" s="12" t="inlineStr">
        <is>
          <t>base 80 de ancho, 2 aros con hebilla</t>
        </is>
      </c>
      <c r="K42" s="25" t="inlineStr">
        <is>
          <t>Compra</t>
        </is>
      </c>
      <c r="L42" s="12" t="inlineStr">
        <is>
          <t>23 Embalaje</t>
        </is>
      </c>
      <c r="M42" s="12" t="inlineStr">
        <is>
          <t>IRAM 3517-2 7.4</t>
        </is>
      </c>
      <c r="N42" s="25" t="inlineStr">
        <is>
          <t>P</t>
        </is>
      </c>
      <c r="O42" s="25" t="inlineStr">
        <is>
          <t>FL_ACC_02</t>
        </is>
      </c>
      <c r="P42" s="12" t="n"/>
    </row>
    <row r="43">
      <c r="A43" s="22" t="inlineStr">
        <is>
          <t>FL_MAT_ABC_1kg</t>
        </is>
      </c>
      <c r="B43" s="22" t="n">
        <v>1</v>
      </c>
      <c r="C43" s="22" t="inlineStr">
        <is>
          <t>ABC1-S7</t>
        </is>
      </c>
      <c r="D43" s="23" t="inlineStr">
        <is>
          <t xml:space="preserve">    Embalaje</t>
        </is>
      </c>
      <c r="E43" s="22" t="n">
        <v>1</v>
      </c>
      <c r="F43" s="22" t="inlineStr">
        <is>
          <t>u</t>
        </is>
      </c>
      <c r="G43" s="24" t="n"/>
      <c r="H43" s="24">
        <f>H44+H45+H46+H47+H48</f>
        <v/>
      </c>
      <c r="I43" s="22" t="n"/>
      <c r="J43" s="23" t="n"/>
      <c r="K43" s="22" t="inlineStr">
        <is>
          <t>Compra</t>
        </is>
      </c>
      <c r="L43" s="23" t="inlineStr">
        <is>
          <t>23 Embalaje -&gt; 24 envolvedora (T11)</t>
        </is>
      </c>
      <c r="M43" s="23" t="n"/>
      <c r="N43" s="22" t="n"/>
      <c r="O43" s="22" t="n"/>
      <c r="P43" s="23" t="n"/>
    </row>
    <row r="44">
      <c r="A44" s="25" t="inlineStr">
        <is>
          <t>FL_MAT_ABC_1kg</t>
        </is>
      </c>
      <c r="B44" s="25" t="n">
        <v>2</v>
      </c>
      <c r="C44" s="25" t="inlineStr">
        <is>
          <t>ABC1-E1</t>
        </is>
      </c>
      <c r="D44" s="12" t="inlineStr">
        <is>
          <t xml:space="preserve">        Caja de cartón corrugado simple</t>
        </is>
      </c>
      <c r="E44" s="25" t="n">
        <v>1</v>
      </c>
      <c r="F44" s="25" t="inlineStr">
        <is>
          <t>u</t>
        </is>
      </c>
      <c r="G44" s="26" t="n">
        <v>0.25</v>
      </c>
      <c r="H44" s="26">
        <f>E44*G44</f>
        <v/>
      </c>
      <c r="I44" s="25" t="inlineStr">
        <is>
          <t>Cartón corrugado</t>
        </is>
      </c>
      <c r="J44" s="12" t="inlineStr">
        <is>
          <t>122 × 107 × 360 interior</t>
        </is>
      </c>
      <c r="K44" s="25" t="inlineStr">
        <is>
          <t>Compra</t>
        </is>
      </c>
      <c r="L44" s="12" t="inlineStr">
        <is>
          <t>23 Embalaje</t>
        </is>
      </c>
      <c r="M44" s="12" t="n"/>
      <c r="N44" s="25" t="inlineStr">
        <is>
          <t>R</t>
        </is>
      </c>
      <c r="O44" s="25" t="n"/>
      <c r="P44" s="12" t="n"/>
    </row>
    <row r="45">
      <c r="A45" s="25" t="inlineStr">
        <is>
          <t>FL_MAT_ABC_1kg</t>
        </is>
      </c>
      <c r="B45" s="25" t="n">
        <v>2</v>
      </c>
      <c r="C45" s="25" t="inlineStr">
        <is>
          <t>ABC1-E2</t>
        </is>
      </c>
      <c r="D45" s="12" t="inlineStr">
        <is>
          <t xml:space="preserve">        Instructivo de uso y mantenimiento</t>
        </is>
      </c>
      <c r="E45" s="25" t="n">
        <v>1</v>
      </c>
      <c r="F45" s="25" t="inlineStr">
        <is>
          <t>u</t>
        </is>
      </c>
      <c r="G45" s="26" t="n">
        <v>0.01</v>
      </c>
      <c r="H45" s="26">
        <f>E45*G45</f>
        <v/>
      </c>
      <c r="I45" s="25" t="inlineStr">
        <is>
          <t>Papel</t>
        </is>
      </c>
      <c r="J45" s="12" t="inlineStr">
        <is>
          <t>A5</t>
        </is>
      </c>
      <c r="K45" s="25" t="inlineStr">
        <is>
          <t>Compra</t>
        </is>
      </c>
      <c r="L45" s="12" t="inlineStr">
        <is>
          <t>23 Embalaje</t>
        </is>
      </c>
      <c r="M45" s="12" t="inlineStr">
        <is>
          <t>IRAM 3517-2 (información al usuario)</t>
        </is>
      </c>
      <c r="N45" s="25" t="inlineStr">
        <is>
          <t>R</t>
        </is>
      </c>
      <c r="O45" s="25" t="n"/>
      <c r="P45" s="12" t="n"/>
    </row>
    <row r="46">
      <c r="A46" s="25" t="inlineStr">
        <is>
          <t>FL_MAT_ABC_1kg</t>
        </is>
      </c>
      <c r="B46" s="25" t="n">
        <v>2</v>
      </c>
      <c r="C46" s="25" t="inlineStr">
        <is>
          <t>ABC1-E3</t>
        </is>
      </c>
      <c r="D46" s="12" t="inlineStr">
        <is>
          <t xml:space="preserve">        Pallet 1200 × 1000 (fracción)</t>
        </is>
      </c>
      <c r="E46" s="25" t="n">
        <v>0.0028</v>
      </c>
      <c r="F46" s="25" t="inlineStr">
        <is>
          <t>u</t>
        </is>
      </c>
      <c r="G46" s="26" t="n">
        <v>0.062</v>
      </c>
      <c r="H46" s="26">
        <f>E46*G46</f>
        <v/>
      </c>
      <c r="I46" s="25" t="inlineStr">
        <is>
          <t>Madera</t>
        </is>
      </c>
      <c r="J46" s="12" t="inlineStr">
        <is>
          <t>352 u por pallet</t>
        </is>
      </c>
      <c r="K46" s="25" t="inlineStr">
        <is>
          <t>Compra</t>
        </is>
      </c>
      <c r="L46" s="12" t="inlineStr">
        <is>
          <t>23 Embalaje</t>
        </is>
      </c>
      <c r="M46" s="12" t="n"/>
      <c r="N46" s="25" t="inlineStr">
        <is>
          <t>R</t>
        </is>
      </c>
      <c r="O46" s="25" t="n"/>
      <c r="P46" s="12" t="n"/>
    </row>
    <row r="47">
      <c r="A47" s="25" t="inlineStr">
        <is>
          <t>FL_MAT_ABC_1kg</t>
        </is>
      </c>
      <c r="B47" s="25" t="n">
        <v>2</v>
      </c>
      <c r="C47" s="25" t="inlineStr">
        <is>
          <t>ABC1-E4</t>
        </is>
      </c>
      <c r="D47" s="12" t="inlineStr">
        <is>
          <t xml:space="preserve">        Film stretch (fracción del pallet)</t>
        </is>
      </c>
      <c r="E47" s="25" t="n">
        <v>0.001</v>
      </c>
      <c r="F47" s="25" t="inlineStr">
        <is>
          <t>kg</t>
        </is>
      </c>
      <c r="G47" s="26" t="n">
        <v>1</v>
      </c>
      <c r="H47" s="26">
        <f>E47*G47</f>
        <v/>
      </c>
      <c r="I47" s="25" t="inlineStr">
        <is>
          <t>PE lineal 23 µm</t>
        </is>
      </c>
      <c r="J47" s="12" t="inlineStr">
        <is>
          <t>envolvedora EDOS PS5</t>
        </is>
      </c>
      <c r="K47" s="25" t="inlineStr">
        <is>
          <t>Compra</t>
        </is>
      </c>
      <c r="L47" s="12" t="inlineStr">
        <is>
          <t>24 Envolvedora (T11)</t>
        </is>
      </c>
      <c r="M47" s="12" t="n"/>
      <c r="N47" s="25" t="inlineStr">
        <is>
          <t>R</t>
        </is>
      </c>
      <c r="O47" s="25" t="n"/>
      <c r="P47" s="12" t="n"/>
    </row>
    <row r="48">
      <c r="A48" s="25" t="inlineStr">
        <is>
          <t>FL_MAT_ABC_1kg</t>
        </is>
      </c>
      <c r="B48" s="25" t="n">
        <v>2</v>
      </c>
      <c r="C48" s="25" t="inlineStr">
        <is>
          <t>ABC1-E5</t>
        </is>
      </c>
      <c r="D48" s="12" t="inlineStr">
        <is>
          <t xml:space="preserve">        Etiqueta de pallet (lote y destino, fracción)</t>
        </is>
      </c>
      <c r="E48" s="25" t="n">
        <v>0.0028</v>
      </c>
      <c r="F48" s="25" t="inlineStr">
        <is>
          <t>u</t>
        </is>
      </c>
      <c r="G48" s="26" t="n">
        <v>0</v>
      </c>
      <c r="H48" s="26">
        <f>E48*G48</f>
        <v/>
      </c>
      <c r="I48" s="25" t="inlineStr">
        <is>
          <t>Papel térmico</t>
        </is>
      </c>
      <c r="J48" s="12" t="inlineStr">
        <is>
          <t>100 × 150</t>
        </is>
      </c>
      <c r="K48" s="25" t="inlineStr">
        <is>
          <t>Compra</t>
        </is>
      </c>
      <c r="L48" s="12" t="inlineStr">
        <is>
          <t>24 Envolvedora</t>
        </is>
      </c>
      <c r="M48" s="12" t="n"/>
      <c r="N48" s="25" t="inlineStr">
        <is>
          <t>R</t>
        </is>
      </c>
      <c r="O48" s="25" t="n"/>
      <c r="P48" s="12" t="n"/>
    </row>
    <row r="49">
      <c r="A49" s="19" t="inlineStr">
        <is>
          <t>FL_MAT_ABC_2.5kg</t>
        </is>
      </c>
      <c r="B49" s="19" t="n">
        <v>0</v>
      </c>
      <c r="C49" s="19" t="inlineStr">
        <is>
          <t>FL_MAT_ABC_2.5kg</t>
        </is>
      </c>
      <c r="D49" s="20" t="inlineStr">
        <is>
          <t>Extintor ABC 2,5 kg</t>
        </is>
      </c>
      <c r="E49" s="19" t="n">
        <v>1</v>
      </c>
      <c r="F49" s="19" t="inlineStr">
        <is>
          <t>u</t>
        </is>
      </c>
      <c r="G49" s="21" t="n"/>
      <c r="H49" s="21" t="n"/>
      <c r="I49" s="19" t="n"/>
      <c r="J49" s="20" t="n"/>
      <c r="K49" s="19" t="n"/>
      <c r="L49" s="20" t="n"/>
      <c r="M49" s="20" t="inlineStr">
        <is>
          <t>IRAM 3523</t>
        </is>
      </c>
      <c r="N49" s="19" t="inlineStr">
        <is>
          <t>P</t>
        </is>
      </c>
      <c r="O49" s="19" t="inlineStr">
        <is>
          <t>FL_MAT_ABC_2.5kg</t>
        </is>
      </c>
      <c r="P49" s="20" t="inlineStr">
        <is>
          <t>Fabricación propia</t>
        </is>
      </c>
    </row>
    <row r="50">
      <c r="A50" s="22" t="inlineStr">
        <is>
          <t>FL_MAT_ABC_2.5kg</t>
        </is>
      </c>
      <c r="B50" s="22" t="n">
        <v>1</v>
      </c>
      <c r="C50" s="22" t="inlineStr">
        <is>
          <t>FL_REC_ABC_2.5kg</t>
        </is>
      </c>
      <c r="D50" s="23" t="inlineStr">
        <is>
          <t xml:space="preserve">    Recipiente (cilindro)</t>
        </is>
      </c>
      <c r="E50" s="22" t="n">
        <v>1</v>
      </c>
      <c r="F50" s="22" t="inlineStr">
        <is>
          <t>u</t>
        </is>
      </c>
      <c r="G50" s="24" t="n"/>
      <c r="H50" s="24">
        <f>H51+H53+H55+H57+H59+H62</f>
        <v/>
      </c>
      <c r="I50" s="22" t="n"/>
      <c r="J50" s="23" t="n"/>
      <c r="K50" s="22" t="inlineStr">
        <is>
          <t>Fabricación</t>
        </is>
      </c>
      <c r="L50" s="23" t="n"/>
      <c r="M50" s="23" t="inlineStr">
        <is>
          <t>IRAM 3523 / 3550 (recipiente)</t>
        </is>
      </c>
      <c r="N50" s="22" t="inlineStr">
        <is>
          <t>P</t>
        </is>
      </c>
      <c r="O50" s="22" t="inlineStr">
        <is>
          <t>FL_REC_ABC_2.5kg</t>
        </is>
      </c>
      <c r="P50" s="23" t="n"/>
    </row>
    <row r="51">
      <c r="A51" s="25" t="inlineStr">
        <is>
          <t>FL_MAT_ABC_2.5kg</t>
        </is>
      </c>
      <c r="B51" s="25" t="n">
        <v>2</v>
      </c>
      <c r="C51" s="25" t="inlineStr">
        <is>
          <t>ABC2.5-01</t>
        </is>
      </c>
      <c r="D51" s="12" t="inlineStr">
        <is>
          <t xml:space="preserve">        Cuerpo (virola)</t>
        </is>
      </c>
      <c r="E51" s="25" t="n">
        <v>1</v>
      </c>
      <c r="F51" s="25" t="inlineStr">
        <is>
          <t>u</t>
        </is>
      </c>
      <c r="G51" s="26" t="n">
        <v>0.9899</v>
      </c>
      <c r="H51" s="26">
        <f>E51*G51</f>
        <v/>
      </c>
      <c r="I51" s="25" t="inlineStr">
        <is>
          <t>Chapa acero SAE 1010 e=1,25</t>
        </is>
      </c>
      <c r="J51" s="12" t="inlineStr">
        <is>
          <t>Ø124 × e1,25 × 261,6 de alto; desarrollo 385,6 × 261,6</t>
        </is>
      </c>
      <c r="K51" s="25" t="inlineStr">
        <is>
          <t>Fabricación</t>
        </is>
      </c>
      <c r="L51" s="12" t="inlineStr">
        <is>
          <t>1 Guillotina -&gt; 2 numerado -&gt; 3 cilindrado -&gt; 4 soldadura longitudinal</t>
        </is>
      </c>
      <c r="M51" s="12" t="n"/>
      <c r="N51" s="25" t="inlineStr">
        <is>
          <t>P</t>
        </is>
      </c>
      <c r="O51" s="25" t="inlineStr">
        <is>
          <t>FL_DES_ABC_2.5kg</t>
        </is>
      </c>
      <c r="P51" s="12" t="inlineStr">
        <is>
          <t>costura long. MIG</t>
        </is>
      </c>
    </row>
    <row r="52">
      <c r="A52" s="27" t="inlineStr">
        <is>
          <t>FL_MAT_ABC_2.5kg</t>
        </is>
      </c>
      <c r="B52" s="27" t="n">
        <v>3</v>
      </c>
      <c r="C52" s="27" t="inlineStr">
        <is>
          <t>MP-HOJA</t>
        </is>
      </c>
      <c r="D52" s="28" t="inlineStr">
        <is>
          <t xml:space="preserve">            Recorte de hoja LAF 1220 × 2440 e=1,25</t>
        </is>
      </c>
      <c r="E52" s="27" t="n">
        <v>1</v>
      </c>
      <c r="F52" s="27" t="inlineStr">
        <is>
          <t>u</t>
        </is>
      </c>
      <c r="G52" s="29" t="n">
        <v>1.082</v>
      </c>
      <c r="H52" s="29">
        <f>E52*G52</f>
        <v/>
      </c>
      <c r="I52" s="27" t="inlineStr">
        <is>
          <t>Chapa SAE 1010 LAF</t>
        </is>
      </c>
      <c r="J52" s="28" t="inlineStr">
        <is>
          <t>385,5 × 269,5 (aprovech. 94,2 %)</t>
        </is>
      </c>
      <c r="K52" s="27" t="inlineStr">
        <is>
          <t>Compra (Pradecon)</t>
        </is>
      </c>
      <c r="L52" s="28" t="inlineStr">
        <is>
          <t>AL-1H paquetes de hojas</t>
        </is>
      </c>
      <c r="M52" s="28" t="n"/>
      <c r="N52" s="27" t="inlineStr">
        <is>
          <t>L</t>
        </is>
      </c>
      <c r="O52" s="27" t="inlineStr">
        <is>
          <t>FL_PI_04 h2</t>
        </is>
      </c>
      <c r="P52" s="28" t="n"/>
    </row>
    <row r="53">
      <c r="A53" s="25" t="inlineStr">
        <is>
          <t>FL_MAT_ABC_2.5kg</t>
        </is>
      </c>
      <c r="B53" s="25" t="n">
        <v>2</v>
      </c>
      <c r="C53" s="25" t="inlineStr">
        <is>
          <t>ABC2.5-02</t>
        </is>
      </c>
      <c r="D53" s="12" t="inlineStr">
        <is>
          <t xml:space="preserve">        Cúpula</t>
        </is>
      </c>
      <c r="E53" s="25" t="n">
        <v>1</v>
      </c>
      <c r="F53" s="25" t="inlineStr">
        <is>
          <t>u</t>
        </is>
      </c>
      <c r="G53" s="26" t="n">
        <v>0.1642</v>
      </c>
      <c r="H53" s="26">
        <f>E53*G53</f>
        <v/>
      </c>
      <c r="I53" s="25" t="inlineStr">
        <is>
          <t>Chapa acero SAE 1010 e=1,25</t>
        </is>
      </c>
      <c r="J53" s="12" t="inlineStr">
        <is>
          <t>Ø124 × e1,25 × 37,9 de alto; disco Ø179</t>
        </is>
      </c>
      <c r="K53" s="25" t="inlineStr">
        <is>
          <t>Fabricación</t>
        </is>
      </c>
      <c r="L53" s="12" t="inlineStr">
        <is>
          <t>6 Desbobinado + embutido (M06-M08)</t>
        </is>
      </c>
      <c r="M53" s="12" t="n"/>
      <c r="N53" s="25" t="inlineStr">
        <is>
          <t>P</t>
        </is>
      </c>
      <c r="O53" s="25" t="inlineStr">
        <is>
          <t>FL_DES_ABC_2.5kg</t>
        </is>
      </c>
      <c r="P53" s="12" t="inlineStr">
        <is>
          <t>embutida</t>
        </is>
      </c>
    </row>
    <row r="54">
      <c r="A54" s="27" t="inlineStr">
        <is>
          <t>FL_MAT_ABC_2.5kg</t>
        </is>
      </c>
      <c r="B54" s="27" t="n">
        <v>3</v>
      </c>
      <c r="C54" s="27" t="inlineStr">
        <is>
          <t>MP-FLEJE</t>
        </is>
      </c>
      <c r="D54" s="28" t="inlineStr">
        <is>
          <t xml:space="preserve">            Fleje e=1,25 × 200 (paso 182)</t>
        </is>
      </c>
      <c r="E54" s="27" t="n">
        <v>0.182</v>
      </c>
      <c r="F54" s="27" t="inlineStr">
        <is>
          <t>m</t>
        </is>
      </c>
      <c r="G54" s="29" t="n">
        <v>1.962</v>
      </c>
      <c r="H54" s="29">
        <f>E54*G54</f>
        <v/>
      </c>
      <c r="I54" s="27" t="inlineStr">
        <is>
          <t>Fleje SAE 1010</t>
        </is>
      </c>
      <c r="J54" s="28" t="inlineStr">
        <is>
          <t>disco Ø179 (kg por m de fleje)</t>
        </is>
      </c>
      <c r="K54" s="27" t="inlineStr">
        <is>
          <t>Compra (Pacheco / Pradecon)</t>
        </is>
      </c>
      <c r="L54" s="28" t="inlineStr">
        <is>
          <t>AL-1F porta-flejes</t>
        </is>
      </c>
      <c r="M54" s="28" t="n"/>
      <c r="N54" s="27" t="inlineStr">
        <is>
          <t>L</t>
        </is>
      </c>
      <c r="O54" s="27" t="inlineStr">
        <is>
          <t>FL_PI_04 h2</t>
        </is>
      </c>
      <c r="P54" s="28" t="n"/>
    </row>
    <row r="55">
      <c r="A55" s="25" t="inlineStr">
        <is>
          <t>FL_MAT_ABC_2.5kg</t>
        </is>
      </c>
      <c r="B55" s="25" t="n">
        <v>2</v>
      </c>
      <c r="C55" s="25" t="inlineStr">
        <is>
          <t>ABC2.5-03</t>
        </is>
      </c>
      <c r="D55" s="12" t="inlineStr">
        <is>
          <t xml:space="preserve">        Fondo</t>
        </is>
      </c>
      <c r="E55" s="25" t="n">
        <v>1</v>
      </c>
      <c r="F55" s="25" t="inlineStr">
        <is>
          <t>u</t>
        </is>
      </c>
      <c r="G55" s="26" t="n">
        <v>0.1138</v>
      </c>
      <c r="H55" s="26">
        <f>E55*G55</f>
        <v/>
      </c>
      <c r="I55" s="25" t="inlineStr">
        <is>
          <t>Chapa acero SAE 1010 e=1,25</t>
        </is>
      </c>
      <c r="J55" s="12" t="inlineStr">
        <is>
          <t>Ø124 × e1,25 × 11,8 de alto; disco Ø148</t>
        </is>
      </c>
      <c r="K55" s="25" t="inlineStr">
        <is>
          <t>Fabricación</t>
        </is>
      </c>
      <c r="L55" s="12" t="inlineStr">
        <is>
          <t>6 Desbobinado + embutido (M06-M08)</t>
        </is>
      </c>
      <c r="M55" s="12" t="n"/>
      <c r="N55" s="25" t="inlineStr">
        <is>
          <t>P</t>
        </is>
      </c>
      <c r="O55" s="25" t="inlineStr">
        <is>
          <t>FL_DES_ABC_2.5kg</t>
        </is>
      </c>
      <c r="P55" s="12" t="inlineStr">
        <is>
          <t>embutido</t>
        </is>
      </c>
    </row>
    <row r="56">
      <c r="A56" s="27" t="inlineStr">
        <is>
          <t>FL_MAT_ABC_2.5kg</t>
        </is>
      </c>
      <c r="B56" s="27" t="n">
        <v>3</v>
      </c>
      <c r="C56" s="27" t="inlineStr">
        <is>
          <t>MP-FLEJE</t>
        </is>
      </c>
      <c r="D56" s="28" t="inlineStr">
        <is>
          <t xml:space="preserve">            Fleje e=1,25 × 200 (paso 151)</t>
        </is>
      </c>
      <c r="E56" s="27" t="n">
        <v>0.151</v>
      </c>
      <c r="F56" s="27" t="inlineStr">
        <is>
          <t>m</t>
        </is>
      </c>
      <c r="G56" s="29" t="n">
        <v>1.962</v>
      </c>
      <c r="H56" s="29">
        <f>E56*G56</f>
        <v/>
      </c>
      <c r="I56" s="27" t="inlineStr">
        <is>
          <t>Fleje SAE 1010</t>
        </is>
      </c>
      <c r="J56" s="28" t="inlineStr">
        <is>
          <t>disco Ø148 (kg por m de fleje)</t>
        </is>
      </c>
      <c r="K56" s="27" t="inlineStr">
        <is>
          <t>Compra (Pacheco / Pradecon)</t>
        </is>
      </c>
      <c r="L56" s="28" t="inlineStr">
        <is>
          <t>AL-1F porta-flejes</t>
        </is>
      </c>
      <c r="M56" s="28" t="n"/>
      <c r="N56" s="27" t="inlineStr">
        <is>
          <t>L</t>
        </is>
      </c>
      <c r="O56" s="27" t="inlineStr">
        <is>
          <t>FL_PI_04 h2</t>
        </is>
      </c>
      <c r="P56" s="28" t="n"/>
    </row>
    <row r="57">
      <c r="A57" s="25" t="inlineStr">
        <is>
          <t>FL_MAT_ABC_2.5kg</t>
        </is>
      </c>
      <c r="B57" s="25" t="n">
        <v>2</v>
      </c>
      <c r="C57" s="25" t="inlineStr">
        <is>
          <t>ABC2.5-04</t>
        </is>
      </c>
      <c r="D57" s="12" t="inlineStr">
        <is>
          <t xml:space="preserve">        Cuello roscado</t>
        </is>
      </c>
      <c r="E57" s="25" t="n">
        <v>1</v>
      </c>
      <c r="F57" s="25" t="inlineStr">
        <is>
          <t>u</t>
        </is>
      </c>
      <c r="G57" s="26" t="n">
        <v>0.0545</v>
      </c>
      <c r="H57" s="26">
        <f>E57*G57</f>
        <v/>
      </c>
      <c r="I57" s="25" t="inlineStr">
        <is>
          <t>Acero SAE 1010</t>
        </is>
      </c>
      <c r="J57" s="12" t="inlineStr">
        <is>
          <t>Ø37 × 14 de alto, rosca M30x1,5, asiento Ø35</t>
        </is>
      </c>
      <c r="K57" s="25" t="inlineStr">
        <is>
          <t>Fabricación</t>
        </is>
      </c>
      <c r="L57" s="12" t="inlineStr">
        <is>
          <t>7 Preparación de cuello -&gt; 8 soldadura de cuello</t>
        </is>
      </c>
      <c r="M57" s="12" t="n"/>
      <c r="N57" s="25" t="inlineStr">
        <is>
          <t>P</t>
        </is>
      </c>
      <c r="O57" s="25" t="inlineStr">
        <is>
          <t>FL_DES_ABC_2.5kg</t>
        </is>
      </c>
      <c r="P57" s="12" t="inlineStr">
        <is>
          <t>M30x1,5</t>
        </is>
      </c>
    </row>
    <row r="58">
      <c r="A58" s="27" t="inlineStr">
        <is>
          <t>FL_MAT_ABC_2.5kg</t>
        </is>
      </c>
      <c r="B58" s="27" t="n">
        <v>3</v>
      </c>
      <c r="C58" s="27" t="inlineStr">
        <is>
          <t>MP-CUELLO</t>
        </is>
      </c>
      <c r="D58" s="28" t="inlineStr">
        <is>
          <t xml:space="preserve">            Cuello roscado mecanizado (pieza comprada lista para soldar)</t>
        </is>
      </c>
      <c r="E58" s="27" t="n">
        <v>1</v>
      </c>
      <c r="F58" s="27" t="inlineStr">
        <is>
          <t>u</t>
        </is>
      </c>
      <c r="G58" s="29" t="n">
        <v>0.055</v>
      </c>
      <c r="H58" s="29">
        <f>E58*G58</f>
        <v/>
      </c>
      <c r="I58" s="27" t="inlineStr">
        <is>
          <t>Acero SAE 1010 / 1020</t>
        </is>
      </c>
      <c r="J58" s="28" t="inlineStr">
        <is>
          <t>rosca M30x1,5</t>
        </is>
      </c>
      <c r="K58" s="27" t="inlineStr">
        <is>
          <t>Compra (Eli-Met)</t>
        </is>
      </c>
      <c r="L58" s="28" t="inlineStr">
        <is>
          <t>AL-1C cuellos y roscas</t>
        </is>
      </c>
      <c r="M58" s="28" t="n"/>
      <c r="N58" s="27" t="inlineStr">
        <is>
          <t>L</t>
        </is>
      </c>
      <c r="O58" s="27" t="n"/>
      <c r="P58" s="28" t="n"/>
    </row>
    <row r="59">
      <c r="A59" s="25" t="inlineStr">
        <is>
          <t>FL_MAT_ABC_2.5kg</t>
        </is>
      </c>
      <c r="B59" s="25" t="n">
        <v>2</v>
      </c>
      <c r="C59" s="25" t="inlineStr">
        <is>
          <t>ABC2.5-C1</t>
        </is>
      </c>
      <c r="D59" s="12" t="inlineStr">
        <is>
          <t xml:space="preserve">        Aporte de soldadura: Alambre MAG ER70S-6 Ø0,9/1,2</t>
        </is>
      </c>
      <c r="E59" s="25" t="n">
        <v>0.0303</v>
      </c>
      <c r="F59" s="25" t="inlineStr">
        <is>
          <t>kg</t>
        </is>
      </c>
      <c r="G59" s="26" t="n">
        <v>0.92</v>
      </c>
      <c r="H59" s="26">
        <f>E59*G59</f>
        <v/>
      </c>
      <c r="I59" s="25" t="inlineStr">
        <is>
          <t>Alambre MAG ER70S-6 Ø0,9/1,2</t>
        </is>
      </c>
      <c r="J59" s="12" t="inlineStr">
        <is>
          <t>cordones del plano: 28 g depositados (rend. 92 %)</t>
        </is>
      </c>
      <c r="K59" s="25" t="inlineStr">
        <is>
          <t>Compra</t>
        </is>
      </c>
      <c r="L59" s="12" t="inlineStr">
        <is>
          <t>4 sold. long. / 8 cuello / 11 circunferencial</t>
        </is>
      </c>
      <c r="M59" s="12" t="inlineStr">
        <is>
          <t>ISO 4063 131 / 141</t>
        </is>
      </c>
      <c r="N59" s="25" t="inlineStr">
        <is>
          <t>P</t>
        </is>
      </c>
      <c r="O59" s="25" t="n"/>
      <c r="P59" s="12" t="n"/>
    </row>
    <row r="60">
      <c r="A60" s="25" t="inlineStr">
        <is>
          <t>FL_MAT_ABC_2.5kg</t>
        </is>
      </c>
      <c r="B60" s="25" t="n">
        <v>2</v>
      </c>
      <c r="C60" s="25" t="inlineStr">
        <is>
          <t>ABC2.5-C2</t>
        </is>
      </c>
      <c r="D60" s="12" t="inlineStr">
        <is>
          <t xml:space="preserve">        Gas de protección: Arcal 21 (Ar + 18 % CO₂)</t>
        </is>
      </c>
      <c r="E60" s="25" t="n">
        <v>13.6</v>
      </c>
      <c r="F60" s="25" t="inlineStr">
        <is>
          <t>L</t>
        </is>
      </c>
      <c r="G60" s="26" t="n"/>
      <c r="H60" s="26" t="n"/>
      <c r="I60" s="25" t="inlineStr">
        <is>
          <t>Arcal 21 (Ar + 18 % CO₂)</t>
        </is>
      </c>
      <c r="J60" s="12" t="inlineStr">
        <is>
          <t>0,9 min de arco × 15 L/min</t>
        </is>
      </c>
      <c r="K60" s="25" t="inlineStr">
        <is>
          <t>Compra</t>
        </is>
      </c>
      <c r="L60" s="12" t="inlineStr">
        <is>
          <t>Colector SC</t>
        </is>
      </c>
      <c r="M60" s="12" t="n"/>
      <c r="N60" s="25" t="inlineStr">
        <is>
          <t>R</t>
        </is>
      </c>
      <c r="O60" s="25" t="n"/>
      <c r="P60" s="12" t="n"/>
    </row>
    <row r="61">
      <c r="A61" s="25" t="inlineStr">
        <is>
          <t>FL_MAT_ABC_2.5kg</t>
        </is>
      </c>
      <c r="B61" s="25" t="n">
        <v>2</v>
      </c>
      <c r="C61" s="25" t="inlineStr">
        <is>
          <t>ABC2.5-C3</t>
        </is>
      </c>
      <c r="D61" s="12" t="inlineStr">
        <is>
          <t xml:space="preserve">        Granalla de acero (consumo)</t>
        </is>
      </c>
      <c r="E61" s="25" t="n">
        <v>0.01</v>
      </c>
      <c r="F61" s="25" t="inlineStr">
        <is>
          <t>kg</t>
        </is>
      </c>
      <c r="G61" s="26" t="n"/>
      <c r="H61" s="26" t="n"/>
      <c r="I61" s="25" t="inlineStr">
        <is>
          <t>Granalla S-230</t>
        </is>
      </c>
      <c r="J61" s="12" t="inlineStr">
        <is>
          <t>0,129 m² a Sa 2½</t>
        </is>
      </c>
      <c r="K61" s="25" t="inlineStr">
        <is>
          <t>Compra</t>
        </is>
      </c>
      <c r="L61" s="12" t="inlineStr">
        <is>
          <t>14 Granallado (B08)</t>
        </is>
      </c>
      <c r="M61" s="12" t="inlineStr">
        <is>
          <t>ISO 8501-1</t>
        </is>
      </c>
      <c r="N61" s="25" t="inlineStr">
        <is>
          <t>R</t>
        </is>
      </c>
      <c r="O61" s="25" t="n"/>
      <c r="P61" s="12" t="n"/>
    </row>
    <row r="62">
      <c r="A62" s="25" t="inlineStr">
        <is>
          <t>FL_MAT_ABC_2.5kg</t>
        </is>
      </c>
      <c r="B62" s="25" t="n">
        <v>2</v>
      </c>
      <c r="C62" s="25" t="inlineStr">
        <is>
          <t>ABC2.5-C4</t>
        </is>
      </c>
      <c r="D62" s="12" t="inlineStr">
        <is>
          <t xml:space="preserve">        Pintura en polvo poliéster rojo</t>
        </is>
      </c>
      <c r="E62" s="25" t="n">
        <v>0.024</v>
      </c>
      <c r="F62" s="25" t="inlineStr">
        <is>
          <t>kg</t>
        </is>
      </c>
      <c r="G62" s="26" t="n">
        <v>0.65</v>
      </c>
      <c r="H62" s="26">
        <f>E62*G62</f>
        <v/>
      </c>
      <c r="I62" s="25" t="inlineStr">
        <is>
          <t>Poliéster rojo 03-1-050</t>
        </is>
      </c>
      <c r="J62" s="12" t="inlineStr">
        <is>
          <t>0,129 m² × 80 µm (60-100 µm), rendimiento 65 %</t>
        </is>
      </c>
      <c r="K62" s="25" t="inlineStr">
        <is>
          <t>Compra</t>
        </is>
      </c>
      <c r="L62" s="12" t="inlineStr">
        <is>
          <t>17 Pintura (S-P) / tercerizada en carros</t>
        </is>
      </c>
      <c r="M62" s="12" t="inlineStr">
        <is>
          <t>DOC-01 · IRAM 3517-2 9.10</t>
        </is>
      </c>
      <c r="N62" s="25" t="inlineStr">
        <is>
          <t>R</t>
        </is>
      </c>
      <c r="O62" s="25" t="n"/>
      <c r="P62" s="12" t="n"/>
    </row>
    <row r="63">
      <c r="A63" s="22" t="inlineStr">
        <is>
          <t>FL_MAT_ABC_2.5kg</t>
        </is>
      </c>
      <c r="B63" s="22" t="n">
        <v>1</v>
      </c>
      <c r="C63" s="22" t="inlineStr">
        <is>
          <t>ABC2.5-S2</t>
        </is>
      </c>
      <c r="D63" s="23" t="inlineStr">
        <is>
          <t xml:space="preserve">    Conjunto de válvula</t>
        </is>
      </c>
      <c r="E63" s="22" t="n">
        <v>1</v>
      </c>
      <c r="F63" s="22" t="inlineStr">
        <is>
          <t>u</t>
        </is>
      </c>
      <c r="G63" s="24" t="n"/>
      <c r="H63" s="24">
        <f>H64+H65+H66+H67+H68+H69+H70+H71+H72+H73+H74+H75+H76</f>
        <v/>
      </c>
      <c r="I63" s="22" t="n"/>
      <c r="J63" s="23" t="n"/>
      <c r="K63" s="22" t="inlineStr">
        <is>
          <t>Compra / armado</t>
        </is>
      </c>
      <c r="L63" s="23" t="n"/>
      <c r="M63" s="23" t="inlineStr">
        <is>
          <t>Manómetro IRAM 3533</t>
        </is>
      </c>
      <c r="N63" s="22" t="inlineStr">
        <is>
          <t>P</t>
        </is>
      </c>
      <c r="O63" s="22" t="inlineStr">
        <is>
          <t>FL_DES_ABC_2.5kg</t>
        </is>
      </c>
      <c r="P63" s="23" t="n"/>
    </row>
    <row r="64">
      <c r="A64" s="25" t="inlineStr">
        <is>
          <t>FL_MAT_ABC_2.5kg</t>
        </is>
      </c>
      <c r="B64" s="25" t="n">
        <v>2</v>
      </c>
      <c r="C64" s="25" t="inlineStr">
        <is>
          <t>ABC2.5-05</t>
        </is>
      </c>
      <c r="D64" s="12" t="inlineStr">
        <is>
          <t xml:space="preserve">        Collarín de válvula</t>
        </is>
      </c>
      <c r="E64" s="25" t="n">
        <v>1</v>
      </c>
      <c r="F64" s="25" t="inlineStr">
        <is>
          <t>u</t>
        </is>
      </c>
      <c r="G64" s="26" t="n">
        <v>0.0833</v>
      </c>
      <c r="H64" s="26">
        <f>E64*G64</f>
        <v/>
      </c>
      <c r="I64" s="25" t="inlineStr">
        <is>
          <t>Latón forjado</t>
        </is>
      </c>
      <c r="J64" s="12" t="inlineStr">
        <is>
          <t>43 × 43 × 10</t>
        </is>
      </c>
      <c r="K64" s="25" t="inlineStr">
        <is>
          <t>Compra</t>
        </is>
      </c>
      <c r="L64" s="12" t="inlineStr">
        <is>
          <t>19 Ensamblaje de válvula (T03/T04)</t>
        </is>
      </c>
      <c r="M64" s="12" t="n"/>
      <c r="N64" s="25" t="inlineStr">
        <is>
          <t>P</t>
        </is>
      </c>
      <c r="O64" s="25" t="inlineStr">
        <is>
          <t>FL_DES_ABC_2.5kg</t>
        </is>
      </c>
      <c r="P64" s="12" t="n"/>
    </row>
    <row r="65">
      <c r="A65" s="25" t="inlineStr">
        <is>
          <t>FL_MAT_ABC_2.5kg</t>
        </is>
      </c>
      <c r="B65" s="25" t="n">
        <v>2</v>
      </c>
      <c r="C65" s="25" t="inlineStr">
        <is>
          <t>ABC2.5-06</t>
        </is>
      </c>
      <c r="D65" s="12" t="inlineStr">
        <is>
          <t xml:space="preserve">        Espiga roscada</t>
        </is>
      </c>
      <c r="E65" s="25" t="n">
        <v>1</v>
      </c>
      <c r="F65" s="25" t="inlineStr">
        <is>
          <t>u</t>
        </is>
      </c>
      <c r="G65" s="26" t="n">
        <v>0.0243</v>
      </c>
      <c r="H65" s="26">
        <f>E65*G65</f>
        <v/>
      </c>
      <c r="I65" s="25" t="inlineStr">
        <is>
          <t>Latón forjado</t>
        </is>
      </c>
      <c r="J65" s="12" t="inlineStr">
        <is>
          <t>28,4 × 28,4 × 12</t>
        </is>
      </c>
      <c r="K65" s="25" t="inlineStr">
        <is>
          <t>Compra</t>
        </is>
      </c>
      <c r="L65" s="12" t="inlineStr">
        <is>
          <t>19 Ensamblaje de válvula (T03/T04)</t>
        </is>
      </c>
      <c r="M65" s="12" t="n"/>
      <c r="N65" s="25" t="inlineStr">
        <is>
          <t>P</t>
        </is>
      </c>
      <c r="O65" s="25" t="inlineStr">
        <is>
          <t>FL_DES_ABC_2.5kg</t>
        </is>
      </c>
      <c r="P65" s="12" t="n"/>
    </row>
    <row r="66">
      <c r="A66" s="25" t="inlineStr">
        <is>
          <t>FL_MAT_ABC_2.5kg</t>
        </is>
      </c>
      <c r="B66" s="25" t="n">
        <v>2</v>
      </c>
      <c r="C66" s="25" t="inlineStr">
        <is>
          <t>ABC2.5-07</t>
        </is>
      </c>
      <c r="D66" s="12" t="inlineStr">
        <is>
          <t xml:space="preserve">        Cuerpo de válvula</t>
        </is>
      </c>
      <c r="E66" s="25" t="n">
        <v>1</v>
      </c>
      <c r="F66" s="25" t="inlineStr">
        <is>
          <t>u</t>
        </is>
      </c>
      <c r="G66" s="26" t="n">
        <v>0.4817</v>
      </c>
      <c r="H66" s="26">
        <f>E66*G66</f>
        <v/>
      </c>
      <c r="I66" s="25" t="inlineStr">
        <is>
          <t>Latón forjado</t>
        </is>
      </c>
      <c r="J66" s="12" t="inlineStr">
        <is>
          <t>66,1 × 43 × 34</t>
        </is>
      </c>
      <c r="K66" s="25" t="inlineStr">
        <is>
          <t>Compra</t>
        </is>
      </c>
      <c r="L66" s="12" t="inlineStr">
        <is>
          <t>19 Ensamblaje de válvula (T03/T04)</t>
        </is>
      </c>
      <c r="M66" s="12" t="n"/>
      <c r="N66" s="25" t="inlineStr">
        <is>
          <t>P</t>
        </is>
      </c>
      <c r="O66" s="25" t="inlineStr">
        <is>
          <t>FL_DES_ABC_2.5kg</t>
        </is>
      </c>
      <c r="P66" s="12" t="n"/>
    </row>
    <row r="67">
      <c r="A67" s="25" t="inlineStr">
        <is>
          <t>FL_MAT_ABC_2.5kg</t>
        </is>
      </c>
      <c r="B67" s="25" t="n">
        <v>2</v>
      </c>
      <c r="C67" s="25" t="inlineStr">
        <is>
          <t>ABC2.5-08</t>
        </is>
      </c>
      <c r="D67" s="12" t="inlineStr">
        <is>
          <t xml:space="preserve">        Manómetro</t>
        </is>
      </c>
      <c r="E67" s="25" t="n">
        <v>1</v>
      </c>
      <c r="F67" s="25" t="inlineStr">
        <is>
          <t>u</t>
        </is>
      </c>
      <c r="G67" s="26" t="n">
        <v>0.06</v>
      </c>
      <c r="H67" s="26">
        <f>E67*G67</f>
        <v/>
      </c>
      <c r="I67" s="25" t="inlineStr">
        <is>
          <t>Comercial</t>
        </is>
      </c>
      <c r="J67" s="12" t="inlineStr">
        <is>
          <t>Ø38 esfera, rango 0-3,5 MPa, sector verde en 1,4</t>
        </is>
      </c>
      <c r="K67" s="25" t="inlineStr">
        <is>
          <t>Compra</t>
        </is>
      </c>
      <c r="L67" s="12" t="inlineStr">
        <is>
          <t>19 Ensamblaje de válvula (T03/T04)</t>
        </is>
      </c>
      <c r="M67" s="12" t="inlineStr">
        <is>
          <t>IRAM 3533</t>
        </is>
      </c>
      <c r="N67" s="25" t="inlineStr">
        <is>
          <t>R</t>
        </is>
      </c>
      <c r="O67" s="25" t="inlineStr">
        <is>
          <t>FL_DES_ABC_2.5kg</t>
        </is>
      </c>
      <c r="P67" s="12" t="inlineStr">
        <is>
          <t>Pieza comercial; sello IRAM 3533</t>
        </is>
      </c>
    </row>
    <row r="68">
      <c r="A68" s="25" t="inlineStr">
        <is>
          <t>FL_MAT_ABC_2.5kg</t>
        </is>
      </c>
      <c r="B68" s="25" t="n">
        <v>2</v>
      </c>
      <c r="C68" s="25" t="inlineStr">
        <is>
          <t>ABC2.5-09</t>
        </is>
      </c>
      <c r="D68" s="12" t="inlineStr">
        <is>
          <t xml:space="preserve">        Manija de transporte</t>
        </is>
      </c>
      <c r="E68" s="25" t="n">
        <v>1</v>
      </c>
      <c r="F68" s="25" t="inlineStr">
        <is>
          <t>u</t>
        </is>
      </c>
      <c r="G68" s="26" t="n">
        <v>0.0679</v>
      </c>
      <c r="H68" s="26">
        <f>E68*G68</f>
        <v/>
      </c>
      <c r="I68" s="25" t="inlineStr">
        <is>
          <t>Chapa acero SAE 1010 pintada</t>
        </is>
      </c>
      <c r="J68" s="12" t="inlineStr">
        <is>
          <t>107,9 × 20 × 15,3</t>
        </is>
      </c>
      <c r="K68" s="25" t="inlineStr">
        <is>
          <t>Compra</t>
        </is>
      </c>
      <c r="L68" s="12" t="inlineStr">
        <is>
          <t>19 Ensamblaje de válvula (T03/T04)</t>
        </is>
      </c>
      <c r="M68" s="12" t="n"/>
      <c r="N68" s="25" t="inlineStr">
        <is>
          <t>P</t>
        </is>
      </c>
      <c r="O68" s="25" t="inlineStr">
        <is>
          <t>FL_DES_ABC_2.5kg</t>
        </is>
      </c>
      <c r="P68" s="12" t="n"/>
    </row>
    <row r="69">
      <c r="A69" s="25" t="inlineStr">
        <is>
          <t>FL_MAT_ABC_2.5kg</t>
        </is>
      </c>
      <c r="B69" s="25" t="n">
        <v>2</v>
      </c>
      <c r="C69" s="25" t="inlineStr">
        <is>
          <t>ABC2.5-10</t>
        </is>
      </c>
      <c r="D69" s="12" t="inlineStr">
        <is>
          <t xml:space="preserve">        Manija de accionamiento</t>
        </is>
      </c>
      <c r="E69" s="25" t="n">
        <v>1</v>
      </c>
      <c r="F69" s="25" t="inlineStr">
        <is>
          <t>u</t>
        </is>
      </c>
      <c r="G69" s="26" t="n">
        <v>0.0949</v>
      </c>
      <c r="H69" s="26">
        <f>E69*G69</f>
        <v/>
      </c>
      <c r="I69" s="25" t="inlineStr">
        <is>
          <t>Chapa acero SAE 1010 pintada</t>
        </is>
      </c>
      <c r="J69" s="12" t="inlineStr">
        <is>
          <t>150,5 × 22,4 × 20</t>
        </is>
      </c>
      <c r="K69" s="25" t="inlineStr">
        <is>
          <t>Compra</t>
        </is>
      </c>
      <c r="L69" s="12" t="inlineStr">
        <is>
          <t>19 Ensamblaje de válvula (T03/T04)</t>
        </is>
      </c>
      <c r="M69" s="12" t="n"/>
      <c r="N69" s="25" t="inlineStr">
        <is>
          <t>P</t>
        </is>
      </c>
      <c r="O69" s="25" t="inlineStr">
        <is>
          <t>FL_DES_ABC_2.5kg</t>
        </is>
      </c>
      <c r="P69" s="12" t="n"/>
    </row>
    <row r="70">
      <c r="A70" s="25" t="inlineStr">
        <is>
          <t>FL_MAT_ABC_2.5kg</t>
        </is>
      </c>
      <c r="B70" s="25" t="n">
        <v>2</v>
      </c>
      <c r="C70" s="25" t="inlineStr">
        <is>
          <t>ABC2.5-11</t>
        </is>
      </c>
      <c r="D70" s="12" t="inlineStr">
        <is>
          <t xml:space="preserve">        Eje de palanca</t>
        </is>
      </c>
      <c r="E70" s="25" t="n">
        <v>1</v>
      </c>
      <c r="F70" s="25" t="inlineStr">
        <is>
          <t>u</t>
        </is>
      </c>
      <c r="G70" s="26" t="n">
        <v>0.0081</v>
      </c>
      <c r="H70" s="26">
        <f>E70*G70</f>
        <v/>
      </c>
      <c r="I70" s="25" t="inlineStr">
        <is>
          <t>Acero inox. AISI 304</t>
        </is>
      </c>
      <c r="J70" s="12" t="inlineStr">
        <is>
          <t>36 × 6 × 6</t>
        </is>
      </c>
      <c r="K70" s="25" t="inlineStr">
        <is>
          <t>Compra</t>
        </is>
      </c>
      <c r="L70" s="12" t="inlineStr">
        <is>
          <t>19 Ensamblaje de válvula (T03/T04)</t>
        </is>
      </c>
      <c r="M70" s="12" t="n"/>
      <c r="N70" s="25" t="inlineStr">
        <is>
          <t>P</t>
        </is>
      </c>
      <c r="O70" s="25" t="inlineStr">
        <is>
          <t>FL_DES_ABC_2.5kg</t>
        </is>
      </c>
      <c r="P70" s="12" t="n"/>
    </row>
    <row r="71">
      <c r="A71" s="25" t="inlineStr">
        <is>
          <t>FL_MAT_ABC_2.5kg</t>
        </is>
      </c>
      <c r="B71" s="25" t="n">
        <v>2</v>
      </c>
      <c r="C71" s="25" t="inlineStr">
        <is>
          <t>ABC2.5-12</t>
        </is>
      </c>
      <c r="D71" s="12" t="inlineStr">
        <is>
          <t xml:space="preserve">        Vástago</t>
        </is>
      </c>
      <c r="E71" s="25" t="n">
        <v>1</v>
      </c>
      <c r="F71" s="25" t="inlineStr">
        <is>
          <t>u</t>
        </is>
      </c>
      <c r="G71" s="26" t="n">
        <v>0.0017</v>
      </c>
      <c r="H71" s="26">
        <f>E71*G71</f>
        <v/>
      </c>
      <c r="I71" s="25" t="inlineStr">
        <is>
          <t>Latón</t>
        </is>
      </c>
      <c r="J71" s="12" t="inlineStr">
        <is>
          <t>8 × 8 × 4</t>
        </is>
      </c>
      <c r="K71" s="25" t="inlineStr">
        <is>
          <t>Compra</t>
        </is>
      </c>
      <c r="L71" s="12" t="inlineStr">
        <is>
          <t>19 Ensamblaje de válvula (T03/T04)</t>
        </is>
      </c>
      <c r="M71" s="12" t="n"/>
      <c r="N71" s="25" t="inlineStr">
        <is>
          <t>P</t>
        </is>
      </c>
      <c r="O71" s="25" t="inlineStr">
        <is>
          <t>FL_DES_ABC_2.5kg</t>
        </is>
      </c>
      <c r="P71" s="12" t="inlineStr">
        <is>
          <t>con junta tórica</t>
        </is>
      </c>
    </row>
    <row r="72">
      <c r="A72" s="25" t="inlineStr">
        <is>
          <t>FL_MAT_ABC_2.5kg</t>
        </is>
      </c>
      <c r="B72" s="25" t="n">
        <v>2</v>
      </c>
      <c r="C72" s="25" t="inlineStr">
        <is>
          <t>ABC2.5-13</t>
        </is>
      </c>
      <c r="D72" s="12" t="inlineStr">
        <is>
          <t xml:space="preserve">        Pasador de seguridad</t>
        </is>
      </c>
      <c r="E72" s="25" t="n">
        <v>1</v>
      </c>
      <c r="F72" s="25" t="inlineStr">
        <is>
          <t>u</t>
        </is>
      </c>
      <c r="G72" s="26" t="n">
        <v>0.0055</v>
      </c>
      <c r="H72" s="26">
        <f>E72*G72</f>
        <v/>
      </c>
      <c r="I72" s="25" t="inlineStr">
        <is>
          <t>Alambre acero inox. AISI 304</t>
        </is>
      </c>
      <c r="J72" s="12" t="inlineStr">
        <is>
          <t>45,4 × 21 × 20,8</t>
        </is>
      </c>
      <c r="K72" s="25" t="inlineStr">
        <is>
          <t>Compra</t>
        </is>
      </c>
      <c r="L72" s="12" t="inlineStr">
        <is>
          <t>19 Ensamblaje de válvula (T03/T04)</t>
        </is>
      </c>
      <c r="M72" s="12" t="n"/>
      <c r="N72" s="25" t="inlineStr">
        <is>
          <t>P</t>
        </is>
      </c>
      <c r="O72" s="25" t="inlineStr">
        <is>
          <t>FL_DES_ABC_2.5kg</t>
        </is>
      </c>
      <c r="P72" s="12" t="inlineStr">
        <is>
          <t>con precinto</t>
        </is>
      </c>
    </row>
    <row r="73">
      <c r="A73" s="25" t="inlineStr">
        <is>
          <t>FL_MAT_ABC_2.5kg</t>
        </is>
      </c>
      <c r="B73" s="25" t="n">
        <v>2</v>
      </c>
      <c r="C73" s="25" t="inlineStr">
        <is>
          <t>ABC2.5-14</t>
        </is>
      </c>
      <c r="D73" s="12" t="inlineStr">
        <is>
          <t xml:space="preserve">        Caño de pesca (sifón)</t>
        </is>
      </c>
      <c r="E73" s="25" t="n">
        <v>1</v>
      </c>
      <c r="F73" s="25" t="inlineStr">
        <is>
          <t>u</t>
        </is>
      </c>
      <c r="G73" s="26" t="n">
        <v>0.0192</v>
      </c>
      <c r="H73" s="26">
        <f>E73*G73</f>
        <v/>
      </c>
      <c r="I73" s="25" t="inlineStr">
        <is>
          <t>Tubo PVC rígido</t>
        </is>
      </c>
      <c r="J73" s="12" t="inlineStr">
        <is>
          <t>Ø12 × 276,8 de largo</t>
        </is>
      </c>
      <c r="K73" s="25" t="inlineStr">
        <is>
          <t>Compra</t>
        </is>
      </c>
      <c r="L73" s="12" t="inlineStr">
        <is>
          <t>19 Ensamblaje de válvula (T03/T04)</t>
        </is>
      </c>
      <c r="M73" s="12" t="n"/>
      <c r="N73" s="25" t="inlineStr">
        <is>
          <t>P</t>
        </is>
      </c>
      <c r="O73" s="25" t="inlineStr">
        <is>
          <t>FL_DES_ABC_2.5kg</t>
        </is>
      </c>
      <c r="P73" s="12" t="n"/>
    </row>
    <row r="74">
      <c r="A74" s="25" t="inlineStr">
        <is>
          <t>FL_MAT_ABC_2.5kg</t>
        </is>
      </c>
      <c r="B74" s="25" t="n">
        <v>2</v>
      </c>
      <c r="C74" s="25" t="inlineStr">
        <is>
          <t>ABC2.5-22</t>
        </is>
      </c>
      <c r="D74" s="12" t="inlineStr">
        <is>
          <t xml:space="preserve">        Junta tórica de asiento</t>
        </is>
      </c>
      <c r="E74" s="25" t="n">
        <v>1</v>
      </c>
      <c r="F74" s="25" t="inlineStr">
        <is>
          <t>u</t>
        </is>
      </c>
      <c r="G74" s="26" t="n">
        <v>0.001</v>
      </c>
      <c r="H74" s="26">
        <f>E74*G74</f>
        <v/>
      </c>
      <c r="I74" s="25" t="inlineStr">
        <is>
          <t>NBR 70 Shore A</t>
        </is>
      </c>
      <c r="J74" s="12" t="inlineStr">
        <is>
          <t>Ø31,4 ext. × cordón 3</t>
        </is>
      </c>
      <c r="K74" s="25" t="inlineStr">
        <is>
          <t>Compra</t>
        </is>
      </c>
      <c r="L74" s="12" t="inlineStr">
        <is>
          <t>19 Ensamblaje de válvula (T03/T04)</t>
        </is>
      </c>
      <c r="M74" s="12" t="n"/>
      <c r="N74" s="25" t="inlineStr">
        <is>
          <t>P</t>
        </is>
      </c>
      <c r="O74" s="25" t="inlineStr">
        <is>
          <t>FL_DES_ABC_2.5kg</t>
        </is>
      </c>
      <c r="P74" s="12" t="inlineStr">
        <is>
          <t>cambio c/recarga</t>
        </is>
      </c>
    </row>
    <row r="75">
      <c r="A75" s="25" t="inlineStr">
        <is>
          <t>FL_MAT_ABC_2.5kg</t>
        </is>
      </c>
      <c r="B75" s="25" t="n">
        <v>2</v>
      </c>
      <c r="C75" s="25" t="inlineStr">
        <is>
          <t>ABC2.5-V2</t>
        </is>
      </c>
      <c r="D75" s="12" t="inlineStr">
        <is>
          <t xml:space="preserve">        Resorte de retorno del vástago</t>
        </is>
      </c>
      <c r="E75" s="25" t="n">
        <v>1</v>
      </c>
      <c r="F75" s="25" t="inlineStr">
        <is>
          <t>u</t>
        </is>
      </c>
      <c r="G75" s="26" t="n">
        <v>0.003</v>
      </c>
      <c r="H75" s="26">
        <f>E75*G75</f>
        <v/>
      </c>
      <c r="I75" s="25" t="inlineStr">
        <is>
          <t>Alambre acero inox. AISI 302</t>
        </is>
      </c>
      <c r="J75" s="12" t="inlineStr">
        <is>
          <t>según válvula</t>
        </is>
      </c>
      <c r="K75" s="25" t="inlineStr">
        <is>
          <t>Compra</t>
        </is>
      </c>
      <c r="L75" s="12" t="inlineStr">
        <is>
          <t>19 Ensamblaje</t>
        </is>
      </c>
      <c r="M75" s="12" t="n"/>
      <c r="N75" s="25" t="inlineStr">
        <is>
          <t>R</t>
        </is>
      </c>
      <c r="O75" s="25" t="n"/>
      <c r="P75" s="12" t="n"/>
    </row>
    <row r="76">
      <c r="A76" s="25" t="inlineStr">
        <is>
          <t>FL_MAT_ABC_2.5kg</t>
        </is>
      </c>
      <c r="B76" s="25" t="n">
        <v>2</v>
      </c>
      <c r="C76" s="25" t="inlineStr">
        <is>
          <t>ABC2.5-V3</t>
        </is>
      </c>
      <c r="D76" s="12" t="inlineStr">
        <is>
          <t xml:space="preserve">        Junta tórica del vástago</t>
        </is>
      </c>
      <c r="E76" s="25" t="n">
        <v>1</v>
      </c>
      <c r="F76" s="25" t="inlineStr">
        <is>
          <t>u</t>
        </is>
      </c>
      <c r="G76" s="26" t="n">
        <v>0.001</v>
      </c>
      <c r="H76" s="26">
        <f>E76*G76</f>
        <v/>
      </c>
      <c r="I76" s="25" t="inlineStr">
        <is>
          <t>NBR 70 Shore A</t>
        </is>
      </c>
      <c r="J76" s="12" t="inlineStr">
        <is>
          <t>según válvula</t>
        </is>
      </c>
      <c r="K76" s="25" t="inlineStr">
        <is>
          <t>Compra</t>
        </is>
      </c>
      <c r="L76" s="12" t="inlineStr">
        <is>
          <t>19 Ensamblaje</t>
        </is>
      </c>
      <c r="M76" s="12" t="n"/>
      <c r="N76" s="25" t="inlineStr">
        <is>
          <t>P</t>
        </is>
      </c>
      <c r="O76" s="25" t="n"/>
      <c r="P76" s="12" t="inlineStr">
        <is>
          <t>Figura en el plano como «vástago con junta tórica»</t>
        </is>
      </c>
    </row>
    <row r="77">
      <c r="A77" s="22" t="inlineStr">
        <is>
          <t>FL_MAT_ABC_2.5kg</t>
        </is>
      </c>
      <c r="B77" s="22" t="n">
        <v>1</v>
      </c>
      <c r="C77" s="22" t="inlineStr">
        <is>
          <t>ABC2.5-S3</t>
        </is>
      </c>
      <c r="D77" s="23" t="inlineStr">
        <is>
          <t xml:space="preserve">    Dispositivo de descarga</t>
        </is>
      </c>
      <c r="E77" s="22" t="n">
        <v>1</v>
      </c>
      <c r="F77" s="22" t="inlineStr">
        <is>
          <t>u</t>
        </is>
      </c>
      <c r="G77" s="24" t="n"/>
      <c r="H77" s="24">
        <f>H78+H79+H80+H81</f>
        <v/>
      </c>
      <c r="I77" s="22" t="n"/>
      <c r="J77" s="23" t="n"/>
      <c r="K77" s="22" t="inlineStr">
        <is>
          <t>Compra / armado</t>
        </is>
      </c>
      <c r="L77" s="23" t="n"/>
      <c r="M77" s="23" t="n"/>
      <c r="N77" s="22" t="inlineStr">
        <is>
          <t>P</t>
        </is>
      </c>
      <c r="O77" s="22" t="inlineStr">
        <is>
          <t>FL_DES_ABC_2.5kg</t>
        </is>
      </c>
      <c r="P77" s="23" t="n"/>
    </row>
    <row r="78">
      <c r="A78" s="25" t="inlineStr">
        <is>
          <t>FL_MAT_ABC_2.5kg</t>
        </is>
      </c>
      <c r="B78" s="25" t="n">
        <v>2</v>
      </c>
      <c r="C78" s="25" t="inlineStr">
        <is>
          <t>ABC2.5-15</t>
        </is>
      </c>
      <c r="D78" s="12" t="inlineStr">
        <is>
          <t xml:space="preserve">        Racor de manguera</t>
        </is>
      </c>
      <c r="E78" s="25" t="n">
        <v>1</v>
      </c>
      <c r="F78" s="25" t="inlineStr">
        <is>
          <t>u</t>
        </is>
      </c>
      <c r="G78" s="26" t="n">
        <v>0.0258</v>
      </c>
      <c r="H78" s="26">
        <f>E78*G78</f>
        <v/>
      </c>
      <c r="I78" s="25" t="inlineStr">
        <is>
          <t>Latón</t>
        </is>
      </c>
      <c r="J78" s="12" t="inlineStr">
        <is>
          <t>18 × 18 × 12</t>
        </is>
      </c>
      <c r="K78" s="25" t="inlineStr">
        <is>
          <t>Compra</t>
        </is>
      </c>
      <c r="L78" s="12" t="inlineStr">
        <is>
          <t>19 Ensamblaje (T03/T04)</t>
        </is>
      </c>
      <c r="M78" s="12" t="n"/>
      <c r="N78" s="25" t="inlineStr">
        <is>
          <t>P</t>
        </is>
      </c>
      <c r="O78" s="25" t="inlineStr">
        <is>
          <t>FL_DES_ABC_2.5kg</t>
        </is>
      </c>
      <c r="P78" s="12" t="n"/>
    </row>
    <row r="79">
      <c r="A79" s="25" t="inlineStr">
        <is>
          <t>FL_MAT_ABC_2.5kg</t>
        </is>
      </c>
      <c r="B79" s="25" t="n">
        <v>2</v>
      </c>
      <c r="C79" s="25" t="inlineStr">
        <is>
          <t>ABC2.5-16</t>
        </is>
      </c>
      <c r="D79" s="12" t="inlineStr">
        <is>
          <t xml:space="preserve">        Manguera</t>
        </is>
      </c>
      <c r="E79" s="25" t="n">
        <v>1</v>
      </c>
      <c r="F79" s="25" t="inlineStr">
        <is>
          <t>u</t>
        </is>
      </c>
      <c r="G79" s="26" t="n">
        <v>0.0345</v>
      </c>
      <c r="H79" s="26">
        <f>E79*G79</f>
        <v/>
      </c>
      <c r="I79" s="25" t="inlineStr">
        <is>
          <t>Caucho sintético</t>
        </is>
      </c>
      <c r="J79" s="12" t="inlineStr">
        <is>
          <t>Ø16 × 224 de largo desarrollado</t>
        </is>
      </c>
      <c r="K79" s="25" t="inlineStr">
        <is>
          <t>Compra</t>
        </is>
      </c>
      <c r="L79" s="12" t="inlineStr">
        <is>
          <t>19 Ensamblaje (T03/T04)</t>
        </is>
      </c>
      <c r="M79" s="12" t="n"/>
      <c r="N79" s="25" t="inlineStr">
        <is>
          <t>P</t>
        </is>
      </c>
      <c r="O79" s="25" t="inlineStr">
        <is>
          <t>FL_DES_ABC_2.5kg</t>
        </is>
      </c>
      <c r="P79" s="12" t="n"/>
    </row>
    <row r="80">
      <c r="A80" s="25" t="inlineStr">
        <is>
          <t>FL_MAT_ABC_2.5kg</t>
        </is>
      </c>
      <c r="B80" s="25" t="n">
        <v>2</v>
      </c>
      <c r="C80" s="25" t="inlineStr">
        <is>
          <t>ABC2.5-17</t>
        </is>
      </c>
      <c r="D80" s="12" t="inlineStr">
        <is>
          <t xml:space="preserve">        Tobera con portatobera</t>
        </is>
      </c>
      <c r="E80" s="25" t="n">
        <v>1</v>
      </c>
      <c r="F80" s="25" t="inlineStr">
        <is>
          <t>u</t>
        </is>
      </c>
      <c r="G80" s="26" t="n">
        <v>0.0166</v>
      </c>
      <c r="H80" s="26">
        <f>E80*G80</f>
        <v/>
      </c>
      <c r="I80" s="25" t="inlineStr">
        <is>
          <t>Polipropileno</t>
        </is>
      </c>
      <c r="J80" s="12" t="inlineStr">
        <is>
          <t>75 × 24 × 24</t>
        </is>
      </c>
      <c r="K80" s="25" t="inlineStr">
        <is>
          <t>Compra</t>
        </is>
      </c>
      <c r="L80" s="12" t="inlineStr">
        <is>
          <t>19 Ensamblaje (T03/T04)</t>
        </is>
      </c>
      <c r="M80" s="12" t="n"/>
      <c r="N80" s="25" t="inlineStr">
        <is>
          <t>P</t>
        </is>
      </c>
      <c r="O80" s="25" t="inlineStr">
        <is>
          <t>FL_DES_ABC_2.5kg</t>
        </is>
      </c>
      <c r="P80" s="12" t="n"/>
    </row>
    <row r="81">
      <c r="A81" s="25" t="inlineStr">
        <is>
          <t>FL_MAT_ABC_2.5kg</t>
        </is>
      </c>
      <c r="B81" s="25" t="n">
        <v>2</v>
      </c>
      <c r="C81" s="25" t="inlineStr">
        <is>
          <t>ABC2.5-18</t>
        </is>
      </c>
      <c r="D81" s="12" t="inlineStr">
        <is>
          <t xml:space="preserve">        Suncho portatobera</t>
        </is>
      </c>
      <c r="E81" s="25" t="n">
        <v>1</v>
      </c>
      <c r="F81" s="25" t="inlineStr">
        <is>
          <t>u</t>
        </is>
      </c>
      <c r="G81" s="26" t="n">
        <v>0.11</v>
      </c>
      <c r="H81" s="26">
        <f>E81*G81</f>
        <v/>
      </c>
      <c r="I81" s="25" t="inlineStr">
        <is>
          <t>Fleje acero SAE 1010 pintado</t>
        </is>
      </c>
      <c r="J81" s="12" t="inlineStr">
        <is>
          <t>130,9 × 127 × 18</t>
        </is>
      </c>
      <c r="K81" s="25" t="inlineStr">
        <is>
          <t>Compra (estructura)</t>
        </is>
      </c>
      <c r="L81" s="12" t="inlineStr">
        <is>
          <t>19 Ensamblaje (T03/T04)</t>
        </is>
      </c>
      <c r="M81" s="12" t="n"/>
      <c r="N81" s="25" t="inlineStr">
        <is>
          <t>P</t>
        </is>
      </c>
      <c r="O81" s="25" t="inlineStr">
        <is>
          <t>FL_DES_ABC_2.5kg</t>
        </is>
      </c>
      <c r="P81" s="12" t="n"/>
    </row>
    <row r="82">
      <c r="A82" s="22" t="inlineStr">
        <is>
          <t>FL_MAT_ABC_2.5kg</t>
        </is>
      </c>
      <c r="B82" s="22" t="n">
        <v>1</v>
      </c>
      <c r="C82" s="22" t="inlineStr">
        <is>
          <t>ABC2.5-S5</t>
        </is>
      </c>
      <c r="D82" s="23" t="inlineStr">
        <is>
          <t xml:space="preserve">    Carga: agente extintor y gas impulsor</t>
        </is>
      </c>
      <c r="E82" s="22" t="n">
        <v>1</v>
      </c>
      <c r="F82" s="22" t="inlineStr">
        <is>
          <t>u</t>
        </is>
      </c>
      <c r="G82" s="24" t="n"/>
      <c r="H82" s="24">
        <f>H83+H84</f>
        <v/>
      </c>
      <c r="I82" s="22" t="n"/>
      <c r="J82" s="23" t="n"/>
      <c r="K82" s="22" t="inlineStr">
        <is>
          <t>Carga en planta</t>
        </is>
      </c>
      <c r="L82" s="23" t="inlineStr">
        <is>
          <t>18 Carga de polvo (T01) / C8 (T02)</t>
        </is>
      </c>
      <c r="M82" s="23" t="n"/>
      <c r="N82" s="22" t="n"/>
      <c r="O82" s="22" t="n"/>
      <c r="P82" s="23" t="n"/>
    </row>
    <row r="83">
      <c r="A83" s="25" t="inlineStr">
        <is>
          <t>FL_MAT_ABC_2.5kg</t>
        </is>
      </c>
      <c r="B83" s="25" t="n">
        <v>2</v>
      </c>
      <c r="C83" s="25" t="inlineStr">
        <is>
          <t>ABC2.5-A1</t>
        </is>
      </c>
      <c r="D83" s="12" t="inlineStr">
        <is>
          <t xml:space="preserve">        Polvo químico seco ABC 60 (Sello IRAM 3569, DEMSA)</t>
        </is>
      </c>
      <c r="E83" s="25" t="n">
        <v>2.55</v>
      </c>
      <c r="F83" s="25" t="inlineStr">
        <is>
          <t>kg</t>
        </is>
      </c>
      <c r="G83" s="26" t="n">
        <v>1</v>
      </c>
      <c r="H83" s="26">
        <f>E83*G83</f>
        <v/>
      </c>
      <c r="I83" s="25" t="inlineStr">
        <is>
          <t>Polvo químico seco ABC 60 (Sello IRAM 3569, DEMSA)</t>
        </is>
      </c>
      <c r="J83" s="12" t="inlineStr">
        <is>
          <t>nominal 2,5 kg; tolerancia 0 / +100 g (IRAM 3517-2:2020 tabla 3 · IRAM 3523 tabla II)</t>
        </is>
      </c>
      <c r="K83" s="25" t="inlineStr">
        <is>
          <t>Compra</t>
        </is>
      </c>
      <c r="L83" s="12" t="inlineStr">
        <is>
          <t>SP-1 almacén previo a la carga</t>
        </is>
      </c>
      <c r="M83" s="12" t="inlineStr">
        <is>
          <t>IRAM 3569</t>
        </is>
      </c>
      <c r="N83" s="25" t="inlineStr">
        <is>
          <t>N</t>
        </is>
      </c>
      <c r="O83" s="25" t="n"/>
      <c r="P83" s="12" t="inlineStr">
        <is>
          <t>MAP 60 % (banda 57-63 %) = 1,53 kg MAP + 0,943 kg sulfato de amonio + 0,076 kg aditivos · potencial 3A-20B:C · Lote único por extintor; prohibido mezclar ABC con BC (3517-2 9.9.1.6)</t>
        </is>
      </c>
    </row>
    <row r="84">
      <c r="A84" s="25" t="inlineStr">
        <is>
          <t>FL_MAT_ABC_2.5kg</t>
        </is>
      </c>
      <c r="B84" s="25" t="n">
        <v>2</v>
      </c>
      <c r="C84" s="25" t="inlineStr">
        <is>
          <t>ABC2.5-A2</t>
        </is>
      </c>
      <c r="D84" s="12" t="inlineStr">
        <is>
          <t xml:space="preserve">        Gas impulsor: N₂</t>
        </is>
      </c>
      <c r="E84" s="25" t="n">
        <v>0.0125</v>
      </c>
      <c r="F84" s="25" t="inlineStr">
        <is>
          <t>kg</t>
        </is>
      </c>
      <c r="G84" s="26" t="n">
        <v>1</v>
      </c>
      <c r="H84" s="26">
        <f>E84*G84</f>
        <v/>
      </c>
      <c r="I84" s="25" t="inlineStr">
        <is>
          <t>N₂</t>
        </is>
      </c>
      <c r="J84" s="12" t="inlineStr">
        <is>
          <t>10 L normales para 1,4 MPa a 20 °C en 0,72 dm³ libres</t>
        </is>
      </c>
      <c r="K84" s="25" t="inlineStr">
        <is>
          <t>Compra</t>
        </is>
      </c>
      <c r="L84" s="12" t="inlineStr">
        <is>
          <t>20 Presurización (T05) / C10</t>
        </is>
      </c>
      <c r="M84" s="12" t="inlineStr">
        <is>
          <t>IRAM 3517-2 9.4.9 (tabla 2) · IRAM 3523 2.3 y 3.10</t>
        </is>
      </c>
      <c r="N84" s="25" t="inlineStr">
        <is>
          <t>C</t>
        </is>
      </c>
      <c r="O84" s="25" t="n"/>
      <c r="P84" s="12" t="inlineStr">
        <is>
          <t>Batería en SP-1; punto de rocío ≤ -56,7 °C para gases limpios</t>
        </is>
      </c>
    </row>
    <row r="85">
      <c r="A85" s="22" t="inlineStr">
        <is>
          <t>FL_MAT_ABC_2.5kg</t>
        </is>
      </c>
      <c r="B85" s="22" t="n">
        <v>1</v>
      </c>
      <c r="C85" s="22" t="inlineStr">
        <is>
          <t>ABC2.5-S6</t>
        </is>
      </c>
      <c r="D85" s="23" t="inlineStr">
        <is>
          <t xml:space="preserve">    Identificación y precinto</t>
        </is>
      </c>
      <c r="E85" s="22" t="n">
        <v>1</v>
      </c>
      <c r="F85" s="22" t="inlineStr">
        <is>
          <t>u</t>
        </is>
      </c>
      <c r="G85" s="24" t="n"/>
      <c r="H85" s="24">
        <f>H86+H87+H88+H89+H90</f>
        <v/>
      </c>
      <c r="I85" s="22" t="n"/>
      <c r="J85" s="23" t="n"/>
      <c r="K85" s="22" t="inlineStr">
        <is>
          <t>Compra</t>
        </is>
      </c>
      <c r="L85" s="23" t="inlineStr">
        <is>
          <t>22 Etiquetado (T07)</t>
        </is>
      </c>
      <c r="M85" s="23" t="n"/>
      <c r="N85" s="22" t="n"/>
      <c r="O85" s="22" t="n"/>
      <c r="P85" s="23" t="n"/>
    </row>
    <row r="86">
      <c r="A86" s="25" t="inlineStr">
        <is>
          <t>FL_MAT_ABC_2.5kg</t>
        </is>
      </c>
      <c r="B86" s="25" t="n">
        <v>2</v>
      </c>
      <c r="C86" s="25" t="inlineStr">
        <is>
          <t>ABC2.5-19</t>
        </is>
      </c>
      <c r="D86" s="12" t="inlineStr">
        <is>
          <t xml:space="preserve">        Placa de características</t>
        </is>
      </c>
      <c r="E86" s="25" t="n">
        <v>1</v>
      </c>
      <c r="F86" s="25" t="inlineStr">
        <is>
          <t>u</t>
        </is>
      </c>
      <c r="G86" s="26" t="n">
        <v>0.0071</v>
      </c>
      <c r="H86" s="26">
        <f>E86*G86</f>
        <v/>
      </c>
      <c r="I86" s="25" t="inlineStr">
        <is>
          <t>Vinilo autoadhesivo laminado</t>
        </is>
      </c>
      <c r="J86" s="12" t="inlineStr">
        <is>
          <t>117 × 144 (desarrollo × alto), e ≈ 0,3</t>
        </is>
      </c>
      <c r="K86" s="25" t="inlineStr">
        <is>
          <t>Compra</t>
        </is>
      </c>
      <c r="L86" s="12" t="inlineStr">
        <is>
          <t>22 Etiquetado (T07)</t>
        </is>
      </c>
      <c r="M86" s="12" t="inlineStr">
        <is>
          <t>IRAM 3534 · IRAM 3523 cap. 5</t>
        </is>
      </c>
      <c r="N86" s="25" t="inlineStr">
        <is>
          <t>P</t>
        </is>
      </c>
      <c r="O86" s="25" t="inlineStr">
        <is>
          <t>FL_DES_ABC_2.5kg</t>
        </is>
      </c>
      <c r="P86" s="12" t="inlineStr">
        <is>
          <t>IRAM 3534</t>
        </is>
      </c>
    </row>
    <row r="87">
      <c r="A87" s="25" t="inlineStr">
        <is>
          <t>FL_MAT_ABC_2.5kg</t>
        </is>
      </c>
      <c r="B87" s="25" t="n">
        <v>2</v>
      </c>
      <c r="C87" s="25" t="inlineStr">
        <is>
          <t>ABC2.5-20</t>
        </is>
      </c>
      <c r="D87" s="12" t="inlineStr">
        <is>
          <t xml:space="preserve">        Oblea de fabricación (PBA)</t>
        </is>
      </c>
      <c r="E87" s="25" t="n">
        <v>1</v>
      </c>
      <c r="F87" s="25" t="inlineStr">
        <is>
          <t>u</t>
        </is>
      </c>
      <c r="G87" s="26" t="n">
        <v>0.0009</v>
      </c>
      <c r="H87" s="26">
        <f>E87*G87</f>
        <v/>
      </c>
      <c r="I87" s="25" t="inlineStr">
        <is>
          <t>Papel de seguridad autodestructible</t>
        </is>
      </c>
      <c r="J87" s="12" t="inlineStr">
        <is>
          <t>Ø46 (Res. OPDS 522/07), numerada, autodestructible</t>
        </is>
      </c>
      <c r="K87" s="25" t="inlineStr">
        <is>
          <t>Compra</t>
        </is>
      </c>
      <c r="L87" s="12" t="inlineStr">
        <is>
          <t>22 Etiquetado (T07)</t>
        </is>
      </c>
      <c r="M87" s="12" t="inlineStr">
        <is>
          <t>Res. OPDS 522/07 anexos 1, 2 y 6</t>
        </is>
      </c>
      <c r="N87" s="25" t="inlineStr">
        <is>
          <t>P</t>
        </is>
      </c>
      <c r="O87" s="25" t="inlineStr">
        <is>
          <t>FL_DES_ABC_2.5kg</t>
        </is>
      </c>
      <c r="P87" s="12" t="inlineStr">
        <is>
          <t>Res. 522/07</t>
        </is>
      </c>
    </row>
    <row r="88">
      <c r="A88" s="25" t="inlineStr">
        <is>
          <t>FL_MAT_ABC_2.5kg</t>
        </is>
      </c>
      <c r="B88" s="25" t="n">
        <v>2</v>
      </c>
      <c r="C88" s="25" t="inlineStr">
        <is>
          <t>ABC2.5-21</t>
        </is>
      </c>
      <c r="D88" s="12" t="inlineStr">
        <is>
          <t xml:space="preserve">        Estampilla IRAM de conformidad</t>
        </is>
      </c>
      <c r="E88" s="25" t="n">
        <v>1</v>
      </c>
      <c r="F88" s="25" t="inlineStr">
        <is>
          <t>u</t>
        </is>
      </c>
      <c r="G88" s="26" t="n">
        <v>0.001</v>
      </c>
      <c r="H88" s="26">
        <f>E88*G88</f>
        <v/>
      </c>
      <c r="I88" s="25" t="inlineStr">
        <is>
          <t>Provista por IRAM (Anexo R)</t>
        </is>
      </c>
      <c r="J88" s="12" t="inlineStr">
        <is>
          <t>60 × 40</t>
        </is>
      </c>
      <c r="K88" s="25" t="inlineStr">
        <is>
          <t>Compra</t>
        </is>
      </c>
      <c r="L88" s="12" t="inlineStr">
        <is>
          <t>22 Etiquetado (T07)</t>
        </is>
      </c>
      <c r="M88" s="12" t="inlineStr">
        <is>
          <t>IRAM Anexo R (DC-PG-129)</t>
        </is>
      </c>
      <c r="N88" s="25" t="inlineStr">
        <is>
          <t>P</t>
        </is>
      </c>
      <c r="O88" s="25" t="inlineStr">
        <is>
          <t>FL_DES_ABC_2.5kg</t>
        </is>
      </c>
      <c r="P88" s="12" t="inlineStr">
        <is>
          <t>numerada</t>
        </is>
      </c>
    </row>
    <row r="89">
      <c r="A89" s="25" t="inlineStr">
        <is>
          <t>FL_MAT_ABC_2.5kg</t>
        </is>
      </c>
      <c r="B89" s="25" t="n">
        <v>2</v>
      </c>
      <c r="C89" s="25" t="inlineStr">
        <is>
          <t>ABC2.5-23</t>
        </is>
      </c>
      <c r="D89" s="12" t="inlineStr">
        <is>
          <t xml:space="preserve">        Precinto de fábrica</t>
        </is>
      </c>
      <c r="E89" s="25" t="n">
        <v>1</v>
      </c>
      <c r="F89" s="25" t="inlineStr">
        <is>
          <t>u</t>
        </is>
      </c>
      <c r="G89" s="26" t="n">
        <v>0.0002</v>
      </c>
      <c r="H89" s="26">
        <f>E89*G89</f>
        <v/>
      </c>
      <c r="I89" s="25" t="inlineStr">
        <is>
          <t>Polipropileno</t>
        </is>
      </c>
      <c r="J89" s="12" t="inlineStr">
        <is>
          <t>Ø5 × 10, numerado, rotura 30-50 N</t>
        </is>
      </c>
      <c r="K89" s="25" t="inlineStr">
        <is>
          <t>Compra</t>
        </is>
      </c>
      <c r="L89" s="12" t="inlineStr">
        <is>
          <t>20 Presurización (T05)</t>
        </is>
      </c>
      <c r="M89" s="12" t="inlineStr">
        <is>
          <t>IRAM 3523 3.3.2 · IRAM 3517-2:2020 9.4.13</t>
        </is>
      </c>
      <c r="N89" s="25" t="inlineStr">
        <is>
          <t>P</t>
        </is>
      </c>
      <c r="O89" s="25" t="inlineStr">
        <is>
          <t>FL_DES_ABC_2.5kg</t>
        </is>
      </c>
      <c r="P89" s="12" t="inlineStr">
        <is>
          <t>id. FLAMA y lote</t>
        </is>
      </c>
    </row>
    <row r="90">
      <c r="A90" s="25" t="inlineStr">
        <is>
          <t>FL_MAT_ABC_2.5kg</t>
        </is>
      </c>
      <c r="B90" s="25" t="n">
        <v>2</v>
      </c>
      <c r="C90" s="25" t="inlineStr">
        <is>
          <t>ABC2.5-I3</t>
        </is>
      </c>
      <c r="D90" s="12" t="inlineStr">
        <is>
          <t xml:space="preserve">        Tarjeta oficial de vigencia (CABA)</t>
        </is>
      </c>
      <c r="E90" s="25" t="n">
        <v>1</v>
      </c>
      <c r="F90" s="25" t="inlineStr">
        <is>
          <t>u</t>
        </is>
      </c>
      <c r="G90" s="26" t="n">
        <v>0.002</v>
      </c>
      <c r="H90" s="26">
        <f>E90*G90</f>
        <v/>
      </c>
      <c r="I90" s="25" t="inlineStr">
        <is>
          <t>Formulario oficial</t>
        </is>
      </c>
      <c r="J90" s="12" t="inlineStr">
        <is>
          <t>provista por DG Rentas GCBA</t>
        </is>
      </c>
      <c r="K90" s="25" t="inlineStr">
        <is>
          <t>Compra</t>
        </is>
      </c>
      <c r="L90" s="12" t="inlineStr">
        <is>
          <t>22 Etiquetado</t>
        </is>
      </c>
      <c r="M90" s="12" t="inlineStr">
        <is>
          <t>Ordenanza 40.473 art. 6</t>
        </is>
      </c>
      <c r="N90" s="25" t="inlineStr">
        <is>
          <t>N</t>
        </is>
      </c>
      <c r="O90" s="25" t="n"/>
      <c r="P90" s="12" t="inlineStr">
        <is>
          <t>Clase, capacidad, fecha de carga y vencimiento, garantía; se anexa al matafuego (no se dibuja)</t>
        </is>
      </c>
    </row>
    <row r="91">
      <c r="A91" s="22" t="inlineStr">
        <is>
          <t>FL_MAT_ABC_2.5kg</t>
        </is>
      </c>
      <c r="B91" s="22" t="n">
        <v>1</v>
      </c>
      <c r="C91" s="22" t="inlineStr">
        <is>
          <t>ABC2.5-S8</t>
        </is>
      </c>
      <c r="D91" s="23" t="inlineStr">
        <is>
          <t xml:space="preserve">    Soporte (accesorio de montaje)</t>
        </is>
      </c>
      <c r="E91" s="22" t="n">
        <v>1</v>
      </c>
      <c r="F91" s="22" t="inlineStr">
        <is>
          <t>u</t>
        </is>
      </c>
      <c r="G91" s="24" t="n"/>
      <c r="H91" s="24">
        <f>H92+H93</f>
        <v/>
      </c>
      <c r="I91" s="22" t="n"/>
      <c r="J91" s="23" t="n"/>
      <c r="K91" s="22" t="inlineStr">
        <is>
          <t>Compra</t>
        </is>
      </c>
      <c r="L91" s="23" t="inlineStr">
        <is>
          <t>23 Embalaje (va dentro de la caja)</t>
        </is>
      </c>
      <c r="M91" s="23" t="inlineStr">
        <is>
          <t>IRAM 3517-2 7.4</t>
        </is>
      </c>
      <c r="N91" s="22" t="n"/>
      <c r="O91" s="22" t="n"/>
      <c r="P91" s="23" t="n"/>
    </row>
    <row r="92">
      <c r="A92" s="25" t="inlineStr">
        <is>
          <t>FL_MAT_ABC_2.5kg</t>
        </is>
      </c>
      <c r="B92" s="25" t="n">
        <v>2</v>
      </c>
      <c r="C92" s="25" t="inlineStr">
        <is>
          <t>ABC2.5-I5</t>
        </is>
      </c>
      <c r="D92" s="12" t="inlineStr">
        <is>
          <t xml:space="preserve">        Soporte de pared (FL_ACC_01)</t>
        </is>
      </c>
      <c r="E92" s="25" t="n">
        <v>1</v>
      </c>
      <c r="F92" s="25" t="inlineStr">
        <is>
          <t>u</t>
        </is>
      </c>
      <c r="G92" s="26" t="n">
        <v>0.264</v>
      </c>
      <c r="H92" s="26">
        <f>E92*G92</f>
        <v/>
      </c>
      <c r="I92" s="25" t="inlineStr">
        <is>
          <t>Chapa acero SAE 1010 e=2 pintada</t>
        </is>
      </c>
      <c r="J92" s="12" t="inlineStr">
        <is>
          <t>placa 60 × 180, ala con ranura Ø cuello + 3</t>
        </is>
      </c>
      <c r="K92" s="25" t="inlineStr">
        <is>
          <t>Compra</t>
        </is>
      </c>
      <c r="L92" s="12" t="inlineStr">
        <is>
          <t>23 Embalaje</t>
        </is>
      </c>
      <c r="M92" s="12" t="inlineStr">
        <is>
          <t>IRAM 3517-2 7.4</t>
        </is>
      </c>
      <c r="N92" s="25" t="inlineStr">
        <is>
          <t>P</t>
        </is>
      </c>
      <c r="O92" s="25" t="inlineStr">
        <is>
          <t>FL_ACC_01</t>
        </is>
      </c>
      <c r="P92" s="12" t="n"/>
    </row>
    <row r="93">
      <c r="A93" s="25" t="inlineStr">
        <is>
          <t>FL_MAT_ABC_2.5kg</t>
        </is>
      </c>
      <c r="B93" s="25" t="n">
        <v>2</v>
      </c>
      <c r="C93" s="25" t="inlineStr">
        <is>
          <t>ABC2.5-I6</t>
        </is>
      </c>
      <c r="D93" s="12" t="inlineStr">
        <is>
          <t xml:space="preserve">        Tornillo y tarugo de fijación</t>
        </is>
      </c>
      <c r="E93" s="25" t="n">
        <v>2</v>
      </c>
      <c r="F93" s="25" t="inlineStr">
        <is>
          <t>u</t>
        </is>
      </c>
      <c r="G93" s="26" t="n">
        <v>0.01</v>
      </c>
      <c r="H93" s="26">
        <f>E93*G93</f>
        <v/>
      </c>
      <c r="I93" s="25" t="inlineStr">
        <is>
          <t>Acero cincado / nylon</t>
        </is>
      </c>
      <c r="J93" s="12" t="inlineStr">
        <is>
          <t>M6 × 50 + tarugo 8</t>
        </is>
      </c>
      <c r="K93" s="25" t="inlineStr">
        <is>
          <t>Compra</t>
        </is>
      </c>
      <c r="L93" s="12" t="inlineStr">
        <is>
          <t>23 Embalaje</t>
        </is>
      </c>
      <c r="M93" s="12" t="n"/>
      <c r="N93" s="25" t="inlineStr">
        <is>
          <t>R</t>
        </is>
      </c>
      <c r="O93" s="25" t="n"/>
      <c r="P93" s="12" t="n"/>
    </row>
    <row r="94">
      <c r="A94" s="25" t="inlineStr">
        <is>
          <t>FL_MAT_ABC_2.5kg</t>
        </is>
      </c>
      <c r="B94" s="25" t="n">
        <v>2</v>
      </c>
      <c r="C94" s="25" t="inlineStr">
        <is>
          <t>ABC2.5-I8</t>
        </is>
      </c>
      <c r="D94" s="12" t="inlineStr">
        <is>
          <t xml:space="preserve">        Soporte opcional (pared o vehicular, según pedido)</t>
        </is>
      </c>
      <c r="E94" s="25" t="n">
        <v>0</v>
      </c>
      <c r="F94" s="25" t="inlineStr">
        <is>
          <t>u</t>
        </is>
      </c>
      <c r="G94" s="26" t="n"/>
      <c r="H94" s="26" t="n"/>
      <c r="I94" s="25" t="inlineStr">
        <is>
          <t>-</t>
        </is>
      </c>
      <c r="J94" s="12" t="inlineStr">
        <is>
          <t>-</t>
        </is>
      </c>
      <c r="K94" s="25" t="inlineStr">
        <is>
          <t>Compra</t>
        </is>
      </c>
      <c r="L94" s="12" t="n"/>
      <c r="M94" s="12" t="n"/>
      <c r="N94" s="25" t="inlineStr">
        <is>
          <t>C</t>
        </is>
      </c>
      <c r="O94" s="25" t="n"/>
      <c r="P94" s="12" t="inlineStr">
        <is>
          <t>Sólo si el pedido lo incluye</t>
        </is>
      </c>
    </row>
    <row r="95">
      <c r="A95" s="22" t="inlineStr">
        <is>
          <t>FL_MAT_ABC_2.5kg</t>
        </is>
      </c>
      <c r="B95" s="22" t="n">
        <v>1</v>
      </c>
      <c r="C95" s="22" t="inlineStr">
        <is>
          <t>ABC2.5-S7</t>
        </is>
      </c>
      <c r="D95" s="23" t="inlineStr">
        <is>
          <t xml:space="preserve">    Embalaje</t>
        </is>
      </c>
      <c r="E95" s="22" t="n">
        <v>1</v>
      </c>
      <c r="F95" s="22" t="inlineStr">
        <is>
          <t>u</t>
        </is>
      </c>
      <c r="G95" s="24" t="n"/>
      <c r="H95" s="24">
        <f>H96+H97+H98+H99+H100</f>
        <v/>
      </c>
      <c r="I95" s="22" t="n"/>
      <c r="J95" s="23" t="n"/>
      <c r="K95" s="22" t="inlineStr">
        <is>
          <t>Compra</t>
        </is>
      </c>
      <c r="L95" s="23" t="inlineStr">
        <is>
          <t>23 Embalaje -&gt; 24 envolvedora (T11)</t>
        </is>
      </c>
      <c r="M95" s="23" t="n"/>
      <c r="N95" s="22" t="n"/>
      <c r="O95" s="22" t="n"/>
      <c r="P95" s="23" t="n"/>
    </row>
    <row r="96">
      <c r="A96" s="25" t="inlineStr">
        <is>
          <t>FL_MAT_ABC_2.5kg</t>
        </is>
      </c>
      <c r="B96" s="25" t="n">
        <v>2</v>
      </c>
      <c r="C96" s="25" t="inlineStr">
        <is>
          <t>ABC2.5-E1</t>
        </is>
      </c>
      <c r="D96" s="12" t="inlineStr">
        <is>
          <t xml:space="preserve">        Caja de cartón corrugado simple</t>
        </is>
      </c>
      <c r="E96" s="25" t="n">
        <v>1</v>
      </c>
      <c r="F96" s="25" t="inlineStr">
        <is>
          <t>u</t>
        </is>
      </c>
      <c r="G96" s="26" t="n">
        <v>0.25</v>
      </c>
      <c r="H96" s="26">
        <f>E96*G96</f>
        <v/>
      </c>
      <c r="I96" s="25" t="inlineStr">
        <is>
          <t>Cartón corrugado</t>
        </is>
      </c>
      <c r="J96" s="12" t="inlineStr">
        <is>
          <t>250 × 157 × 435 interior</t>
        </is>
      </c>
      <c r="K96" s="25" t="inlineStr">
        <is>
          <t>Compra</t>
        </is>
      </c>
      <c r="L96" s="12" t="inlineStr">
        <is>
          <t>23 Embalaje</t>
        </is>
      </c>
      <c r="M96" s="12" t="n"/>
      <c r="N96" s="25" t="inlineStr">
        <is>
          <t>R</t>
        </is>
      </c>
      <c r="O96" s="25" t="n"/>
      <c r="P96" s="12" t="n"/>
    </row>
    <row r="97">
      <c r="A97" s="25" t="inlineStr">
        <is>
          <t>FL_MAT_ABC_2.5kg</t>
        </is>
      </c>
      <c r="B97" s="25" t="n">
        <v>2</v>
      </c>
      <c r="C97" s="25" t="inlineStr">
        <is>
          <t>ABC2.5-E2</t>
        </is>
      </c>
      <c r="D97" s="12" t="inlineStr">
        <is>
          <t xml:space="preserve">        Instructivo de uso y mantenimiento</t>
        </is>
      </c>
      <c r="E97" s="25" t="n">
        <v>1</v>
      </c>
      <c r="F97" s="25" t="inlineStr">
        <is>
          <t>u</t>
        </is>
      </c>
      <c r="G97" s="26" t="n">
        <v>0.01</v>
      </c>
      <c r="H97" s="26">
        <f>E97*G97</f>
        <v/>
      </c>
      <c r="I97" s="25" t="inlineStr">
        <is>
          <t>Papel</t>
        </is>
      </c>
      <c r="J97" s="12" t="inlineStr">
        <is>
          <t>A5</t>
        </is>
      </c>
      <c r="K97" s="25" t="inlineStr">
        <is>
          <t>Compra</t>
        </is>
      </c>
      <c r="L97" s="12" t="inlineStr">
        <is>
          <t>23 Embalaje</t>
        </is>
      </c>
      <c r="M97" s="12" t="inlineStr">
        <is>
          <t>IRAM 3517-2 (información al usuario)</t>
        </is>
      </c>
      <c r="N97" s="25" t="inlineStr">
        <is>
          <t>R</t>
        </is>
      </c>
      <c r="O97" s="25" t="n"/>
      <c r="P97" s="12" t="n"/>
    </row>
    <row r="98">
      <c r="A98" s="25" t="inlineStr">
        <is>
          <t>FL_MAT_ABC_2.5kg</t>
        </is>
      </c>
      <c r="B98" s="25" t="n">
        <v>2</v>
      </c>
      <c r="C98" s="25" t="inlineStr">
        <is>
          <t>ABC2.5-E3</t>
        </is>
      </c>
      <c r="D98" s="12" t="inlineStr">
        <is>
          <t xml:space="preserve">        Pallet 1200 × 1000 (fracción)</t>
        </is>
      </c>
      <c r="E98" s="25" t="n">
        <v>0.0119</v>
      </c>
      <c r="F98" s="25" t="inlineStr">
        <is>
          <t>u</t>
        </is>
      </c>
      <c r="G98" s="26" t="n">
        <v>0.262</v>
      </c>
      <c r="H98" s="26">
        <f>E98*G98</f>
        <v/>
      </c>
      <c r="I98" s="25" t="inlineStr">
        <is>
          <t>Madera</t>
        </is>
      </c>
      <c r="J98" s="12" t="inlineStr">
        <is>
          <t>84 u por pallet</t>
        </is>
      </c>
      <c r="K98" s="25" t="inlineStr">
        <is>
          <t>Compra</t>
        </is>
      </c>
      <c r="L98" s="12" t="inlineStr">
        <is>
          <t>23 Embalaje</t>
        </is>
      </c>
      <c r="M98" s="12" t="n"/>
      <c r="N98" s="25" t="inlineStr">
        <is>
          <t>R</t>
        </is>
      </c>
      <c r="O98" s="25" t="n"/>
      <c r="P98" s="12" t="n"/>
    </row>
    <row r="99">
      <c r="A99" s="25" t="inlineStr">
        <is>
          <t>FL_MAT_ABC_2.5kg</t>
        </is>
      </c>
      <c r="B99" s="25" t="n">
        <v>2</v>
      </c>
      <c r="C99" s="25" t="inlineStr">
        <is>
          <t>ABC2.5-E4</t>
        </is>
      </c>
      <c r="D99" s="12" t="inlineStr">
        <is>
          <t xml:space="preserve">        Film stretch (fracción del pallet)</t>
        </is>
      </c>
      <c r="E99" s="25" t="n">
        <v>0.0042</v>
      </c>
      <c r="F99" s="25" t="inlineStr">
        <is>
          <t>kg</t>
        </is>
      </c>
      <c r="G99" s="26" t="n">
        <v>1</v>
      </c>
      <c r="H99" s="26">
        <f>E99*G99</f>
        <v/>
      </c>
      <c r="I99" s="25" t="inlineStr">
        <is>
          <t>PE lineal 23 µm</t>
        </is>
      </c>
      <c r="J99" s="12" t="inlineStr">
        <is>
          <t>envolvedora EDOS PS5</t>
        </is>
      </c>
      <c r="K99" s="25" t="inlineStr">
        <is>
          <t>Compra</t>
        </is>
      </c>
      <c r="L99" s="12" t="inlineStr">
        <is>
          <t>24 Envolvedora (T11)</t>
        </is>
      </c>
      <c r="M99" s="12" t="n"/>
      <c r="N99" s="25" t="inlineStr">
        <is>
          <t>R</t>
        </is>
      </c>
      <c r="O99" s="25" t="n"/>
      <c r="P99" s="12" t="n"/>
    </row>
    <row r="100">
      <c r="A100" s="25" t="inlineStr">
        <is>
          <t>FL_MAT_ABC_2.5kg</t>
        </is>
      </c>
      <c r="B100" s="25" t="n">
        <v>2</v>
      </c>
      <c r="C100" s="25" t="inlineStr">
        <is>
          <t>ABC2.5-E5</t>
        </is>
      </c>
      <c r="D100" s="12" t="inlineStr">
        <is>
          <t xml:space="preserve">        Etiqueta de pallet (lote y destino, fracción)</t>
        </is>
      </c>
      <c r="E100" s="25" t="n">
        <v>0.0119</v>
      </c>
      <c r="F100" s="25" t="inlineStr">
        <is>
          <t>u</t>
        </is>
      </c>
      <c r="G100" s="26" t="n">
        <v>0</v>
      </c>
      <c r="H100" s="26">
        <f>E100*G100</f>
        <v/>
      </c>
      <c r="I100" s="25" t="inlineStr">
        <is>
          <t>Papel térmico</t>
        </is>
      </c>
      <c r="J100" s="12" t="inlineStr">
        <is>
          <t>100 × 150</t>
        </is>
      </c>
      <c r="K100" s="25" t="inlineStr">
        <is>
          <t>Compra</t>
        </is>
      </c>
      <c r="L100" s="12" t="inlineStr">
        <is>
          <t>24 Envolvedora</t>
        </is>
      </c>
      <c r="M100" s="12" t="n"/>
      <c r="N100" s="25" t="inlineStr">
        <is>
          <t>R</t>
        </is>
      </c>
      <c r="O100" s="25" t="n"/>
      <c r="P100" s="12" t="n"/>
    </row>
    <row r="101">
      <c r="A101" s="19" t="inlineStr">
        <is>
          <t>FL_MAT_ABC_5kg</t>
        </is>
      </c>
      <c r="B101" s="19" t="n">
        <v>0</v>
      </c>
      <c r="C101" s="19" t="inlineStr">
        <is>
          <t>FL_MAT_ABC_5kg</t>
        </is>
      </c>
      <c r="D101" s="20" t="inlineStr">
        <is>
          <t>Extintor ABC 5 kg</t>
        </is>
      </c>
      <c r="E101" s="19" t="n">
        <v>1</v>
      </c>
      <c r="F101" s="19" t="inlineStr">
        <is>
          <t>u</t>
        </is>
      </c>
      <c r="G101" s="21" t="n"/>
      <c r="H101" s="21" t="n"/>
      <c r="I101" s="19" t="n"/>
      <c r="J101" s="20" t="n"/>
      <c r="K101" s="19" t="n"/>
      <c r="L101" s="20" t="n"/>
      <c r="M101" s="20" t="inlineStr">
        <is>
          <t>IRAM 3523</t>
        </is>
      </c>
      <c r="N101" s="19" t="inlineStr">
        <is>
          <t>P</t>
        </is>
      </c>
      <c r="O101" s="19" t="inlineStr">
        <is>
          <t>FL_MAT_ABC_5kg</t>
        </is>
      </c>
      <c r="P101" s="20" t="inlineStr">
        <is>
          <t>Fabricación propia</t>
        </is>
      </c>
    </row>
    <row r="102">
      <c r="A102" s="22" t="inlineStr">
        <is>
          <t>FL_MAT_ABC_5kg</t>
        </is>
      </c>
      <c r="B102" s="22" t="n">
        <v>1</v>
      </c>
      <c r="C102" s="22" t="inlineStr">
        <is>
          <t>FL_REC_ABC_5kg</t>
        </is>
      </c>
      <c r="D102" s="23" t="inlineStr">
        <is>
          <t xml:space="preserve">    Recipiente (cilindro)</t>
        </is>
      </c>
      <c r="E102" s="22" t="n">
        <v>1</v>
      </c>
      <c r="F102" s="22" t="inlineStr">
        <is>
          <t>u</t>
        </is>
      </c>
      <c r="G102" s="24" t="n"/>
      <c r="H102" s="24">
        <f>H103+H105+H107+H109+H111+H114</f>
        <v/>
      </c>
      <c r="I102" s="22" t="n"/>
      <c r="J102" s="23" t="n"/>
      <c r="K102" s="22" t="inlineStr">
        <is>
          <t>Fabricación</t>
        </is>
      </c>
      <c r="L102" s="23" t="n"/>
      <c r="M102" s="23" t="inlineStr">
        <is>
          <t>IRAM 3523 / 3550 (recipiente)</t>
        </is>
      </c>
      <c r="N102" s="22" t="inlineStr">
        <is>
          <t>P</t>
        </is>
      </c>
      <c r="O102" s="22" t="inlineStr">
        <is>
          <t>FL_REC_ABC_5kg</t>
        </is>
      </c>
      <c r="P102" s="23" t="n"/>
    </row>
    <row r="103">
      <c r="A103" s="25" t="inlineStr">
        <is>
          <t>FL_MAT_ABC_5kg</t>
        </is>
      </c>
      <c r="B103" s="25" t="n">
        <v>2</v>
      </c>
      <c r="C103" s="25" t="inlineStr">
        <is>
          <t>ABC5-01</t>
        </is>
      </c>
      <c r="D103" s="12" t="inlineStr">
        <is>
          <t xml:space="preserve">        Cuerpo (virola)</t>
        </is>
      </c>
      <c r="E103" s="25" t="n">
        <v>1</v>
      </c>
      <c r="F103" s="25" t="inlineStr">
        <is>
          <t>u</t>
        </is>
      </c>
      <c r="G103" s="26" t="n">
        <v>1.9203</v>
      </c>
      <c r="H103" s="26">
        <f>E103*G103</f>
        <v/>
      </c>
      <c r="I103" s="25" t="inlineStr">
        <is>
          <t>Chapa acero SAE 1010 e=1,6</t>
        </is>
      </c>
      <c r="J103" s="12" t="inlineStr">
        <is>
          <t>Ø153 × e1,6 × 321,4 de alto; desarrollo 475,6 × 321,4</t>
        </is>
      </c>
      <c r="K103" s="25" t="inlineStr">
        <is>
          <t>Fabricación</t>
        </is>
      </c>
      <c r="L103" s="12" t="inlineStr">
        <is>
          <t>1 Guillotina -&gt; 2 numerado -&gt; 3 cilindrado -&gt; 4 soldadura longitudinal</t>
        </is>
      </c>
      <c r="M103" s="12" t="n"/>
      <c r="N103" s="25" t="inlineStr">
        <is>
          <t>P</t>
        </is>
      </c>
      <c r="O103" s="25" t="inlineStr">
        <is>
          <t>FL_DES_ABC_5kg</t>
        </is>
      </c>
      <c r="P103" s="12" t="inlineStr">
        <is>
          <t>costura long. MIG</t>
        </is>
      </c>
    </row>
    <row r="104">
      <c r="A104" s="27" t="inlineStr">
        <is>
          <t>FL_MAT_ABC_5kg</t>
        </is>
      </c>
      <c r="B104" s="27" t="n">
        <v>3</v>
      </c>
      <c r="C104" s="27" t="inlineStr">
        <is>
          <t>MP-HOJA</t>
        </is>
      </c>
      <c r="D104" s="28" t="inlineStr">
        <is>
          <t xml:space="preserve">            Recorte de hoja LAF 1000 × 2000 e=1,6</t>
        </is>
      </c>
      <c r="E104" s="27" t="n">
        <v>1</v>
      </c>
      <c r="F104" s="27" t="inlineStr">
        <is>
          <t>u</t>
        </is>
      </c>
      <c r="G104" s="29" t="n">
        <v>2.092</v>
      </c>
      <c r="H104" s="29">
        <f>E104*G104</f>
        <v/>
      </c>
      <c r="I104" s="27" t="inlineStr">
        <is>
          <t>Chapa SAE 1010 LAF</t>
        </is>
      </c>
      <c r="J104" s="28" t="inlineStr">
        <is>
          <t>330 × 474,5 (aprovech. 94 %)</t>
        </is>
      </c>
      <c r="K104" s="27" t="inlineStr">
        <is>
          <t>Compra (Pradecon)</t>
        </is>
      </c>
      <c r="L104" s="28" t="inlineStr">
        <is>
          <t>AL-1H paquetes de hojas</t>
        </is>
      </c>
      <c r="M104" s="28" t="n"/>
      <c r="N104" s="27" t="inlineStr">
        <is>
          <t>L</t>
        </is>
      </c>
      <c r="O104" s="27" t="inlineStr">
        <is>
          <t>FL_PI_04 h2</t>
        </is>
      </c>
      <c r="P104" s="28" t="n"/>
    </row>
    <row r="105">
      <c r="A105" s="25" t="inlineStr">
        <is>
          <t>FL_MAT_ABC_5kg</t>
        </is>
      </c>
      <c r="B105" s="25" t="n">
        <v>2</v>
      </c>
      <c r="C105" s="25" t="inlineStr">
        <is>
          <t>ABC5-02</t>
        </is>
      </c>
      <c r="D105" s="12" t="inlineStr">
        <is>
          <t xml:space="preserve">        Cúpula</t>
        </is>
      </c>
      <c r="E105" s="25" t="n">
        <v>1</v>
      </c>
      <c r="F105" s="25" t="inlineStr">
        <is>
          <t>u</t>
        </is>
      </c>
      <c r="G105" s="26" t="n">
        <v>0.3505</v>
      </c>
      <c r="H105" s="26">
        <f>E105*G105</f>
        <v/>
      </c>
      <c r="I105" s="25" t="inlineStr">
        <is>
          <t>Chapa acero SAE 1010 e=1,6</t>
        </is>
      </c>
      <c r="J105" s="12" t="inlineStr">
        <is>
          <t>Ø153 × e1,6 × 53,1 de alto; disco Ø221</t>
        </is>
      </c>
      <c r="K105" s="25" t="inlineStr">
        <is>
          <t>Fabricación</t>
        </is>
      </c>
      <c r="L105" s="12" t="inlineStr">
        <is>
          <t>6 Desbobinado + embutido (M06-M08)</t>
        </is>
      </c>
      <c r="M105" s="12" t="n"/>
      <c r="N105" s="25" t="inlineStr">
        <is>
          <t>P</t>
        </is>
      </c>
      <c r="O105" s="25" t="inlineStr">
        <is>
          <t>FL_DES_ABC_5kg</t>
        </is>
      </c>
      <c r="P105" s="12" t="inlineStr">
        <is>
          <t>embutida</t>
        </is>
      </c>
    </row>
    <row r="106">
      <c r="A106" s="27" t="inlineStr">
        <is>
          <t>FL_MAT_ABC_5kg</t>
        </is>
      </c>
      <c r="B106" s="27" t="n">
        <v>3</v>
      </c>
      <c r="C106" s="27" t="inlineStr">
        <is>
          <t>MP-FLEJE</t>
        </is>
      </c>
      <c r="D106" s="28" t="inlineStr">
        <is>
          <t xml:space="preserve">            Fleje e=1,6 × 250 (paso 224)</t>
        </is>
      </c>
      <c r="E106" s="27" t="n">
        <v>0.224</v>
      </c>
      <c r="F106" s="27" t="inlineStr">
        <is>
          <t>m</t>
        </is>
      </c>
      <c r="G106" s="29" t="n">
        <v>3.14</v>
      </c>
      <c r="H106" s="29">
        <f>E106*G106</f>
        <v/>
      </c>
      <c r="I106" s="27" t="inlineStr">
        <is>
          <t>Fleje SAE 1010</t>
        </is>
      </c>
      <c r="J106" s="28" t="inlineStr">
        <is>
          <t>disco Ø221 (kg por m de fleje)</t>
        </is>
      </c>
      <c r="K106" s="27" t="inlineStr">
        <is>
          <t>Compra (Pacheco / Pradecon)</t>
        </is>
      </c>
      <c r="L106" s="28" t="inlineStr">
        <is>
          <t>AL-1F porta-flejes</t>
        </is>
      </c>
      <c r="M106" s="28" t="n"/>
      <c r="N106" s="27" t="inlineStr">
        <is>
          <t>L</t>
        </is>
      </c>
      <c r="O106" s="27" t="inlineStr">
        <is>
          <t>FL_PI_04 h2</t>
        </is>
      </c>
      <c r="P106" s="28" t="n"/>
    </row>
    <row r="107">
      <c r="A107" s="25" t="inlineStr">
        <is>
          <t>FL_MAT_ABC_5kg</t>
        </is>
      </c>
      <c r="B107" s="25" t="n">
        <v>2</v>
      </c>
      <c r="C107" s="25" t="inlineStr">
        <is>
          <t>ABC5-03</t>
        </is>
      </c>
      <c r="D107" s="12" t="inlineStr">
        <is>
          <t xml:space="preserve">        Fondo</t>
        </is>
      </c>
      <c r="E107" s="25" t="n">
        <v>1</v>
      </c>
      <c r="F107" s="25" t="inlineStr">
        <is>
          <t>u</t>
        </is>
      </c>
      <c r="G107" s="26" t="n">
        <v>0.2214</v>
      </c>
      <c r="H107" s="26">
        <f>E107*G107</f>
        <v/>
      </c>
      <c r="I107" s="25" t="inlineStr">
        <is>
          <t>Chapa acero SAE 1010 e=1,6</t>
        </is>
      </c>
      <c r="J107" s="12" t="inlineStr">
        <is>
          <t>Ø153 × e1,6 × 17,6 de alto; disco Ø177</t>
        </is>
      </c>
      <c r="K107" s="25" t="inlineStr">
        <is>
          <t>Fabricación</t>
        </is>
      </c>
      <c r="L107" s="12" t="inlineStr">
        <is>
          <t>6 Desbobinado + embutido (M06-M08)</t>
        </is>
      </c>
      <c r="M107" s="12" t="n"/>
      <c r="N107" s="25" t="inlineStr">
        <is>
          <t>P</t>
        </is>
      </c>
      <c r="O107" s="25" t="inlineStr">
        <is>
          <t>FL_DES_ABC_5kg</t>
        </is>
      </c>
      <c r="P107" s="12" t="inlineStr">
        <is>
          <t>embutido</t>
        </is>
      </c>
    </row>
    <row r="108">
      <c r="A108" s="27" t="inlineStr">
        <is>
          <t>FL_MAT_ABC_5kg</t>
        </is>
      </c>
      <c r="B108" s="27" t="n">
        <v>3</v>
      </c>
      <c r="C108" s="27" t="inlineStr">
        <is>
          <t>MP-FLEJE</t>
        </is>
      </c>
      <c r="D108" s="28" t="inlineStr">
        <is>
          <t xml:space="preserve">            Fleje e=1,6 × 200 (paso 180)</t>
        </is>
      </c>
      <c r="E108" s="27" t="n">
        <v>0.18</v>
      </c>
      <c r="F108" s="27" t="inlineStr">
        <is>
          <t>m</t>
        </is>
      </c>
      <c r="G108" s="29" t="n">
        <v>2.512</v>
      </c>
      <c r="H108" s="29">
        <f>E108*G108</f>
        <v/>
      </c>
      <c r="I108" s="27" t="inlineStr">
        <is>
          <t>Fleje SAE 1010</t>
        </is>
      </c>
      <c r="J108" s="28" t="inlineStr">
        <is>
          <t>disco Ø177 (kg por m de fleje)</t>
        </is>
      </c>
      <c r="K108" s="27" t="inlineStr">
        <is>
          <t>Compra (Pacheco / Pradecon)</t>
        </is>
      </c>
      <c r="L108" s="28" t="inlineStr">
        <is>
          <t>AL-1F porta-flejes</t>
        </is>
      </c>
      <c r="M108" s="28" t="n"/>
      <c r="N108" s="27" t="inlineStr">
        <is>
          <t>L</t>
        </is>
      </c>
      <c r="O108" s="27" t="inlineStr">
        <is>
          <t>FL_PI_04 h2</t>
        </is>
      </c>
      <c r="P108" s="28" t="n"/>
    </row>
    <row r="109">
      <c r="A109" s="25" t="inlineStr">
        <is>
          <t>FL_MAT_ABC_5kg</t>
        </is>
      </c>
      <c r="B109" s="25" t="n">
        <v>2</v>
      </c>
      <c r="C109" s="25" t="inlineStr">
        <is>
          <t>ABC5-04</t>
        </is>
      </c>
      <c r="D109" s="12" t="inlineStr">
        <is>
          <t xml:space="preserve">        Cuello roscado</t>
        </is>
      </c>
      <c r="E109" s="25" t="n">
        <v>1</v>
      </c>
      <c r="F109" s="25" t="inlineStr">
        <is>
          <t>u</t>
        </is>
      </c>
      <c r="G109" s="26" t="n">
        <v>0.0589</v>
      </c>
      <c r="H109" s="26">
        <f>E109*G109</f>
        <v/>
      </c>
      <c r="I109" s="25" t="inlineStr">
        <is>
          <t>Acero SAE 1010</t>
        </is>
      </c>
      <c r="J109" s="12" t="inlineStr">
        <is>
          <t>Ø37 × 15 de alto, rosca M30x1,5, asiento Ø35</t>
        </is>
      </c>
      <c r="K109" s="25" t="inlineStr">
        <is>
          <t>Fabricación</t>
        </is>
      </c>
      <c r="L109" s="12" t="inlineStr">
        <is>
          <t>7 Preparación de cuello -&gt; 8 soldadura de cuello</t>
        </is>
      </c>
      <c r="M109" s="12" t="n"/>
      <c r="N109" s="25" t="inlineStr">
        <is>
          <t>P</t>
        </is>
      </c>
      <c r="O109" s="25" t="inlineStr">
        <is>
          <t>FL_DES_ABC_5kg</t>
        </is>
      </c>
      <c r="P109" s="12" t="inlineStr">
        <is>
          <t>M30x1,5</t>
        </is>
      </c>
    </row>
    <row r="110">
      <c r="A110" s="27" t="inlineStr">
        <is>
          <t>FL_MAT_ABC_5kg</t>
        </is>
      </c>
      <c r="B110" s="27" t="n">
        <v>3</v>
      </c>
      <c r="C110" s="27" t="inlineStr">
        <is>
          <t>MP-CUELLO</t>
        </is>
      </c>
      <c r="D110" s="28" t="inlineStr">
        <is>
          <t xml:space="preserve">            Cuello roscado mecanizado (pieza comprada lista para soldar)</t>
        </is>
      </c>
      <c r="E110" s="27" t="n">
        <v>1</v>
      </c>
      <c r="F110" s="27" t="inlineStr">
        <is>
          <t>u</t>
        </is>
      </c>
      <c r="G110" s="29" t="n">
        <v>0.059</v>
      </c>
      <c r="H110" s="29">
        <f>E110*G110</f>
        <v/>
      </c>
      <c r="I110" s="27" t="inlineStr">
        <is>
          <t>Acero SAE 1010 / 1020</t>
        </is>
      </c>
      <c r="J110" s="28" t="inlineStr">
        <is>
          <t>rosca M30x1,5</t>
        </is>
      </c>
      <c r="K110" s="27" t="inlineStr">
        <is>
          <t>Compra (Eli-Met)</t>
        </is>
      </c>
      <c r="L110" s="28" t="inlineStr">
        <is>
          <t>AL-1C cuellos y roscas</t>
        </is>
      </c>
      <c r="M110" s="28" t="n"/>
      <c r="N110" s="27" t="inlineStr">
        <is>
          <t>L</t>
        </is>
      </c>
      <c r="O110" s="27" t="n"/>
      <c r="P110" s="28" t="n"/>
    </row>
    <row r="111">
      <c r="A111" s="25" t="inlineStr">
        <is>
          <t>FL_MAT_ABC_5kg</t>
        </is>
      </c>
      <c r="B111" s="25" t="n">
        <v>2</v>
      </c>
      <c r="C111" s="25" t="inlineStr">
        <is>
          <t>ABC5-C1</t>
        </is>
      </c>
      <c r="D111" s="12" t="inlineStr">
        <is>
          <t xml:space="preserve">        Aporte de soldadura: Alambre MAG ER70S-6 Ø0,9/1,2</t>
        </is>
      </c>
      <c r="E111" s="25" t="n">
        <v>0.0571</v>
      </c>
      <c r="F111" s="25" t="inlineStr">
        <is>
          <t>kg</t>
        </is>
      </c>
      <c r="G111" s="26" t="n">
        <v>0.92</v>
      </c>
      <c r="H111" s="26">
        <f>E111*G111</f>
        <v/>
      </c>
      <c r="I111" s="25" t="inlineStr">
        <is>
          <t>Alambre MAG ER70S-6 Ø0,9/1,2</t>
        </is>
      </c>
      <c r="J111" s="12" t="inlineStr">
        <is>
          <t>cordones del plano: 53 g depositados (rend. 92 %)</t>
        </is>
      </c>
      <c r="K111" s="25" t="inlineStr">
        <is>
          <t>Compra</t>
        </is>
      </c>
      <c r="L111" s="12" t="inlineStr">
        <is>
          <t>4 sold. long. / 8 cuello / 11 circunferencial</t>
        </is>
      </c>
      <c r="M111" s="12" t="inlineStr">
        <is>
          <t>ISO 4063 131 / 141</t>
        </is>
      </c>
      <c r="N111" s="25" t="inlineStr">
        <is>
          <t>P</t>
        </is>
      </c>
      <c r="O111" s="25" t="n"/>
      <c r="P111" s="12" t="n"/>
    </row>
    <row r="112">
      <c r="A112" s="25" t="inlineStr">
        <is>
          <t>FL_MAT_ABC_5kg</t>
        </is>
      </c>
      <c r="B112" s="25" t="n">
        <v>2</v>
      </c>
      <c r="C112" s="25" t="inlineStr">
        <is>
          <t>ABC5-C2</t>
        </is>
      </c>
      <c r="D112" s="12" t="inlineStr">
        <is>
          <t xml:space="preserve">        Gas de protección: Arcal 21 (Ar + 18 % CO₂)</t>
        </is>
      </c>
      <c r="E112" s="25" t="n">
        <v>25.7</v>
      </c>
      <c r="F112" s="25" t="inlineStr">
        <is>
          <t>L</t>
        </is>
      </c>
      <c r="G112" s="26" t="n"/>
      <c r="H112" s="26" t="n"/>
      <c r="I112" s="25" t="inlineStr">
        <is>
          <t>Arcal 21 (Ar + 18 % CO₂)</t>
        </is>
      </c>
      <c r="J112" s="12" t="inlineStr">
        <is>
          <t>1,7 min de arco × 15 L/min</t>
        </is>
      </c>
      <c r="K112" s="25" t="inlineStr">
        <is>
          <t>Compra</t>
        </is>
      </c>
      <c r="L112" s="12" t="inlineStr">
        <is>
          <t>Colector SC</t>
        </is>
      </c>
      <c r="M112" s="12" t="n"/>
      <c r="N112" s="25" t="inlineStr">
        <is>
          <t>R</t>
        </is>
      </c>
      <c r="O112" s="25" t="n"/>
      <c r="P112" s="12" t="n"/>
    </row>
    <row r="113">
      <c r="A113" s="25" t="inlineStr">
        <is>
          <t>FL_MAT_ABC_5kg</t>
        </is>
      </c>
      <c r="B113" s="25" t="n">
        <v>2</v>
      </c>
      <c r="C113" s="25" t="inlineStr">
        <is>
          <t>ABC5-C3</t>
        </is>
      </c>
      <c r="D113" s="12" t="inlineStr">
        <is>
          <t xml:space="preserve">        Granalla de acero (consumo)</t>
        </is>
      </c>
      <c r="E113" s="25" t="n">
        <v>0.016</v>
      </c>
      <c r="F113" s="25" t="inlineStr">
        <is>
          <t>kg</t>
        </is>
      </c>
      <c r="G113" s="26" t="n"/>
      <c r="H113" s="26" t="n"/>
      <c r="I113" s="25" t="inlineStr">
        <is>
          <t>Granalla S-230</t>
        </is>
      </c>
      <c r="J113" s="12" t="inlineStr">
        <is>
          <t>0,198 m² a Sa 2½</t>
        </is>
      </c>
      <c r="K113" s="25" t="inlineStr">
        <is>
          <t>Compra</t>
        </is>
      </c>
      <c r="L113" s="12" t="inlineStr">
        <is>
          <t>14 Granallado (B08)</t>
        </is>
      </c>
      <c r="M113" s="12" t="inlineStr">
        <is>
          <t>ISO 8501-1</t>
        </is>
      </c>
      <c r="N113" s="25" t="inlineStr">
        <is>
          <t>R</t>
        </is>
      </c>
      <c r="O113" s="25" t="n"/>
      <c r="P113" s="12" t="n"/>
    </row>
    <row r="114">
      <c r="A114" s="25" t="inlineStr">
        <is>
          <t>FL_MAT_ABC_5kg</t>
        </is>
      </c>
      <c r="B114" s="25" t="n">
        <v>2</v>
      </c>
      <c r="C114" s="25" t="inlineStr">
        <is>
          <t>ABC5-C4</t>
        </is>
      </c>
      <c r="D114" s="12" t="inlineStr">
        <is>
          <t xml:space="preserve">        Pintura en polvo poliéster rojo</t>
        </is>
      </c>
      <c r="E114" s="25" t="n">
        <v>0.037</v>
      </c>
      <c r="F114" s="25" t="inlineStr">
        <is>
          <t>kg</t>
        </is>
      </c>
      <c r="G114" s="26" t="n">
        <v>0.65</v>
      </c>
      <c r="H114" s="26">
        <f>E114*G114</f>
        <v/>
      </c>
      <c r="I114" s="25" t="inlineStr">
        <is>
          <t>Poliéster rojo 03-1-050</t>
        </is>
      </c>
      <c r="J114" s="12" t="inlineStr">
        <is>
          <t>0,198 m² × 80 µm (60-100 µm), rendimiento 65 %</t>
        </is>
      </c>
      <c r="K114" s="25" t="inlineStr">
        <is>
          <t>Compra</t>
        </is>
      </c>
      <c r="L114" s="12" t="inlineStr">
        <is>
          <t>17 Pintura (S-P) / tercerizada en carros</t>
        </is>
      </c>
      <c r="M114" s="12" t="inlineStr">
        <is>
          <t>DOC-01 · IRAM 3517-2 9.10</t>
        </is>
      </c>
      <c r="N114" s="25" t="inlineStr">
        <is>
          <t>R</t>
        </is>
      </c>
      <c r="O114" s="25" t="n"/>
      <c r="P114" s="12" t="n"/>
    </row>
    <row r="115">
      <c r="A115" s="22" t="inlineStr">
        <is>
          <t>FL_MAT_ABC_5kg</t>
        </is>
      </c>
      <c r="B115" s="22" t="n">
        <v>1</v>
      </c>
      <c r="C115" s="22" t="inlineStr">
        <is>
          <t>ABC5-S2</t>
        </is>
      </c>
      <c r="D115" s="23" t="inlineStr">
        <is>
          <t xml:space="preserve">    Conjunto de válvula</t>
        </is>
      </c>
      <c r="E115" s="22" t="n">
        <v>1</v>
      </c>
      <c r="F115" s="22" t="inlineStr">
        <is>
          <t>u</t>
        </is>
      </c>
      <c r="G115" s="24" t="n"/>
      <c r="H115" s="24">
        <f>H116+H117+H118+H119+H120+H121+H122+H123+H124+H125+H126+H127+H128</f>
        <v/>
      </c>
      <c r="I115" s="22" t="n"/>
      <c r="J115" s="23" t="n"/>
      <c r="K115" s="22" t="inlineStr">
        <is>
          <t>Compra / armado</t>
        </is>
      </c>
      <c r="L115" s="23" t="n"/>
      <c r="M115" s="23" t="inlineStr">
        <is>
          <t>Manómetro IRAM 3533</t>
        </is>
      </c>
      <c r="N115" s="22" t="inlineStr">
        <is>
          <t>P</t>
        </is>
      </c>
      <c r="O115" s="22" t="inlineStr">
        <is>
          <t>FL_DES_ABC_5kg</t>
        </is>
      </c>
      <c r="P115" s="23" t="n"/>
    </row>
    <row r="116">
      <c r="A116" s="25" t="inlineStr">
        <is>
          <t>FL_MAT_ABC_5kg</t>
        </is>
      </c>
      <c r="B116" s="25" t="n">
        <v>2</v>
      </c>
      <c r="C116" s="25" t="inlineStr">
        <is>
          <t>ABC5-05</t>
        </is>
      </c>
      <c r="D116" s="12" t="inlineStr">
        <is>
          <t xml:space="preserve">        Collarín de válvula</t>
        </is>
      </c>
      <c r="E116" s="25" t="n">
        <v>1</v>
      </c>
      <c r="F116" s="25" t="inlineStr">
        <is>
          <t>u</t>
        </is>
      </c>
      <c r="G116" s="26" t="n">
        <v>0.0833</v>
      </c>
      <c r="H116" s="26">
        <f>E116*G116</f>
        <v/>
      </c>
      <c r="I116" s="25" t="inlineStr">
        <is>
          <t>Latón forjado</t>
        </is>
      </c>
      <c r="J116" s="12" t="inlineStr">
        <is>
          <t>43 × 43 × 10</t>
        </is>
      </c>
      <c r="K116" s="25" t="inlineStr">
        <is>
          <t>Compra</t>
        </is>
      </c>
      <c r="L116" s="12" t="inlineStr">
        <is>
          <t>19 Ensamblaje de válvula (T03/T04)</t>
        </is>
      </c>
      <c r="M116" s="12" t="n"/>
      <c r="N116" s="25" t="inlineStr">
        <is>
          <t>P</t>
        </is>
      </c>
      <c r="O116" s="25" t="inlineStr">
        <is>
          <t>FL_DES_ABC_5kg</t>
        </is>
      </c>
      <c r="P116" s="12" t="n"/>
    </row>
    <row r="117">
      <c r="A117" s="25" t="inlineStr">
        <is>
          <t>FL_MAT_ABC_5kg</t>
        </is>
      </c>
      <c r="B117" s="25" t="n">
        <v>2</v>
      </c>
      <c r="C117" s="25" t="inlineStr">
        <is>
          <t>ABC5-06</t>
        </is>
      </c>
      <c r="D117" s="12" t="inlineStr">
        <is>
          <t xml:space="preserve">        Espiga roscada</t>
        </is>
      </c>
      <c r="E117" s="25" t="n">
        <v>1</v>
      </c>
      <c r="F117" s="25" t="inlineStr">
        <is>
          <t>u</t>
        </is>
      </c>
      <c r="G117" s="26" t="n">
        <v>0.0243</v>
      </c>
      <c r="H117" s="26">
        <f>E117*G117</f>
        <v/>
      </c>
      <c r="I117" s="25" t="inlineStr">
        <is>
          <t>Latón forjado</t>
        </is>
      </c>
      <c r="J117" s="12" t="inlineStr">
        <is>
          <t>28,4 × 28,4 × 12</t>
        </is>
      </c>
      <c r="K117" s="25" t="inlineStr">
        <is>
          <t>Compra</t>
        </is>
      </c>
      <c r="L117" s="12" t="inlineStr">
        <is>
          <t>19 Ensamblaje de válvula (T03/T04)</t>
        </is>
      </c>
      <c r="M117" s="12" t="n"/>
      <c r="N117" s="25" t="inlineStr">
        <is>
          <t>P</t>
        </is>
      </c>
      <c r="O117" s="25" t="inlineStr">
        <is>
          <t>FL_DES_ABC_5kg</t>
        </is>
      </c>
      <c r="P117" s="12" t="n"/>
    </row>
    <row r="118">
      <c r="A118" s="25" t="inlineStr">
        <is>
          <t>FL_MAT_ABC_5kg</t>
        </is>
      </c>
      <c r="B118" s="25" t="n">
        <v>2</v>
      </c>
      <c r="C118" s="25" t="inlineStr">
        <is>
          <t>ABC5-07</t>
        </is>
      </c>
      <c r="D118" s="12" t="inlineStr">
        <is>
          <t xml:space="preserve">        Cuerpo de válvula</t>
        </is>
      </c>
      <c r="E118" s="25" t="n">
        <v>1</v>
      </c>
      <c r="F118" s="25" t="inlineStr">
        <is>
          <t>u</t>
        </is>
      </c>
      <c r="G118" s="26" t="n">
        <v>0.4131</v>
      </c>
      <c r="H118" s="26">
        <f>E118*G118</f>
        <v/>
      </c>
      <c r="I118" s="25" t="inlineStr">
        <is>
          <t>Latón forjado</t>
        </is>
      </c>
      <c r="J118" s="12" t="inlineStr">
        <is>
          <t>56,3 × 43 × 34</t>
        </is>
      </c>
      <c r="K118" s="25" t="inlineStr">
        <is>
          <t>Compra</t>
        </is>
      </c>
      <c r="L118" s="12" t="inlineStr">
        <is>
          <t>19 Ensamblaje de válvula (T03/T04)</t>
        </is>
      </c>
      <c r="M118" s="12" t="n"/>
      <c r="N118" s="25" t="inlineStr">
        <is>
          <t>P</t>
        </is>
      </c>
      <c r="O118" s="25" t="inlineStr">
        <is>
          <t>FL_DES_ABC_5kg</t>
        </is>
      </c>
      <c r="P118" s="12" t="n"/>
    </row>
    <row r="119">
      <c r="A119" s="25" t="inlineStr">
        <is>
          <t>FL_MAT_ABC_5kg</t>
        </is>
      </c>
      <c r="B119" s="25" t="n">
        <v>2</v>
      </c>
      <c r="C119" s="25" t="inlineStr">
        <is>
          <t>ABC5-08</t>
        </is>
      </c>
      <c r="D119" s="12" t="inlineStr">
        <is>
          <t xml:space="preserve">        Manómetro</t>
        </is>
      </c>
      <c r="E119" s="25" t="n">
        <v>1</v>
      </c>
      <c r="F119" s="25" t="inlineStr">
        <is>
          <t>u</t>
        </is>
      </c>
      <c r="G119" s="26" t="n">
        <v>0.06</v>
      </c>
      <c r="H119" s="26">
        <f>E119*G119</f>
        <v/>
      </c>
      <c r="I119" s="25" t="inlineStr">
        <is>
          <t>Comercial</t>
        </is>
      </c>
      <c r="J119" s="12" t="inlineStr">
        <is>
          <t>Ø38 esfera, rango 0-3,5 MPa, sector verde en 1,4</t>
        </is>
      </c>
      <c r="K119" s="25" t="inlineStr">
        <is>
          <t>Compra</t>
        </is>
      </c>
      <c r="L119" s="12" t="inlineStr">
        <is>
          <t>19 Ensamblaje de válvula (T03/T04)</t>
        </is>
      </c>
      <c r="M119" s="12" t="inlineStr">
        <is>
          <t>IRAM 3533</t>
        </is>
      </c>
      <c r="N119" s="25" t="inlineStr">
        <is>
          <t>R</t>
        </is>
      </c>
      <c r="O119" s="25" t="inlineStr">
        <is>
          <t>FL_DES_ABC_5kg</t>
        </is>
      </c>
      <c r="P119" s="12" t="inlineStr">
        <is>
          <t>Pieza comercial; sello IRAM 3533</t>
        </is>
      </c>
    </row>
    <row r="120">
      <c r="A120" s="25" t="inlineStr">
        <is>
          <t>FL_MAT_ABC_5kg</t>
        </is>
      </c>
      <c r="B120" s="25" t="n">
        <v>2</v>
      </c>
      <c r="C120" s="25" t="inlineStr">
        <is>
          <t>ABC5-09</t>
        </is>
      </c>
      <c r="D120" s="12" t="inlineStr">
        <is>
          <t xml:space="preserve">        Manija de transporte</t>
        </is>
      </c>
      <c r="E120" s="25" t="n">
        <v>1</v>
      </c>
      <c r="F120" s="25" t="inlineStr">
        <is>
          <t>u</t>
        </is>
      </c>
      <c r="G120" s="26" t="n">
        <v>0.0619</v>
      </c>
      <c r="H120" s="26">
        <f>E120*G120</f>
        <v/>
      </c>
      <c r="I120" s="25" t="inlineStr">
        <is>
          <t>Chapa acero SAE 1010 pintada</t>
        </is>
      </c>
      <c r="J120" s="12" t="inlineStr">
        <is>
          <t>98,4 × 20 × 14,3</t>
        </is>
      </c>
      <c r="K120" s="25" t="inlineStr">
        <is>
          <t>Compra</t>
        </is>
      </c>
      <c r="L120" s="12" t="inlineStr">
        <is>
          <t>19 Ensamblaje de válvula (T03/T04)</t>
        </is>
      </c>
      <c r="M120" s="12" t="n"/>
      <c r="N120" s="25" t="inlineStr">
        <is>
          <t>P</t>
        </is>
      </c>
      <c r="O120" s="25" t="inlineStr">
        <is>
          <t>FL_DES_ABC_5kg</t>
        </is>
      </c>
      <c r="P120" s="12" t="n"/>
    </row>
    <row r="121">
      <c r="A121" s="25" t="inlineStr">
        <is>
          <t>FL_MAT_ABC_5kg</t>
        </is>
      </c>
      <c r="B121" s="25" t="n">
        <v>2</v>
      </c>
      <c r="C121" s="25" t="inlineStr">
        <is>
          <t>ABC5-10</t>
        </is>
      </c>
      <c r="D121" s="12" t="inlineStr">
        <is>
          <t xml:space="preserve">        Manija de accionamiento</t>
        </is>
      </c>
      <c r="E121" s="25" t="n">
        <v>1</v>
      </c>
      <c r="F121" s="25" t="inlineStr">
        <is>
          <t>u</t>
        </is>
      </c>
      <c r="G121" s="26" t="n">
        <v>0.08890000000000001</v>
      </c>
      <c r="H121" s="26">
        <f>E121*G121</f>
        <v/>
      </c>
      <c r="I121" s="25" t="inlineStr">
        <is>
          <t>Chapa acero SAE 1010 pintada</t>
        </is>
      </c>
      <c r="J121" s="12" t="inlineStr">
        <is>
          <t>141 × 21,2 × 20</t>
        </is>
      </c>
      <c r="K121" s="25" t="inlineStr">
        <is>
          <t>Compra</t>
        </is>
      </c>
      <c r="L121" s="12" t="inlineStr">
        <is>
          <t>19 Ensamblaje de válvula (T03/T04)</t>
        </is>
      </c>
      <c r="M121" s="12" t="n"/>
      <c r="N121" s="25" t="inlineStr">
        <is>
          <t>P</t>
        </is>
      </c>
      <c r="O121" s="25" t="inlineStr">
        <is>
          <t>FL_DES_ABC_5kg</t>
        </is>
      </c>
      <c r="P121" s="12" t="n"/>
    </row>
    <row r="122">
      <c r="A122" s="25" t="inlineStr">
        <is>
          <t>FL_MAT_ABC_5kg</t>
        </is>
      </c>
      <c r="B122" s="25" t="n">
        <v>2</v>
      </c>
      <c r="C122" s="25" t="inlineStr">
        <is>
          <t>ABC5-11</t>
        </is>
      </c>
      <c r="D122" s="12" t="inlineStr">
        <is>
          <t xml:space="preserve">        Eje de palanca</t>
        </is>
      </c>
      <c r="E122" s="25" t="n">
        <v>1</v>
      </c>
      <c r="F122" s="25" t="inlineStr">
        <is>
          <t>u</t>
        </is>
      </c>
      <c r="G122" s="26" t="n">
        <v>0.0081</v>
      </c>
      <c r="H122" s="26">
        <f>E122*G122</f>
        <v/>
      </c>
      <c r="I122" s="25" t="inlineStr">
        <is>
          <t>Acero inox. AISI 304</t>
        </is>
      </c>
      <c r="J122" s="12" t="inlineStr">
        <is>
          <t>36 × 6 × 6</t>
        </is>
      </c>
      <c r="K122" s="25" t="inlineStr">
        <is>
          <t>Compra</t>
        </is>
      </c>
      <c r="L122" s="12" t="inlineStr">
        <is>
          <t>19 Ensamblaje de válvula (T03/T04)</t>
        </is>
      </c>
      <c r="M122" s="12" t="n"/>
      <c r="N122" s="25" t="inlineStr">
        <is>
          <t>P</t>
        </is>
      </c>
      <c r="O122" s="25" t="inlineStr">
        <is>
          <t>FL_DES_ABC_5kg</t>
        </is>
      </c>
      <c r="P122" s="12" t="n"/>
    </row>
    <row r="123">
      <c r="A123" s="25" t="inlineStr">
        <is>
          <t>FL_MAT_ABC_5kg</t>
        </is>
      </c>
      <c r="B123" s="25" t="n">
        <v>2</v>
      </c>
      <c r="C123" s="25" t="inlineStr">
        <is>
          <t>ABC5-12</t>
        </is>
      </c>
      <c r="D123" s="12" t="inlineStr">
        <is>
          <t xml:space="preserve">        Vástago</t>
        </is>
      </c>
      <c r="E123" s="25" t="n">
        <v>1</v>
      </c>
      <c r="F123" s="25" t="inlineStr">
        <is>
          <t>u</t>
        </is>
      </c>
      <c r="G123" s="26" t="n">
        <v>0.0017</v>
      </c>
      <c r="H123" s="26">
        <f>E123*G123</f>
        <v/>
      </c>
      <c r="I123" s="25" t="inlineStr">
        <is>
          <t>Latón</t>
        </is>
      </c>
      <c r="J123" s="12" t="inlineStr">
        <is>
          <t>8 × 8 × 4</t>
        </is>
      </c>
      <c r="K123" s="25" t="inlineStr">
        <is>
          <t>Compra</t>
        </is>
      </c>
      <c r="L123" s="12" t="inlineStr">
        <is>
          <t>19 Ensamblaje de válvula (T03/T04)</t>
        </is>
      </c>
      <c r="M123" s="12" t="n"/>
      <c r="N123" s="25" t="inlineStr">
        <is>
          <t>P</t>
        </is>
      </c>
      <c r="O123" s="25" t="inlineStr">
        <is>
          <t>FL_DES_ABC_5kg</t>
        </is>
      </c>
      <c r="P123" s="12" t="inlineStr">
        <is>
          <t>con junta tórica</t>
        </is>
      </c>
    </row>
    <row r="124">
      <c r="A124" s="25" t="inlineStr">
        <is>
          <t>FL_MAT_ABC_5kg</t>
        </is>
      </c>
      <c r="B124" s="25" t="n">
        <v>2</v>
      </c>
      <c r="C124" s="25" t="inlineStr">
        <is>
          <t>ABC5-13</t>
        </is>
      </c>
      <c r="D124" s="12" t="inlineStr">
        <is>
          <t xml:space="preserve">        Pasador de seguridad</t>
        </is>
      </c>
      <c r="E124" s="25" t="n">
        <v>1</v>
      </c>
      <c r="F124" s="25" t="inlineStr">
        <is>
          <t>u</t>
        </is>
      </c>
      <c r="G124" s="26" t="n">
        <v>0.0055</v>
      </c>
      <c r="H124" s="26">
        <f>E124*G124</f>
        <v/>
      </c>
      <c r="I124" s="25" t="inlineStr">
        <is>
          <t>Alambre acero inox. AISI 304</t>
        </is>
      </c>
      <c r="J124" s="12" t="inlineStr">
        <is>
          <t>45,4 × 21 × 20,8</t>
        </is>
      </c>
      <c r="K124" s="25" t="inlineStr">
        <is>
          <t>Compra</t>
        </is>
      </c>
      <c r="L124" s="12" t="inlineStr">
        <is>
          <t>19 Ensamblaje de válvula (T03/T04)</t>
        </is>
      </c>
      <c r="M124" s="12" t="n"/>
      <c r="N124" s="25" t="inlineStr">
        <is>
          <t>P</t>
        </is>
      </c>
      <c r="O124" s="25" t="inlineStr">
        <is>
          <t>FL_DES_ABC_5kg</t>
        </is>
      </c>
      <c r="P124" s="12" t="inlineStr">
        <is>
          <t>con precinto</t>
        </is>
      </c>
    </row>
    <row r="125">
      <c r="A125" s="25" t="inlineStr">
        <is>
          <t>FL_MAT_ABC_5kg</t>
        </is>
      </c>
      <c r="B125" s="25" t="n">
        <v>2</v>
      </c>
      <c r="C125" s="25" t="inlineStr">
        <is>
          <t>ABC5-14</t>
        </is>
      </c>
      <c r="D125" s="12" t="inlineStr">
        <is>
          <t xml:space="preserve">        Caño de pesca (sifón)</t>
        </is>
      </c>
      <c r="E125" s="25" t="n">
        <v>1</v>
      </c>
      <c r="F125" s="25" t="inlineStr">
        <is>
          <t>u</t>
        </is>
      </c>
      <c r="G125" s="26" t="n">
        <v>0.0244</v>
      </c>
      <c r="H125" s="26">
        <f>E125*G125</f>
        <v/>
      </c>
      <c r="I125" s="25" t="inlineStr">
        <is>
          <t>Tubo PVC rígido</t>
        </is>
      </c>
      <c r="J125" s="12" t="inlineStr">
        <is>
          <t>Ø12 × 352,4 de largo</t>
        </is>
      </c>
      <c r="K125" s="25" t="inlineStr">
        <is>
          <t>Compra</t>
        </is>
      </c>
      <c r="L125" s="12" t="inlineStr">
        <is>
          <t>19 Ensamblaje de válvula (T03/T04)</t>
        </is>
      </c>
      <c r="M125" s="12" t="n"/>
      <c r="N125" s="25" t="inlineStr">
        <is>
          <t>P</t>
        </is>
      </c>
      <c r="O125" s="25" t="inlineStr">
        <is>
          <t>FL_DES_ABC_5kg</t>
        </is>
      </c>
      <c r="P125" s="12" t="n"/>
    </row>
    <row r="126">
      <c r="A126" s="25" t="inlineStr">
        <is>
          <t>FL_MAT_ABC_5kg</t>
        </is>
      </c>
      <c r="B126" s="25" t="n">
        <v>2</v>
      </c>
      <c r="C126" s="25" t="inlineStr">
        <is>
          <t>ABC5-22</t>
        </is>
      </c>
      <c r="D126" s="12" t="inlineStr">
        <is>
          <t xml:space="preserve">        Junta tórica de asiento</t>
        </is>
      </c>
      <c r="E126" s="25" t="n">
        <v>1</v>
      </c>
      <c r="F126" s="25" t="inlineStr">
        <is>
          <t>u</t>
        </is>
      </c>
      <c r="G126" s="26" t="n">
        <v>0.001</v>
      </c>
      <c r="H126" s="26">
        <f>E126*G126</f>
        <v/>
      </c>
      <c r="I126" s="25" t="inlineStr">
        <is>
          <t>NBR 70 Shore A</t>
        </is>
      </c>
      <c r="J126" s="12" t="inlineStr">
        <is>
          <t>Ø31,4 ext. × cordón 3</t>
        </is>
      </c>
      <c r="K126" s="25" t="inlineStr">
        <is>
          <t>Compra</t>
        </is>
      </c>
      <c r="L126" s="12" t="inlineStr">
        <is>
          <t>19 Ensamblaje de válvula (T03/T04)</t>
        </is>
      </c>
      <c r="M126" s="12" t="n"/>
      <c r="N126" s="25" t="inlineStr">
        <is>
          <t>P</t>
        </is>
      </c>
      <c r="O126" s="25" t="inlineStr">
        <is>
          <t>FL_DES_ABC_5kg</t>
        </is>
      </c>
      <c r="P126" s="12" t="inlineStr">
        <is>
          <t>cambio c/recarga</t>
        </is>
      </c>
    </row>
    <row r="127">
      <c r="A127" s="25" t="inlineStr">
        <is>
          <t>FL_MAT_ABC_5kg</t>
        </is>
      </c>
      <c r="B127" s="25" t="n">
        <v>2</v>
      </c>
      <c r="C127" s="25" t="inlineStr">
        <is>
          <t>ABC5-V2</t>
        </is>
      </c>
      <c r="D127" s="12" t="inlineStr">
        <is>
          <t xml:space="preserve">        Resorte de retorno del vástago</t>
        </is>
      </c>
      <c r="E127" s="25" t="n">
        <v>1</v>
      </c>
      <c r="F127" s="25" t="inlineStr">
        <is>
          <t>u</t>
        </is>
      </c>
      <c r="G127" s="26" t="n">
        <v>0.003</v>
      </c>
      <c r="H127" s="26">
        <f>E127*G127</f>
        <v/>
      </c>
      <c r="I127" s="25" t="inlineStr">
        <is>
          <t>Alambre acero inox. AISI 302</t>
        </is>
      </c>
      <c r="J127" s="12" t="inlineStr">
        <is>
          <t>según válvula</t>
        </is>
      </c>
      <c r="K127" s="25" t="inlineStr">
        <is>
          <t>Compra</t>
        </is>
      </c>
      <c r="L127" s="12" t="inlineStr">
        <is>
          <t>19 Ensamblaje</t>
        </is>
      </c>
      <c r="M127" s="12" t="n"/>
      <c r="N127" s="25" t="inlineStr">
        <is>
          <t>R</t>
        </is>
      </c>
      <c r="O127" s="25" t="n"/>
      <c r="P127" s="12" t="n"/>
    </row>
    <row r="128">
      <c r="A128" s="25" t="inlineStr">
        <is>
          <t>FL_MAT_ABC_5kg</t>
        </is>
      </c>
      <c r="B128" s="25" t="n">
        <v>2</v>
      </c>
      <c r="C128" s="25" t="inlineStr">
        <is>
          <t>ABC5-V3</t>
        </is>
      </c>
      <c r="D128" s="12" t="inlineStr">
        <is>
          <t xml:space="preserve">        Junta tórica del vástago</t>
        </is>
      </c>
      <c r="E128" s="25" t="n">
        <v>1</v>
      </c>
      <c r="F128" s="25" t="inlineStr">
        <is>
          <t>u</t>
        </is>
      </c>
      <c r="G128" s="26" t="n">
        <v>0.001</v>
      </c>
      <c r="H128" s="26">
        <f>E128*G128</f>
        <v/>
      </c>
      <c r="I128" s="25" t="inlineStr">
        <is>
          <t>NBR 70 Shore A</t>
        </is>
      </c>
      <c r="J128" s="12" t="inlineStr">
        <is>
          <t>según válvula</t>
        </is>
      </c>
      <c r="K128" s="25" t="inlineStr">
        <is>
          <t>Compra</t>
        </is>
      </c>
      <c r="L128" s="12" t="inlineStr">
        <is>
          <t>19 Ensamblaje</t>
        </is>
      </c>
      <c r="M128" s="12" t="n"/>
      <c r="N128" s="25" t="inlineStr">
        <is>
          <t>P</t>
        </is>
      </c>
      <c r="O128" s="25" t="n"/>
      <c r="P128" s="12" t="inlineStr">
        <is>
          <t>Figura en el plano como «vástago con junta tórica»</t>
        </is>
      </c>
    </row>
    <row r="129">
      <c r="A129" s="22" t="inlineStr">
        <is>
          <t>FL_MAT_ABC_5kg</t>
        </is>
      </c>
      <c r="B129" s="22" t="n">
        <v>1</v>
      </c>
      <c r="C129" s="22" t="inlineStr">
        <is>
          <t>ABC5-S3</t>
        </is>
      </c>
      <c r="D129" s="23" t="inlineStr">
        <is>
          <t xml:space="preserve">    Dispositivo de descarga</t>
        </is>
      </c>
      <c r="E129" s="22" t="n">
        <v>1</v>
      </c>
      <c r="F129" s="22" t="inlineStr">
        <is>
          <t>u</t>
        </is>
      </c>
      <c r="G129" s="24" t="n"/>
      <c r="H129" s="24">
        <f>H130+H131+H132+H133</f>
        <v/>
      </c>
      <c r="I129" s="22" t="n"/>
      <c r="J129" s="23" t="n"/>
      <c r="K129" s="22" t="inlineStr">
        <is>
          <t>Compra / armado</t>
        </is>
      </c>
      <c r="L129" s="23" t="n"/>
      <c r="M129" s="23" t="n"/>
      <c r="N129" s="22" t="inlineStr">
        <is>
          <t>P</t>
        </is>
      </c>
      <c r="O129" s="22" t="inlineStr">
        <is>
          <t>FL_DES_ABC_5kg</t>
        </is>
      </c>
      <c r="P129" s="23" t="n"/>
    </row>
    <row r="130">
      <c r="A130" s="25" t="inlineStr">
        <is>
          <t>FL_MAT_ABC_5kg</t>
        </is>
      </c>
      <c r="B130" s="25" t="n">
        <v>2</v>
      </c>
      <c r="C130" s="25" t="inlineStr">
        <is>
          <t>ABC5-15</t>
        </is>
      </c>
      <c r="D130" s="12" t="inlineStr">
        <is>
          <t xml:space="preserve">        Racor de manguera</t>
        </is>
      </c>
      <c r="E130" s="25" t="n">
        <v>1</v>
      </c>
      <c r="F130" s="25" t="inlineStr">
        <is>
          <t>u</t>
        </is>
      </c>
      <c r="G130" s="26" t="n">
        <v>0.0258</v>
      </c>
      <c r="H130" s="26">
        <f>E130*G130</f>
        <v/>
      </c>
      <c r="I130" s="25" t="inlineStr">
        <is>
          <t>Latón</t>
        </is>
      </c>
      <c r="J130" s="12" t="inlineStr">
        <is>
          <t>18 × 18 × 12</t>
        </is>
      </c>
      <c r="K130" s="25" t="inlineStr">
        <is>
          <t>Compra</t>
        </is>
      </c>
      <c r="L130" s="12" t="inlineStr">
        <is>
          <t>19 Ensamblaje (T03/T04)</t>
        </is>
      </c>
      <c r="M130" s="12" t="n"/>
      <c r="N130" s="25" t="inlineStr">
        <is>
          <t>P</t>
        </is>
      </c>
      <c r="O130" s="25" t="inlineStr">
        <is>
          <t>FL_DES_ABC_5kg</t>
        </is>
      </c>
      <c r="P130" s="12" t="n"/>
    </row>
    <row r="131">
      <c r="A131" s="25" t="inlineStr">
        <is>
          <t>FL_MAT_ABC_5kg</t>
        </is>
      </c>
      <c r="B131" s="25" t="n">
        <v>2</v>
      </c>
      <c r="C131" s="25" t="inlineStr">
        <is>
          <t>ABC5-16</t>
        </is>
      </c>
      <c r="D131" s="12" t="inlineStr">
        <is>
          <t xml:space="preserve">        Manguera</t>
        </is>
      </c>
      <c r="E131" s="25" t="n">
        <v>1</v>
      </c>
      <c r="F131" s="25" t="inlineStr">
        <is>
          <t>u</t>
        </is>
      </c>
      <c r="G131" s="26" t="n">
        <v>0.046</v>
      </c>
      <c r="H131" s="26">
        <f>E131*G131</f>
        <v/>
      </c>
      <c r="I131" s="25" t="inlineStr">
        <is>
          <t>Caucho sintético</t>
        </is>
      </c>
      <c r="J131" s="12" t="inlineStr">
        <is>
          <t>Ø16 × 298 de largo desarrollado</t>
        </is>
      </c>
      <c r="K131" s="25" t="inlineStr">
        <is>
          <t>Compra</t>
        </is>
      </c>
      <c r="L131" s="12" t="inlineStr">
        <is>
          <t>19 Ensamblaje (T03/T04)</t>
        </is>
      </c>
      <c r="M131" s="12" t="n"/>
      <c r="N131" s="25" t="inlineStr">
        <is>
          <t>P</t>
        </is>
      </c>
      <c r="O131" s="25" t="inlineStr">
        <is>
          <t>FL_DES_ABC_5kg</t>
        </is>
      </c>
      <c r="P131" s="12" t="n"/>
    </row>
    <row r="132">
      <c r="A132" s="25" t="inlineStr">
        <is>
          <t>FL_MAT_ABC_5kg</t>
        </is>
      </c>
      <c r="B132" s="25" t="n">
        <v>2</v>
      </c>
      <c r="C132" s="25" t="inlineStr">
        <is>
          <t>ABC5-17</t>
        </is>
      </c>
      <c r="D132" s="12" t="inlineStr">
        <is>
          <t xml:space="preserve">        Tobera con portatobera</t>
        </is>
      </c>
      <c r="E132" s="25" t="n">
        <v>1</v>
      </c>
      <c r="F132" s="25" t="inlineStr">
        <is>
          <t>u</t>
        </is>
      </c>
      <c r="G132" s="26" t="n">
        <v>0.0166</v>
      </c>
      <c r="H132" s="26">
        <f>E132*G132</f>
        <v/>
      </c>
      <c r="I132" s="25" t="inlineStr">
        <is>
          <t>Polipropileno</t>
        </is>
      </c>
      <c r="J132" s="12" t="inlineStr">
        <is>
          <t>75 × 24 × 24</t>
        </is>
      </c>
      <c r="K132" s="25" t="inlineStr">
        <is>
          <t>Compra</t>
        </is>
      </c>
      <c r="L132" s="12" t="inlineStr">
        <is>
          <t>19 Ensamblaje (T03/T04)</t>
        </is>
      </c>
      <c r="M132" s="12" t="n"/>
      <c r="N132" s="25" t="inlineStr">
        <is>
          <t>P</t>
        </is>
      </c>
      <c r="O132" s="25" t="inlineStr">
        <is>
          <t>FL_DES_ABC_5kg</t>
        </is>
      </c>
      <c r="P132" s="12" t="n"/>
    </row>
    <row r="133">
      <c r="A133" s="25" t="inlineStr">
        <is>
          <t>FL_MAT_ABC_5kg</t>
        </is>
      </c>
      <c r="B133" s="25" t="n">
        <v>2</v>
      </c>
      <c r="C133" s="25" t="inlineStr">
        <is>
          <t>ABC5-18</t>
        </is>
      </c>
      <c r="D133" s="12" t="inlineStr">
        <is>
          <t xml:space="preserve">        Suncho portatobera</t>
        </is>
      </c>
      <c r="E133" s="25" t="n">
        <v>1</v>
      </c>
      <c r="F133" s="25" t="inlineStr">
        <is>
          <t>u</t>
        </is>
      </c>
      <c r="G133" s="26" t="n">
        <v>0.1319</v>
      </c>
      <c r="H133" s="26">
        <f>E133*G133</f>
        <v/>
      </c>
      <c r="I133" s="25" t="inlineStr">
        <is>
          <t>Fleje acero SAE 1010 pintado</t>
        </is>
      </c>
      <c r="J133" s="12" t="inlineStr">
        <is>
          <t>159,9 × 156 × 18</t>
        </is>
      </c>
      <c r="K133" s="25" t="inlineStr">
        <is>
          <t>Compra (estructura)</t>
        </is>
      </c>
      <c r="L133" s="12" t="inlineStr">
        <is>
          <t>19 Ensamblaje (T03/T04)</t>
        </is>
      </c>
      <c r="M133" s="12" t="n"/>
      <c r="N133" s="25" t="inlineStr">
        <is>
          <t>P</t>
        </is>
      </c>
      <c r="O133" s="25" t="inlineStr">
        <is>
          <t>FL_DES_ABC_5kg</t>
        </is>
      </c>
      <c r="P133" s="12" t="n"/>
    </row>
    <row r="134">
      <c r="A134" s="22" t="inlineStr">
        <is>
          <t>FL_MAT_ABC_5kg</t>
        </is>
      </c>
      <c r="B134" s="22" t="n">
        <v>1</v>
      </c>
      <c r="C134" s="22" t="inlineStr">
        <is>
          <t>ABC5-S5</t>
        </is>
      </c>
      <c r="D134" s="23" t="inlineStr">
        <is>
          <t xml:space="preserve">    Carga: agente extintor y gas impulsor</t>
        </is>
      </c>
      <c r="E134" s="22" t="n">
        <v>1</v>
      </c>
      <c r="F134" s="22" t="inlineStr">
        <is>
          <t>u</t>
        </is>
      </c>
      <c r="G134" s="24" t="n"/>
      <c r="H134" s="24">
        <f>H135+H136</f>
        <v/>
      </c>
      <c r="I134" s="22" t="n"/>
      <c r="J134" s="23" t="n"/>
      <c r="K134" s="22" t="inlineStr">
        <is>
          <t>Carga en planta</t>
        </is>
      </c>
      <c r="L134" s="23" t="inlineStr">
        <is>
          <t>18 Carga de polvo (T01) / C8 (T02)</t>
        </is>
      </c>
      <c r="M134" s="23" t="n"/>
      <c r="N134" s="22" t="n"/>
      <c r="O134" s="22" t="n"/>
      <c r="P134" s="23" t="n"/>
    </row>
    <row r="135">
      <c r="A135" s="25" t="inlineStr">
        <is>
          <t>FL_MAT_ABC_5kg</t>
        </is>
      </c>
      <c r="B135" s="25" t="n">
        <v>2</v>
      </c>
      <c r="C135" s="25" t="inlineStr">
        <is>
          <t>ABC5-A1</t>
        </is>
      </c>
      <c r="D135" s="12" t="inlineStr">
        <is>
          <t xml:space="preserve">        Polvo químico seco ABC 60 (Sello IRAM 3569, DEMSA)</t>
        </is>
      </c>
      <c r="E135" s="25" t="n">
        <v>5.15</v>
      </c>
      <c r="F135" s="25" t="inlineStr">
        <is>
          <t>kg</t>
        </is>
      </c>
      <c r="G135" s="26" t="n">
        <v>1</v>
      </c>
      <c r="H135" s="26">
        <f>E135*G135</f>
        <v/>
      </c>
      <c r="I135" s="25" t="inlineStr">
        <is>
          <t>Polvo químico seco ABC 60 (Sello IRAM 3569, DEMSA)</t>
        </is>
      </c>
      <c r="J135" s="12" t="inlineStr">
        <is>
          <t>nominal 5 kg; tolerancia 0 / +300 g (IRAM 3517-2:2020 tabla 3 · IRAM 3523 tabla II)</t>
        </is>
      </c>
      <c r="K135" s="25" t="inlineStr">
        <is>
          <t>Compra</t>
        </is>
      </c>
      <c r="L135" s="12" t="inlineStr">
        <is>
          <t>SP-1 almacén previo a la carga</t>
        </is>
      </c>
      <c r="M135" s="12" t="inlineStr">
        <is>
          <t>IRAM 3569</t>
        </is>
      </c>
      <c r="N135" s="25" t="inlineStr">
        <is>
          <t>N</t>
        </is>
      </c>
      <c r="O135" s="25" t="n"/>
      <c r="P135" s="12" t="inlineStr">
        <is>
          <t>MAP 60 % (banda 57-63 %) = 3,09 kg MAP + 1,906 kg sulfato de amonio + 0,154 kg aditivos · potencial 6A-40B:C · alternativa ABC 90: 10A-40B:C · Lote único por extintor; prohibido mezclar ABC con BC (3517-2 9.9.1.6)</t>
        </is>
      </c>
    </row>
    <row r="136">
      <c r="A136" s="25" t="inlineStr">
        <is>
          <t>FL_MAT_ABC_5kg</t>
        </is>
      </c>
      <c r="B136" s="25" t="n">
        <v>2</v>
      </c>
      <c r="C136" s="25" t="inlineStr">
        <is>
          <t>ABC5-A2</t>
        </is>
      </c>
      <c r="D136" s="12" t="inlineStr">
        <is>
          <t xml:space="preserve">        Gas impulsor: N₂</t>
        </is>
      </c>
      <c r="E136" s="25" t="n">
        <v>0.0077</v>
      </c>
      <c r="F136" s="25" t="inlineStr">
        <is>
          <t>kg</t>
        </is>
      </c>
      <c r="G136" s="26" t="n">
        <v>1</v>
      </c>
      <c r="H136" s="26">
        <f>E136*G136</f>
        <v/>
      </c>
      <c r="I136" s="25" t="inlineStr">
        <is>
          <t>N₂</t>
        </is>
      </c>
      <c r="J136" s="12" t="inlineStr">
        <is>
          <t>6,1 L normales para 1,4 MPa a 20 °C en 0,44 dm³ libres</t>
        </is>
      </c>
      <c r="K136" s="25" t="inlineStr">
        <is>
          <t>Compra</t>
        </is>
      </c>
      <c r="L136" s="12" t="inlineStr">
        <is>
          <t>20 Presurización (T05) / C10</t>
        </is>
      </c>
      <c r="M136" s="12" t="inlineStr">
        <is>
          <t>IRAM 3517-2 9.4.9 (tabla 2) · IRAM 3523 2.3 y 3.10</t>
        </is>
      </c>
      <c r="N136" s="25" t="inlineStr">
        <is>
          <t>C</t>
        </is>
      </c>
      <c r="O136" s="25" t="n"/>
      <c r="P136" s="12" t="inlineStr">
        <is>
          <t>VOLUMEN LIBRE INSUFICIENTE con ρ típica (0,44 dm³): ver Carga_N2 - exigir densidad aparente mínima al polvo o agrandar el recipiente</t>
        </is>
      </c>
    </row>
    <row r="137">
      <c r="A137" s="22" t="inlineStr">
        <is>
          <t>FL_MAT_ABC_5kg</t>
        </is>
      </c>
      <c r="B137" s="22" t="n">
        <v>1</v>
      </c>
      <c r="C137" s="22" t="inlineStr">
        <is>
          <t>ABC5-S6</t>
        </is>
      </c>
      <c r="D137" s="23" t="inlineStr">
        <is>
          <t xml:space="preserve">    Identificación y precinto</t>
        </is>
      </c>
      <c r="E137" s="22" t="n">
        <v>1</v>
      </c>
      <c r="F137" s="22" t="inlineStr">
        <is>
          <t>u</t>
        </is>
      </c>
      <c r="G137" s="24" t="n"/>
      <c r="H137" s="24">
        <f>H138+H139+H140+H141+H142</f>
        <v/>
      </c>
      <c r="I137" s="22" t="n"/>
      <c r="J137" s="23" t="n"/>
      <c r="K137" s="22" t="inlineStr">
        <is>
          <t>Compra</t>
        </is>
      </c>
      <c r="L137" s="23" t="inlineStr">
        <is>
          <t>22 Etiquetado (T07)</t>
        </is>
      </c>
      <c r="M137" s="23" t="n"/>
      <c r="N137" s="22" t="n"/>
      <c r="O137" s="22" t="n"/>
      <c r="P137" s="23" t="n"/>
    </row>
    <row r="138">
      <c r="A138" s="25" t="inlineStr">
        <is>
          <t>FL_MAT_ABC_5kg</t>
        </is>
      </c>
      <c r="B138" s="25" t="n">
        <v>2</v>
      </c>
      <c r="C138" s="25" t="inlineStr">
        <is>
          <t>ABC5-19</t>
        </is>
      </c>
      <c r="D138" s="12" t="inlineStr">
        <is>
          <t xml:space="preserve">        Placa de características</t>
        </is>
      </c>
      <c r="E138" s="25" t="n">
        <v>1</v>
      </c>
      <c r="F138" s="25" t="inlineStr">
        <is>
          <t>u</t>
        </is>
      </c>
      <c r="G138" s="26" t="n">
        <v>0.0091</v>
      </c>
      <c r="H138" s="26">
        <f>E138*G138</f>
        <v/>
      </c>
      <c r="I138" s="25" t="inlineStr">
        <is>
          <t>Vinilo autoadhesivo laminado</t>
        </is>
      </c>
      <c r="J138" s="12" t="inlineStr">
        <is>
          <t>144 × 149 (desarrollo × alto), e ≈ 0,3</t>
        </is>
      </c>
      <c r="K138" s="25" t="inlineStr">
        <is>
          <t>Compra</t>
        </is>
      </c>
      <c r="L138" s="12" t="inlineStr">
        <is>
          <t>22 Etiquetado (T07)</t>
        </is>
      </c>
      <c r="M138" s="12" t="inlineStr">
        <is>
          <t>IRAM 3534 · IRAM 3523 cap. 5</t>
        </is>
      </c>
      <c r="N138" s="25" t="inlineStr">
        <is>
          <t>P</t>
        </is>
      </c>
      <c r="O138" s="25" t="inlineStr">
        <is>
          <t>FL_DES_ABC_5kg</t>
        </is>
      </c>
      <c r="P138" s="12" t="inlineStr">
        <is>
          <t>IRAM 3534</t>
        </is>
      </c>
    </row>
    <row r="139">
      <c r="A139" s="25" t="inlineStr">
        <is>
          <t>FL_MAT_ABC_5kg</t>
        </is>
      </c>
      <c r="B139" s="25" t="n">
        <v>2</v>
      </c>
      <c r="C139" s="25" t="inlineStr">
        <is>
          <t>ABC5-20</t>
        </is>
      </c>
      <c r="D139" s="12" t="inlineStr">
        <is>
          <t xml:space="preserve">        Oblea de fabricación (PBA)</t>
        </is>
      </c>
      <c r="E139" s="25" t="n">
        <v>1</v>
      </c>
      <c r="F139" s="25" t="inlineStr">
        <is>
          <t>u</t>
        </is>
      </c>
      <c r="G139" s="26" t="n">
        <v>0.0009</v>
      </c>
      <c r="H139" s="26">
        <f>E139*G139</f>
        <v/>
      </c>
      <c r="I139" s="25" t="inlineStr">
        <is>
          <t>Papel de seguridad autodestructible</t>
        </is>
      </c>
      <c r="J139" s="12" t="inlineStr">
        <is>
          <t>Ø46 (Res. OPDS 522/07), numerada, autodestructible</t>
        </is>
      </c>
      <c r="K139" s="25" t="inlineStr">
        <is>
          <t>Compra</t>
        </is>
      </c>
      <c r="L139" s="12" t="inlineStr">
        <is>
          <t>22 Etiquetado (T07)</t>
        </is>
      </c>
      <c r="M139" s="12" t="inlineStr">
        <is>
          <t>Res. OPDS 522/07 anexos 1, 2 y 6</t>
        </is>
      </c>
      <c r="N139" s="25" t="inlineStr">
        <is>
          <t>P</t>
        </is>
      </c>
      <c r="O139" s="25" t="inlineStr">
        <is>
          <t>FL_DES_ABC_5kg</t>
        </is>
      </c>
      <c r="P139" s="12" t="inlineStr">
        <is>
          <t>Res. 522/07</t>
        </is>
      </c>
    </row>
    <row r="140">
      <c r="A140" s="25" t="inlineStr">
        <is>
          <t>FL_MAT_ABC_5kg</t>
        </is>
      </c>
      <c r="B140" s="25" t="n">
        <v>2</v>
      </c>
      <c r="C140" s="25" t="inlineStr">
        <is>
          <t>ABC5-21</t>
        </is>
      </c>
      <c r="D140" s="12" t="inlineStr">
        <is>
          <t xml:space="preserve">        Estampilla IRAM de conformidad</t>
        </is>
      </c>
      <c r="E140" s="25" t="n">
        <v>1</v>
      </c>
      <c r="F140" s="25" t="inlineStr">
        <is>
          <t>u</t>
        </is>
      </c>
      <c r="G140" s="26" t="n">
        <v>0.001</v>
      </c>
      <c r="H140" s="26">
        <f>E140*G140</f>
        <v/>
      </c>
      <c r="I140" s="25" t="inlineStr">
        <is>
          <t>Provista por IRAM (Anexo R)</t>
        </is>
      </c>
      <c r="J140" s="12" t="inlineStr">
        <is>
          <t>60 × 40</t>
        </is>
      </c>
      <c r="K140" s="25" t="inlineStr">
        <is>
          <t>Compra</t>
        </is>
      </c>
      <c r="L140" s="12" t="inlineStr">
        <is>
          <t>22 Etiquetado (T07)</t>
        </is>
      </c>
      <c r="M140" s="12" t="inlineStr">
        <is>
          <t>IRAM Anexo R (DC-PG-129)</t>
        </is>
      </c>
      <c r="N140" s="25" t="inlineStr">
        <is>
          <t>P</t>
        </is>
      </c>
      <c r="O140" s="25" t="inlineStr">
        <is>
          <t>FL_DES_ABC_5kg</t>
        </is>
      </c>
      <c r="P140" s="12" t="inlineStr">
        <is>
          <t>numerada</t>
        </is>
      </c>
    </row>
    <row r="141">
      <c r="A141" s="25" t="inlineStr">
        <is>
          <t>FL_MAT_ABC_5kg</t>
        </is>
      </c>
      <c r="B141" s="25" t="n">
        <v>2</v>
      </c>
      <c r="C141" s="25" t="inlineStr">
        <is>
          <t>ABC5-23</t>
        </is>
      </c>
      <c r="D141" s="12" t="inlineStr">
        <is>
          <t xml:space="preserve">        Precinto de fábrica</t>
        </is>
      </c>
      <c r="E141" s="25" t="n">
        <v>1</v>
      </c>
      <c r="F141" s="25" t="inlineStr">
        <is>
          <t>u</t>
        </is>
      </c>
      <c r="G141" s="26" t="n">
        <v>0.0002</v>
      </c>
      <c r="H141" s="26">
        <f>E141*G141</f>
        <v/>
      </c>
      <c r="I141" s="25" t="inlineStr">
        <is>
          <t>Polipropileno</t>
        </is>
      </c>
      <c r="J141" s="12" t="inlineStr">
        <is>
          <t>Ø5 × 10, numerado, rotura 30-50 N</t>
        </is>
      </c>
      <c r="K141" s="25" t="inlineStr">
        <is>
          <t>Compra</t>
        </is>
      </c>
      <c r="L141" s="12" t="inlineStr">
        <is>
          <t>20 Presurización (T05)</t>
        </is>
      </c>
      <c r="M141" s="12" t="inlineStr">
        <is>
          <t>IRAM 3523 3.3.2 · IRAM 3517-2:2020 9.4.13</t>
        </is>
      </c>
      <c r="N141" s="25" t="inlineStr">
        <is>
          <t>P</t>
        </is>
      </c>
      <c r="O141" s="25" t="inlineStr">
        <is>
          <t>FL_DES_ABC_5kg</t>
        </is>
      </c>
      <c r="P141" s="12" t="inlineStr">
        <is>
          <t>id. FLAMA y lote</t>
        </is>
      </c>
    </row>
    <row r="142">
      <c r="A142" s="25" t="inlineStr">
        <is>
          <t>FL_MAT_ABC_5kg</t>
        </is>
      </c>
      <c r="B142" s="25" t="n">
        <v>2</v>
      </c>
      <c r="C142" s="25" t="inlineStr">
        <is>
          <t>ABC5-I3</t>
        </is>
      </c>
      <c r="D142" s="12" t="inlineStr">
        <is>
          <t xml:space="preserve">        Tarjeta oficial de vigencia (CABA)</t>
        </is>
      </c>
      <c r="E142" s="25" t="n">
        <v>1</v>
      </c>
      <c r="F142" s="25" t="inlineStr">
        <is>
          <t>u</t>
        </is>
      </c>
      <c r="G142" s="26" t="n">
        <v>0.002</v>
      </c>
      <c r="H142" s="26">
        <f>E142*G142</f>
        <v/>
      </c>
      <c r="I142" s="25" t="inlineStr">
        <is>
          <t>Formulario oficial</t>
        </is>
      </c>
      <c r="J142" s="12" t="inlineStr">
        <is>
          <t>provista por DG Rentas GCBA</t>
        </is>
      </c>
      <c r="K142" s="25" t="inlineStr">
        <is>
          <t>Compra</t>
        </is>
      </c>
      <c r="L142" s="12" t="inlineStr">
        <is>
          <t>22 Etiquetado</t>
        </is>
      </c>
      <c r="M142" s="12" t="inlineStr">
        <is>
          <t>Ordenanza 40.473 art. 6</t>
        </is>
      </c>
      <c r="N142" s="25" t="inlineStr">
        <is>
          <t>N</t>
        </is>
      </c>
      <c r="O142" s="25" t="n"/>
      <c r="P142" s="12" t="inlineStr">
        <is>
          <t>Clase, capacidad, fecha de carga y vencimiento, garantía; se anexa al matafuego (no se dibuja)</t>
        </is>
      </c>
    </row>
    <row r="143">
      <c r="A143" s="22" t="inlineStr">
        <is>
          <t>FL_MAT_ABC_5kg</t>
        </is>
      </c>
      <c r="B143" s="22" t="n">
        <v>1</v>
      </c>
      <c r="C143" s="22" t="inlineStr">
        <is>
          <t>ABC5-S8</t>
        </is>
      </c>
      <c r="D143" s="23" t="inlineStr">
        <is>
          <t xml:space="preserve">    Soporte (accesorio de montaje)</t>
        </is>
      </c>
      <c r="E143" s="22" t="n">
        <v>1</v>
      </c>
      <c r="F143" s="22" t="inlineStr">
        <is>
          <t>u</t>
        </is>
      </c>
      <c r="G143" s="24" t="n"/>
      <c r="H143" s="24">
        <f>H144+H145</f>
        <v/>
      </c>
      <c r="I143" s="22" t="n"/>
      <c r="J143" s="23" t="n"/>
      <c r="K143" s="22" t="inlineStr">
        <is>
          <t>Compra</t>
        </is>
      </c>
      <c r="L143" s="23" t="inlineStr">
        <is>
          <t>23 Embalaje (va dentro de la caja)</t>
        </is>
      </c>
      <c r="M143" s="23" t="inlineStr">
        <is>
          <t>IRAM 3517-2 7.4</t>
        </is>
      </c>
      <c r="N143" s="22" t="n"/>
      <c r="O143" s="22" t="n"/>
      <c r="P143" s="23" t="n"/>
    </row>
    <row r="144">
      <c r="A144" s="25" t="inlineStr">
        <is>
          <t>FL_MAT_ABC_5kg</t>
        </is>
      </c>
      <c r="B144" s="25" t="n">
        <v>2</v>
      </c>
      <c r="C144" s="25" t="inlineStr">
        <is>
          <t>ABC5-I5</t>
        </is>
      </c>
      <c r="D144" s="12" t="inlineStr">
        <is>
          <t xml:space="preserve">        Soporte de pared (FL_ACC_01)</t>
        </is>
      </c>
      <c r="E144" s="25" t="n">
        <v>1</v>
      </c>
      <c r="F144" s="25" t="inlineStr">
        <is>
          <t>u</t>
        </is>
      </c>
      <c r="G144" s="26" t="n">
        <v>0.29</v>
      </c>
      <c r="H144" s="26">
        <f>E144*G144</f>
        <v/>
      </c>
      <c r="I144" s="25" t="inlineStr">
        <is>
          <t>Chapa acero SAE 1010 e=2 pintada</t>
        </is>
      </c>
      <c r="J144" s="12" t="inlineStr">
        <is>
          <t>placa 60 × 180, ala con ranura Ø cuello + 3</t>
        </is>
      </c>
      <c r="K144" s="25" t="inlineStr">
        <is>
          <t>Compra</t>
        </is>
      </c>
      <c r="L144" s="12" t="inlineStr">
        <is>
          <t>23 Embalaje</t>
        </is>
      </c>
      <c r="M144" s="12" t="inlineStr">
        <is>
          <t>IRAM 3517-2 7.4</t>
        </is>
      </c>
      <c r="N144" s="25" t="inlineStr">
        <is>
          <t>P</t>
        </is>
      </c>
      <c r="O144" s="25" t="inlineStr">
        <is>
          <t>FL_ACC_01</t>
        </is>
      </c>
      <c r="P144" s="12" t="n"/>
    </row>
    <row r="145">
      <c r="A145" s="25" t="inlineStr">
        <is>
          <t>FL_MAT_ABC_5kg</t>
        </is>
      </c>
      <c r="B145" s="25" t="n">
        <v>2</v>
      </c>
      <c r="C145" s="25" t="inlineStr">
        <is>
          <t>ABC5-I6</t>
        </is>
      </c>
      <c r="D145" s="12" t="inlineStr">
        <is>
          <t xml:space="preserve">        Tornillo y tarugo de fijación</t>
        </is>
      </c>
      <c r="E145" s="25" t="n">
        <v>2</v>
      </c>
      <c r="F145" s="25" t="inlineStr">
        <is>
          <t>u</t>
        </is>
      </c>
      <c r="G145" s="26" t="n">
        <v>0.01</v>
      </c>
      <c r="H145" s="26">
        <f>E145*G145</f>
        <v/>
      </c>
      <c r="I145" s="25" t="inlineStr">
        <is>
          <t>Acero cincado / nylon</t>
        </is>
      </c>
      <c r="J145" s="12" t="inlineStr">
        <is>
          <t>M6 × 50 + tarugo 8</t>
        </is>
      </c>
      <c r="K145" s="25" t="inlineStr">
        <is>
          <t>Compra</t>
        </is>
      </c>
      <c r="L145" s="12" t="inlineStr">
        <is>
          <t>23 Embalaje</t>
        </is>
      </c>
      <c r="M145" s="12" t="n"/>
      <c r="N145" s="25" t="inlineStr">
        <is>
          <t>R</t>
        </is>
      </c>
      <c r="O145" s="25" t="n"/>
      <c r="P145" s="12" t="n"/>
    </row>
    <row r="146">
      <c r="A146" s="25" t="inlineStr">
        <is>
          <t>FL_MAT_ABC_5kg</t>
        </is>
      </c>
      <c r="B146" s="25" t="n">
        <v>2</v>
      </c>
      <c r="C146" s="25" t="inlineStr">
        <is>
          <t>ABC5-I8</t>
        </is>
      </c>
      <c r="D146" s="12" t="inlineStr">
        <is>
          <t xml:space="preserve">        Soporte opcional (pared o vehicular, según pedido)</t>
        </is>
      </c>
      <c r="E146" s="25" t="n">
        <v>0</v>
      </c>
      <c r="F146" s="25" t="inlineStr">
        <is>
          <t>u</t>
        </is>
      </c>
      <c r="G146" s="26" t="n"/>
      <c r="H146" s="26" t="n"/>
      <c r="I146" s="25" t="inlineStr">
        <is>
          <t>-</t>
        </is>
      </c>
      <c r="J146" s="12" t="inlineStr">
        <is>
          <t>-</t>
        </is>
      </c>
      <c r="K146" s="25" t="inlineStr">
        <is>
          <t>Compra</t>
        </is>
      </c>
      <c r="L146" s="12" t="n"/>
      <c r="M146" s="12" t="n"/>
      <c r="N146" s="25" t="inlineStr">
        <is>
          <t>C</t>
        </is>
      </c>
      <c r="O146" s="25" t="n"/>
      <c r="P146" s="12" t="inlineStr">
        <is>
          <t>Sólo si el pedido lo incluye</t>
        </is>
      </c>
    </row>
    <row r="147">
      <c r="A147" s="22" t="inlineStr">
        <is>
          <t>FL_MAT_ABC_5kg</t>
        </is>
      </c>
      <c r="B147" s="22" t="n">
        <v>1</v>
      </c>
      <c r="C147" s="22" t="inlineStr">
        <is>
          <t>ABC5-S7</t>
        </is>
      </c>
      <c r="D147" s="23" t="inlineStr">
        <is>
          <t xml:space="preserve">    Embalaje</t>
        </is>
      </c>
      <c r="E147" s="22" t="n">
        <v>1</v>
      </c>
      <c r="F147" s="22" t="inlineStr">
        <is>
          <t>u</t>
        </is>
      </c>
      <c r="G147" s="24" t="n"/>
      <c r="H147" s="24">
        <f>H148+H149+H150+H151+H152</f>
        <v/>
      </c>
      <c r="I147" s="22" t="n"/>
      <c r="J147" s="23" t="n"/>
      <c r="K147" s="22" t="inlineStr">
        <is>
          <t>Compra</t>
        </is>
      </c>
      <c r="L147" s="23" t="inlineStr">
        <is>
          <t>23 Embalaje -&gt; 24 envolvedora (T11)</t>
        </is>
      </c>
      <c r="M147" s="23" t="n"/>
      <c r="N147" s="22" t="n"/>
      <c r="O147" s="22" t="n"/>
      <c r="P147" s="23" t="n"/>
    </row>
    <row r="148">
      <c r="A148" s="25" t="inlineStr">
        <is>
          <t>FL_MAT_ABC_5kg</t>
        </is>
      </c>
      <c r="B148" s="25" t="n">
        <v>2</v>
      </c>
      <c r="C148" s="25" t="inlineStr">
        <is>
          <t>ABC5-E1</t>
        </is>
      </c>
      <c r="D148" s="12" t="inlineStr">
        <is>
          <t xml:space="preserve">        Caja de cartón corrugado simple</t>
        </is>
      </c>
      <c r="E148" s="25" t="n">
        <v>1</v>
      </c>
      <c r="F148" s="25" t="inlineStr">
        <is>
          <t>u</t>
        </is>
      </c>
      <c r="G148" s="26" t="n">
        <v>0.25</v>
      </c>
      <c r="H148" s="26">
        <f>E148*G148</f>
        <v/>
      </c>
      <c r="I148" s="25" t="inlineStr">
        <is>
          <t>Cartón corrugado</t>
        </is>
      </c>
      <c r="J148" s="12" t="inlineStr">
        <is>
          <t>255 × 186 × 500 interior</t>
        </is>
      </c>
      <c r="K148" s="25" t="inlineStr">
        <is>
          <t>Compra</t>
        </is>
      </c>
      <c r="L148" s="12" t="inlineStr">
        <is>
          <t>23 Embalaje</t>
        </is>
      </c>
      <c r="M148" s="12" t="n"/>
      <c r="N148" s="25" t="inlineStr">
        <is>
          <t>R</t>
        </is>
      </c>
      <c r="O148" s="25" t="n"/>
      <c r="P148" s="12" t="n"/>
    </row>
    <row r="149">
      <c r="A149" s="25" t="inlineStr">
        <is>
          <t>FL_MAT_ABC_5kg</t>
        </is>
      </c>
      <c r="B149" s="25" t="n">
        <v>2</v>
      </c>
      <c r="C149" s="25" t="inlineStr">
        <is>
          <t>ABC5-E2</t>
        </is>
      </c>
      <c r="D149" s="12" t="inlineStr">
        <is>
          <t xml:space="preserve">        Instructivo de uso y mantenimiento</t>
        </is>
      </c>
      <c r="E149" s="25" t="n">
        <v>1</v>
      </c>
      <c r="F149" s="25" t="inlineStr">
        <is>
          <t>u</t>
        </is>
      </c>
      <c r="G149" s="26" t="n">
        <v>0.01</v>
      </c>
      <c r="H149" s="26">
        <f>E149*G149</f>
        <v/>
      </c>
      <c r="I149" s="25" t="inlineStr">
        <is>
          <t>Papel</t>
        </is>
      </c>
      <c r="J149" s="12" t="inlineStr">
        <is>
          <t>A5</t>
        </is>
      </c>
      <c r="K149" s="25" t="inlineStr">
        <is>
          <t>Compra</t>
        </is>
      </c>
      <c r="L149" s="12" t="inlineStr">
        <is>
          <t>23 Embalaje</t>
        </is>
      </c>
      <c r="M149" s="12" t="inlineStr">
        <is>
          <t>IRAM 3517-2 (información al usuario)</t>
        </is>
      </c>
      <c r="N149" s="25" t="inlineStr">
        <is>
          <t>R</t>
        </is>
      </c>
      <c r="O149" s="25" t="n"/>
      <c r="P149" s="12" t="n"/>
    </row>
    <row r="150">
      <c r="A150" s="25" t="inlineStr">
        <is>
          <t>FL_MAT_ABC_5kg</t>
        </is>
      </c>
      <c r="B150" s="25" t="n">
        <v>2</v>
      </c>
      <c r="C150" s="25" t="inlineStr">
        <is>
          <t>ABC5-E3</t>
        </is>
      </c>
      <c r="D150" s="12" t="inlineStr">
        <is>
          <t xml:space="preserve">        Pallet 1200 × 1000 (fracción)</t>
        </is>
      </c>
      <c r="E150" s="25" t="n">
        <v>0.025</v>
      </c>
      <c r="F150" s="25" t="inlineStr">
        <is>
          <t>u</t>
        </is>
      </c>
      <c r="G150" s="26" t="n">
        <v>0.55</v>
      </c>
      <c r="H150" s="26">
        <f>E150*G150</f>
        <v/>
      </c>
      <c r="I150" s="25" t="inlineStr">
        <is>
          <t>Madera</t>
        </is>
      </c>
      <c r="J150" s="12" t="inlineStr">
        <is>
          <t>40 u por pallet</t>
        </is>
      </c>
      <c r="K150" s="25" t="inlineStr">
        <is>
          <t>Compra</t>
        </is>
      </c>
      <c r="L150" s="12" t="inlineStr">
        <is>
          <t>23 Embalaje</t>
        </is>
      </c>
      <c r="M150" s="12" t="n"/>
      <c r="N150" s="25" t="inlineStr">
        <is>
          <t>R</t>
        </is>
      </c>
      <c r="O150" s="25" t="n"/>
      <c r="P150" s="12" t="n"/>
    </row>
    <row r="151">
      <c r="A151" s="25" t="inlineStr">
        <is>
          <t>FL_MAT_ABC_5kg</t>
        </is>
      </c>
      <c r="B151" s="25" t="n">
        <v>2</v>
      </c>
      <c r="C151" s="25" t="inlineStr">
        <is>
          <t>ABC5-E4</t>
        </is>
      </c>
      <c r="D151" s="12" t="inlineStr">
        <is>
          <t xml:space="preserve">        Film stretch (fracción del pallet)</t>
        </is>
      </c>
      <c r="E151" s="25" t="n">
        <v>0.008699999999999999</v>
      </c>
      <c r="F151" s="25" t="inlineStr">
        <is>
          <t>kg</t>
        </is>
      </c>
      <c r="G151" s="26" t="n">
        <v>1</v>
      </c>
      <c r="H151" s="26">
        <f>E151*G151</f>
        <v/>
      </c>
      <c r="I151" s="25" t="inlineStr">
        <is>
          <t>PE lineal 23 µm</t>
        </is>
      </c>
      <c r="J151" s="12" t="inlineStr">
        <is>
          <t>envolvedora EDOS PS5</t>
        </is>
      </c>
      <c r="K151" s="25" t="inlineStr">
        <is>
          <t>Compra</t>
        </is>
      </c>
      <c r="L151" s="12" t="inlineStr">
        <is>
          <t>24 Envolvedora (T11)</t>
        </is>
      </c>
      <c r="M151" s="12" t="n"/>
      <c r="N151" s="25" t="inlineStr">
        <is>
          <t>R</t>
        </is>
      </c>
      <c r="O151" s="25" t="n"/>
      <c r="P151" s="12" t="n"/>
    </row>
    <row r="152">
      <c r="A152" s="25" t="inlineStr">
        <is>
          <t>FL_MAT_ABC_5kg</t>
        </is>
      </c>
      <c r="B152" s="25" t="n">
        <v>2</v>
      </c>
      <c r="C152" s="25" t="inlineStr">
        <is>
          <t>ABC5-E5</t>
        </is>
      </c>
      <c r="D152" s="12" t="inlineStr">
        <is>
          <t xml:space="preserve">        Etiqueta de pallet (lote y destino, fracción)</t>
        </is>
      </c>
      <c r="E152" s="25" t="n">
        <v>0.025</v>
      </c>
      <c r="F152" s="25" t="inlineStr">
        <is>
          <t>u</t>
        </is>
      </c>
      <c r="G152" s="26" t="n">
        <v>0</v>
      </c>
      <c r="H152" s="26">
        <f>E152*G152</f>
        <v/>
      </c>
      <c r="I152" s="25" t="inlineStr">
        <is>
          <t>Papel térmico</t>
        </is>
      </c>
      <c r="J152" s="12" t="inlineStr">
        <is>
          <t>100 × 150</t>
        </is>
      </c>
      <c r="K152" s="25" t="inlineStr">
        <is>
          <t>Compra</t>
        </is>
      </c>
      <c r="L152" s="12" t="inlineStr">
        <is>
          <t>24 Envolvedora</t>
        </is>
      </c>
      <c r="M152" s="12" t="n"/>
      <c r="N152" s="25" t="inlineStr">
        <is>
          <t>R</t>
        </is>
      </c>
      <c r="O152" s="25" t="n"/>
      <c r="P152" s="12" t="n"/>
    </row>
    <row r="153">
      <c r="A153" s="19" t="inlineStr">
        <is>
          <t>FL_MAT_ABC_10kg</t>
        </is>
      </c>
      <c r="B153" s="19" t="n">
        <v>0</v>
      </c>
      <c r="C153" s="19" t="inlineStr">
        <is>
          <t>FL_MAT_ABC_10kg</t>
        </is>
      </c>
      <c r="D153" s="20" t="inlineStr">
        <is>
          <t>Extintor ABC 10 kg</t>
        </is>
      </c>
      <c r="E153" s="19" t="n">
        <v>1</v>
      </c>
      <c r="F153" s="19" t="inlineStr">
        <is>
          <t>u</t>
        </is>
      </c>
      <c r="G153" s="21" t="n"/>
      <c r="H153" s="21" t="n"/>
      <c r="I153" s="19" t="n"/>
      <c r="J153" s="20" t="n"/>
      <c r="K153" s="19" t="n"/>
      <c r="L153" s="20" t="n"/>
      <c r="M153" s="20" t="inlineStr">
        <is>
          <t>IRAM 3523</t>
        </is>
      </c>
      <c r="N153" s="19" t="inlineStr">
        <is>
          <t>P</t>
        </is>
      </c>
      <c r="O153" s="19" t="inlineStr">
        <is>
          <t>FL_MAT_ABC_10kg</t>
        </is>
      </c>
      <c r="P153" s="20" t="inlineStr">
        <is>
          <t>Fabricación propia</t>
        </is>
      </c>
    </row>
    <row r="154">
      <c r="A154" s="22" t="inlineStr">
        <is>
          <t>FL_MAT_ABC_10kg</t>
        </is>
      </c>
      <c r="B154" s="22" t="n">
        <v>1</v>
      </c>
      <c r="C154" s="22" t="inlineStr">
        <is>
          <t>FL_REC_ABC_10kg</t>
        </is>
      </c>
      <c r="D154" s="23" t="inlineStr">
        <is>
          <t xml:space="preserve">    Recipiente (cilindro)</t>
        </is>
      </c>
      <c r="E154" s="22" t="n">
        <v>1</v>
      </c>
      <c r="F154" s="22" t="inlineStr">
        <is>
          <t>u</t>
        </is>
      </c>
      <c r="G154" s="24" t="n"/>
      <c r="H154" s="24">
        <f>H155+H157+H159+H161+H163+H166</f>
        <v/>
      </c>
      <c r="I154" s="22" t="n"/>
      <c r="J154" s="23" t="n"/>
      <c r="K154" s="22" t="inlineStr">
        <is>
          <t>Fabricación</t>
        </is>
      </c>
      <c r="L154" s="23" t="n"/>
      <c r="M154" s="23" t="inlineStr">
        <is>
          <t>IRAM 3523 / 3550 (recipiente)</t>
        </is>
      </c>
      <c r="N154" s="22" t="inlineStr">
        <is>
          <t>P</t>
        </is>
      </c>
      <c r="O154" s="22" t="inlineStr">
        <is>
          <t>FL_REC_ABC_10kg</t>
        </is>
      </c>
      <c r="P154" s="23" t="n"/>
    </row>
    <row r="155">
      <c r="A155" s="25" t="inlineStr">
        <is>
          <t>FL_MAT_ABC_10kg</t>
        </is>
      </c>
      <c r="B155" s="25" t="n">
        <v>2</v>
      </c>
      <c r="C155" s="25" t="inlineStr">
        <is>
          <t>ABC10-01</t>
        </is>
      </c>
      <c r="D155" s="12" t="inlineStr">
        <is>
          <t xml:space="preserve">        Cuerpo (virola)</t>
        </is>
      </c>
      <c r="E155" s="25" t="n">
        <v>1</v>
      </c>
      <c r="F155" s="25" t="inlineStr">
        <is>
          <t>u</t>
        </is>
      </c>
      <c r="G155" s="26" t="n">
        <v>4.3132</v>
      </c>
      <c r="H155" s="26">
        <f>E155*G155</f>
        <v/>
      </c>
      <c r="I155" s="25" t="inlineStr">
        <is>
          <t>Chapa acero SAE 1010 e=2</t>
        </is>
      </c>
      <c r="J155" s="12" t="inlineStr">
        <is>
          <t>Ø181,5 × e2 × 487,2 de alto; desarrollo 563,9 × 487,2</t>
        </is>
      </c>
      <c r="K155" s="25" t="inlineStr">
        <is>
          <t>Fabricación</t>
        </is>
      </c>
      <c r="L155" s="12" t="inlineStr">
        <is>
          <t>1 Guillotina -&gt; 2 numerado -&gt; 3 cilindrado -&gt; 4 soldadura longitudinal</t>
        </is>
      </c>
      <c r="M155" s="12" t="n"/>
      <c r="N155" s="25" t="inlineStr">
        <is>
          <t>P</t>
        </is>
      </c>
      <c r="O155" s="25" t="inlineStr">
        <is>
          <t>FL_DES_ABC_10kg</t>
        </is>
      </c>
      <c r="P155" s="12" t="inlineStr">
        <is>
          <t>costura long. MIG</t>
        </is>
      </c>
    </row>
    <row r="156">
      <c r="A156" s="27" t="inlineStr">
        <is>
          <t>FL_MAT_ABC_10kg</t>
        </is>
      </c>
      <c r="B156" s="27" t="n">
        <v>3</v>
      </c>
      <c r="C156" s="27" t="inlineStr">
        <is>
          <t>MP-HOJA</t>
        </is>
      </c>
      <c r="D156" s="28" t="inlineStr">
        <is>
          <t xml:space="preserve">            Recorte de hoja LAF 1500 × 3000 e=2</t>
        </is>
      </c>
      <c r="E156" s="27" t="n">
        <v>1</v>
      </c>
      <c r="F156" s="27" t="inlineStr">
        <is>
          <t>u</t>
        </is>
      </c>
      <c r="G156" s="29" t="n">
        <v>4.71</v>
      </c>
      <c r="H156" s="29">
        <f>E156*G156</f>
        <v/>
      </c>
      <c r="I156" s="27" t="inlineStr">
        <is>
          <t>Chapa SAE 1010 LAF</t>
        </is>
      </c>
      <c r="J156" s="28" t="inlineStr">
        <is>
          <t>495 × 563 (aprovech. 92,9 %)</t>
        </is>
      </c>
      <c r="K156" s="27" t="inlineStr">
        <is>
          <t>Compra (Pradecon)</t>
        </is>
      </c>
      <c r="L156" s="28" t="inlineStr">
        <is>
          <t>AL-1H paquetes de hojas</t>
        </is>
      </c>
      <c r="M156" s="28" t="n"/>
      <c r="N156" s="27" t="inlineStr">
        <is>
          <t>L</t>
        </is>
      </c>
      <c r="O156" s="27" t="inlineStr">
        <is>
          <t>FL_PI_04 h2</t>
        </is>
      </c>
      <c r="P156" s="28" t="n"/>
    </row>
    <row r="157">
      <c r="A157" s="25" t="inlineStr">
        <is>
          <t>FL_MAT_ABC_10kg</t>
        </is>
      </c>
      <c r="B157" s="25" t="n">
        <v>2</v>
      </c>
      <c r="C157" s="25" t="inlineStr">
        <is>
          <t>ABC10-02</t>
        </is>
      </c>
      <c r="D157" s="12" t="inlineStr">
        <is>
          <t xml:space="preserve">        Cúpula</t>
        </is>
      </c>
      <c r="E157" s="25" t="n">
        <v>1</v>
      </c>
      <c r="F157" s="25" t="inlineStr">
        <is>
          <t>u</t>
        </is>
      </c>
      <c r="G157" s="26" t="n">
        <v>0.4871</v>
      </c>
      <c r="H157" s="26">
        <f>E157*G157</f>
        <v/>
      </c>
      <c r="I157" s="25" t="inlineStr">
        <is>
          <t>Chapa acero SAE 1010 e=1,6</t>
        </is>
      </c>
      <c r="J157" s="12" t="inlineStr">
        <is>
          <t>Ø181,5 × e1,6 × 61,3 de alto; disco Ø258</t>
        </is>
      </c>
      <c r="K157" s="25" t="inlineStr">
        <is>
          <t>Fabricación</t>
        </is>
      </c>
      <c r="L157" s="12" t="inlineStr">
        <is>
          <t>6 Desbobinado + embutido (M06-M08)</t>
        </is>
      </c>
      <c r="M157" s="12" t="n"/>
      <c r="N157" s="25" t="inlineStr">
        <is>
          <t>P</t>
        </is>
      </c>
      <c r="O157" s="25" t="inlineStr">
        <is>
          <t>FL_DES_ABC_10kg</t>
        </is>
      </c>
      <c r="P157" s="12" t="inlineStr">
        <is>
          <t>embutida</t>
        </is>
      </c>
    </row>
    <row r="158">
      <c r="A158" s="27" t="inlineStr">
        <is>
          <t>FL_MAT_ABC_10kg</t>
        </is>
      </c>
      <c r="B158" s="27" t="n">
        <v>3</v>
      </c>
      <c r="C158" s="27" t="inlineStr">
        <is>
          <t>MP-FLEJE</t>
        </is>
      </c>
      <c r="D158" s="28" t="inlineStr">
        <is>
          <t xml:space="preserve">            Fleje e=2 × 300 (paso 261)</t>
        </is>
      </c>
      <c r="E158" s="27" t="n">
        <v>0.261</v>
      </c>
      <c r="F158" s="27" t="inlineStr">
        <is>
          <t>m</t>
        </is>
      </c>
      <c r="G158" s="29" t="n">
        <v>4.71</v>
      </c>
      <c r="H158" s="29">
        <f>E158*G158</f>
        <v/>
      </c>
      <c r="I158" s="27" t="inlineStr">
        <is>
          <t>Fleje SAE 1010</t>
        </is>
      </c>
      <c r="J158" s="28" t="inlineStr">
        <is>
          <t>disco Ø258 (kg por m de fleje)</t>
        </is>
      </c>
      <c r="K158" s="27" t="inlineStr">
        <is>
          <t>Compra (Pacheco / Pradecon)</t>
        </is>
      </c>
      <c r="L158" s="28" t="inlineStr">
        <is>
          <t>AL-1F porta-flejes</t>
        </is>
      </c>
      <c r="M158" s="28" t="n"/>
      <c r="N158" s="27" t="inlineStr">
        <is>
          <t>L</t>
        </is>
      </c>
      <c r="O158" s="27" t="inlineStr">
        <is>
          <t>FL_PI_04 h2</t>
        </is>
      </c>
      <c r="P158" s="28" t="inlineStr">
        <is>
          <t>OJO: el fleje es e=2 y el plano e=1,6</t>
        </is>
      </c>
    </row>
    <row r="159">
      <c r="A159" s="25" t="inlineStr">
        <is>
          <t>FL_MAT_ABC_10kg</t>
        </is>
      </c>
      <c r="B159" s="25" t="n">
        <v>2</v>
      </c>
      <c r="C159" s="25" t="inlineStr">
        <is>
          <t>ABC10-03</t>
        </is>
      </c>
      <c r="D159" s="12" t="inlineStr">
        <is>
          <t xml:space="preserve">        Fondo</t>
        </is>
      </c>
      <c r="E159" s="25" t="n">
        <v>1</v>
      </c>
      <c r="F159" s="25" t="inlineStr">
        <is>
          <t>u</t>
        </is>
      </c>
      <c r="G159" s="26" t="n">
        <v>0.3885</v>
      </c>
      <c r="H159" s="26">
        <f>E159*G159</f>
        <v/>
      </c>
      <c r="I159" s="25" t="inlineStr">
        <is>
          <t>Chapa acero SAE 1010 e=2</t>
        </is>
      </c>
      <c r="J159" s="12" t="inlineStr">
        <is>
          <t>Ø181,5 × e2 × 13,7 de alto; disco Ø205</t>
        </is>
      </c>
      <c r="K159" s="25" t="inlineStr">
        <is>
          <t>Fabricación</t>
        </is>
      </c>
      <c r="L159" s="12" t="inlineStr">
        <is>
          <t>6 Desbobinado + embutido (M06-M08)</t>
        </is>
      </c>
      <c r="M159" s="12" t="n"/>
      <c r="N159" s="25" t="inlineStr">
        <is>
          <t>P</t>
        </is>
      </c>
      <c r="O159" s="25" t="inlineStr">
        <is>
          <t>FL_DES_ABC_10kg</t>
        </is>
      </c>
      <c r="P159" s="12" t="inlineStr">
        <is>
          <t>embutido</t>
        </is>
      </c>
    </row>
    <row r="160">
      <c r="A160" s="27" t="inlineStr">
        <is>
          <t>FL_MAT_ABC_10kg</t>
        </is>
      </c>
      <c r="B160" s="27" t="n">
        <v>3</v>
      </c>
      <c r="C160" s="27" t="inlineStr">
        <is>
          <t>MP-FLEJE</t>
        </is>
      </c>
      <c r="D160" s="28" t="inlineStr">
        <is>
          <t xml:space="preserve">            Fleje e=2 × 249 (paso 208)</t>
        </is>
      </c>
      <c r="E160" s="27" t="n">
        <v>0.208</v>
      </c>
      <c r="F160" s="27" t="inlineStr">
        <is>
          <t>m</t>
        </is>
      </c>
      <c r="G160" s="29" t="n">
        <v>3.909</v>
      </c>
      <c r="H160" s="29">
        <f>E160*G160</f>
        <v/>
      </c>
      <c r="I160" s="27" t="inlineStr">
        <is>
          <t>Fleje SAE 1010</t>
        </is>
      </c>
      <c r="J160" s="28" t="inlineStr">
        <is>
          <t>disco Ø205 (kg por m de fleje)</t>
        </is>
      </c>
      <c r="K160" s="27" t="inlineStr">
        <is>
          <t>Compra (Pacheco / Pradecon)</t>
        </is>
      </c>
      <c r="L160" s="28" t="inlineStr">
        <is>
          <t>AL-1F porta-flejes</t>
        </is>
      </c>
      <c r="M160" s="28" t="n"/>
      <c r="N160" s="27" t="inlineStr">
        <is>
          <t>L</t>
        </is>
      </c>
      <c r="O160" s="27" t="inlineStr">
        <is>
          <t>FL_PI_04 h2</t>
        </is>
      </c>
      <c r="P160" s="28" t="n"/>
    </row>
    <row r="161">
      <c r="A161" s="25" t="inlineStr">
        <is>
          <t>FL_MAT_ABC_10kg</t>
        </is>
      </c>
      <c r="B161" s="25" t="n">
        <v>2</v>
      </c>
      <c r="C161" s="25" t="inlineStr">
        <is>
          <t>ABC10-04</t>
        </is>
      </c>
      <c r="D161" s="12" t="inlineStr">
        <is>
          <t xml:space="preserve">        Cuello roscado</t>
        </is>
      </c>
      <c r="E161" s="25" t="n">
        <v>1</v>
      </c>
      <c r="F161" s="25" t="inlineStr">
        <is>
          <t>u</t>
        </is>
      </c>
      <c r="G161" s="26" t="n">
        <v>0.0542</v>
      </c>
      <c r="H161" s="26">
        <f>E161*G161</f>
        <v/>
      </c>
      <c r="I161" s="25" t="inlineStr">
        <is>
          <t>Acero SAE 1010</t>
        </is>
      </c>
      <c r="J161" s="12" t="inlineStr">
        <is>
          <t>Ø36,8 × 14 de alto, rosca M30x1,5, asiento Ø35</t>
        </is>
      </c>
      <c r="K161" s="25" t="inlineStr">
        <is>
          <t>Fabricación</t>
        </is>
      </c>
      <c r="L161" s="12" t="inlineStr">
        <is>
          <t>7 Preparación de cuello -&gt; 8 soldadura de cuello</t>
        </is>
      </c>
      <c r="M161" s="12" t="n"/>
      <c r="N161" s="25" t="inlineStr">
        <is>
          <t>P</t>
        </is>
      </c>
      <c r="O161" s="25" t="inlineStr">
        <is>
          <t>FL_DES_ABC_10kg</t>
        </is>
      </c>
      <c r="P161" s="12" t="inlineStr">
        <is>
          <t>M30x1,5</t>
        </is>
      </c>
    </row>
    <row r="162">
      <c r="A162" s="27" t="inlineStr">
        <is>
          <t>FL_MAT_ABC_10kg</t>
        </is>
      </c>
      <c r="B162" s="27" t="n">
        <v>3</v>
      </c>
      <c r="C162" s="27" t="inlineStr">
        <is>
          <t>MP-CUELLO</t>
        </is>
      </c>
      <c r="D162" s="28" t="inlineStr">
        <is>
          <t xml:space="preserve">            Cuello roscado mecanizado (pieza comprada lista para soldar)</t>
        </is>
      </c>
      <c r="E162" s="27" t="n">
        <v>1</v>
      </c>
      <c r="F162" s="27" t="inlineStr">
        <is>
          <t>u</t>
        </is>
      </c>
      <c r="G162" s="29" t="n">
        <v>0.054</v>
      </c>
      <c r="H162" s="29">
        <f>E162*G162</f>
        <v/>
      </c>
      <c r="I162" s="27" t="inlineStr">
        <is>
          <t>Acero SAE 1010 / 1020</t>
        </is>
      </c>
      <c r="J162" s="28" t="inlineStr">
        <is>
          <t>rosca M30x1,5</t>
        </is>
      </c>
      <c r="K162" s="27" t="inlineStr">
        <is>
          <t>Compra (Eli-Met)</t>
        </is>
      </c>
      <c r="L162" s="28" t="inlineStr">
        <is>
          <t>AL-1C cuellos y roscas</t>
        </is>
      </c>
      <c r="M162" s="28" t="n"/>
      <c r="N162" s="27" t="inlineStr">
        <is>
          <t>L</t>
        </is>
      </c>
      <c r="O162" s="27" t="n"/>
      <c r="P162" s="28" t="n"/>
    </row>
    <row r="163">
      <c r="A163" s="25" t="inlineStr">
        <is>
          <t>FL_MAT_ABC_10kg</t>
        </is>
      </c>
      <c r="B163" s="25" t="n">
        <v>2</v>
      </c>
      <c r="C163" s="25" t="inlineStr">
        <is>
          <t>ABC10-C1</t>
        </is>
      </c>
      <c r="D163" s="12" t="inlineStr">
        <is>
          <t xml:space="preserve">        Aporte de soldadura: Alambre MAG ER70S-6 Ø0,9/1,2</t>
        </is>
      </c>
      <c r="E163" s="25" t="n">
        <v>0.1019</v>
      </c>
      <c r="F163" s="25" t="inlineStr">
        <is>
          <t>kg</t>
        </is>
      </c>
      <c r="G163" s="26" t="n">
        <v>0.92</v>
      </c>
      <c r="H163" s="26">
        <f>E163*G163</f>
        <v/>
      </c>
      <c r="I163" s="25" t="inlineStr">
        <is>
          <t>Alambre MAG ER70S-6 Ø0,9/1,2</t>
        </is>
      </c>
      <c r="J163" s="12" t="inlineStr">
        <is>
          <t>cordones del plano: 94 g depositados (rend. 92 %)</t>
        </is>
      </c>
      <c r="K163" s="25" t="inlineStr">
        <is>
          <t>Compra</t>
        </is>
      </c>
      <c r="L163" s="12" t="inlineStr">
        <is>
          <t>4 sold. long. / 8 cuello / 11 circunferencial</t>
        </is>
      </c>
      <c r="M163" s="12" t="inlineStr">
        <is>
          <t>ISO 4063 131 / 141</t>
        </is>
      </c>
      <c r="N163" s="25" t="inlineStr">
        <is>
          <t>P</t>
        </is>
      </c>
      <c r="O163" s="25" t="n"/>
      <c r="P163" s="12" t="n"/>
    </row>
    <row r="164">
      <c r="A164" s="25" t="inlineStr">
        <is>
          <t>FL_MAT_ABC_10kg</t>
        </is>
      </c>
      <c r="B164" s="25" t="n">
        <v>2</v>
      </c>
      <c r="C164" s="25" t="inlineStr">
        <is>
          <t>ABC10-C2</t>
        </is>
      </c>
      <c r="D164" s="12" t="inlineStr">
        <is>
          <t xml:space="preserve">        Gas de protección: Arcal 21 (Ar + 18 % CO₂)</t>
        </is>
      </c>
      <c r="E164" s="25" t="n">
        <v>45.8</v>
      </c>
      <c r="F164" s="25" t="inlineStr">
        <is>
          <t>L</t>
        </is>
      </c>
      <c r="G164" s="26" t="n"/>
      <c r="H164" s="26" t="n"/>
      <c r="I164" s="25" t="inlineStr">
        <is>
          <t>Arcal 21 (Ar + 18 % CO₂)</t>
        </is>
      </c>
      <c r="J164" s="12" t="inlineStr">
        <is>
          <t>3,1 min de arco × 15 L/min</t>
        </is>
      </c>
      <c r="K164" s="25" t="inlineStr">
        <is>
          <t>Compra</t>
        </is>
      </c>
      <c r="L164" s="12" t="inlineStr">
        <is>
          <t>Colector SC</t>
        </is>
      </c>
      <c r="M164" s="12" t="n"/>
      <c r="N164" s="25" t="inlineStr">
        <is>
          <t>R</t>
        </is>
      </c>
      <c r="O164" s="25" t="n"/>
      <c r="P164" s="12" t="n"/>
    </row>
    <row r="165">
      <c r="A165" s="25" t="inlineStr">
        <is>
          <t>FL_MAT_ABC_10kg</t>
        </is>
      </c>
      <c r="B165" s="25" t="n">
        <v>2</v>
      </c>
      <c r="C165" s="25" t="inlineStr">
        <is>
          <t>ABC10-C3</t>
        </is>
      </c>
      <c r="D165" s="12" t="inlineStr">
        <is>
          <t xml:space="preserve">        Granalla de acero (consumo)</t>
        </is>
      </c>
      <c r="E165" s="25" t="n">
        <v>0.027</v>
      </c>
      <c r="F165" s="25" t="inlineStr">
        <is>
          <t>kg</t>
        </is>
      </c>
      <c r="G165" s="26" t="n"/>
      <c r="H165" s="26" t="n"/>
      <c r="I165" s="25" t="inlineStr">
        <is>
          <t>Granalla S-230</t>
        </is>
      </c>
      <c r="J165" s="12" t="inlineStr">
        <is>
          <t>0,338 m² a Sa 2½</t>
        </is>
      </c>
      <c r="K165" s="25" t="inlineStr">
        <is>
          <t>Compra</t>
        </is>
      </c>
      <c r="L165" s="12" t="inlineStr">
        <is>
          <t>14 Granallado (B08)</t>
        </is>
      </c>
      <c r="M165" s="12" t="inlineStr">
        <is>
          <t>ISO 8501-1</t>
        </is>
      </c>
      <c r="N165" s="25" t="inlineStr">
        <is>
          <t>R</t>
        </is>
      </c>
      <c r="O165" s="25" t="n"/>
      <c r="P165" s="12" t="n"/>
    </row>
    <row r="166">
      <c r="A166" s="25" t="inlineStr">
        <is>
          <t>FL_MAT_ABC_10kg</t>
        </is>
      </c>
      <c r="B166" s="25" t="n">
        <v>2</v>
      </c>
      <c r="C166" s="25" t="inlineStr">
        <is>
          <t>ABC10-C4</t>
        </is>
      </c>
      <c r="D166" s="12" t="inlineStr">
        <is>
          <t xml:space="preserve">        Pintura en polvo poliéster rojo</t>
        </is>
      </c>
      <c r="E166" s="25" t="n">
        <v>0.063</v>
      </c>
      <c r="F166" s="25" t="inlineStr">
        <is>
          <t>kg</t>
        </is>
      </c>
      <c r="G166" s="26" t="n">
        <v>0.65</v>
      </c>
      <c r="H166" s="26">
        <f>E166*G166</f>
        <v/>
      </c>
      <c r="I166" s="25" t="inlineStr">
        <is>
          <t>Poliéster rojo 03-1-050</t>
        </is>
      </c>
      <c r="J166" s="12" t="inlineStr">
        <is>
          <t>0,338 m² × 80 µm (60-100 µm), rendimiento 65 %</t>
        </is>
      </c>
      <c r="K166" s="25" t="inlineStr">
        <is>
          <t>Compra</t>
        </is>
      </c>
      <c r="L166" s="12" t="inlineStr">
        <is>
          <t>17 Pintura (S-P) / tercerizada en carros</t>
        </is>
      </c>
      <c r="M166" s="12" t="inlineStr">
        <is>
          <t>DOC-01 · IRAM 3517-2 9.10</t>
        </is>
      </c>
      <c r="N166" s="25" t="inlineStr">
        <is>
          <t>R</t>
        </is>
      </c>
      <c r="O166" s="25" t="n"/>
      <c r="P166" s="12" t="n"/>
    </row>
    <row r="167">
      <c r="A167" s="22" t="inlineStr">
        <is>
          <t>FL_MAT_ABC_10kg</t>
        </is>
      </c>
      <c r="B167" s="22" t="n">
        <v>1</v>
      </c>
      <c r="C167" s="22" t="inlineStr">
        <is>
          <t>ABC10-S2</t>
        </is>
      </c>
      <c r="D167" s="23" t="inlineStr">
        <is>
          <t xml:space="preserve">    Conjunto de válvula</t>
        </is>
      </c>
      <c r="E167" s="22" t="n">
        <v>1</v>
      </c>
      <c r="F167" s="22" t="inlineStr">
        <is>
          <t>u</t>
        </is>
      </c>
      <c r="G167" s="24" t="n"/>
      <c r="H167" s="24">
        <f>H168+H169+H170+H171+H172+H173+H174+H175+H176+H177+H178+H179+H180</f>
        <v/>
      </c>
      <c r="I167" s="22" t="n"/>
      <c r="J167" s="23" t="n"/>
      <c r="K167" s="22" t="inlineStr">
        <is>
          <t>Compra / armado</t>
        </is>
      </c>
      <c r="L167" s="23" t="n"/>
      <c r="M167" s="23" t="inlineStr">
        <is>
          <t>Manómetro IRAM 3533</t>
        </is>
      </c>
      <c r="N167" s="22" t="inlineStr">
        <is>
          <t>P</t>
        </is>
      </c>
      <c r="O167" s="22" t="inlineStr">
        <is>
          <t>FL_DES_ABC_10kg</t>
        </is>
      </c>
      <c r="P167" s="23" t="n"/>
    </row>
    <row r="168">
      <c r="A168" s="25" t="inlineStr">
        <is>
          <t>FL_MAT_ABC_10kg</t>
        </is>
      </c>
      <c r="B168" s="25" t="n">
        <v>2</v>
      </c>
      <c r="C168" s="25" t="inlineStr">
        <is>
          <t>ABC10-05</t>
        </is>
      </c>
      <c r="D168" s="12" t="inlineStr">
        <is>
          <t xml:space="preserve">        Collarín de válvula</t>
        </is>
      </c>
      <c r="E168" s="25" t="n">
        <v>1</v>
      </c>
      <c r="F168" s="25" t="inlineStr">
        <is>
          <t>u</t>
        </is>
      </c>
      <c r="G168" s="26" t="n">
        <v>0.08210000000000001</v>
      </c>
      <c r="H168" s="26">
        <f>E168*G168</f>
        <v/>
      </c>
      <c r="I168" s="25" t="inlineStr">
        <is>
          <t>Latón forjado</t>
        </is>
      </c>
      <c r="J168" s="12" t="inlineStr">
        <is>
          <t>42,8 × 42,8 × 10</t>
        </is>
      </c>
      <c r="K168" s="25" t="inlineStr">
        <is>
          <t>Compra</t>
        </is>
      </c>
      <c r="L168" s="12" t="inlineStr">
        <is>
          <t>19 Ensamblaje de válvula (T03/T04)</t>
        </is>
      </c>
      <c r="M168" s="12" t="n"/>
      <c r="N168" s="25" t="inlineStr">
        <is>
          <t>P</t>
        </is>
      </c>
      <c r="O168" s="25" t="inlineStr">
        <is>
          <t>FL_DES_ABC_10kg</t>
        </is>
      </c>
      <c r="P168" s="12" t="n"/>
    </row>
    <row r="169">
      <c r="A169" s="25" t="inlineStr">
        <is>
          <t>FL_MAT_ABC_10kg</t>
        </is>
      </c>
      <c r="B169" s="25" t="n">
        <v>2</v>
      </c>
      <c r="C169" s="25" t="inlineStr">
        <is>
          <t>ABC10-06</t>
        </is>
      </c>
      <c r="D169" s="12" t="inlineStr">
        <is>
          <t xml:space="preserve">        Espiga roscada</t>
        </is>
      </c>
      <c r="E169" s="25" t="n">
        <v>1</v>
      </c>
      <c r="F169" s="25" t="inlineStr">
        <is>
          <t>u</t>
        </is>
      </c>
      <c r="G169" s="26" t="n">
        <v>0.0243</v>
      </c>
      <c r="H169" s="26">
        <f>E169*G169</f>
        <v/>
      </c>
      <c r="I169" s="25" t="inlineStr">
        <is>
          <t>Latón forjado</t>
        </is>
      </c>
      <c r="J169" s="12" t="inlineStr">
        <is>
          <t>28,4 × 28,4 × 12</t>
        </is>
      </c>
      <c r="K169" s="25" t="inlineStr">
        <is>
          <t>Compra</t>
        </is>
      </c>
      <c r="L169" s="12" t="inlineStr">
        <is>
          <t>19 Ensamblaje de válvula (T03/T04)</t>
        </is>
      </c>
      <c r="M169" s="12" t="n"/>
      <c r="N169" s="25" t="inlineStr">
        <is>
          <t>P</t>
        </is>
      </c>
      <c r="O169" s="25" t="inlineStr">
        <is>
          <t>FL_DES_ABC_10kg</t>
        </is>
      </c>
      <c r="P169" s="12" t="n"/>
    </row>
    <row r="170">
      <c r="A170" s="25" t="inlineStr">
        <is>
          <t>FL_MAT_ABC_10kg</t>
        </is>
      </c>
      <c r="B170" s="25" t="n">
        <v>2</v>
      </c>
      <c r="C170" s="25" t="inlineStr">
        <is>
          <t>ABC10-07</t>
        </is>
      </c>
      <c r="D170" s="12" t="inlineStr">
        <is>
          <t xml:space="preserve">        Cuerpo de válvula</t>
        </is>
      </c>
      <c r="E170" s="25" t="n">
        <v>1</v>
      </c>
      <c r="F170" s="25" t="inlineStr">
        <is>
          <t>u</t>
        </is>
      </c>
      <c r="G170" s="26" t="n">
        <v>0.435</v>
      </c>
      <c r="H170" s="26">
        <f>E170*G170</f>
        <v/>
      </c>
      <c r="I170" s="25" t="inlineStr">
        <is>
          <t>Latón forjado</t>
        </is>
      </c>
      <c r="J170" s="12" t="inlineStr">
        <is>
          <t>59,4 × 43 × 34</t>
        </is>
      </c>
      <c r="K170" s="25" t="inlineStr">
        <is>
          <t>Compra</t>
        </is>
      </c>
      <c r="L170" s="12" t="inlineStr">
        <is>
          <t>19 Ensamblaje de válvula (T03/T04)</t>
        </is>
      </c>
      <c r="M170" s="12" t="n"/>
      <c r="N170" s="25" t="inlineStr">
        <is>
          <t>P</t>
        </is>
      </c>
      <c r="O170" s="25" t="inlineStr">
        <is>
          <t>FL_DES_ABC_10kg</t>
        </is>
      </c>
      <c r="P170" s="12" t="n"/>
    </row>
    <row r="171">
      <c r="A171" s="25" t="inlineStr">
        <is>
          <t>FL_MAT_ABC_10kg</t>
        </is>
      </c>
      <c r="B171" s="25" t="n">
        <v>2</v>
      </c>
      <c r="C171" s="25" t="inlineStr">
        <is>
          <t>ABC10-08</t>
        </is>
      </c>
      <c r="D171" s="12" t="inlineStr">
        <is>
          <t xml:space="preserve">        Manómetro</t>
        </is>
      </c>
      <c r="E171" s="25" t="n">
        <v>1</v>
      </c>
      <c r="F171" s="25" t="inlineStr">
        <is>
          <t>u</t>
        </is>
      </c>
      <c r="G171" s="26" t="n">
        <v>0.06</v>
      </c>
      <c r="H171" s="26">
        <f>E171*G171</f>
        <v/>
      </c>
      <c r="I171" s="25" t="inlineStr">
        <is>
          <t>Comercial</t>
        </is>
      </c>
      <c r="J171" s="12" t="inlineStr">
        <is>
          <t>Ø38 esfera, rango 0-3,5 MPa, sector verde en 1,4</t>
        </is>
      </c>
      <c r="K171" s="25" t="inlineStr">
        <is>
          <t>Compra</t>
        </is>
      </c>
      <c r="L171" s="12" t="inlineStr">
        <is>
          <t>19 Ensamblaje de válvula (T03/T04)</t>
        </is>
      </c>
      <c r="M171" s="12" t="inlineStr">
        <is>
          <t>IRAM 3533</t>
        </is>
      </c>
      <c r="N171" s="25" t="inlineStr">
        <is>
          <t>R</t>
        </is>
      </c>
      <c r="O171" s="25" t="inlineStr">
        <is>
          <t>FL_DES_ABC_10kg</t>
        </is>
      </c>
      <c r="P171" s="12" t="inlineStr">
        <is>
          <t>Pieza comercial; sello IRAM 3533</t>
        </is>
      </c>
    </row>
    <row r="172">
      <c r="A172" s="25" t="inlineStr">
        <is>
          <t>FL_MAT_ABC_10kg</t>
        </is>
      </c>
      <c r="B172" s="25" t="n">
        <v>2</v>
      </c>
      <c r="C172" s="25" t="inlineStr">
        <is>
          <t>ABC10-09</t>
        </is>
      </c>
      <c r="D172" s="12" t="inlineStr">
        <is>
          <t xml:space="preserve">        Manija de transporte</t>
        </is>
      </c>
      <c r="E172" s="25" t="n">
        <v>1</v>
      </c>
      <c r="F172" s="25" t="inlineStr">
        <is>
          <t>u</t>
        </is>
      </c>
      <c r="G172" s="26" t="n">
        <v>0.056</v>
      </c>
      <c r="H172" s="26">
        <f>E172*G172</f>
        <v/>
      </c>
      <c r="I172" s="25" t="inlineStr">
        <is>
          <t>Chapa acero SAE 1010 pintada</t>
        </is>
      </c>
      <c r="J172" s="12" t="inlineStr">
        <is>
          <t>89,2 × 20 × 13,3</t>
        </is>
      </c>
      <c r="K172" s="25" t="inlineStr">
        <is>
          <t>Compra</t>
        </is>
      </c>
      <c r="L172" s="12" t="inlineStr">
        <is>
          <t>19 Ensamblaje de válvula (T03/T04)</t>
        </is>
      </c>
      <c r="M172" s="12" t="n"/>
      <c r="N172" s="25" t="inlineStr">
        <is>
          <t>P</t>
        </is>
      </c>
      <c r="O172" s="25" t="inlineStr">
        <is>
          <t>FL_DES_ABC_10kg</t>
        </is>
      </c>
      <c r="P172" s="12" t="n"/>
    </row>
    <row r="173">
      <c r="A173" s="25" t="inlineStr">
        <is>
          <t>FL_MAT_ABC_10kg</t>
        </is>
      </c>
      <c r="B173" s="25" t="n">
        <v>2</v>
      </c>
      <c r="C173" s="25" t="inlineStr">
        <is>
          <t>ABC10-10</t>
        </is>
      </c>
      <c r="D173" s="12" t="inlineStr">
        <is>
          <t xml:space="preserve">        Manija de accionamiento</t>
        </is>
      </c>
      <c r="E173" s="25" t="n">
        <v>1</v>
      </c>
      <c r="F173" s="25" t="inlineStr">
        <is>
          <t>u</t>
        </is>
      </c>
      <c r="G173" s="26" t="n">
        <v>0.083</v>
      </c>
      <c r="H173" s="26">
        <f>E173*G173</f>
        <v/>
      </c>
      <c r="I173" s="25" t="inlineStr">
        <is>
          <t>Chapa acero SAE 1010 pintada</t>
        </is>
      </c>
      <c r="J173" s="12" t="inlineStr">
        <is>
          <t>131,7 × 20,1 × 20</t>
        </is>
      </c>
      <c r="K173" s="25" t="inlineStr">
        <is>
          <t>Compra</t>
        </is>
      </c>
      <c r="L173" s="12" t="inlineStr">
        <is>
          <t>19 Ensamblaje de válvula (T03/T04)</t>
        </is>
      </c>
      <c r="M173" s="12" t="n"/>
      <c r="N173" s="25" t="inlineStr">
        <is>
          <t>P</t>
        </is>
      </c>
      <c r="O173" s="25" t="inlineStr">
        <is>
          <t>FL_DES_ABC_10kg</t>
        </is>
      </c>
      <c r="P173" s="12" t="n"/>
    </row>
    <row r="174">
      <c r="A174" s="25" t="inlineStr">
        <is>
          <t>FL_MAT_ABC_10kg</t>
        </is>
      </c>
      <c r="B174" s="25" t="n">
        <v>2</v>
      </c>
      <c r="C174" s="25" t="inlineStr">
        <is>
          <t>ABC10-11</t>
        </is>
      </c>
      <c r="D174" s="12" t="inlineStr">
        <is>
          <t xml:space="preserve">        Eje de palanca</t>
        </is>
      </c>
      <c r="E174" s="25" t="n">
        <v>1</v>
      </c>
      <c r="F174" s="25" t="inlineStr">
        <is>
          <t>u</t>
        </is>
      </c>
      <c r="G174" s="26" t="n">
        <v>0.0081</v>
      </c>
      <c r="H174" s="26">
        <f>E174*G174</f>
        <v/>
      </c>
      <c r="I174" s="25" t="inlineStr">
        <is>
          <t>Acero inox. AISI 304</t>
        </is>
      </c>
      <c r="J174" s="12" t="inlineStr">
        <is>
          <t>36 × 6 × 6</t>
        </is>
      </c>
      <c r="K174" s="25" t="inlineStr">
        <is>
          <t>Compra</t>
        </is>
      </c>
      <c r="L174" s="12" t="inlineStr">
        <is>
          <t>19 Ensamblaje de válvula (T03/T04)</t>
        </is>
      </c>
      <c r="M174" s="12" t="n"/>
      <c r="N174" s="25" t="inlineStr">
        <is>
          <t>P</t>
        </is>
      </c>
      <c r="O174" s="25" t="inlineStr">
        <is>
          <t>FL_DES_ABC_10kg</t>
        </is>
      </c>
      <c r="P174" s="12" t="n"/>
    </row>
    <row r="175">
      <c r="A175" s="25" t="inlineStr">
        <is>
          <t>FL_MAT_ABC_10kg</t>
        </is>
      </c>
      <c r="B175" s="25" t="n">
        <v>2</v>
      </c>
      <c r="C175" s="25" t="inlineStr">
        <is>
          <t>ABC10-12</t>
        </is>
      </c>
      <c r="D175" s="12" t="inlineStr">
        <is>
          <t xml:space="preserve">        Vástago</t>
        </is>
      </c>
      <c r="E175" s="25" t="n">
        <v>1</v>
      </c>
      <c r="F175" s="25" t="inlineStr">
        <is>
          <t>u</t>
        </is>
      </c>
      <c r="G175" s="26" t="n">
        <v>0.0017</v>
      </c>
      <c r="H175" s="26">
        <f>E175*G175</f>
        <v/>
      </c>
      <c r="I175" s="25" t="inlineStr">
        <is>
          <t>Latón</t>
        </is>
      </c>
      <c r="J175" s="12" t="inlineStr">
        <is>
          <t>8 × 8 × 4</t>
        </is>
      </c>
      <c r="K175" s="25" t="inlineStr">
        <is>
          <t>Compra</t>
        </is>
      </c>
      <c r="L175" s="12" t="inlineStr">
        <is>
          <t>19 Ensamblaje de válvula (T03/T04)</t>
        </is>
      </c>
      <c r="M175" s="12" t="n"/>
      <c r="N175" s="25" t="inlineStr">
        <is>
          <t>P</t>
        </is>
      </c>
      <c r="O175" s="25" t="inlineStr">
        <is>
          <t>FL_DES_ABC_10kg</t>
        </is>
      </c>
      <c r="P175" s="12" t="inlineStr">
        <is>
          <t>con junta tórica</t>
        </is>
      </c>
    </row>
    <row r="176">
      <c r="A176" s="25" t="inlineStr">
        <is>
          <t>FL_MAT_ABC_10kg</t>
        </is>
      </c>
      <c r="B176" s="25" t="n">
        <v>2</v>
      </c>
      <c r="C176" s="25" t="inlineStr">
        <is>
          <t>ABC10-13</t>
        </is>
      </c>
      <c r="D176" s="12" t="inlineStr">
        <is>
          <t xml:space="preserve">        Pasador de seguridad</t>
        </is>
      </c>
      <c r="E176" s="25" t="n">
        <v>1</v>
      </c>
      <c r="F176" s="25" t="inlineStr">
        <is>
          <t>u</t>
        </is>
      </c>
      <c r="G176" s="26" t="n">
        <v>0.0055</v>
      </c>
      <c r="H176" s="26">
        <f>E176*G176</f>
        <v/>
      </c>
      <c r="I176" s="25" t="inlineStr">
        <is>
          <t>Alambre acero inox. AISI 304</t>
        </is>
      </c>
      <c r="J176" s="12" t="inlineStr">
        <is>
          <t>45,4 × 21 × 20,8</t>
        </is>
      </c>
      <c r="K176" s="25" t="inlineStr">
        <is>
          <t>Compra</t>
        </is>
      </c>
      <c r="L176" s="12" t="inlineStr">
        <is>
          <t>19 Ensamblaje de válvula (T03/T04)</t>
        </is>
      </c>
      <c r="M176" s="12" t="n"/>
      <c r="N176" s="25" t="inlineStr">
        <is>
          <t>P</t>
        </is>
      </c>
      <c r="O176" s="25" t="inlineStr">
        <is>
          <t>FL_DES_ABC_10kg</t>
        </is>
      </c>
      <c r="P176" s="12" t="inlineStr">
        <is>
          <t>con precinto</t>
        </is>
      </c>
    </row>
    <row r="177">
      <c r="A177" s="25" t="inlineStr">
        <is>
          <t>FL_MAT_ABC_10kg</t>
        </is>
      </c>
      <c r="B177" s="25" t="n">
        <v>2</v>
      </c>
      <c r="C177" s="25" t="inlineStr">
        <is>
          <t>ABC10-14</t>
        </is>
      </c>
      <c r="D177" s="12" t="inlineStr">
        <is>
          <t xml:space="preserve">        Caño de pesca (sifón)</t>
        </is>
      </c>
      <c r="E177" s="25" t="n">
        <v>1</v>
      </c>
      <c r="F177" s="25" t="inlineStr">
        <is>
          <t>u</t>
        </is>
      </c>
      <c r="G177" s="26" t="n">
        <v>0.0364</v>
      </c>
      <c r="H177" s="26">
        <f>E177*G177</f>
        <v/>
      </c>
      <c r="I177" s="25" t="inlineStr">
        <is>
          <t>Tubo PVC rígido</t>
        </is>
      </c>
      <c r="J177" s="12" t="inlineStr">
        <is>
          <t>Ø12 × 525,7 de largo</t>
        </is>
      </c>
      <c r="K177" s="25" t="inlineStr">
        <is>
          <t>Compra</t>
        </is>
      </c>
      <c r="L177" s="12" t="inlineStr">
        <is>
          <t>19 Ensamblaje de válvula (T03/T04)</t>
        </is>
      </c>
      <c r="M177" s="12" t="n"/>
      <c r="N177" s="25" t="inlineStr">
        <is>
          <t>P</t>
        </is>
      </c>
      <c r="O177" s="25" t="inlineStr">
        <is>
          <t>FL_DES_ABC_10kg</t>
        </is>
      </c>
      <c r="P177" s="12" t="n"/>
    </row>
    <row r="178">
      <c r="A178" s="25" t="inlineStr">
        <is>
          <t>FL_MAT_ABC_10kg</t>
        </is>
      </c>
      <c r="B178" s="25" t="n">
        <v>2</v>
      </c>
      <c r="C178" s="25" t="inlineStr">
        <is>
          <t>ABC10-22</t>
        </is>
      </c>
      <c r="D178" s="12" t="inlineStr">
        <is>
          <t xml:space="preserve">        Junta tórica de asiento</t>
        </is>
      </c>
      <c r="E178" s="25" t="n">
        <v>1</v>
      </c>
      <c r="F178" s="25" t="inlineStr">
        <is>
          <t>u</t>
        </is>
      </c>
      <c r="G178" s="26" t="n">
        <v>0.001</v>
      </c>
      <c r="H178" s="26">
        <f>E178*G178</f>
        <v/>
      </c>
      <c r="I178" s="25" t="inlineStr">
        <is>
          <t>NBR 70 Shore A</t>
        </is>
      </c>
      <c r="J178" s="12" t="inlineStr">
        <is>
          <t>Ø31,4 ext. × cordón 3</t>
        </is>
      </c>
      <c r="K178" s="25" t="inlineStr">
        <is>
          <t>Compra</t>
        </is>
      </c>
      <c r="L178" s="12" t="inlineStr">
        <is>
          <t>19 Ensamblaje de válvula (T03/T04)</t>
        </is>
      </c>
      <c r="M178" s="12" t="n"/>
      <c r="N178" s="25" t="inlineStr">
        <is>
          <t>P</t>
        </is>
      </c>
      <c r="O178" s="25" t="inlineStr">
        <is>
          <t>FL_DES_ABC_10kg</t>
        </is>
      </c>
      <c r="P178" s="12" t="inlineStr">
        <is>
          <t>cambio c/recarga</t>
        </is>
      </c>
    </row>
    <row r="179">
      <c r="A179" s="25" t="inlineStr">
        <is>
          <t>FL_MAT_ABC_10kg</t>
        </is>
      </c>
      <c r="B179" s="25" t="n">
        <v>2</v>
      </c>
      <c r="C179" s="25" t="inlineStr">
        <is>
          <t>ABC10-V2</t>
        </is>
      </c>
      <c r="D179" s="12" t="inlineStr">
        <is>
          <t xml:space="preserve">        Resorte de retorno del vástago</t>
        </is>
      </c>
      <c r="E179" s="25" t="n">
        <v>1</v>
      </c>
      <c r="F179" s="25" t="inlineStr">
        <is>
          <t>u</t>
        </is>
      </c>
      <c r="G179" s="26" t="n">
        <v>0.003</v>
      </c>
      <c r="H179" s="26">
        <f>E179*G179</f>
        <v/>
      </c>
      <c r="I179" s="25" t="inlineStr">
        <is>
          <t>Alambre acero inox. AISI 302</t>
        </is>
      </c>
      <c r="J179" s="12" t="inlineStr">
        <is>
          <t>según válvula</t>
        </is>
      </c>
      <c r="K179" s="25" t="inlineStr">
        <is>
          <t>Compra</t>
        </is>
      </c>
      <c r="L179" s="12" t="inlineStr">
        <is>
          <t>19 Ensamblaje</t>
        </is>
      </c>
      <c r="M179" s="12" t="n"/>
      <c r="N179" s="25" t="inlineStr">
        <is>
          <t>R</t>
        </is>
      </c>
      <c r="O179" s="25" t="n"/>
      <c r="P179" s="12" t="n"/>
    </row>
    <row r="180">
      <c r="A180" s="25" t="inlineStr">
        <is>
          <t>FL_MAT_ABC_10kg</t>
        </is>
      </c>
      <c r="B180" s="25" t="n">
        <v>2</v>
      </c>
      <c r="C180" s="25" t="inlineStr">
        <is>
          <t>ABC10-V3</t>
        </is>
      </c>
      <c r="D180" s="12" t="inlineStr">
        <is>
          <t xml:space="preserve">        Junta tórica del vástago</t>
        </is>
      </c>
      <c r="E180" s="25" t="n">
        <v>1</v>
      </c>
      <c r="F180" s="25" t="inlineStr">
        <is>
          <t>u</t>
        </is>
      </c>
      <c r="G180" s="26" t="n">
        <v>0.001</v>
      </c>
      <c r="H180" s="26">
        <f>E180*G180</f>
        <v/>
      </c>
      <c r="I180" s="25" t="inlineStr">
        <is>
          <t>NBR 70 Shore A</t>
        </is>
      </c>
      <c r="J180" s="12" t="inlineStr">
        <is>
          <t>según válvula</t>
        </is>
      </c>
      <c r="K180" s="25" t="inlineStr">
        <is>
          <t>Compra</t>
        </is>
      </c>
      <c r="L180" s="12" t="inlineStr">
        <is>
          <t>19 Ensamblaje</t>
        </is>
      </c>
      <c r="M180" s="12" t="n"/>
      <c r="N180" s="25" t="inlineStr">
        <is>
          <t>P</t>
        </is>
      </c>
      <c r="O180" s="25" t="n"/>
      <c r="P180" s="12" t="inlineStr">
        <is>
          <t>Figura en el plano como «vástago con junta tórica»</t>
        </is>
      </c>
    </row>
    <row r="181">
      <c r="A181" s="22" t="inlineStr">
        <is>
          <t>FL_MAT_ABC_10kg</t>
        </is>
      </c>
      <c r="B181" s="22" t="n">
        <v>1</v>
      </c>
      <c r="C181" s="22" t="inlineStr">
        <is>
          <t>ABC10-S3</t>
        </is>
      </c>
      <c r="D181" s="23" t="inlineStr">
        <is>
          <t xml:space="preserve">    Dispositivo de descarga</t>
        </is>
      </c>
      <c r="E181" s="22" t="n">
        <v>1</v>
      </c>
      <c r="F181" s="22" t="inlineStr">
        <is>
          <t>u</t>
        </is>
      </c>
      <c r="G181" s="24" t="n"/>
      <c r="H181" s="24">
        <f>H182+H183+H184+H185</f>
        <v/>
      </c>
      <c r="I181" s="22" t="n"/>
      <c r="J181" s="23" t="n"/>
      <c r="K181" s="22" t="inlineStr">
        <is>
          <t>Compra / armado</t>
        </is>
      </c>
      <c r="L181" s="23" t="n"/>
      <c r="M181" s="23" t="n"/>
      <c r="N181" s="22" t="inlineStr">
        <is>
          <t>P</t>
        </is>
      </c>
      <c r="O181" s="22" t="inlineStr">
        <is>
          <t>FL_DES_ABC_10kg</t>
        </is>
      </c>
      <c r="P181" s="23" t="n"/>
    </row>
    <row r="182">
      <c r="A182" s="25" t="inlineStr">
        <is>
          <t>FL_MAT_ABC_10kg</t>
        </is>
      </c>
      <c r="B182" s="25" t="n">
        <v>2</v>
      </c>
      <c r="C182" s="25" t="inlineStr">
        <is>
          <t>ABC10-15</t>
        </is>
      </c>
      <c r="D182" s="12" t="inlineStr">
        <is>
          <t xml:space="preserve">        Racor de manguera</t>
        </is>
      </c>
      <c r="E182" s="25" t="n">
        <v>1</v>
      </c>
      <c r="F182" s="25" t="inlineStr">
        <is>
          <t>u</t>
        </is>
      </c>
      <c r="G182" s="26" t="n">
        <v>0.0258</v>
      </c>
      <c r="H182" s="26">
        <f>E182*G182</f>
        <v/>
      </c>
      <c r="I182" s="25" t="inlineStr">
        <is>
          <t>Latón</t>
        </is>
      </c>
      <c r="J182" s="12" t="inlineStr">
        <is>
          <t>18 × 18 × 12</t>
        </is>
      </c>
      <c r="K182" s="25" t="inlineStr">
        <is>
          <t>Compra</t>
        </is>
      </c>
      <c r="L182" s="12" t="inlineStr">
        <is>
          <t>19 Ensamblaje (T03/T04)</t>
        </is>
      </c>
      <c r="M182" s="12" t="n"/>
      <c r="N182" s="25" t="inlineStr">
        <is>
          <t>P</t>
        </is>
      </c>
      <c r="O182" s="25" t="inlineStr">
        <is>
          <t>FL_DES_ABC_10kg</t>
        </is>
      </c>
      <c r="P182" s="12" t="n"/>
    </row>
    <row r="183">
      <c r="A183" s="25" t="inlineStr">
        <is>
          <t>FL_MAT_ABC_10kg</t>
        </is>
      </c>
      <c r="B183" s="25" t="n">
        <v>2</v>
      </c>
      <c r="C183" s="25" t="inlineStr">
        <is>
          <t>ABC10-16</t>
        </is>
      </c>
      <c r="D183" s="12" t="inlineStr">
        <is>
          <t xml:space="preserve">        Manguera</t>
        </is>
      </c>
      <c r="E183" s="25" t="n">
        <v>1</v>
      </c>
      <c r="F183" s="25" t="inlineStr">
        <is>
          <t>u</t>
        </is>
      </c>
      <c r="G183" s="26" t="n">
        <v>0.0707</v>
      </c>
      <c r="H183" s="26">
        <f>E183*G183</f>
        <v/>
      </c>
      <c r="I183" s="25" t="inlineStr">
        <is>
          <t>Caucho sintético</t>
        </is>
      </c>
      <c r="J183" s="12" t="inlineStr">
        <is>
          <t>Ø16 × 458 de largo desarrollado</t>
        </is>
      </c>
      <c r="K183" s="25" t="inlineStr">
        <is>
          <t>Compra</t>
        </is>
      </c>
      <c r="L183" s="12" t="inlineStr">
        <is>
          <t>19 Ensamblaje (T03/T04)</t>
        </is>
      </c>
      <c r="M183" s="12" t="n"/>
      <c r="N183" s="25" t="inlineStr">
        <is>
          <t>P</t>
        </is>
      </c>
      <c r="O183" s="25" t="inlineStr">
        <is>
          <t>FL_DES_ABC_10kg</t>
        </is>
      </c>
      <c r="P183" s="12" t="n"/>
    </row>
    <row r="184">
      <c r="A184" s="25" t="inlineStr">
        <is>
          <t>FL_MAT_ABC_10kg</t>
        </is>
      </c>
      <c r="B184" s="25" t="n">
        <v>2</v>
      </c>
      <c r="C184" s="25" t="inlineStr">
        <is>
          <t>ABC10-17</t>
        </is>
      </c>
      <c r="D184" s="12" t="inlineStr">
        <is>
          <t xml:space="preserve">        Tobera con portatobera</t>
        </is>
      </c>
      <c r="E184" s="25" t="n">
        <v>1</v>
      </c>
      <c r="F184" s="25" t="inlineStr">
        <is>
          <t>u</t>
        </is>
      </c>
      <c r="G184" s="26" t="n">
        <v>0.0166</v>
      </c>
      <c r="H184" s="26">
        <f>E184*G184</f>
        <v/>
      </c>
      <c r="I184" s="25" t="inlineStr">
        <is>
          <t>Polipropileno</t>
        </is>
      </c>
      <c r="J184" s="12" t="inlineStr">
        <is>
          <t>75 × 24 × 24</t>
        </is>
      </c>
      <c r="K184" s="25" t="inlineStr">
        <is>
          <t>Compra</t>
        </is>
      </c>
      <c r="L184" s="12" t="inlineStr">
        <is>
          <t>19 Ensamblaje (T03/T04)</t>
        </is>
      </c>
      <c r="M184" s="12" t="n"/>
      <c r="N184" s="25" t="inlineStr">
        <is>
          <t>P</t>
        </is>
      </c>
      <c r="O184" s="25" t="inlineStr">
        <is>
          <t>FL_DES_ABC_10kg</t>
        </is>
      </c>
      <c r="P184" s="12" t="n"/>
    </row>
    <row r="185">
      <c r="A185" s="25" t="inlineStr">
        <is>
          <t>FL_MAT_ABC_10kg</t>
        </is>
      </c>
      <c r="B185" s="25" t="n">
        <v>2</v>
      </c>
      <c r="C185" s="25" t="inlineStr">
        <is>
          <t>ABC10-18</t>
        </is>
      </c>
      <c r="D185" s="12" t="inlineStr">
        <is>
          <t xml:space="preserve">        Suncho portatobera</t>
        </is>
      </c>
      <c r="E185" s="25" t="n">
        <v>1</v>
      </c>
      <c r="F185" s="25" t="inlineStr">
        <is>
          <t>u</t>
        </is>
      </c>
      <c r="G185" s="26" t="n">
        <v>0.1534</v>
      </c>
      <c r="H185" s="26">
        <f>E185*G185</f>
        <v/>
      </c>
      <c r="I185" s="25" t="inlineStr">
        <is>
          <t>Fleje acero SAE 1010 pintado</t>
        </is>
      </c>
      <c r="J185" s="12" t="inlineStr">
        <is>
          <t>188,4 × 184,5 × 18</t>
        </is>
      </c>
      <c r="K185" s="25" t="inlineStr">
        <is>
          <t>Compra (estructura)</t>
        </is>
      </c>
      <c r="L185" s="12" t="inlineStr">
        <is>
          <t>19 Ensamblaje (T03/T04)</t>
        </is>
      </c>
      <c r="M185" s="12" t="n"/>
      <c r="N185" s="25" t="inlineStr">
        <is>
          <t>P</t>
        </is>
      </c>
      <c r="O185" s="25" t="inlineStr">
        <is>
          <t>FL_DES_ABC_10kg</t>
        </is>
      </c>
      <c r="P185" s="12" t="n"/>
    </row>
    <row r="186">
      <c r="A186" s="22" t="inlineStr">
        <is>
          <t>FL_MAT_ABC_10kg</t>
        </is>
      </c>
      <c r="B186" s="22" t="n">
        <v>1</v>
      </c>
      <c r="C186" s="22" t="inlineStr">
        <is>
          <t>ABC10-S5</t>
        </is>
      </c>
      <c r="D186" s="23" t="inlineStr">
        <is>
          <t xml:space="preserve">    Carga: agente extintor y gas impulsor</t>
        </is>
      </c>
      <c r="E186" s="22" t="n">
        <v>1</v>
      </c>
      <c r="F186" s="22" t="inlineStr">
        <is>
          <t>u</t>
        </is>
      </c>
      <c r="G186" s="24" t="n"/>
      <c r="H186" s="24">
        <f>H187+H188</f>
        <v/>
      </c>
      <c r="I186" s="22" t="n"/>
      <c r="J186" s="23" t="n"/>
      <c r="K186" s="22" t="inlineStr">
        <is>
          <t>Carga en planta</t>
        </is>
      </c>
      <c r="L186" s="23" t="inlineStr">
        <is>
          <t>18 Carga de polvo (T01) / C8 (T02)</t>
        </is>
      </c>
      <c r="M186" s="23" t="n"/>
      <c r="N186" s="22" t="n"/>
      <c r="O186" s="22" t="n"/>
      <c r="P186" s="23" t="n"/>
    </row>
    <row r="187">
      <c r="A187" s="25" t="inlineStr">
        <is>
          <t>FL_MAT_ABC_10kg</t>
        </is>
      </c>
      <c r="B187" s="25" t="n">
        <v>2</v>
      </c>
      <c r="C187" s="25" t="inlineStr">
        <is>
          <t>ABC10-A1</t>
        </is>
      </c>
      <c r="D187" s="12" t="inlineStr">
        <is>
          <t xml:space="preserve">        Polvo químico seco ABC 60 (Sello IRAM 3569, DEMSA)</t>
        </is>
      </c>
      <c r="E187" s="25" t="n">
        <v>10.15</v>
      </c>
      <c r="F187" s="25" t="inlineStr">
        <is>
          <t>kg</t>
        </is>
      </c>
      <c r="G187" s="26" t="n">
        <v>1</v>
      </c>
      <c r="H187" s="26">
        <f>E187*G187</f>
        <v/>
      </c>
      <c r="I187" s="25" t="inlineStr">
        <is>
          <t>Polvo químico seco ABC 60 (Sello IRAM 3569, DEMSA)</t>
        </is>
      </c>
      <c r="J187" s="12" t="inlineStr">
        <is>
          <t>nominal 10 kg; tolerancia 0 / +300 g (IRAM 3517-2:2020 tabla 3 · IRAM 3523 tabla II)</t>
        </is>
      </c>
      <c r="K187" s="25" t="inlineStr">
        <is>
          <t>Compra</t>
        </is>
      </c>
      <c r="L187" s="12" t="inlineStr">
        <is>
          <t>SP-1 almacén previo a la carga</t>
        </is>
      </c>
      <c r="M187" s="12" t="inlineStr">
        <is>
          <t>IRAM 3569</t>
        </is>
      </c>
      <c r="N187" s="25" t="inlineStr">
        <is>
          <t>N</t>
        </is>
      </c>
      <c r="O187" s="25" t="n"/>
      <c r="P187" s="12" t="inlineStr">
        <is>
          <t>MAP 60 % (banda 57-63 %) = 6,09 kg MAP + 3,756 kg sulfato de amonio + 0,305 kg aditivos · potencial 6A-60B:C · alternativa ABC 90: 10A-60B:C · Lote único por extintor; prohibido mezclar ABC con BC (3517-2 9.9.1.6)</t>
        </is>
      </c>
    </row>
    <row r="188">
      <c r="A188" s="25" t="inlineStr">
        <is>
          <t>FL_MAT_ABC_10kg</t>
        </is>
      </c>
      <c r="B188" s="25" t="n">
        <v>2</v>
      </c>
      <c r="C188" s="25" t="inlineStr">
        <is>
          <t>ABC10-A2</t>
        </is>
      </c>
      <c r="D188" s="12" t="inlineStr">
        <is>
          <t xml:space="preserve">        Gas impulsor: N₂</t>
        </is>
      </c>
      <c r="E188" s="25" t="n">
        <v>0.024</v>
      </c>
      <c r="F188" s="25" t="inlineStr">
        <is>
          <t>kg</t>
        </is>
      </c>
      <c r="G188" s="26" t="n">
        <v>1</v>
      </c>
      <c r="H188" s="26">
        <f>E188*G188</f>
        <v/>
      </c>
      <c r="I188" s="25" t="inlineStr">
        <is>
          <t>N₂</t>
        </is>
      </c>
      <c r="J188" s="12" t="inlineStr">
        <is>
          <t>19,2 L normales para 1,4 MPa a 20 °C en 1,39 dm³ libres</t>
        </is>
      </c>
      <c r="K188" s="25" t="inlineStr">
        <is>
          <t>Compra</t>
        </is>
      </c>
      <c r="L188" s="12" t="inlineStr">
        <is>
          <t>20 Presurización (T05) / C10</t>
        </is>
      </c>
      <c r="M188" s="12" t="inlineStr">
        <is>
          <t>IRAM 3517-2 9.4.9 (tabla 2) · IRAM 3523 2.3 y 3.10</t>
        </is>
      </c>
      <c r="N188" s="25" t="inlineStr">
        <is>
          <t>C</t>
        </is>
      </c>
      <c r="O188" s="25" t="n"/>
      <c r="P188" s="12" t="inlineStr">
        <is>
          <t>Batería en SP-1; punto de rocío ≤ -56,7 °C para gases limpios</t>
        </is>
      </c>
    </row>
    <row r="189">
      <c r="A189" s="22" t="inlineStr">
        <is>
          <t>FL_MAT_ABC_10kg</t>
        </is>
      </c>
      <c r="B189" s="22" t="n">
        <v>1</v>
      </c>
      <c r="C189" s="22" t="inlineStr">
        <is>
          <t>ABC10-S6</t>
        </is>
      </c>
      <c r="D189" s="23" t="inlineStr">
        <is>
          <t xml:space="preserve">    Identificación y precinto</t>
        </is>
      </c>
      <c r="E189" s="22" t="n">
        <v>1</v>
      </c>
      <c r="F189" s="22" t="inlineStr">
        <is>
          <t>u</t>
        </is>
      </c>
      <c r="G189" s="24" t="n"/>
      <c r="H189" s="24">
        <f>H190+H191+H192+H193+H194</f>
        <v/>
      </c>
      <c r="I189" s="22" t="n"/>
      <c r="J189" s="23" t="n"/>
      <c r="K189" s="22" t="inlineStr">
        <is>
          <t>Compra</t>
        </is>
      </c>
      <c r="L189" s="23" t="inlineStr">
        <is>
          <t>22 Etiquetado (T07)</t>
        </is>
      </c>
      <c r="M189" s="23" t="n"/>
      <c r="N189" s="22" t="n"/>
      <c r="O189" s="22" t="n"/>
      <c r="P189" s="23" t="n"/>
    </row>
    <row r="190">
      <c r="A190" s="25" t="inlineStr">
        <is>
          <t>FL_MAT_ABC_10kg</t>
        </is>
      </c>
      <c r="B190" s="25" t="n">
        <v>2</v>
      </c>
      <c r="C190" s="25" t="inlineStr">
        <is>
          <t>ABC10-19</t>
        </is>
      </c>
      <c r="D190" s="12" t="inlineStr">
        <is>
          <t xml:space="preserve">        Placa de características</t>
        </is>
      </c>
      <c r="E190" s="25" t="n">
        <v>1</v>
      </c>
      <c r="F190" s="25" t="inlineStr">
        <is>
          <t>u</t>
        </is>
      </c>
      <c r="G190" s="26" t="n">
        <v>0.0131</v>
      </c>
      <c r="H190" s="26">
        <f>E190*G190</f>
        <v/>
      </c>
      <c r="I190" s="25" t="inlineStr">
        <is>
          <t>Vinilo autoadhesivo laminado</t>
        </is>
      </c>
      <c r="J190" s="12" t="inlineStr">
        <is>
          <t>171 × 182 (desarrollo × alto), e ≈ 0,3</t>
        </is>
      </c>
      <c r="K190" s="25" t="inlineStr">
        <is>
          <t>Compra</t>
        </is>
      </c>
      <c r="L190" s="12" t="inlineStr">
        <is>
          <t>22 Etiquetado (T07)</t>
        </is>
      </c>
      <c r="M190" s="12" t="inlineStr">
        <is>
          <t>IRAM 3534 · IRAM 3523 cap. 5</t>
        </is>
      </c>
      <c r="N190" s="25" t="inlineStr">
        <is>
          <t>P</t>
        </is>
      </c>
      <c r="O190" s="25" t="inlineStr">
        <is>
          <t>FL_DES_ABC_10kg</t>
        </is>
      </c>
      <c r="P190" s="12" t="inlineStr">
        <is>
          <t>IRAM 3534</t>
        </is>
      </c>
    </row>
    <row r="191">
      <c r="A191" s="25" t="inlineStr">
        <is>
          <t>FL_MAT_ABC_10kg</t>
        </is>
      </c>
      <c r="B191" s="25" t="n">
        <v>2</v>
      </c>
      <c r="C191" s="25" t="inlineStr">
        <is>
          <t>ABC10-20</t>
        </is>
      </c>
      <c r="D191" s="12" t="inlineStr">
        <is>
          <t xml:space="preserve">        Oblea de fabricación (PBA)</t>
        </is>
      </c>
      <c r="E191" s="25" t="n">
        <v>1</v>
      </c>
      <c r="F191" s="25" t="inlineStr">
        <is>
          <t>u</t>
        </is>
      </c>
      <c r="G191" s="26" t="n">
        <v>0.0009</v>
      </c>
      <c r="H191" s="26">
        <f>E191*G191</f>
        <v/>
      </c>
      <c r="I191" s="25" t="inlineStr">
        <is>
          <t>Papel de seguridad autodestructible</t>
        </is>
      </c>
      <c r="J191" s="12" t="inlineStr">
        <is>
          <t>Ø46 (Res. OPDS 522/07), numerada, autodestructible</t>
        </is>
      </c>
      <c r="K191" s="25" t="inlineStr">
        <is>
          <t>Compra</t>
        </is>
      </c>
      <c r="L191" s="12" t="inlineStr">
        <is>
          <t>22 Etiquetado (T07)</t>
        </is>
      </c>
      <c r="M191" s="12" t="inlineStr">
        <is>
          <t>Res. OPDS 522/07 anexos 1, 2 y 6</t>
        </is>
      </c>
      <c r="N191" s="25" t="inlineStr">
        <is>
          <t>P</t>
        </is>
      </c>
      <c r="O191" s="25" t="inlineStr">
        <is>
          <t>FL_DES_ABC_10kg</t>
        </is>
      </c>
      <c r="P191" s="12" t="inlineStr">
        <is>
          <t>Res. 522/07</t>
        </is>
      </c>
    </row>
    <row r="192">
      <c r="A192" s="25" t="inlineStr">
        <is>
          <t>FL_MAT_ABC_10kg</t>
        </is>
      </c>
      <c r="B192" s="25" t="n">
        <v>2</v>
      </c>
      <c r="C192" s="25" t="inlineStr">
        <is>
          <t>ABC10-21</t>
        </is>
      </c>
      <c r="D192" s="12" t="inlineStr">
        <is>
          <t xml:space="preserve">        Estampilla IRAM de conformidad</t>
        </is>
      </c>
      <c r="E192" s="25" t="n">
        <v>1</v>
      </c>
      <c r="F192" s="25" t="inlineStr">
        <is>
          <t>u</t>
        </is>
      </c>
      <c r="G192" s="26" t="n">
        <v>0.001</v>
      </c>
      <c r="H192" s="26">
        <f>E192*G192</f>
        <v/>
      </c>
      <c r="I192" s="25" t="inlineStr">
        <is>
          <t>Provista por IRAM (Anexo R)</t>
        </is>
      </c>
      <c r="J192" s="12" t="inlineStr">
        <is>
          <t>60 × 40</t>
        </is>
      </c>
      <c r="K192" s="25" t="inlineStr">
        <is>
          <t>Compra</t>
        </is>
      </c>
      <c r="L192" s="12" t="inlineStr">
        <is>
          <t>22 Etiquetado (T07)</t>
        </is>
      </c>
      <c r="M192" s="12" t="inlineStr">
        <is>
          <t>IRAM Anexo R (DC-PG-129)</t>
        </is>
      </c>
      <c r="N192" s="25" t="inlineStr">
        <is>
          <t>P</t>
        </is>
      </c>
      <c r="O192" s="25" t="inlineStr">
        <is>
          <t>FL_DES_ABC_10kg</t>
        </is>
      </c>
      <c r="P192" s="12" t="inlineStr">
        <is>
          <t>numerada</t>
        </is>
      </c>
    </row>
    <row r="193">
      <c r="A193" s="25" t="inlineStr">
        <is>
          <t>FL_MAT_ABC_10kg</t>
        </is>
      </c>
      <c r="B193" s="25" t="n">
        <v>2</v>
      </c>
      <c r="C193" s="25" t="inlineStr">
        <is>
          <t>ABC10-23</t>
        </is>
      </c>
      <c r="D193" s="12" t="inlineStr">
        <is>
          <t xml:space="preserve">        Precinto de fábrica</t>
        </is>
      </c>
      <c r="E193" s="25" t="n">
        <v>1</v>
      </c>
      <c r="F193" s="25" t="inlineStr">
        <is>
          <t>u</t>
        </is>
      </c>
      <c r="G193" s="26" t="n">
        <v>0.0002</v>
      </c>
      <c r="H193" s="26">
        <f>E193*G193</f>
        <v/>
      </c>
      <c r="I193" s="25" t="inlineStr">
        <is>
          <t>Polipropileno</t>
        </is>
      </c>
      <c r="J193" s="12" t="inlineStr">
        <is>
          <t>Ø5 × 10, numerado, rotura 30-50 N</t>
        </is>
      </c>
      <c r="K193" s="25" t="inlineStr">
        <is>
          <t>Compra</t>
        </is>
      </c>
      <c r="L193" s="12" t="inlineStr">
        <is>
          <t>20 Presurización (T05)</t>
        </is>
      </c>
      <c r="M193" s="12" t="inlineStr">
        <is>
          <t>IRAM 3523 3.3.2 · IRAM 3517-2:2020 9.4.13</t>
        </is>
      </c>
      <c r="N193" s="25" t="inlineStr">
        <is>
          <t>P</t>
        </is>
      </c>
      <c r="O193" s="25" t="inlineStr">
        <is>
          <t>FL_DES_ABC_10kg</t>
        </is>
      </c>
      <c r="P193" s="12" t="inlineStr">
        <is>
          <t>id. FLAMA y lote</t>
        </is>
      </c>
    </row>
    <row r="194">
      <c r="A194" s="25" t="inlineStr">
        <is>
          <t>FL_MAT_ABC_10kg</t>
        </is>
      </c>
      <c r="B194" s="25" t="n">
        <v>2</v>
      </c>
      <c r="C194" s="25" t="inlineStr">
        <is>
          <t>ABC10-I3</t>
        </is>
      </c>
      <c r="D194" s="12" t="inlineStr">
        <is>
          <t xml:space="preserve">        Tarjeta oficial de vigencia (CABA)</t>
        </is>
      </c>
      <c r="E194" s="25" t="n">
        <v>1</v>
      </c>
      <c r="F194" s="25" t="inlineStr">
        <is>
          <t>u</t>
        </is>
      </c>
      <c r="G194" s="26" t="n">
        <v>0.002</v>
      </c>
      <c r="H194" s="26">
        <f>E194*G194</f>
        <v/>
      </c>
      <c r="I194" s="25" t="inlineStr">
        <is>
          <t>Formulario oficial</t>
        </is>
      </c>
      <c r="J194" s="12" t="inlineStr">
        <is>
          <t>provista por DG Rentas GCBA</t>
        </is>
      </c>
      <c r="K194" s="25" t="inlineStr">
        <is>
          <t>Compra</t>
        </is>
      </c>
      <c r="L194" s="12" t="inlineStr">
        <is>
          <t>22 Etiquetado</t>
        </is>
      </c>
      <c r="M194" s="12" t="inlineStr">
        <is>
          <t>Ordenanza 40.473 art. 6</t>
        </is>
      </c>
      <c r="N194" s="25" t="inlineStr">
        <is>
          <t>N</t>
        </is>
      </c>
      <c r="O194" s="25" t="n"/>
      <c r="P194" s="12" t="inlineStr">
        <is>
          <t>Clase, capacidad, fecha de carga y vencimiento, garantía; se anexa al matafuego (no se dibuja)</t>
        </is>
      </c>
    </row>
    <row r="195">
      <c r="A195" s="22" t="inlineStr">
        <is>
          <t>FL_MAT_ABC_10kg</t>
        </is>
      </c>
      <c r="B195" s="22" t="n">
        <v>1</v>
      </c>
      <c r="C195" s="22" t="inlineStr">
        <is>
          <t>ABC10-S8</t>
        </is>
      </c>
      <c r="D195" s="23" t="inlineStr">
        <is>
          <t xml:space="preserve">    Soporte (accesorio de montaje)</t>
        </is>
      </c>
      <c r="E195" s="22" t="n">
        <v>1</v>
      </c>
      <c r="F195" s="22" t="inlineStr">
        <is>
          <t>u</t>
        </is>
      </c>
      <c r="G195" s="24" t="n"/>
      <c r="H195" s="24">
        <f>H196+H197</f>
        <v/>
      </c>
      <c r="I195" s="22" t="n"/>
      <c r="J195" s="23" t="n"/>
      <c r="K195" s="22" t="inlineStr">
        <is>
          <t>Compra</t>
        </is>
      </c>
      <c r="L195" s="23" t="inlineStr">
        <is>
          <t>23 Embalaje (va dentro de la caja)</t>
        </is>
      </c>
      <c r="M195" s="23" t="inlineStr">
        <is>
          <t>IRAM 3517-2 7.4</t>
        </is>
      </c>
      <c r="N195" s="22" t="n"/>
      <c r="O195" s="22" t="n"/>
      <c r="P195" s="23" t="n"/>
    </row>
    <row r="196">
      <c r="A196" s="25" t="inlineStr">
        <is>
          <t>FL_MAT_ABC_10kg</t>
        </is>
      </c>
      <c r="B196" s="25" t="n">
        <v>2</v>
      </c>
      <c r="C196" s="25" t="inlineStr">
        <is>
          <t>ABC10-I5</t>
        </is>
      </c>
      <c r="D196" s="12" t="inlineStr">
        <is>
          <t xml:space="preserve">        Soporte de pared (FL_ACC_01)</t>
        </is>
      </c>
      <c r="E196" s="25" t="n">
        <v>1</v>
      </c>
      <c r="F196" s="25" t="inlineStr">
        <is>
          <t>u</t>
        </is>
      </c>
      <c r="G196" s="26" t="n">
        <v>0.319</v>
      </c>
      <c r="H196" s="26">
        <f>E196*G196</f>
        <v/>
      </c>
      <c r="I196" s="25" t="inlineStr">
        <is>
          <t>Chapa acero SAE 1010 e=2 pintada</t>
        </is>
      </c>
      <c r="J196" s="12" t="inlineStr">
        <is>
          <t>placa 60 × 180, ala con ranura Ø cuello + 3</t>
        </is>
      </c>
      <c r="K196" s="25" t="inlineStr">
        <is>
          <t>Compra</t>
        </is>
      </c>
      <c r="L196" s="12" t="inlineStr">
        <is>
          <t>23 Embalaje</t>
        </is>
      </c>
      <c r="M196" s="12" t="inlineStr">
        <is>
          <t>IRAM 3517-2 7.4</t>
        </is>
      </c>
      <c r="N196" s="25" t="inlineStr">
        <is>
          <t>P</t>
        </is>
      </c>
      <c r="O196" s="25" t="inlineStr">
        <is>
          <t>FL_ACC_01</t>
        </is>
      </c>
      <c r="P196" s="12" t="n"/>
    </row>
    <row r="197">
      <c r="A197" s="25" t="inlineStr">
        <is>
          <t>FL_MAT_ABC_10kg</t>
        </is>
      </c>
      <c r="B197" s="25" t="n">
        <v>2</v>
      </c>
      <c r="C197" s="25" t="inlineStr">
        <is>
          <t>ABC10-I6</t>
        </is>
      </c>
      <c r="D197" s="12" t="inlineStr">
        <is>
          <t xml:space="preserve">        Tornillo y tarugo de fijación</t>
        </is>
      </c>
      <c r="E197" s="25" t="n">
        <v>2</v>
      </c>
      <c r="F197" s="25" t="inlineStr">
        <is>
          <t>u</t>
        </is>
      </c>
      <c r="G197" s="26" t="n">
        <v>0.01</v>
      </c>
      <c r="H197" s="26">
        <f>E197*G197</f>
        <v/>
      </c>
      <c r="I197" s="25" t="inlineStr">
        <is>
          <t>Acero cincado / nylon</t>
        </is>
      </c>
      <c r="J197" s="12" t="inlineStr">
        <is>
          <t>M6 × 50 + tarugo 8</t>
        </is>
      </c>
      <c r="K197" s="25" t="inlineStr">
        <is>
          <t>Compra</t>
        </is>
      </c>
      <c r="L197" s="12" t="inlineStr">
        <is>
          <t>23 Embalaje</t>
        </is>
      </c>
      <c r="M197" s="12" t="n"/>
      <c r="N197" s="25" t="inlineStr">
        <is>
          <t>R</t>
        </is>
      </c>
      <c r="O197" s="25" t="n"/>
      <c r="P197" s="12" t="n"/>
    </row>
    <row r="198">
      <c r="A198" s="25" t="inlineStr">
        <is>
          <t>FL_MAT_ABC_10kg</t>
        </is>
      </c>
      <c r="B198" s="25" t="n">
        <v>2</v>
      </c>
      <c r="C198" s="25" t="inlineStr">
        <is>
          <t>ABC10-I8</t>
        </is>
      </c>
      <c r="D198" s="12" t="inlineStr">
        <is>
          <t xml:space="preserve">        Soporte opcional (pared o vehicular, según pedido)</t>
        </is>
      </c>
      <c r="E198" s="25" t="n">
        <v>0</v>
      </c>
      <c r="F198" s="25" t="inlineStr">
        <is>
          <t>u</t>
        </is>
      </c>
      <c r="G198" s="26" t="n"/>
      <c r="H198" s="26" t="n"/>
      <c r="I198" s="25" t="inlineStr">
        <is>
          <t>-</t>
        </is>
      </c>
      <c r="J198" s="12" t="inlineStr">
        <is>
          <t>-</t>
        </is>
      </c>
      <c r="K198" s="25" t="inlineStr">
        <is>
          <t>Compra</t>
        </is>
      </c>
      <c r="L198" s="12" t="n"/>
      <c r="M198" s="12" t="n"/>
      <c r="N198" s="25" t="inlineStr">
        <is>
          <t>C</t>
        </is>
      </c>
      <c r="O198" s="25" t="n"/>
      <c r="P198" s="12" t="inlineStr">
        <is>
          <t>Sólo si el pedido lo incluye</t>
        </is>
      </c>
    </row>
    <row r="199">
      <c r="A199" s="22" t="inlineStr">
        <is>
          <t>FL_MAT_ABC_10kg</t>
        </is>
      </c>
      <c r="B199" s="22" t="n">
        <v>1</v>
      </c>
      <c r="C199" s="22" t="inlineStr">
        <is>
          <t>ABC10-S7</t>
        </is>
      </c>
      <c r="D199" s="23" t="inlineStr">
        <is>
          <t xml:space="preserve">    Embalaje</t>
        </is>
      </c>
      <c r="E199" s="22" t="n">
        <v>1</v>
      </c>
      <c r="F199" s="22" t="inlineStr">
        <is>
          <t>u</t>
        </is>
      </c>
      <c r="G199" s="24" t="n"/>
      <c r="H199" s="24">
        <f>H200+H201+H202+H203+H204</f>
        <v/>
      </c>
      <c r="I199" s="22" t="n"/>
      <c r="J199" s="23" t="n"/>
      <c r="K199" s="22" t="inlineStr">
        <is>
          <t>Compra</t>
        </is>
      </c>
      <c r="L199" s="23" t="inlineStr">
        <is>
          <t>23 Embalaje -&gt; 24 envolvedora (T11)</t>
        </is>
      </c>
      <c r="M199" s="23" t="n"/>
      <c r="N199" s="22" t="n"/>
      <c r="O199" s="22" t="n"/>
      <c r="P199" s="23" t="n"/>
    </row>
    <row r="200">
      <c r="A200" s="25" t="inlineStr">
        <is>
          <t>FL_MAT_ABC_10kg</t>
        </is>
      </c>
      <c r="B200" s="25" t="n">
        <v>2</v>
      </c>
      <c r="C200" s="25" t="inlineStr">
        <is>
          <t>ABC10-E1</t>
        </is>
      </c>
      <c r="D200" s="12" t="inlineStr">
        <is>
          <t xml:space="preserve">        Caja de cartón corrugado doble</t>
        </is>
      </c>
      <c r="E200" s="25" t="n">
        <v>1</v>
      </c>
      <c r="F200" s="25" t="inlineStr">
        <is>
          <t>u</t>
        </is>
      </c>
      <c r="G200" s="26" t="n">
        <v>0.5</v>
      </c>
      <c r="H200" s="26">
        <f>E200*G200</f>
        <v/>
      </c>
      <c r="I200" s="25" t="inlineStr">
        <is>
          <t>Cartón corrugado</t>
        </is>
      </c>
      <c r="J200" s="12" t="inlineStr">
        <is>
          <t>260 × 214 × 675 interior</t>
        </is>
      </c>
      <c r="K200" s="25" t="inlineStr">
        <is>
          <t>Compra</t>
        </is>
      </c>
      <c r="L200" s="12" t="inlineStr">
        <is>
          <t>23 Embalaje</t>
        </is>
      </c>
      <c r="M200" s="12" t="n"/>
      <c r="N200" s="25" t="inlineStr">
        <is>
          <t>R</t>
        </is>
      </c>
      <c r="O200" s="25" t="n"/>
      <c r="P200" s="12" t="n"/>
    </row>
    <row r="201">
      <c r="A201" s="25" t="inlineStr">
        <is>
          <t>FL_MAT_ABC_10kg</t>
        </is>
      </c>
      <c r="B201" s="25" t="n">
        <v>2</v>
      </c>
      <c r="C201" s="25" t="inlineStr">
        <is>
          <t>ABC10-E2</t>
        </is>
      </c>
      <c r="D201" s="12" t="inlineStr">
        <is>
          <t xml:space="preserve">        Instructivo de uso y mantenimiento</t>
        </is>
      </c>
      <c r="E201" s="25" t="n">
        <v>1</v>
      </c>
      <c r="F201" s="25" t="inlineStr">
        <is>
          <t>u</t>
        </is>
      </c>
      <c r="G201" s="26" t="n">
        <v>0.01</v>
      </c>
      <c r="H201" s="26">
        <f>E201*G201</f>
        <v/>
      </c>
      <c r="I201" s="25" t="inlineStr">
        <is>
          <t>Papel</t>
        </is>
      </c>
      <c r="J201" s="12" t="inlineStr">
        <is>
          <t>A5</t>
        </is>
      </c>
      <c r="K201" s="25" t="inlineStr">
        <is>
          <t>Compra</t>
        </is>
      </c>
      <c r="L201" s="12" t="inlineStr">
        <is>
          <t>23 Embalaje</t>
        </is>
      </c>
      <c r="M201" s="12" t="inlineStr">
        <is>
          <t>IRAM 3517-2 (información al usuario)</t>
        </is>
      </c>
      <c r="N201" s="25" t="inlineStr">
        <is>
          <t>R</t>
        </is>
      </c>
      <c r="O201" s="25" t="n"/>
      <c r="P201" s="12" t="n"/>
    </row>
    <row r="202">
      <c r="A202" s="25" t="inlineStr">
        <is>
          <t>FL_MAT_ABC_10kg</t>
        </is>
      </c>
      <c r="B202" s="25" t="n">
        <v>2</v>
      </c>
      <c r="C202" s="25" t="inlineStr">
        <is>
          <t>ABC10-E3</t>
        </is>
      </c>
      <c r="D202" s="12" t="inlineStr">
        <is>
          <t xml:space="preserve">        Pallet 1200 × 1000 (fracción)</t>
        </is>
      </c>
      <c r="E202" s="25" t="n">
        <v>0.0312</v>
      </c>
      <c r="F202" s="25" t="inlineStr">
        <is>
          <t>u</t>
        </is>
      </c>
      <c r="G202" s="26" t="n">
        <v>0.6879999999999999</v>
      </c>
      <c r="H202" s="26">
        <f>E202*G202</f>
        <v/>
      </c>
      <c r="I202" s="25" t="inlineStr">
        <is>
          <t>Madera</t>
        </is>
      </c>
      <c r="J202" s="12" t="inlineStr">
        <is>
          <t>32 u por pallet</t>
        </is>
      </c>
      <c r="K202" s="25" t="inlineStr">
        <is>
          <t>Compra</t>
        </is>
      </c>
      <c r="L202" s="12" t="inlineStr">
        <is>
          <t>23 Embalaje</t>
        </is>
      </c>
      <c r="M202" s="12" t="n"/>
      <c r="N202" s="25" t="inlineStr">
        <is>
          <t>R</t>
        </is>
      </c>
      <c r="O202" s="25" t="n"/>
      <c r="P202" s="12" t="n"/>
    </row>
    <row r="203">
      <c r="A203" s="25" t="inlineStr">
        <is>
          <t>FL_MAT_ABC_10kg</t>
        </is>
      </c>
      <c r="B203" s="25" t="n">
        <v>2</v>
      </c>
      <c r="C203" s="25" t="inlineStr">
        <is>
          <t>ABC10-E4</t>
        </is>
      </c>
      <c r="D203" s="12" t="inlineStr">
        <is>
          <t xml:space="preserve">        Film stretch (fracción del pallet)</t>
        </is>
      </c>
      <c r="E203" s="25" t="n">
        <v>0.0109</v>
      </c>
      <c r="F203" s="25" t="inlineStr">
        <is>
          <t>kg</t>
        </is>
      </c>
      <c r="G203" s="26" t="n">
        <v>1</v>
      </c>
      <c r="H203" s="26">
        <f>E203*G203</f>
        <v/>
      </c>
      <c r="I203" s="25" t="inlineStr">
        <is>
          <t>PE lineal 23 µm</t>
        </is>
      </c>
      <c r="J203" s="12" t="inlineStr">
        <is>
          <t>envolvedora EDOS PS5</t>
        </is>
      </c>
      <c r="K203" s="25" t="inlineStr">
        <is>
          <t>Compra</t>
        </is>
      </c>
      <c r="L203" s="12" t="inlineStr">
        <is>
          <t>24 Envolvedora (T11)</t>
        </is>
      </c>
      <c r="M203" s="12" t="n"/>
      <c r="N203" s="25" t="inlineStr">
        <is>
          <t>R</t>
        </is>
      </c>
      <c r="O203" s="25" t="n"/>
      <c r="P203" s="12" t="n"/>
    </row>
    <row r="204">
      <c r="A204" s="25" t="inlineStr">
        <is>
          <t>FL_MAT_ABC_10kg</t>
        </is>
      </c>
      <c r="B204" s="25" t="n">
        <v>2</v>
      </c>
      <c r="C204" s="25" t="inlineStr">
        <is>
          <t>ABC10-E5</t>
        </is>
      </c>
      <c r="D204" s="12" t="inlineStr">
        <is>
          <t xml:space="preserve">        Etiqueta de pallet (lote y destino, fracción)</t>
        </is>
      </c>
      <c r="E204" s="25" t="n">
        <v>0.0312</v>
      </c>
      <c r="F204" s="25" t="inlineStr">
        <is>
          <t>u</t>
        </is>
      </c>
      <c r="G204" s="26" t="n">
        <v>0</v>
      </c>
      <c r="H204" s="26">
        <f>E204*G204</f>
        <v/>
      </c>
      <c r="I204" s="25" t="inlineStr">
        <is>
          <t>Papel térmico</t>
        </is>
      </c>
      <c r="J204" s="12" t="inlineStr">
        <is>
          <t>100 × 150</t>
        </is>
      </c>
      <c r="K204" s="25" t="inlineStr">
        <is>
          <t>Compra</t>
        </is>
      </c>
      <c r="L204" s="12" t="inlineStr">
        <is>
          <t>24 Envolvedora</t>
        </is>
      </c>
      <c r="M204" s="12" t="n"/>
      <c r="N204" s="25" t="inlineStr">
        <is>
          <t>R</t>
        </is>
      </c>
      <c r="O204" s="25" t="n"/>
      <c r="P204" s="12" t="n"/>
    </row>
    <row r="205">
      <c r="A205" s="19" t="inlineStr">
        <is>
          <t>FL_MAT_AGUA_10l</t>
        </is>
      </c>
      <c r="B205" s="19" t="n">
        <v>0</v>
      </c>
      <c r="C205" s="19" t="inlineStr">
        <is>
          <t>FL_MAT_AGUA_10l</t>
        </is>
      </c>
      <c r="D205" s="20" t="inlineStr">
        <is>
          <t>Extintor Agua 10 l</t>
        </is>
      </c>
      <c r="E205" s="19" t="n">
        <v>1</v>
      </c>
      <c r="F205" s="19" t="inlineStr">
        <is>
          <t>u</t>
        </is>
      </c>
      <c r="G205" s="21" t="n"/>
      <c r="H205" s="21" t="n"/>
      <c r="I205" s="19" t="n"/>
      <c r="J205" s="20" t="n"/>
      <c r="K205" s="19" t="n"/>
      <c r="L205" s="20" t="n"/>
      <c r="M205" s="20" t="inlineStr">
        <is>
          <t>IRAM 3525</t>
        </is>
      </c>
      <c r="N205" s="19" t="inlineStr">
        <is>
          <t>P</t>
        </is>
      </c>
      <c r="O205" s="19" t="inlineStr">
        <is>
          <t>FL_MAT_AGUA_10l</t>
        </is>
      </c>
      <c r="P205" s="20" t="inlineStr">
        <is>
          <t>Tercerizado revendido (S4)</t>
        </is>
      </c>
    </row>
    <row r="206">
      <c r="A206" s="22" t="inlineStr">
        <is>
          <t>FL_MAT_AGUA_10l</t>
        </is>
      </c>
      <c r="B206" s="22" t="n">
        <v>1</v>
      </c>
      <c r="C206" s="22" t="inlineStr">
        <is>
          <t>AGUA10-S1</t>
        </is>
      </c>
      <c r="D206" s="23" t="inlineStr">
        <is>
          <t xml:space="preserve">    Recipiente (cilindro)</t>
        </is>
      </c>
      <c r="E206" s="22" t="n">
        <v>1</v>
      </c>
      <c r="F206" s="22" t="inlineStr">
        <is>
          <t>u</t>
        </is>
      </c>
      <c r="G206" s="24" t="n"/>
      <c r="H206" s="24">
        <f>H207+H208+H209+H210+H211</f>
        <v/>
      </c>
      <c r="I206" s="22" t="n"/>
      <c r="J206" s="23" t="n"/>
      <c r="K206" s="22" t="inlineStr">
        <is>
          <t>Compra / armado</t>
        </is>
      </c>
      <c r="L206" s="23" t="n"/>
      <c r="M206" s="23" t="inlineStr">
        <is>
          <t>IRAM 3523 / 3550 (recipiente)</t>
        </is>
      </c>
      <c r="N206" s="22" t="inlineStr">
        <is>
          <t>P</t>
        </is>
      </c>
      <c r="O206" s="22" t="inlineStr">
        <is>
          <t>FL_DES_AGUA_10l</t>
        </is>
      </c>
      <c r="P206" s="23" t="n"/>
    </row>
    <row r="207">
      <c r="A207" s="25" t="inlineStr">
        <is>
          <t>FL_MAT_AGUA_10l</t>
        </is>
      </c>
      <c r="B207" s="25" t="n">
        <v>2</v>
      </c>
      <c r="C207" s="25" t="inlineStr">
        <is>
          <t>AGUA10-01</t>
        </is>
      </c>
      <c r="D207" s="12" t="inlineStr">
        <is>
          <t xml:space="preserve">        Cuerpo (virola)</t>
        </is>
      </c>
      <c r="E207" s="25" t="n">
        <v>1</v>
      </c>
      <c r="F207" s="25" t="inlineStr">
        <is>
          <t>u</t>
        </is>
      </c>
      <c r="G207" s="26" t="n">
        <v>1.7949</v>
      </c>
      <c r="H207" s="26">
        <f>E207*G207</f>
        <v/>
      </c>
      <c r="I207" s="25" t="inlineStr">
        <is>
          <t>Chapa acero inox. AISI 304 e=0,8</t>
        </is>
      </c>
      <c r="J207" s="12" t="inlineStr">
        <is>
          <t>Ø190 × e0,8 × 476 de alto; desarrollo 594,4 × 476</t>
        </is>
      </c>
      <c r="K207" s="25" t="inlineStr">
        <is>
          <t>Compra (en el conjunto)</t>
        </is>
      </c>
      <c r="L207" s="12" t="inlineStr">
        <is>
          <t>S4 - se compra terminado (tercerizado con sello IRAM)</t>
        </is>
      </c>
      <c r="M207" s="12" t="n"/>
      <c r="N207" s="25" t="inlineStr">
        <is>
          <t>P</t>
        </is>
      </c>
      <c r="O207" s="25" t="inlineStr">
        <is>
          <t>FL_DES_AGUA_10l</t>
        </is>
      </c>
      <c r="P207" s="12" t="inlineStr">
        <is>
          <t>costura long. TIG</t>
        </is>
      </c>
    </row>
    <row r="208">
      <c r="A208" s="25" t="inlineStr">
        <is>
          <t>FL_MAT_AGUA_10l</t>
        </is>
      </c>
      <c r="B208" s="25" t="n">
        <v>2</v>
      </c>
      <c r="C208" s="25" t="inlineStr">
        <is>
          <t>AGUA10-02</t>
        </is>
      </c>
      <c r="D208" s="12" t="inlineStr">
        <is>
          <t xml:space="preserve">        Cúpula</t>
        </is>
      </c>
      <c r="E208" s="25" t="n">
        <v>1</v>
      </c>
      <c r="F208" s="25" t="inlineStr">
        <is>
          <t>u</t>
        </is>
      </c>
      <c r="G208" s="26" t="n">
        <v>0.2544</v>
      </c>
      <c r="H208" s="26">
        <f>E208*G208</f>
        <v/>
      </c>
      <c r="I208" s="25" t="inlineStr">
        <is>
          <t>Chapa acero inox. AISI 304 e=0,8</t>
        </is>
      </c>
      <c r="J208" s="12" t="inlineStr">
        <is>
          <t>Ø190 × e0,8 × 59 de alto; disco Ø232,7</t>
        </is>
      </c>
      <c r="K208" s="25" t="inlineStr">
        <is>
          <t>Compra (en el conjunto)</t>
        </is>
      </c>
      <c r="L208" s="12" t="inlineStr">
        <is>
          <t>S4 - se compra terminado (tercerizado con sello IRAM)</t>
        </is>
      </c>
      <c r="M208" s="12" t="n"/>
      <c r="N208" s="25" t="inlineStr">
        <is>
          <t>P</t>
        </is>
      </c>
      <c r="O208" s="25" t="inlineStr">
        <is>
          <t>FL_DES_AGUA_10l</t>
        </is>
      </c>
      <c r="P208" s="12" t="inlineStr">
        <is>
          <t>embutida</t>
        </is>
      </c>
    </row>
    <row r="209">
      <c r="A209" s="25" t="inlineStr">
        <is>
          <t>FL_MAT_AGUA_10l</t>
        </is>
      </c>
      <c r="B209" s="25" t="n">
        <v>2</v>
      </c>
      <c r="C209" s="25" t="inlineStr">
        <is>
          <t>AGUA10-03</t>
        </is>
      </c>
      <c r="D209" s="12" t="inlineStr">
        <is>
          <t xml:space="preserve">        Fondo</t>
        </is>
      </c>
      <c r="E209" s="25" t="n">
        <v>1</v>
      </c>
      <c r="F209" s="25" t="inlineStr">
        <is>
          <t>u</t>
        </is>
      </c>
      <c r="G209" s="26" t="n">
        <v>0.1769</v>
      </c>
      <c r="H209" s="26">
        <f>E209*G209</f>
        <v/>
      </c>
      <c r="I209" s="25" t="inlineStr">
        <is>
          <t>Chapa acero inox. AISI 304 e=0,8</t>
        </is>
      </c>
      <c r="J209" s="12" t="inlineStr">
        <is>
          <t>Ø190 × e0,8 × 10,8 de alto; disco Ø194,1</t>
        </is>
      </c>
      <c r="K209" s="25" t="inlineStr">
        <is>
          <t>Compra (en el conjunto)</t>
        </is>
      </c>
      <c r="L209" s="12" t="inlineStr">
        <is>
          <t>S4 - se compra terminado (tercerizado con sello IRAM)</t>
        </is>
      </c>
      <c r="M209" s="12" t="n"/>
      <c r="N209" s="25" t="inlineStr">
        <is>
          <t>P</t>
        </is>
      </c>
      <c r="O209" s="25" t="inlineStr">
        <is>
          <t>FL_DES_AGUA_10l</t>
        </is>
      </c>
      <c r="P209" s="12" t="inlineStr">
        <is>
          <t>embutido</t>
        </is>
      </c>
    </row>
    <row r="210">
      <c r="A210" s="25" t="inlineStr">
        <is>
          <t>FL_MAT_AGUA_10l</t>
        </is>
      </c>
      <c r="B210" s="25" t="n">
        <v>2</v>
      </c>
      <c r="C210" s="25" t="inlineStr">
        <is>
          <t>AGUA10-04</t>
        </is>
      </c>
      <c r="D210" s="12" t="inlineStr">
        <is>
          <t xml:space="preserve">        Cuello roscado</t>
        </is>
      </c>
      <c r="E210" s="25" t="n">
        <v>1</v>
      </c>
      <c r="F210" s="25" t="inlineStr">
        <is>
          <t>u</t>
        </is>
      </c>
      <c r="G210" s="26" t="n">
        <v>0.0539</v>
      </c>
      <c r="H210" s="26">
        <f>E210*G210</f>
        <v/>
      </c>
      <c r="I210" s="25" t="inlineStr">
        <is>
          <t>Acero inox. AISI 304</t>
        </is>
      </c>
      <c r="J210" s="12" t="inlineStr">
        <is>
          <t>Ø37 × 14 de alto, rosca M30x1,5, asiento Ø35</t>
        </is>
      </c>
      <c r="K210" s="25" t="inlineStr">
        <is>
          <t>Compra (en el conjunto)</t>
        </is>
      </c>
      <c r="L210" s="12" t="inlineStr">
        <is>
          <t>S4 - se compra terminado (tercerizado con sello IRAM)</t>
        </is>
      </c>
      <c r="M210" s="12" t="n"/>
      <c r="N210" s="25" t="inlineStr">
        <is>
          <t>P</t>
        </is>
      </c>
      <c r="O210" s="25" t="inlineStr">
        <is>
          <t>FL_DES_AGUA_10l</t>
        </is>
      </c>
      <c r="P210" s="12" t="inlineStr">
        <is>
          <t>M30x1,5</t>
        </is>
      </c>
    </row>
    <row r="211">
      <c r="A211" s="25" t="inlineStr">
        <is>
          <t>FL_MAT_AGUA_10l</t>
        </is>
      </c>
      <c r="B211" s="25" t="n">
        <v>2</v>
      </c>
      <c r="C211" s="25" t="inlineStr">
        <is>
          <t>AGUA10-C1</t>
        </is>
      </c>
      <c r="D211" s="12" t="inlineStr">
        <is>
          <t xml:space="preserve">        Aporte de soldadura: Varilla TIG ER308L Ø1,6</t>
        </is>
      </c>
      <c r="E211" s="25" t="n">
        <v>0.0413</v>
      </c>
      <c r="F211" s="25" t="inlineStr">
        <is>
          <t>kg</t>
        </is>
      </c>
      <c r="G211" s="26" t="n">
        <v>0.95</v>
      </c>
      <c r="H211" s="26">
        <f>E211*G211</f>
        <v/>
      </c>
      <c r="I211" s="25" t="inlineStr">
        <is>
          <t>Varilla TIG ER308L Ø1,6</t>
        </is>
      </c>
      <c r="J211" s="12" t="inlineStr">
        <is>
          <t>cordones del plano: 39 g depositados (rend. 95 %)</t>
        </is>
      </c>
      <c r="K211" s="25" t="inlineStr">
        <is>
          <t>Compra</t>
        </is>
      </c>
      <c r="L211" s="12" t="inlineStr">
        <is>
          <t>4 sold. long. / 8 cuello / 11 circunferencial</t>
        </is>
      </c>
      <c r="M211" s="12" t="inlineStr">
        <is>
          <t>ISO 4063 131 / 141</t>
        </is>
      </c>
      <c r="N211" s="25" t="inlineStr">
        <is>
          <t>P</t>
        </is>
      </c>
      <c r="O211" s="25" t="n"/>
      <c r="P211" s="12" t="n"/>
    </row>
    <row r="212">
      <c r="A212" s="25" t="inlineStr">
        <is>
          <t>FL_MAT_AGUA_10l</t>
        </is>
      </c>
      <c r="B212" s="25" t="n">
        <v>2</v>
      </c>
      <c r="C212" s="25" t="inlineStr">
        <is>
          <t>AGUA10-C2</t>
        </is>
      </c>
      <c r="D212" s="12" t="inlineStr">
        <is>
          <t xml:space="preserve">        Gas de protección: Argón</t>
        </is>
      </c>
      <c r="E212" s="25" t="n">
        <v>31</v>
      </c>
      <c r="F212" s="25" t="inlineStr">
        <is>
          <t>L</t>
        </is>
      </c>
      <c r="G212" s="26" t="n"/>
      <c r="H212" s="26" t="n"/>
      <c r="I212" s="25" t="inlineStr">
        <is>
          <t>Argón</t>
        </is>
      </c>
      <c r="J212" s="12" t="inlineStr">
        <is>
          <t>3,1 min de arco × 10 L/min</t>
        </is>
      </c>
      <c r="K212" s="25" t="inlineStr">
        <is>
          <t>Compra</t>
        </is>
      </c>
      <c r="L212" s="12" t="inlineStr">
        <is>
          <t>Botellón</t>
        </is>
      </c>
      <c r="M212" s="12" t="n"/>
      <c r="N212" s="25" t="inlineStr">
        <is>
          <t>R</t>
        </is>
      </c>
      <c r="O212" s="25" t="n"/>
      <c r="P212" s="12" t="n"/>
    </row>
    <row r="213">
      <c r="A213" s="22" t="inlineStr">
        <is>
          <t>FL_MAT_AGUA_10l</t>
        </is>
      </c>
      <c r="B213" s="22" t="n">
        <v>1</v>
      </c>
      <c r="C213" s="22" t="inlineStr">
        <is>
          <t>AGUA10-S2</t>
        </is>
      </c>
      <c r="D213" s="23" t="inlineStr">
        <is>
          <t xml:space="preserve">    Conjunto de válvula</t>
        </is>
      </c>
      <c r="E213" s="22" t="n">
        <v>1</v>
      </c>
      <c r="F213" s="22" t="inlineStr">
        <is>
          <t>u</t>
        </is>
      </c>
      <c r="G213" s="24" t="n"/>
      <c r="H213" s="24">
        <f>H214+H215+H216+H217+H218+H219+H220+H221+H222+H223+H224+H225+H226</f>
        <v/>
      </c>
      <c r="I213" s="22" t="n"/>
      <c r="J213" s="23" t="n"/>
      <c r="K213" s="22" t="inlineStr">
        <is>
          <t>Compra / armado</t>
        </is>
      </c>
      <c r="L213" s="23" t="n"/>
      <c r="M213" s="23" t="inlineStr">
        <is>
          <t>Manómetro IRAM 3533</t>
        </is>
      </c>
      <c r="N213" s="22" t="inlineStr">
        <is>
          <t>P</t>
        </is>
      </c>
      <c r="O213" s="22" t="inlineStr">
        <is>
          <t>FL_DES_AGUA_10l</t>
        </is>
      </c>
      <c r="P213" s="23" t="n"/>
    </row>
    <row r="214">
      <c r="A214" s="25" t="inlineStr">
        <is>
          <t>FL_MAT_AGUA_10l</t>
        </is>
      </c>
      <c r="B214" s="25" t="n">
        <v>2</v>
      </c>
      <c r="C214" s="25" t="inlineStr">
        <is>
          <t>AGUA10-05</t>
        </is>
      </c>
      <c r="D214" s="12" t="inlineStr">
        <is>
          <t xml:space="preserve">        Collarín de válvula</t>
        </is>
      </c>
      <c r="E214" s="25" t="n">
        <v>1</v>
      </c>
      <c r="F214" s="25" t="inlineStr">
        <is>
          <t>u</t>
        </is>
      </c>
      <c r="G214" s="26" t="n">
        <v>0.0833</v>
      </c>
      <c r="H214" s="26">
        <f>E214*G214</f>
        <v/>
      </c>
      <c r="I214" s="25" t="inlineStr">
        <is>
          <t>Latón forjado</t>
        </is>
      </c>
      <c r="J214" s="12" t="inlineStr">
        <is>
          <t>43 × 43 × 10</t>
        </is>
      </c>
      <c r="K214" s="25" t="inlineStr">
        <is>
          <t>Compra (en el conjunto)</t>
        </is>
      </c>
      <c r="L214" s="12" t="inlineStr">
        <is>
          <t>S4 - se compra terminado (tercerizado con sello IRAM)</t>
        </is>
      </c>
      <c r="M214" s="12" t="n"/>
      <c r="N214" s="25" t="inlineStr">
        <is>
          <t>P</t>
        </is>
      </c>
      <c r="O214" s="25" t="inlineStr">
        <is>
          <t>FL_DES_AGUA_10l</t>
        </is>
      </c>
      <c r="P214" s="12" t="n"/>
    </row>
    <row r="215">
      <c r="A215" s="25" t="inlineStr">
        <is>
          <t>FL_MAT_AGUA_10l</t>
        </is>
      </c>
      <c r="B215" s="25" t="n">
        <v>2</v>
      </c>
      <c r="C215" s="25" t="inlineStr">
        <is>
          <t>AGUA10-06</t>
        </is>
      </c>
      <c r="D215" s="12" t="inlineStr">
        <is>
          <t xml:space="preserve">        Espiga roscada</t>
        </is>
      </c>
      <c r="E215" s="25" t="n">
        <v>1</v>
      </c>
      <c r="F215" s="25" t="inlineStr">
        <is>
          <t>u</t>
        </is>
      </c>
      <c r="G215" s="26" t="n">
        <v>0.0243</v>
      </c>
      <c r="H215" s="26">
        <f>E215*G215</f>
        <v/>
      </c>
      <c r="I215" s="25" t="inlineStr">
        <is>
          <t>Latón forjado</t>
        </is>
      </c>
      <c r="J215" s="12" t="inlineStr">
        <is>
          <t>28,4 × 28,4 × 12</t>
        </is>
      </c>
      <c r="K215" s="25" t="inlineStr">
        <is>
          <t>Compra (en el conjunto)</t>
        </is>
      </c>
      <c r="L215" s="12" t="inlineStr">
        <is>
          <t>S4 - se compra terminado (tercerizado con sello IRAM)</t>
        </is>
      </c>
      <c r="M215" s="12" t="n"/>
      <c r="N215" s="25" t="inlineStr">
        <is>
          <t>P</t>
        </is>
      </c>
      <c r="O215" s="25" t="inlineStr">
        <is>
          <t>FL_DES_AGUA_10l</t>
        </is>
      </c>
      <c r="P215" s="12" t="n"/>
    </row>
    <row r="216">
      <c r="A216" s="25" t="inlineStr">
        <is>
          <t>FL_MAT_AGUA_10l</t>
        </is>
      </c>
      <c r="B216" s="25" t="n">
        <v>2</v>
      </c>
      <c r="C216" s="25" t="inlineStr">
        <is>
          <t>AGUA10-07</t>
        </is>
      </c>
      <c r="D216" s="12" t="inlineStr">
        <is>
          <t xml:space="preserve">        Cuerpo de válvula</t>
        </is>
      </c>
      <c r="E216" s="25" t="n">
        <v>1</v>
      </c>
      <c r="F216" s="25" t="inlineStr">
        <is>
          <t>u</t>
        </is>
      </c>
      <c r="G216" s="26" t="n">
        <v>0.4879</v>
      </c>
      <c r="H216" s="26">
        <f>E216*G216</f>
        <v/>
      </c>
      <c r="I216" s="25" t="inlineStr">
        <is>
          <t>Latón forjado</t>
        </is>
      </c>
      <c r="J216" s="12" t="inlineStr">
        <is>
          <t>67 × 43 × 34</t>
        </is>
      </c>
      <c r="K216" s="25" t="inlineStr">
        <is>
          <t>Compra (en el conjunto)</t>
        </is>
      </c>
      <c r="L216" s="12" t="inlineStr">
        <is>
          <t>S4 - se compra terminado (tercerizado con sello IRAM)</t>
        </is>
      </c>
      <c r="M216" s="12" t="n"/>
      <c r="N216" s="25" t="inlineStr">
        <is>
          <t>P</t>
        </is>
      </c>
      <c r="O216" s="25" t="inlineStr">
        <is>
          <t>FL_DES_AGUA_10l</t>
        </is>
      </c>
      <c r="P216" s="12" t="n"/>
    </row>
    <row r="217">
      <c r="A217" s="25" t="inlineStr">
        <is>
          <t>FL_MAT_AGUA_10l</t>
        </is>
      </c>
      <c r="B217" s="25" t="n">
        <v>2</v>
      </c>
      <c r="C217" s="25" t="inlineStr">
        <is>
          <t>AGUA10-08</t>
        </is>
      </c>
      <c r="D217" s="12" t="inlineStr">
        <is>
          <t xml:space="preserve">        Manómetro</t>
        </is>
      </c>
      <c r="E217" s="25" t="n">
        <v>1</v>
      </c>
      <c r="F217" s="25" t="inlineStr">
        <is>
          <t>u</t>
        </is>
      </c>
      <c r="G217" s="26" t="n">
        <v>0.06</v>
      </c>
      <c r="H217" s="26">
        <f>E217*G217</f>
        <v/>
      </c>
      <c r="I217" s="25" t="inlineStr">
        <is>
          <t>Comercial</t>
        </is>
      </c>
      <c r="J217" s="12" t="inlineStr">
        <is>
          <t>Ø38 esfera, rango 0-2 MPa, sector verde en 0,8</t>
        </is>
      </c>
      <c r="K217" s="25" t="inlineStr">
        <is>
          <t>Compra (en el conjunto)</t>
        </is>
      </c>
      <c r="L217" s="12" t="inlineStr">
        <is>
          <t>S4 - se compra terminado (tercerizado con sello IRAM)</t>
        </is>
      </c>
      <c r="M217" s="12" t="inlineStr">
        <is>
          <t>IRAM 3533</t>
        </is>
      </c>
      <c r="N217" s="25" t="inlineStr">
        <is>
          <t>R</t>
        </is>
      </c>
      <c r="O217" s="25" t="inlineStr">
        <is>
          <t>FL_DES_AGUA_10l</t>
        </is>
      </c>
      <c r="P217" s="12" t="inlineStr">
        <is>
          <t>Pieza comercial; sello IRAM 3533</t>
        </is>
      </c>
    </row>
    <row r="218">
      <c r="A218" s="25" t="inlineStr">
        <is>
          <t>FL_MAT_AGUA_10l</t>
        </is>
      </c>
      <c r="B218" s="25" t="n">
        <v>2</v>
      </c>
      <c r="C218" s="25" t="inlineStr">
        <is>
          <t>AGUA10-09</t>
        </is>
      </c>
      <c r="D218" s="12" t="inlineStr">
        <is>
          <t xml:space="preserve">        Manija de transporte</t>
        </is>
      </c>
      <c r="E218" s="25" t="n">
        <v>1</v>
      </c>
      <c r="F218" s="25" t="inlineStr">
        <is>
          <t>u</t>
        </is>
      </c>
      <c r="G218" s="26" t="n">
        <v>0.0609</v>
      </c>
      <c r="H218" s="26">
        <f>E218*G218</f>
        <v/>
      </c>
      <c r="I218" s="25" t="inlineStr">
        <is>
          <t>Chapa acero SAE 1010 pintada</t>
        </is>
      </c>
      <c r="J218" s="12" t="inlineStr">
        <is>
          <t>96,9 × 20 × 14,1</t>
        </is>
      </c>
      <c r="K218" s="25" t="inlineStr">
        <is>
          <t>Compra (en el conjunto)</t>
        </is>
      </c>
      <c r="L218" s="12" t="inlineStr">
        <is>
          <t>S4 - se compra terminado (tercerizado con sello IRAM)</t>
        </is>
      </c>
      <c r="M218" s="12" t="n"/>
      <c r="N218" s="25" t="inlineStr">
        <is>
          <t>P</t>
        </is>
      </c>
      <c r="O218" s="25" t="inlineStr">
        <is>
          <t>FL_DES_AGUA_10l</t>
        </is>
      </c>
      <c r="P218" s="12" t="n"/>
    </row>
    <row r="219">
      <c r="A219" s="25" t="inlineStr">
        <is>
          <t>FL_MAT_AGUA_10l</t>
        </is>
      </c>
      <c r="B219" s="25" t="n">
        <v>2</v>
      </c>
      <c r="C219" s="25" t="inlineStr">
        <is>
          <t>AGUA10-10</t>
        </is>
      </c>
      <c r="D219" s="12" t="inlineStr">
        <is>
          <t xml:space="preserve">        Manija de accionamiento</t>
        </is>
      </c>
      <c r="E219" s="25" t="n">
        <v>1</v>
      </c>
      <c r="F219" s="25" t="inlineStr">
        <is>
          <t>u</t>
        </is>
      </c>
      <c r="G219" s="26" t="n">
        <v>0.08790000000000001</v>
      </c>
      <c r="H219" s="26">
        <f>E219*G219</f>
        <v/>
      </c>
      <c r="I219" s="25" t="inlineStr">
        <is>
          <t>Chapa acero SAE 1010 pintada</t>
        </is>
      </c>
      <c r="J219" s="12" t="inlineStr">
        <is>
          <t>139,5 × 21 × 20</t>
        </is>
      </c>
      <c r="K219" s="25" t="inlineStr">
        <is>
          <t>Compra (en el conjunto)</t>
        </is>
      </c>
      <c r="L219" s="12" t="inlineStr">
        <is>
          <t>S4 - se compra terminado (tercerizado con sello IRAM)</t>
        </is>
      </c>
      <c r="M219" s="12" t="n"/>
      <c r="N219" s="25" t="inlineStr">
        <is>
          <t>P</t>
        </is>
      </c>
      <c r="O219" s="25" t="inlineStr">
        <is>
          <t>FL_DES_AGUA_10l</t>
        </is>
      </c>
      <c r="P219" s="12" t="n"/>
    </row>
    <row r="220">
      <c r="A220" s="25" t="inlineStr">
        <is>
          <t>FL_MAT_AGUA_10l</t>
        </is>
      </c>
      <c r="B220" s="25" t="n">
        <v>2</v>
      </c>
      <c r="C220" s="25" t="inlineStr">
        <is>
          <t>AGUA10-11</t>
        </is>
      </c>
      <c r="D220" s="12" t="inlineStr">
        <is>
          <t xml:space="preserve">        Eje de palanca</t>
        </is>
      </c>
      <c r="E220" s="25" t="n">
        <v>1</v>
      </c>
      <c r="F220" s="25" t="inlineStr">
        <is>
          <t>u</t>
        </is>
      </c>
      <c r="G220" s="26" t="n">
        <v>0.0081</v>
      </c>
      <c r="H220" s="26">
        <f>E220*G220</f>
        <v/>
      </c>
      <c r="I220" s="25" t="inlineStr">
        <is>
          <t>Acero inox. AISI 304</t>
        </is>
      </c>
      <c r="J220" s="12" t="inlineStr">
        <is>
          <t>36 × 6 × 6</t>
        </is>
      </c>
      <c r="K220" s="25" t="inlineStr">
        <is>
          <t>Compra (en el conjunto)</t>
        </is>
      </c>
      <c r="L220" s="12" t="inlineStr">
        <is>
          <t>S4 - se compra terminado (tercerizado con sello IRAM)</t>
        </is>
      </c>
      <c r="M220" s="12" t="n"/>
      <c r="N220" s="25" t="inlineStr">
        <is>
          <t>P</t>
        </is>
      </c>
      <c r="O220" s="25" t="inlineStr">
        <is>
          <t>FL_DES_AGUA_10l</t>
        </is>
      </c>
      <c r="P220" s="12" t="n"/>
    </row>
    <row r="221">
      <c r="A221" s="25" t="inlineStr">
        <is>
          <t>FL_MAT_AGUA_10l</t>
        </is>
      </c>
      <c r="B221" s="25" t="n">
        <v>2</v>
      </c>
      <c r="C221" s="25" t="inlineStr">
        <is>
          <t>AGUA10-12</t>
        </is>
      </c>
      <c r="D221" s="12" t="inlineStr">
        <is>
          <t xml:space="preserve">        Vástago</t>
        </is>
      </c>
      <c r="E221" s="25" t="n">
        <v>1</v>
      </c>
      <c r="F221" s="25" t="inlineStr">
        <is>
          <t>u</t>
        </is>
      </c>
      <c r="G221" s="26" t="n">
        <v>0.0017</v>
      </c>
      <c r="H221" s="26">
        <f>E221*G221</f>
        <v/>
      </c>
      <c r="I221" s="25" t="inlineStr">
        <is>
          <t>Latón</t>
        </is>
      </c>
      <c r="J221" s="12" t="inlineStr">
        <is>
          <t>8 × 8 × 4</t>
        </is>
      </c>
      <c r="K221" s="25" t="inlineStr">
        <is>
          <t>Compra (en el conjunto)</t>
        </is>
      </c>
      <c r="L221" s="12" t="inlineStr">
        <is>
          <t>S4 - se compra terminado (tercerizado con sello IRAM)</t>
        </is>
      </c>
      <c r="M221" s="12" t="n"/>
      <c r="N221" s="25" t="inlineStr">
        <is>
          <t>P</t>
        </is>
      </c>
      <c r="O221" s="25" t="inlineStr">
        <is>
          <t>FL_DES_AGUA_10l</t>
        </is>
      </c>
      <c r="P221" s="12" t="inlineStr">
        <is>
          <t>con junta tórica</t>
        </is>
      </c>
    </row>
    <row r="222">
      <c r="A222" s="25" t="inlineStr">
        <is>
          <t>FL_MAT_AGUA_10l</t>
        </is>
      </c>
      <c r="B222" s="25" t="n">
        <v>2</v>
      </c>
      <c r="C222" s="25" t="inlineStr">
        <is>
          <t>AGUA10-13</t>
        </is>
      </c>
      <c r="D222" s="12" t="inlineStr">
        <is>
          <t xml:space="preserve">        Pasador de seguridad</t>
        </is>
      </c>
      <c r="E222" s="25" t="n">
        <v>1</v>
      </c>
      <c r="F222" s="25" t="inlineStr">
        <is>
          <t>u</t>
        </is>
      </c>
      <c r="G222" s="26" t="n">
        <v>0.0055</v>
      </c>
      <c r="H222" s="26">
        <f>E222*G222</f>
        <v/>
      </c>
      <c r="I222" s="25" t="inlineStr">
        <is>
          <t>Alambre acero inox. AISI 304</t>
        </is>
      </c>
      <c r="J222" s="12" t="inlineStr">
        <is>
          <t>45,4 × 21 × 20,8</t>
        </is>
      </c>
      <c r="K222" s="25" t="inlineStr">
        <is>
          <t>Compra (en el conjunto)</t>
        </is>
      </c>
      <c r="L222" s="12" t="inlineStr">
        <is>
          <t>S4 - se compra terminado (tercerizado con sello IRAM)</t>
        </is>
      </c>
      <c r="M222" s="12" t="n"/>
      <c r="N222" s="25" t="inlineStr">
        <is>
          <t>P</t>
        </is>
      </c>
      <c r="O222" s="25" t="inlineStr">
        <is>
          <t>FL_DES_AGUA_10l</t>
        </is>
      </c>
      <c r="P222" s="12" t="inlineStr">
        <is>
          <t>con precinto</t>
        </is>
      </c>
    </row>
    <row r="223">
      <c r="A223" s="25" t="inlineStr">
        <is>
          <t>FL_MAT_AGUA_10l</t>
        </is>
      </c>
      <c r="B223" s="25" t="n">
        <v>2</v>
      </c>
      <c r="C223" s="25" t="inlineStr">
        <is>
          <t>AGUA10-14</t>
        </is>
      </c>
      <c r="D223" s="12" t="inlineStr">
        <is>
          <t xml:space="preserve">        Caño de pesca (sifón)</t>
        </is>
      </c>
      <c r="E223" s="25" t="n">
        <v>1</v>
      </c>
      <c r="F223" s="25" t="inlineStr">
        <is>
          <t>u</t>
        </is>
      </c>
      <c r="G223" s="26" t="n">
        <v>0.0229</v>
      </c>
      <c r="H223" s="26">
        <f>E223*G223</f>
        <v/>
      </c>
      <c r="I223" s="25" t="inlineStr">
        <is>
          <t>Tubo polipropileno</t>
        </is>
      </c>
      <c r="J223" s="12" t="inlineStr">
        <is>
          <t>Ø12 × 514,2 de largo</t>
        </is>
      </c>
      <c r="K223" s="25" t="inlineStr">
        <is>
          <t>Compra (en el conjunto)</t>
        </is>
      </c>
      <c r="L223" s="12" t="inlineStr">
        <is>
          <t>S4 - se compra terminado (tercerizado con sello IRAM)</t>
        </is>
      </c>
      <c r="M223" s="12" t="n"/>
      <c r="N223" s="25" t="inlineStr">
        <is>
          <t>P</t>
        </is>
      </c>
      <c r="O223" s="25" t="inlineStr">
        <is>
          <t>FL_DES_AGUA_10l</t>
        </is>
      </c>
      <c r="P223" s="12" t="n"/>
    </row>
    <row r="224">
      <c r="A224" s="25" t="inlineStr">
        <is>
          <t>FL_MAT_AGUA_10l</t>
        </is>
      </c>
      <c r="B224" s="25" t="n">
        <v>2</v>
      </c>
      <c r="C224" s="25" t="inlineStr">
        <is>
          <t>AGUA10-22</t>
        </is>
      </c>
      <c r="D224" s="12" t="inlineStr">
        <is>
          <t xml:space="preserve">        Junta tórica de asiento</t>
        </is>
      </c>
      <c r="E224" s="25" t="n">
        <v>1</v>
      </c>
      <c r="F224" s="25" t="inlineStr">
        <is>
          <t>u</t>
        </is>
      </c>
      <c r="G224" s="26" t="n">
        <v>0.001</v>
      </c>
      <c r="H224" s="26">
        <f>E224*G224</f>
        <v/>
      </c>
      <c r="I224" s="25" t="inlineStr">
        <is>
          <t>NBR 70 Shore A</t>
        </is>
      </c>
      <c r="J224" s="12" t="inlineStr">
        <is>
          <t>Ø31,4 ext. × cordón 3</t>
        </is>
      </c>
      <c r="K224" s="25" t="inlineStr">
        <is>
          <t>Compra (en el conjunto)</t>
        </is>
      </c>
      <c r="L224" s="12" t="inlineStr">
        <is>
          <t>S4 - se compra terminado (tercerizado con sello IRAM)</t>
        </is>
      </c>
      <c r="M224" s="12" t="n"/>
      <c r="N224" s="25" t="inlineStr">
        <is>
          <t>P</t>
        </is>
      </c>
      <c r="O224" s="25" t="inlineStr">
        <is>
          <t>FL_DES_AGUA_10l</t>
        </is>
      </c>
      <c r="P224" s="12" t="inlineStr">
        <is>
          <t>cambio c/recarga</t>
        </is>
      </c>
    </row>
    <row r="225">
      <c r="A225" s="25" t="inlineStr">
        <is>
          <t>FL_MAT_AGUA_10l</t>
        </is>
      </c>
      <c r="B225" s="25" t="n">
        <v>2</v>
      </c>
      <c r="C225" s="25" t="inlineStr">
        <is>
          <t>AGUA10-V2</t>
        </is>
      </c>
      <c r="D225" s="12" t="inlineStr">
        <is>
          <t xml:space="preserve">        Resorte de retorno del vástago</t>
        </is>
      </c>
      <c r="E225" s="25" t="n">
        <v>1</v>
      </c>
      <c r="F225" s="25" t="inlineStr">
        <is>
          <t>u</t>
        </is>
      </c>
      <c r="G225" s="26" t="n">
        <v>0.003</v>
      </c>
      <c r="H225" s="26">
        <f>E225*G225</f>
        <v/>
      </c>
      <c r="I225" s="25" t="inlineStr">
        <is>
          <t>Alambre acero inox. AISI 302</t>
        </is>
      </c>
      <c r="J225" s="12" t="inlineStr">
        <is>
          <t>según válvula</t>
        </is>
      </c>
      <c r="K225" s="25" t="inlineStr">
        <is>
          <t>Compra</t>
        </is>
      </c>
      <c r="L225" s="12" t="inlineStr">
        <is>
          <t>19 Ensamblaje</t>
        </is>
      </c>
      <c r="M225" s="12" t="n"/>
      <c r="N225" s="25" t="inlineStr">
        <is>
          <t>R</t>
        </is>
      </c>
      <c r="O225" s="25" t="n"/>
      <c r="P225" s="12" t="n"/>
    </row>
    <row r="226">
      <c r="A226" s="25" t="inlineStr">
        <is>
          <t>FL_MAT_AGUA_10l</t>
        </is>
      </c>
      <c r="B226" s="25" t="n">
        <v>2</v>
      </c>
      <c r="C226" s="25" t="inlineStr">
        <is>
          <t>AGUA10-V3</t>
        </is>
      </c>
      <c r="D226" s="12" t="inlineStr">
        <is>
          <t xml:space="preserve">        Junta tórica del vástago</t>
        </is>
      </c>
      <c r="E226" s="25" t="n">
        <v>1</v>
      </c>
      <c r="F226" s="25" t="inlineStr">
        <is>
          <t>u</t>
        </is>
      </c>
      <c r="G226" s="26" t="n">
        <v>0.001</v>
      </c>
      <c r="H226" s="26">
        <f>E226*G226</f>
        <v/>
      </c>
      <c r="I226" s="25" t="inlineStr">
        <is>
          <t>NBR 70 Shore A</t>
        </is>
      </c>
      <c r="J226" s="12" t="inlineStr">
        <is>
          <t>según válvula</t>
        </is>
      </c>
      <c r="K226" s="25" t="inlineStr">
        <is>
          <t>Compra</t>
        </is>
      </c>
      <c r="L226" s="12" t="inlineStr">
        <is>
          <t>19 Ensamblaje</t>
        </is>
      </c>
      <c r="M226" s="12" t="n"/>
      <c r="N226" s="25" t="inlineStr">
        <is>
          <t>P</t>
        </is>
      </c>
      <c r="O226" s="25" t="n"/>
      <c r="P226" s="12" t="inlineStr">
        <is>
          <t>Figura en el plano como «vástago con junta tórica»</t>
        </is>
      </c>
    </row>
    <row r="227">
      <c r="A227" s="22" t="inlineStr">
        <is>
          <t>FL_MAT_AGUA_10l</t>
        </is>
      </c>
      <c r="B227" s="22" t="n">
        <v>1</v>
      </c>
      <c r="C227" s="22" t="inlineStr">
        <is>
          <t>AGUA10-S3</t>
        </is>
      </c>
      <c r="D227" s="23" t="inlineStr">
        <is>
          <t xml:space="preserve">    Dispositivo de descarga</t>
        </is>
      </c>
      <c r="E227" s="22" t="n">
        <v>1</v>
      </c>
      <c r="F227" s="22" t="inlineStr">
        <is>
          <t>u</t>
        </is>
      </c>
      <c r="G227" s="24" t="n"/>
      <c r="H227" s="24">
        <f>H228+H229+H230+H231</f>
        <v/>
      </c>
      <c r="I227" s="22" t="n"/>
      <c r="J227" s="23" t="n"/>
      <c r="K227" s="22" t="inlineStr">
        <is>
          <t>Compra / armado</t>
        </is>
      </c>
      <c r="L227" s="23" t="n"/>
      <c r="M227" s="23" t="n"/>
      <c r="N227" s="22" t="inlineStr">
        <is>
          <t>P</t>
        </is>
      </c>
      <c r="O227" s="22" t="inlineStr">
        <is>
          <t>FL_DES_AGUA_10l</t>
        </is>
      </c>
      <c r="P227" s="23" t="n"/>
    </row>
    <row r="228">
      <c r="A228" s="25" t="inlineStr">
        <is>
          <t>FL_MAT_AGUA_10l</t>
        </is>
      </c>
      <c r="B228" s="25" t="n">
        <v>2</v>
      </c>
      <c r="C228" s="25" t="inlineStr">
        <is>
          <t>AGUA10-15</t>
        </is>
      </c>
      <c r="D228" s="12" t="inlineStr">
        <is>
          <t xml:space="preserve">        Racor de manguera</t>
        </is>
      </c>
      <c r="E228" s="25" t="n">
        <v>1</v>
      </c>
      <c r="F228" s="25" t="inlineStr">
        <is>
          <t>u</t>
        </is>
      </c>
      <c r="G228" s="26" t="n">
        <v>0.0258</v>
      </c>
      <c r="H228" s="26">
        <f>E228*G228</f>
        <v/>
      </c>
      <c r="I228" s="25" t="inlineStr">
        <is>
          <t>Latón</t>
        </is>
      </c>
      <c r="J228" s="12" t="inlineStr">
        <is>
          <t>18 × 18 × 12</t>
        </is>
      </c>
      <c r="K228" s="25" t="inlineStr">
        <is>
          <t>Compra (en el conjunto)</t>
        </is>
      </c>
      <c r="L228" s="12" t="inlineStr">
        <is>
          <t>S4 - se compra terminado (tercerizado con sello IRAM)</t>
        </is>
      </c>
      <c r="M228" s="12" t="n"/>
      <c r="N228" s="25" t="inlineStr">
        <is>
          <t>P</t>
        </is>
      </c>
      <c r="O228" s="25" t="inlineStr">
        <is>
          <t>FL_DES_AGUA_10l</t>
        </is>
      </c>
      <c r="P228" s="12" t="n"/>
    </row>
    <row r="229">
      <c r="A229" s="25" t="inlineStr">
        <is>
          <t>FL_MAT_AGUA_10l</t>
        </is>
      </c>
      <c r="B229" s="25" t="n">
        <v>2</v>
      </c>
      <c r="C229" s="25" t="inlineStr">
        <is>
          <t>AGUA10-16</t>
        </is>
      </c>
      <c r="D229" s="12" t="inlineStr">
        <is>
          <t xml:space="preserve">        Manguera</t>
        </is>
      </c>
      <c r="E229" s="25" t="n">
        <v>1</v>
      </c>
      <c r="F229" s="25" t="inlineStr">
        <is>
          <t>u</t>
        </is>
      </c>
      <c r="G229" s="26" t="n">
        <v>0.06809999999999999</v>
      </c>
      <c r="H229" s="26">
        <f>E229*G229</f>
        <v/>
      </c>
      <c r="I229" s="25" t="inlineStr">
        <is>
          <t>Caucho sintético</t>
        </is>
      </c>
      <c r="J229" s="12" t="inlineStr">
        <is>
          <t>Ø16 × 441 de largo desarrollado</t>
        </is>
      </c>
      <c r="K229" s="25" t="inlineStr">
        <is>
          <t>Compra (en el conjunto)</t>
        </is>
      </c>
      <c r="L229" s="12" t="inlineStr">
        <is>
          <t>S4 - se compra terminado (tercerizado con sello IRAM)</t>
        </is>
      </c>
      <c r="M229" s="12" t="n"/>
      <c r="N229" s="25" t="inlineStr">
        <is>
          <t>P</t>
        </is>
      </c>
      <c r="O229" s="25" t="inlineStr">
        <is>
          <t>FL_DES_AGUA_10l</t>
        </is>
      </c>
      <c r="P229" s="12" t="n"/>
    </row>
    <row r="230">
      <c r="A230" s="25" t="inlineStr">
        <is>
          <t>FL_MAT_AGUA_10l</t>
        </is>
      </c>
      <c r="B230" s="25" t="n">
        <v>2</v>
      </c>
      <c r="C230" s="25" t="inlineStr">
        <is>
          <t>AGUA10-17</t>
        </is>
      </c>
      <c r="D230" s="12" t="inlineStr">
        <is>
          <t xml:space="preserve">        Tobera de chorro pleno</t>
        </is>
      </c>
      <c r="E230" s="25" t="n">
        <v>1</v>
      </c>
      <c r="F230" s="25" t="inlineStr">
        <is>
          <t>u</t>
        </is>
      </c>
      <c r="G230" s="26" t="n">
        <v>0.0219</v>
      </c>
      <c r="H230" s="26">
        <f>E230*G230</f>
        <v/>
      </c>
      <c r="I230" s="25" t="inlineStr">
        <is>
          <t>Polipropileno</t>
        </is>
      </c>
      <c r="J230" s="12" t="inlineStr">
        <is>
          <t>85 × 22 × 22</t>
        </is>
      </c>
      <c r="K230" s="25" t="inlineStr">
        <is>
          <t>Compra (en el conjunto)</t>
        </is>
      </c>
      <c r="L230" s="12" t="inlineStr">
        <is>
          <t>S4 - se compra terminado (tercerizado con sello IRAM)</t>
        </is>
      </c>
      <c r="M230" s="12" t="n"/>
      <c r="N230" s="25" t="inlineStr">
        <is>
          <t>P</t>
        </is>
      </c>
      <c r="O230" s="25" t="inlineStr">
        <is>
          <t>FL_DES_AGUA_10l</t>
        </is>
      </c>
      <c r="P230" s="12" t="n"/>
    </row>
    <row r="231">
      <c r="A231" s="25" t="inlineStr">
        <is>
          <t>FL_MAT_AGUA_10l</t>
        </is>
      </c>
      <c r="B231" s="25" t="n">
        <v>2</v>
      </c>
      <c r="C231" s="25" t="inlineStr">
        <is>
          <t>AGUA10-18</t>
        </is>
      </c>
      <c r="D231" s="12" t="inlineStr">
        <is>
          <t xml:space="preserve">        Suncho portatobera</t>
        </is>
      </c>
      <c r="E231" s="25" t="n">
        <v>1</v>
      </c>
      <c r="F231" s="25" t="inlineStr">
        <is>
          <t>u</t>
        </is>
      </c>
      <c r="G231" s="26" t="n">
        <v>0.159</v>
      </c>
      <c r="H231" s="26">
        <f>E231*G231</f>
        <v/>
      </c>
      <c r="I231" s="25" t="inlineStr">
        <is>
          <t>Fleje acero SAE 1010 pintado</t>
        </is>
      </c>
      <c r="J231" s="12" t="inlineStr">
        <is>
          <t>197 × 193 × 18</t>
        </is>
      </c>
      <c r="K231" s="25" t="inlineStr">
        <is>
          <t>Compra (en el conjunto)</t>
        </is>
      </c>
      <c r="L231" s="12" t="inlineStr">
        <is>
          <t>S4 - se compra terminado (tercerizado con sello IRAM)</t>
        </is>
      </c>
      <c r="M231" s="12" t="n"/>
      <c r="N231" s="25" t="inlineStr">
        <is>
          <t>P</t>
        </is>
      </c>
      <c r="O231" s="25" t="inlineStr">
        <is>
          <t>FL_DES_AGUA_10l</t>
        </is>
      </c>
      <c r="P231" s="12" t="n"/>
    </row>
    <row r="232">
      <c r="A232" s="22" t="inlineStr">
        <is>
          <t>FL_MAT_AGUA_10l</t>
        </is>
      </c>
      <c r="B232" s="22" t="n">
        <v>1</v>
      </c>
      <c r="C232" s="22" t="inlineStr">
        <is>
          <t>AGUA10-S5</t>
        </is>
      </c>
      <c r="D232" s="23" t="inlineStr">
        <is>
          <t xml:space="preserve">    Carga: agente extintor y gas impulsor</t>
        </is>
      </c>
      <c r="E232" s="22" t="n">
        <v>1</v>
      </c>
      <c r="F232" s="22" t="inlineStr">
        <is>
          <t>u</t>
        </is>
      </c>
      <c r="G232" s="24" t="n"/>
      <c r="H232" s="24">
        <f>H233+H234</f>
        <v/>
      </c>
      <c r="I232" s="22" t="n"/>
      <c r="J232" s="23" t="n"/>
      <c r="K232" s="22" t="inlineStr">
        <is>
          <t>Compra</t>
        </is>
      </c>
      <c r="L232" s="23" t="n"/>
      <c r="M232" s="23" t="n"/>
      <c r="N232" s="22" t="n"/>
      <c r="O232" s="22" t="n"/>
      <c r="P232" s="23" t="n"/>
    </row>
    <row r="233">
      <c r="A233" s="25" t="inlineStr">
        <is>
          <t>FL_MAT_AGUA_10l</t>
        </is>
      </c>
      <c r="B233" s="25" t="n">
        <v>2</v>
      </c>
      <c r="C233" s="25" t="inlineStr">
        <is>
          <t>AGUA10-A1</t>
        </is>
      </c>
      <c r="D233" s="12" t="inlineStr">
        <is>
          <t xml:space="preserve">        Agua</t>
        </is>
      </c>
      <c r="E233" s="25" t="n">
        <v>10</v>
      </c>
      <c r="F233" s="25" t="inlineStr">
        <is>
          <t>L</t>
        </is>
      </c>
      <c r="G233" s="26" t="n">
        <v>1</v>
      </c>
      <c r="H233" s="26">
        <f>E233*G233</f>
        <v/>
      </c>
      <c r="I233" s="25" t="inlineStr">
        <is>
          <t>Agua</t>
        </is>
      </c>
      <c r="J233" s="12" t="inlineStr">
        <is>
          <t>nominal 10 L; tolerancia ± 3 % (IRAM 3517-2:2020 tabla 3)</t>
        </is>
      </c>
      <c r="K233" s="25" t="inlineStr">
        <is>
          <t>Compra</t>
        </is>
      </c>
      <c r="L233" s="12" t="inlineStr">
        <is>
          <t>SP-1 almacén previo a la carga</t>
        </is>
      </c>
      <c r="M233" s="12" t="inlineStr">
        <is>
          <t>-</t>
        </is>
      </c>
      <c r="N233" s="25" t="inlineStr">
        <is>
          <t>N</t>
        </is>
      </c>
      <c r="O233" s="25" t="n"/>
      <c r="P233" s="12" t="n"/>
    </row>
    <row r="234">
      <c r="A234" s="25" t="inlineStr">
        <is>
          <t>FL_MAT_AGUA_10l</t>
        </is>
      </c>
      <c r="B234" s="25" t="n">
        <v>2</v>
      </c>
      <c r="C234" s="25" t="inlineStr">
        <is>
          <t>AGUA10-A2</t>
        </is>
      </c>
      <c r="D234" s="12" t="inlineStr">
        <is>
          <t xml:space="preserve">        Gas impulsor: Aire comprimido</t>
        </is>
      </c>
      <c r="E234" s="25" t="n">
        <v>0.0427</v>
      </c>
      <c r="F234" s="25" t="inlineStr">
        <is>
          <t>kg</t>
        </is>
      </c>
      <c r="G234" s="26" t="n">
        <v>1</v>
      </c>
      <c r="H234" s="26">
        <f>E234*G234</f>
        <v/>
      </c>
      <c r="I234" s="25" t="inlineStr">
        <is>
          <t>Aire comprimido</t>
        </is>
      </c>
      <c r="J234" s="12" t="inlineStr">
        <is>
          <t>33 L normales para 0,8 MPa a 20 °C en 3,98 dm³ libres</t>
        </is>
      </c>
      <c r="K234" s="25" t="inlineStr">
        <is>
          <t>Compra</t>
        </is>
      </c>
      <c r="L234" s="12" t="inlineStr">
        <is>
          <t>20 Presurización (T05) / C10</t>
        </is>
      </c>
      <c r="M234" s="12" t="inlineStr">
        <is>
          <t>IRAM 3517-2 9.4.9 (tabla 2) · IRAM 3523 2.3 y 3.10</t>
        </is>
      </c>
      <c r="N234" s="25" t="inlineStr">
        <is>
          <t>C</t>
        </is>
      </c>
      <c r="O234" s="25" t="n"/>
      <c r="P234" s="12" t="inlineStr">
        <is>
          <t>Batería en SP-1; punto de rocío ≤ -56,7 °C para gases limpios</t>
        </is>
      </c>
    </row>
    <row r="235">
      <c r="A235" s="22" t="inlineStr">
        <is>
          <t>FL_MAT_AGUA_10l</t>
        </is>
      </c>
      <c r="B235" s="22" t="n">
        <v>1</v>
      </c>
      <c r="C235" s="22" t="inlineStr">
        <is>
          <t>AGUA10-S6</t>
        </is>
      </c>
      <c r="D235" s="23" t="inlineStr">
        <is>
          <t xml:space="preserve">    Identificación y precinto</t>
        </is>
      </c>
      <c r="E235" s="22" t="n">
        <v>1</v>
      </c>
      <c r="F235" s="22" t="inlineStr">
        <is>
          <t>u</t>
        </is>
      </c>
      <c r="G235" s="24" t="n"/>
      <c r="H235" s="24">
        <f>H236+H237+H238+H239+H240</f>
        <v/>
      </c>
      <c r="I235" s="22" t="n"/>
      <c r="J235" s="23" t="n"/>
      <c r="K235" s="22" t="inlineStr">
        <is>
          <t>Compra</t>
        </is>
      </c>
      <c r="L235" s="23" t="inlineStr">
        <is>
          <t>22 Etiquetado (T07)</t>
        </is>
      </c>
      <c r="M235" s="23" t="n"/>
      <c r="N235" s="22" t="n"/>
      <c r="O235" s="22" t="n"/>
      <c r="P235" s="23" t="n"/>
    </row>
    <row r="236">
      <c r="A236" s="25" t="inlineStr">
        <is>
          <t>FL_MAT_AGUA_10l</t>
        </is>
      </c>
      <c r="B236" s="25" t="n">
        <v>2</v>
      </c>
      <c r="C236" s="25" t="inlineStr">
        <is>
          <t>AGUA10-19</t>
        </is>
      </c>
      <c r="D236" s="12" t="inlineStr">
        <is>
          <t xml:space="preserve">        Placa de características</t>
        </is>
      </c>
      <c r="E236" s="25" t="n">
        <v>1</v>
      </c>
      <c r="F236" s="25" t="inlineStr">
        <is>
          <t>u</t>
        </is>
      </c>
      <c r="G236" s="26" t="n">
        <v>0.01</v>
      </c>
      <c r="H236" s="26">
        <f>E236*G236</f>
        <v/>
      </c>
      <c r="I236" s="25" t="inlineStr">
        <is>
          <t>Vinilo autoadhesivo laminado</t>
        </is>
      </c>
      <c r="J236" s="12" t="inlineStr">
        <is>
          <t>179 × 132 (desarrollo × alto), e ≈ 0,3</t>
        </is>
      </c>
      <c r="K236" s="25" t="inlineStr">
        <is>
          <t>Compra</t>
        </is>
      </c>
      <c r="L236" s="12" t="inlineStr">
        <is>
          <t>22 Etiquetado (T07)</t>
        </is>
      </c>
      <c r="M236" s="12" t="inlineStr">
        <is>
          <t>IRAM 3534 · IRAM 3525 cap. 5</t>
        </is>
      </c>
      <c r="N236" s="25" t="inlineStr">
        <is>
          <t>P</t>
        </is>
      </c>
      <c r="O236" s="25" t="inlineStr">
        <is>
          <t>FL_DES_AGUA_10l</t>
        </is>
      </c>
      <c r="P236" s="12" t="inlineStr">
        <is>
          <t>IRAM 3534</t>
        </is>
      </c>
    </row>
    <row r="237">
      <c r="A237" s="25" t="inlineStr">
        <is>
          <t>FL_MAT_AGUA_10l</t>
        </is>
      </c>
      <c r="B237" s="25" t="n">
        <v>2</v>
      </c>
      <c r="C237" s="25" t="inlineStr">
        <is>
          <t>AGUA10-20</t>
        </is>
      </c>
      <c r="D237" s="12" t="inlineStr">
        <is>
          <t xml:space="preserve">        Oblea de fabricación (PBA)</t>
        </is>
      </c>
      <c r="E237" s="25" t="n">
        <v>1</v>
      </c>
      <c r="F237" s="25" t="inlineStr">
        <is>
          <t>u</t>
        </is>
      </c>
      <c r="G237" s="26" t="n">
        <v>0.0009</v>
      </c>
      <c r="H237" s="26">
        <f>E237*G237</f>
        <v/>
      </c>
      <c r="I237" s="25" t="inlineStr">
        <is>
          <t>Papel de seguridad autodestructible</t>
        </is>
      </c>
      <c r="J237" s="12" t="inlineStr">
        <is>
          <t>Ø46 (Res. OPDS 522/07), numerada, autodestructible</t>
        </is>
      </c>
      <c r="K237" s="25" t="inlineStr">
        <is>
          <t>Compra</t>
        </is>
      </c>
      <c r="L237" s="12" t="inlineStr">
        <is>
          <t>22 Etiquetado (T07)</t>
        </is>
      </c>
      <c r="M237" s="12" t="inlineStr">
        <is>
          <t>Res. OPDS 522/07 anexos 1, 2 y 6</t>
        </is>
      </c>
      <c r="N237" s="25" t="inlineStr">
        <is>
          <t>P</t>
        </is>
      </c>
      <c r="O237" s="25" t="inlineStr">
        <is>
          <t>FL_DES_AGUA_10l</t>
        </is>
      </c>
      <c r="P237" s="12" t="inlineStr">
        <is>
          <t>Res. 522/07</t>
        </is>
      </c>
    </row>
    <row r="238">
      <c r="A238" s="25" t="inlineStr">
        <is>
          <t>FL_MAT_AGUA_10l</t>
        </is>
      </c>
      <c r="B238" s="25" t="n">
        <v>2</v>
      </c>
      <c r="C238" s="25" t="inlineStr">
        <is>
          <t>AGUA10-21</t>
        </is>
      </c>
      <c r="D238" s="12" t="inlineStr">
        <is>
          <t xml:space="preserve">        Estampilla IRAM de conformidad</t>
        </is>
      </c>
      <c r="E238" s="25" t="n">
        <v>1</v>
      </c>
      <c r="F238" s="25" t="inlineStr">
        <is>
          <t>u</t>
        </is>
      </c>
      <c r="G238" s="26" t="n">
        <v>0.001</v>
      </c>
      <c r="H238" s="26">
        <f>E238*G238</f>
        <v/>
      </c>
      <c r="I238" s="25" t="inlineStr">
        <is>
          <t>Provista por IRAM (Anexo R)</t>
        </is>
      </c>
      <c r="J238" s="12" t="inlineStr">
        <is>
          <t>60 × 40</t>
        </is>
      </c>
      <c r="K238" s="25" t="inlineStr">
        <is>
          <t>Compra</t>
        </is>
      </c>
      <c r="L238" s="12" t="inlineStr">
        <is>
          <t>22 Etiquetado (T07)</t>
        </is>
      </c>
      <c r="M238" s="12" t="inlineStr">
        <is>
          <t>IRAM Anexo R (DC-PG-129)</t>
        </is>
      </c>
      <c r="N238" s="25" t="inlineStr">
        <is>
          <t>P</t>
        </is>
      </c>
      <c r="O238" s="25" t="inlineStr">
        <is>
          <t>FL_DES_AGUA_10l</t>
        </is>
      </c>
      <c r="P238" s="12" t="inlineStr">
        <is>
          <t>numerada</t>
        </is>
      </c>
    </row>
    <row r="239">
      <c r="A239" s="25" t="inlineStr">
        <is>
          <t>FL_MAT_AGUA_10l</t>
        </is>
      </c>
      <c r="B239" s="25" t="n">
        <v>2</v>
      </c>
      <c r="C239" s="25" t="inlineStr">
        <is>
          <t>AGUA10-23</t>
        </is>
      </c>
      <c r="D239" s="12" t="inlineStr">
        <is>
          <t xml:space="preserve">        Precinto de fábrica</t>
        </is>
      </c>
      <c r="E239" s="25" t="n">
        <v>1</v>
      </c>
      <c r="F239" s="25" t="inlineStr">
        <is>
          <t>u</t>
        </is>
      </c>
      <c r="G239" s="26" t="n">
        <v>0.0002</v>
      </c>
      <c r="H239" s="26">
        <f>E239*G239</f>
        <v/>
      </c>
      <c r="I239" s="25" t="inlineStr">
        <is>
          <t>Polipropileno</t>
        </is>
      </c>
      <c r="J239" s="12" t="inlineStr">
        <is>
          <t>Ø5 × 10, numerado, rotura 30-50 N</t>
        </is>
      </c>
      <c r="K239" s="25" t="inlineStr">
        <is>
          <t>Compra</t>
        </is>
      </c>
      <c r="L239" s="12" t="inlineStr">
        <is>
          <t>20 Presurización (T05)</t>
        </is>
      </c>
      <c r="M239" s="12" t="inlineStr">
        <is>
          <t>IRAM 3523 3.3.2 · IRAM 3517-2:2020 9.4.13</t>
        </is>
      </c>
      <c r="N239" s="25" t="inlineStr">
        <is>
          <t>P</t>
        </is>
      </c>
      <c r="O239" s="25" t="inlineStr">
        <is>
          <t>FL_DES_AGUA_10l</t>
        </is>
      </c>
      <c r="P239" s="12" t="inlineStr">
        <is>
          <t>id. FLAMA y lote</t>
        </is>
      </c>
    </row>
    <row r="240">
      <c r="A240" s="25" t="inlineStr">
        <is>
          <t>FL_MAT_AGUA_10l</t>
        </is>
      </c>
      <c r="B240" s="25" t="n">
        <v>2</v>
      </c>
      <c r="C240" s="25" t="inlineStr">
        <is>
          <t>AGUA10-I3</t>
        </is>
      </c>
      <c r="D240" s="12" t="inlineStr">
        <is>
          <t xml:space="preserve">        Tarjeta oficial de vigencia (CABA)</t>
        </is>
      </c>
      <c r="E240" s="25" t="n">
        <v>1</v>
      </c>
      <c r="F240" s="25" t="inlineStr">
        <is>
          <t>u</t>
        </is>
      </c>
      <c r="G240" s="26" t="n">
        <v>0.002</v>
      </c>
      <c r="H240" s="26">
        <f>E240*G240</f>
        <v/>
      </c>
      <c r="I240" s="25" t="inlineStr">
        <is>
          <t>Formulario oficial</t>
        </is>
      </c>
      <c r="J240" s="12" t="inlineStr">
        <is>
          <t>provista por DG Rentas GCBA</t>
        </is>
      </c>
      <c r="K240" s="25" t="inlineStr">
        <is>
          <t>Compra</t>
        </is>
      </c>
      <c r="L240" s="12" t="inlineStr">
        <is>
          <t>22 Etiquetado</t>
        </is>
      </c>
      <c r="M240" s="12" t="inlineStr">
        <is>
          <t>Ordenanza 40.473 art. 6</t>
        </is>
      </c>
      <c r="N240" s="25" t="inlineStr">
        <is>
          <t>N</t>
        </is>
      </c>
      <c r="O240" s="25" t="n"/>
      <c r="P240" s="12" t="inlineStr">
        <is>
          <t>Clase, capacidad, fecha de carga y vencimiento, garantía; se anexa al matafuego (no se dibuja)</t>
        </is>
      </c>
    </row>
    <row r="241">
      <c r="A241" s="22" t="inlineStr">
        <is>
          <t>FL_MAT_AGUA_10l</t>
        </is>
      </c>
      <c r="B241" s="22" t="n">
        <v>1</v>
      </c>
      <c r="C241" s="22" t="inlineStr">
        <is>
          <t>AGUA10-S8</t>
        </is>
      </c>
      <c r="D241" s="23" t="inlineStr">
        <is>
          <t xml:space="preserve">    Soporte (accesorio de montaje)</t>
        </is>
      </c>
      <c r="E241" s="22" t="n">
        <v>1</v>
      </c>
      <c r="F241" s="22" t="inlineStr">
        <is>
          <t>u</t>
        </is>
      </c>
      <c r="G241" s="24" t="n"/>
      <c r="H241" s="24">
        <f>H242+H243</f>
        <v/>
      </c>
      <c r="I241" s="22" t="n"/>
      <c r="J241" s="23" t="n"/>
      <c r="K241" s="22" t="inlineStr">
        <is>
          <t>Compra</t>
        </is>
      </c>
      <c r="L241" s="23" t="inlineStr">
        <is>
          <t>23 Embalaje (va dentro de la caja)</t>
        </is>
      </c>
      <c r="M241" s="23" t="inlineStr">
        <is>
          <t>IRAM 3517-2 7.4</t>
        </is>
      </c>
      <c r="N241" s="22" t="n"/>
      <c r="O241" s="22" t="n"/>
      <c r="P241" s="23" t="n"/>
    </row>
    <row r="242">
      <c r="A242" s="25" t="inlineStr">
        <is>
          <t>FL_MAT_AGUA_10l</t>
        </is>
      </c>
      <c r="B242" s="25" t="n">
        <v>2</v>
      </c>
      <c r="C242" s="25" t="inlineStr">
        <is>
          <t>AGUA10-I5</t>
        </is>
      </c>
      <c r="D242" s="12" t="inlineStr">
        <is>
          <t xml:space="preserve">        Soporte de pared (FL_ACC_01)</t>
        </is>
      </c>
      <c r="E242" s="25" t="n">
        <v>1</v>
      </c>
      <c r="F242" s="25" t="inlineStr">
        <is>
          <t>u</t>
        </is>
      </c>
      <c r="G242" s="26" t="n">
        <v>0.327</v>
      </c>
      <c r="H242" s="26">
        <f>E242*G242</f>
        <v/>
      </c>
      <c r="I242" s="25" t="inlineStr">
        <is>
          <t>Chapa acero SAE 1010 e=2 pintada</t>
        </is>
      </c>
      <c r="J242" s="12" t="inlineStr">
        <is>
          <t>placa 60 × 180, ala con ranura Ø cuello + 3</t>
        </is>
      </c>
      <c r="K242" s="25" t="inlineStr">
        <is>
          <t>Compra</t>
        </is>
      </c>
      <c r="L242" s="12" t="inlineStr">
        <is>
          <t>23 Embalaje</t>
        </is>
      </c>
      <c r="M242" s="12" t="inlineStr">
        <is>
          <t>IRAM 3517-2 7.4</t>
        </is>
      </c>
      <c r="N242" s="25" t="inlineStr">
        <is>
          <t>P</t>
        </is>
      </c>
      <c r="O242" s="25" t="inlineStr">
        <is>
          <t>FL_ACC_01</t>
        </is>
      </c>
      <c r="P242" s="12" t="n"/>
    </row>
    <row r="243">
      <c r="A243" s="25" t="inlineStr">
        <is>
          <t>FL_MAT_AGUA_10l</t>
        </is>
      </c>
      <c r="B243" s="25" t="n">
        <v>2</v>
      </c>
      <c r="C243" s="25" t="inlineStr">
        <is>
          <t>AGUA10-I6</t>
        </is>
      </c>
      <c r="D243" s="12" t="inlineStr">
        <is>
          <t xml:space="preserve">        Tornillo y tarugo de fijación</t>
        </is>
      </c>
      <c r="E243" s="25" t="n">
        <v>2</v>
      </c>
      <c r="F243" s="25" t="inlineStr">
        <is>
          <t>u</t>
        </is>
      </c>
      <c r="G243" s="26" t="n">
        <v>0.01</v>
      </c>
      <c r="H243" s="26">
        <f>E243*G243</f>
        <v/>
      </c>
      <c r="I243" s="25" t="inlineStr">
        <is>
          <t>Acero cincado / nylon</t>
        </is>
      </c>
      <c r="J243" s="12" t="inlineStr">
        <is>
          <t>M6 × 50 + tarugo 8</t>
        </is>
      </c>
      <c r="K243" s="25" t="inlineStr">
        <is>
          <t>Compra</t>
        </is>
      </c>
      <c r="L243" s="12" t="inlineStr">
        <is>
          <t>23 Embalaje</t>
        </is>
      </c>
      <c r="M243" s="12" t="n"/>
      <c r="N243" s="25" t="inlineStr">
        <is>
          <t>R</t>
        </is>
      </c>
      <c r="O243" s="25" t="n"/>
      <c r="P243" s="12" t="n"/>
    </row>
    <row r="244">
      <c r="A244" s="22" t="inlineStr">
        <is>
          <t>FL_MAT_AGUA_10l</t>
        </is>
      </c>
      <c r="B244" s="22" t="n">
        <v>1</v>
      </c>
      <c r="C244" s="22" t="inlineStr">
        <is>
          <t>AGUA10-S7</t>
        </is>
      </c>
      <c r="D244" s="23" t="inlineStr">
        <is>
          <t xml:space="preserve">    Embalaje</t>
        </is>
      </c>
      <c r="E244" s="22" t="n">
        <v>1</v>
      </c>
      <c r="F244" s="22" t="inlineStr">
        <is>
          <t>u</t>
        </is>
      </c>
      <c r="G244" s="24" t="n"/>
      <c r="H244" s="24">
        <f>H245+H246+H247+H248+H249</f>
        <v/>
      </c>
      <c r="I244" s="22" t="n"/>
      <c r="J244" s="23" t="n"/>
      <c r="K244" s="22" t="inlineStr">
        <is>
          <t>Compra</t>
        </is>
      </c>
      <c r="L244" s="23" t="inlineStr">
        <is>
          <t>23 Embalaje -&gt; 24 envolvedora (T11)</t>
        </is>
      </c>
      <c r="M244" s="23" t="n"/>
      <c r="N244" s="22" t="n"/>
      <c r="O244" s="22" t="n"/>
      <c r="P244" s="23" t="n"/>
    </row>
    <row r="245">
      <c r="A245" s="25" t="inlineStr">
        <is>
          <t>FL_MAT_AGUA_10l</t>
        </is>
      </c>
      <c r="B245" s="25" t="n">
        <v>2</v>
      </c>
      <c r="C245" s="25" t="inlineStr">
        <is>
          <t>AGUA10-E1</t>
        </is>
      </c>
      <c r="D245" s="12" t="inlineStr">
        <is>
          <t xml:space="preserve">        Caja de cartón corrugado doble</t>
        </is>
      </c>
      <c r="E245" s="25" t="n">
        <v>1</v>
      </c>
      <c r="F245" s="25" t="inlineStr">
        <is>
          <t>u</t>
        </is>
      </c>
      <c r="G245" s="26" t="n">
        <v>0.5</v>
      </c>
      <c r="H245" s="26">
        <f>E245*G245</f>
        <v/>
      </c>
      <c r="I245" s="25" t="inlineStr">
        <is>
          <t>Cartón corrugado</t>
        </is>
      </c>
      <c r="J245" s="12" t="inlineStr">
        <is>
          <t>270 × 223 × 670 interior</t>
        </is>
      </c>
      <c r="K245" s="25" t="inlineStr">
        <is>
          <t>Compra</t>
        </is>
      </c>
      <c r="L245" s="12" t="inlineStr">
        <is>
          <t>23 Embalaje</t>
        </is>
      </c>
      <c r="M245" s="12" t="n"/>
      <c r="N245" s="25" t="inlineStr">
        <is>
          <t>R</t>
        </is>
      </c>
      <c r="O245" s="25" t="n"/>
      <c r="P245" s="12" t="n"/>
    </row>
    <row r="246">
      <c r="A246" s="25" t="inlineStr">
        <is>
          <t>FL_MAT_AGUA_10l</t>
        </is>
      </c>
      <c r="B246" s="25" t="n">
        <v>2</v>
      </c>
      <c r="C246" s="25" t="inlineStr">
        <is>
          <t>AGUA10-E2</t>
        </is>
      </c>
      <c r="D246" s="12" t="inlineStr">
        <is>
          <t xml:space="preserve">        Instructivo de uso y mantenimiento</t>
        </is>
      </c>
      <c r="E246" s="25" t="n">
        <v>1</v>
      </c>
      <c r="F246" s="25" t="inlineStr">
        <is>
          <t>u</t>
        </is>
      </c>
      <c r="G246" s="26" t="n">
        <v>0.01</v>
      </c>
      <c r="H246" s="26">
        <f>E246*G246</f>
        <v/>
      </c>
      <c r="I246" s="25" t="inlineStr">
        <is>
          <t>Papel</t>
        </is>
      </c>
      <c r="J246" s="12" t="inlineStr">
        <is>
          <t>A5</t>
        </is>
      </c>
      <c r="K246" s="25" t="inlineStr">
        <is>
          <t>Compra</t>
        </is>
      </c>
      <c r="L246" s="12" t="inlineStr">
        <is>
          <t>23 Embalaje</t>
        </is>
      </c>
      <c r="M246" s="12" t="inlineStr">
        <is>
          <t>IRAM 3517-2 (información al usuario)</t>
        </is>
      </c>
      <c r="N246" s="25" t="inlineStr">
        <is>
          <t>R</t>
        </is>
      </c>
      <c r="O246" s="25" t="n"/>
      <c r="P246" s="12" t="n"/>
    </row>
    <row r="247">
      <c r="A247" s="25" t="inlineStr">
        <is>
          <t>FL_MAT_AGUA_10l</t>
        </is>
      </c>
      <c r="B247" s="25" t="n">
        <v>2</v>
      </c>
      <c r="C247" s="25" t="inlineStr">
        <is>
          <t>AGUA10-E3</t>
        </is>
      </c>
      <c r="D247" s="12" t="inlineStr">
        <is>
          <t xml:space="preserve">        Pallet 1200 × 1000 (fracción)</t>
        </is>
      </c>
      <c r="E247" s="25" t="n">
        <v>0.0312</v>
      </c>
      <c r="F247" s="25" t="inlineStr">
        <is>
          <t>u</t>
        </is>
      </c>
      <c r="G247" s="26" t="n">
        <v>0.6879999999999999</v>
      </c>
      <c r="H247" s="26">
        <f>E247*G247</f>
        <v/>
      </c>
      <c r="I247" s="25" t="inlineStr">
        <is>
          <t>Madera</t>
        </is>
      </c>
      <c r="J247" s="12" t="inlineStr">
        <is>
          <t>32 u por pallet</t>
        </is>
      </c>
      <c r="K247" s="25" t="inlineStr">
        <is>
          <t>Compra</t>
        </is>
      </c>
      <c r="L247" s="12" t="inlineStr">
        <is>
          <t>23 Embalaje</t>
        </is>
      </c>
      <c r="M247" s="12" t="n"/>
      <c r="N247" s="25" t="inlineStr">
        <is>
          <t>R</t>
        </is>
      </c>
      <c r="O247" s="25" t="n"/>
      <c r="P247" s="12" t="n"/>
    </row>
    <row r="248">
      <c r="A248" s="25" t="inlineStr">
        <is>
          <t>FL_MAT_AGUA_10l</t>
        </is>
      </c>
      <c r="B248" s="25" t="n">
        <v>2</v>
      </c>
      <c r="C248" s="25" t="inlineStr">
        <is>
          <t>AGUA10-E4</t>
        </is>
      </c>
      <c r="D248" s="12" t="inlineStr">
        <is>
          <t xml:space="preserve">        Film stretch (fracción del pallet)</t>
        </is>
      </c>
      <c r="E248" s="25" t="n">
        <v>0.0109</v>
      </c>
      <c r="F248" s="25" t="inlineStr">
        <is>
          <t>kg</t>
        </is>
      </c>
      <c r="G248" s="26" t="n">
        <v>1</v>
      </c>
      <c r="H248" s="26">
        <f>E248*G248</f>
        <v/>
      </c>
      <c r="I248" s="25" t="inlineStr">
        <is>
          <t>PE lineal 23 µm</t>
        </is>
      </c>
      <c r="J248" s="12" t="inlineStr">
        <is>
          <t>envolvedora EDOS PS5</t>
        </is>
      </c>
      <c r="K248" s="25" t="inlineStr">
        <is>
          <t>Compra</t>
        </is>
      </c>
      <c r="L248" s="12" t="inlineStr">
        <is>
          <t>24 Envolvedora (T11)</t>
        </is>
      </c>
      <c r="M248" s="12" t="n"/>
      <c r="N248" s="25" t="inlineStr">
        <is>
          <t>R</t>
        </is>
      </c>
      <c r="O248" s="25" t="n"/>
      <c r="P248" s="12" t="n"/>
    </row>
    <row r="249">
      <c r="A249" s="25" t="inlineStr">
        <is>
          <t>FL_MAT_AGUA_10l</t>
        </is>
      </c>
      <c r="B249" s="25" t="n">
        <v>2</v>
      </c>
      <c r="C249" s="25" t="inlineStr">
        <is>
          <t>AGUA10-E5</t>
        </is>
      </c>
      <c r="D249" s="12" t="inlineStr">
        <is>
          <t xml:space="preserve">        Etiqueta de pallet (lote y destino, fracción)</t>
        </is>
      </c>
      <c r="E249" s="25" t="n">
        <v>0.0312</v>
      </c>
      <c r="F249" s="25" t="inlineStr">
        <is>
          <t>u</t>
        </is>
      </c>
      <c r="G249" s="26" t="n">
        <v>0</v>
      </c>
      <c r="H249" s="26">
        <f>E249*G249</f>
        <v/>
      </c>
      <c r="I249" s="25" t="inlineStr">
        <is>
          <t>Papel térmico</t>
        </is>
      </c>
      <c r="J249" s="12" t="inlineStr">
        <is>
          <t>100 × 150</t>
        </is>
      </c>
      <c r="K249" s="25" t="inlineStr">
        <is>
          <t>Compra</t>
        </is>
      </c>
      <c r="L249" s="12" t="inlineStr">
        <is>
          <t>24 Envolvedora</t>
        </is>
      </c>
      <c r="M249" s="12" t="n"/>
      <c r="N249" s="25" t="inlineStr">
        <is>
          <t>R</t>
        </is>
      </c>
      <c r="O249" s="25" t="n"/>
      <c r="P249" s="12" t="n"/>
    </row>
    <row r="250">
      <c r="A250" s="19" t="inlineStr">
        <is>
          <t>FL_MAT_AFFF_10l</t>
        </is>
      </c>
      <c r="B250" s="19" t="n">
        <v>0</v>
      </c>
      <c r="C250" s="19" t="inlineStr">
        <is>
          <t>FL_MAT_AFFF_10l</t>
        </is>
      </c>
      <c r="D250" s="20" t="inlineStr">
        <is>
          <t>Extintor AFFF 10 l</t>
        </is>
      </c>
      <c r="E250" s="19" t="n">
        <v>1</v>
      </c>
      <c r="F250" s="19" t="inlineStr">
        <is>
          <t>u</t>
        </is>
      </c>
      <c r="G250" s="21" t="n"/>
      <c r="H250" s="21" t="n"/>
      <c r="I250" s="19" t="n"/>
      <c r="J250" s="20" t="n"/>
      <c r="K250" s="19" t="n"/>
      <c r="L250" s="20" t="n"/>
      <c r="M250" s="20" t="inlineStr">
        <is>
          <t>IRAM 3527</t>
        </is>
      </c>
      <c r="N250" s="19" t="inlineStr">
        <is>
          <t>P</t>
        </is>
      </c>
      <c r="O250" s="19" t="inlineStr">
        <is>
          <t>FL_MAT_AFFF_10l</t>
        </is>
      </c>
      <c r="P250" s="20" t="inlineStr">
        <is>
          <t>Tercerizado revendido (S4)</t>
        </is>
      </c>
    </row>
    <row r="251">
      <c r="A251" s="22" t="inlineStr">
        <is>
          <t>FL_MAT_AFFF_10l</t>
        </is>
      </c>
      <c r="B251" s="22" t="n">
        <v>1</v>
      </c>
      <c r="C251" s="22" t="inlineStr">
        <is>
          <t>AFFF10-S1</t>
        </is>
      </c>
      <c r="D251" s="23" t="inlineStr">
        <is>
          <t xml:space="preserve">    Recipiente (cilindro)</t>
        </is>
      </c>
      <c r="E251" s="22" t="n">
        <v>1</v>
      </c>
      <c r="F251" s="22" t="inlineStr">
        <is>
          <t>u</t>
        </is>
      </c>
      <c r="G251" s="24" t="n"/>
      <c r="H251" s="24">
        <f>H252+H253+H254+H255+H256</f>
        <v/>
      </c>
      <c r="I251" s="22" t="n"/>
      <c r="J251" s="23" t="n"/>
      <c r="K251" s="22" t="inlineStr">
        <is>
          <t>Compra / armado</t>
        </is>
      </c>
      <c r="L251" s="23" t="n"/>
      <c r="M251" s="23" t="inlineStr">
        <is>
          <t>IRAM 3523 / 3550 (recipiente)</t>
        </is>
      </c>
      <c r="N251" s="22" t="inlineStr">
        <is>
          <t>P</t>
        </is>
      </c>
      <c r="O251" s="22" t="inlineStr">
        <is>
          <t>FL_DES_AFFF_10l</t>
        </is>
      </c>
      <c r="P251" s="23" t="n"/>
    </row>
    <row r="252">
      <c r="A252" s="25" t="inlineStr">
        <is>
          <t>FL_MAT_AFFF_10l</t>
        </is>
      </c>
      <c r="B252" s="25" t="n">
        <v>2</v>
      </c>
      <c r="C252" s="25" t="inlineStr">
        <is>
          <t>AFFF10-01</t>
        </is>
      </c>
      <c r="D252" s="12" t="inlineStr">
        <is>
          <t xml:space="preserve">        Cuerpo (virola)</t>
        </is>
      </c>
      <c r="E252" s="25" t="n">
        <v>1</v>
      </c>
      <c r="F252" s="25" t="inlineStr">
        <is>
          <t>u</t>
        </is>
      </c>
      <c r="G252" s="26" t="n">
        <v>1.7949</v>
      </c>
      <c r="H252" s="26">
        <f>E252*G252</f>
        <v/>
      </c>
      <c r="I252" s="25" t="inlineStr">
        <is>
          <t>Chapa acero inox. AISI 304 e=0,8</t>
        </is>
      </c>
      <c r="J252" s="12" t="inlineStr">
        <is>
          <t>Ø190 × e0,8 × 476 de alto; desarrollo 594,4 × 476</t>
        </is>
      </c>
      <c r="K252" s="25" t="inlineStr">
        <is>
          <t>Compra (en el conjunto)</t>
        </is>
      </c>
      <c r="L252" s="12" t="inlineStr">
        <is>
          <t>S4 - se compra terminado (tercerizado con sello IRAM)</t>
        </is>
      </c>
      <c r="M252" s="12" t="n"/>
      <c r="N252" s="25" t="inlineStr">
        <is>
          <t>P</t>
        </is>
      </c>
      <c r="O252" s="25" t="inlineStr">
        <is>
          <t>FL_DES_AFFF_10l</t>
        </is>
      </c>
      <c r="P252" s="12" t="inlineStr">
        <is>
          <t>costura long. TIG</t>
        </is>
      </c>
    </row>
    <row r="253">
      <c r="A253" s="25" t="inlineStr">
        <is>
          <t>FL_MAT_AFFF_10l</t>
        </is>
      </c>
      <c r="B253" s="25" t="n">
        <v>2</v>
      </c>
      <c r="C253" s="25" t="inlineStr">
        <is>
          <t>AFFF10-02</t>
        </is>
      </c>
      <c r="D253" s="12" t="inlineStr">
        <is>
          <t xml:space="preserve">        Cúpula</t>
        </is>
      </c>
      <c r="E253" s="25" t="n">
        <v>1</v>
      </c>
      <c r="F253" s="25" t="inlineStr">
        <is>
          <t>u</t>
        </is>
      </c>
      <c r="G253" s="26" t="n">
        <v>0.2544</v>
      </c>
      <c r="H253" s="26">
        <f>E253*G253</f>
        <v/>
      </c>
      <c r="I253" s="25" t="inlineStr">
        <is>
          <t>Chapa acero inox. AISI 304 e=0,8</t>
        </is>
      </c>
      <c r="J253" s="12" t="inlineStr">
        <is>
          <t>Ø190 × e0,8 × 59 de alto; disco Ø232,7</t>
        </is>
      </c>
      <c r="K253" s="25" t="inlineStr">
        <is>
          <t>Compra (en el conjunto)</t>
        </is>
      </c>
      <c r="L253" s="12" t="inlineStr">
        <is>
          <t>S4 - se compra terminado (tercerizado con sello IRAM)</t>
        </is>
      </c>
      <c r="M253" s="12" t="n"/>
      <c r="N253" s="25" t="inlineStr">
        <is>
          <t>P</t>
        </is>
      </c>
      <c r="O253" s="25" t="inlineStr">
        <is>
          <t>FL_DES_AFFF_10l</t>
        </is>
      </c>
      <c r="P253" s="12" t="inlineStr">
        <is>
          <t>embutida</t>
        </is>
      </c>
    </row>
    <row r="254">
      <c r="A254" s="25" t="inlineStr">
        <is>
          <t>FL_MAT_AFFF_10l</t>
        </is>
      </c>
      <c r="B254" s="25" t="n">
        <v>2</v>
      </c>
      <c r="C254" s="25" t="inlineStr">
        <is>
          <t>AFFF10-03</t>
        </is>
      </c>
      <c r="D254" s="12" t="inlineStr">
        <is>
          <t xml:space="preserve">        Fondo</t>
        </is>
      </c>
      <c r="E254" s="25" t="n">
        <v>1</v>
      </c>
      <c r="F254" s="25" t="inlineStr">
        <is>
          <t>u</t>
        </is>
      </c>
      <c r="G254" s="26" t="n">
        <v>0.1769</v>
      </c>
      <c r="H254" s="26">
        <f>E254*G254</f>
        <v/>
      </c>
      <c r="I254" s="25" t="inlineStr">
        <is>
          <t>Chapa acero inox. AISI 304 e=0,8</t>
        </is>
      </c>
      <c r="J254" s="12" t="inlineStr">
        <is>
          <t>Ø190 × e0,8 × 10,8 de alto; disco Ø194,1</t>
        </is>
      </c>
      <c r="K254" s="25" t="inlineStr">
        <is>
          <t>Compra (en el conjunto)</t>
        </is>
      </c>
      <c r="L254" s="12" t="inlineStr">
        <is>
          <t>S4 - se compra terminado (tercerizado con sello IRAM)</t>
        </is>
      </c>
      <c r="M254" s="12" t="n"/>
      <c r="N254" s="25" t="inlineStr">
        <is>
          <t>P</t>
        </is>
      </c>
      <c r="O254" s="25" t="inlineStr">
        <is>
          <t>FL_DES_AFFF_10l</t>
        </is>
      </c>
      <c r="P254" s="12" t="inlineStr">
        <is>
          <t>embutido</t>
        </is>
      </c>
    </row>
    <row r="255">
      <c r="A255" s="25" t="inlineStr">
        <is>
          <t>FL_MAT_AFFF_10l</t>
        </is>
      </c>
      <c r="B255" s="25" t="n">
        <v>2</v>
      </c>
      <c r="C255" s="25" t="inlineStr">
        <is>
          <t>AFFF10-04</t>
        </is>
      </c>
      <c r="D255" s="12" t="inlineStr">
        <is>
          <t xml:space="preserve">        Cuello roscado</t>
        </is>
      </c>
      <c r="E255" s="25" t="n">
        <v>1</v>
      </c>
      <c r="F255" s="25" t="inlineStr">
        <is>
          <t>u</t>
        </is>
      </c>
      <c r="G255" s="26" t="n">
        <v>0.0539</v>
      </c>
      <c r="H255" s="26">
        <f>E255*G255</f>
        <v/>
      </c>
      <c r="I255" s="25" t="inlineStr">
        <is>
          <t>Acero inox. AISI 304</t>
        </is>
      </c>
      <c r="J255" s="12" t="inlineStr">
        <is>
          <t>Ø37 × 14 de alto, rosca M30x1,5, asiento Ø35</t>
        </is>
      </c>
      <c r="K255" s="25" t="inlineStr">
        <is>
          <t>Compra (en el conjunto)</t>
        </is>
      </c>
      <c r="L255" s="12" t="inlineStr">
        <is>
          <t>S4 - se compra terminado (tercerizado con sello IRAM)</t>
        </is>
      </c>
      <c r="M255" s="12" t="n"/>
      <c r="N255" s="25" t="inlineStr">
        <is>
          <t>P</t>
        </is>
      </c>
      <c r="O255" s="25" t="inlineStr">
        <is>
          <t>FL_DES_AFFF_10l</t>
        </is>
      </c>
      <c r="P255" s="12" t="inlineStr">
        <is>
          <t>M30x1,5</t>
        </is>
      </c>
    </row>
    <row r="256">
      <c r="A256" s="25" t="inlineStr">
        <is>
          <t>FL_MAT_AFFF_10l</t>
        </is>
      </c>
      <c r="B256" s="25" t="n">
        <v>2</v>
      </c>
      <c r="C256" s="25" t="inlineStr">
        <is>
          <t>AFFF10-C1</t>
        </is>
      </c>
      <c r="D256" s="12" t="inlineStr">
        <is>
          <t xml:space="preserve">        Aporte de soldadura: Varilla TIG ER308L Ø1,6</t>
        </is>
      </c>
      <c r="E256" s="25" t="n">
        <v>0.0413</v>
      </c>
      <c r="F256" s="25" t="inlineStr">
        <is>
          <t>kg</t>
        </is>
      </c>
      <c r="G256" s="26" t="n">
        <v>0.95</v>
      </c>
      <c r="H256" s="26">
        <f>E256*G256</f>
        <v/>
      </c>
      <c r="I256" s="25" t="inlineStr">
        <is>
          <t>Varilla TIG ER308L Ø1,6</t>
        </is>
      </c>
      <c r="J256" s="12" t="inlineStr">
        <is>
          <t>cordones del plano: 39 g depositados (rend. 95 %)</t>
        </is>
      </c>
      <c r="K256" s="25" t="inlineStr">
        <is>
          <t>Compra</t>
        </is>
      </c>
      <c r="L256" s="12" t="inlineStr">
        <is>
          <t>4 sold. long. / 8 cuello / 11 circunferencial</t>
        </is>
      </c>
      <c r="M256" s="12" t="inlineStr">
        <is>
          <t>ISO 4063 131 / 141</t>
        </is>
      </c>
      <c r="N256" s="25" t="inlineStr">
        <is>
          <t>P</t>
        </is>
      </c>
      <c r="O256" s="25" t="n"/>
      <c r="P256" s="12" t="n"/>
    </row>
    <row r="257">
      <c r="A257" s="25" t="inlineStr">
        <is>
          <t>FL_MAT_AFFF_10l</t>
        </is>
      </c>
      <c r="B257" s="25" t="n">
        <v>2</v>
      </c>
      <c r="C257" s="25" t="inlineStr">
        <is>
          <t>AFFF10-C2</t>
        </is>
      </c>
      <c r="D257" s="12" t="inlineStr">
        <is>
          <t xml:space="preserve">        Gas de protección: Argón</t>
        </is>
      </c>
      <c r="E257" s="25" t="n">
        <v>31</v>
      </c>
      <c r="F257" s="25" t="inlineStr">
        <is>
          <t>L</t>
        </is>
      </c>
      <c r="G257" s="26" t="n"/>
      <c r="H257" s="26" t="n"/>
      <c r="I257" s="25" t="inlineStr">
        <is>
          <t>Argón</t>
        </is>
      </c>
      <c r="J257" s="12" t="inlineStr">
        <is>
          <t>3,1 min de arco × 10 L/min</t>
        </is>
      </c>
      <c r="K257" s="25" t="inlineStr">
        <is>
          <t>Compra</t>
        </is>
      </c>
      <c r="L257" s="12" t="inlineStr">
        <is>
          <t>Botellón</t>
        </is>
      </c>
      <c r="M257" s="12" t="n"/>
      <c r="N257" s="25" t="inlineStr">
        <is>
          <t>R</t>
        </is>
      </c>
      <c r="O257" s="25" t="n"/>
      <c r="P257" s="12" t="n"/>
    </row>
    <row r="258">
      <c r="A258" s="22" t="inlineStr">
        <is>
          <t>FL_MAT_AFFF_10l</t>
        </is>
      </c>
      <c r="B258" s="22" t="n">
        <v>1</v>
      </c>
      <c r="C258" s="22" t="inlineStr">
        <is>
          <t>AFFF10-S2</t>
        </is>
      </c>
      <c r="D258" s="23" t="inlineStr">
        <is>
          <t xml:space="preserve">    Conjunto de válvula</t>
        </is>
      </c>
      <c r="E258" s="22" t="n">
        <v>1</v>
      </c>
      <c r="F258" s="22" t="inlineStr">
        <is>
          <t>u</t>
        </is>
      </c>
      <c r="G258" s="24" t="n"/>
      <c r="H258" s="24">
        <f>H259+H260+H261+H262+H263+H264+H265+H266+H267+H268+H269+H270+H271</f>
        <v/>
      </c>
      <c r="I258" s="22" t="n"/>
      <c r="J258" s="23" t="n"/>
      <c r="K258" s="22" t="inlineStr">
        <is>
          <t>Compra / armado</t>
        </is>
      </c>
      <c r="L258" s="23" t="n"/>
      <c r="M258" s="23" t="inlineStr">
        <is>
          <t>Manómetro IRAM 3533</t>
        </is>
      </c>
      <c r="N258" s="22" t="inlineStr">
        <is>
          <t>P</t>
        </is>
      </c>
      <c r="O258" s="22" t="inlineStr">
        <is>
          <t>FL_DES_AFFF_10l</t>
        </is>
      </c>
      <c r="P258" s="23" t="n"/>
    </row>
    <row r="259">
      <c r="A259" s="25" t="inlineStr">
        <is>
          <t>FL_MAT_AFFF_10l</t>
        </is>
      </c>
      <c r="B259" s="25" t="n">
        <v>2</v>
      </c>
      <c r="C259" s="25" t="inlineStr">
        <is>
          <t>AFFF10-05</t>
        </is>
      </c>
      <c r="D259" s="12" t="inlineStr">
        <is>
          <t xml:space="preserve">        Collarín de válvula</t>
        </is>
      </c>
      <c r="E259" s="25" t="n">
        <v>1</v>
      </c>
      <c r="F259" s="25" t="inlineStr">
        <is>
          <t>u</t>
        </is>
      </c>
      <c r="G259" s="26" t="n">
        <v>0.0833</v>
      </c>
      <c r="H259" s="26">
        <f>E259*G259</f>
        <v/>
      </c>
      <c r="I259" s="25" t="inlineStr">
        <is>
          <t>Latón forjado</t>
        </is>
      </c>
      <c r="J259" s="12" t="inlineStr">
        <is>
          <t>43 × 43 × 10</t>
        </is>
      </c>
      <c r="K259" s="25" t="inlineStr">
        <is>
          <t>Compra (en el conjunto)</t>
        </is>
      </c>
      <c r="L259" s="12" t="inlineStr">
        <is>
          <t>S4 - se compra terminado (tercerizado con sello IRAM)</t>
        </is>
      </c>
      <c r="M259" s="12" t="n"/>
      <c r="N259" s="25" t="inlineStr">
        <is>
          <t>P</t>
        </is>
      </c>
      <c r="O259" s="25" t="inlineStr">
        <is>
          <t>FL_DES_AFFF_10l</t>
        </is>
      </c>
      <c r="P259" s="12" t="n"/>
    </row>
    <row r="260">
      <c r="A260" s="25" t="inlineStr">
        <is>
          <t>FL_MAT_AFFF_10l</t>
        </is>
      </c>
      <c r="B260" s="25" t="n">
        <v>2</v>
      </c>
      <c r="C260" s="25" t="inlineStr">
        <is>
          <t>AFFF10-06</t>
        </is>
      </c>
      <c r="D260" s="12" t="inlineStr">
        <is>
          <t xml:space="preserve">        Espiga roscada</t>
        </is>
      </c>
      <c r="E260" s="25" t="n">
        <v>1</v>
      </c>
      <c r="F260" s="25" t="inlineStr">
        <is>
          <t>u</t>
        </is>
      </c>
      <c r="G260" s="26" t="n">
        <v>0.0243</v>
      </c>
      <c r="H260" s="26">
        <f>E260*G260</f>
        <v/>
      </c>
      <c r="I260" s="25" t="inlineStr">
        <is>
          <t>Latón forjado</t>
        </is>
      </c>
      <c r="J260" s="12" t="inlineStr">
        <is>
          <t>28,4 × 28,4 × 12</t>
        </is>
      </c>
      <c r="K260" s="25" t="inlineStr">
        <is>
          <t>Compra (en el conjunto)</t>
        </is>
      </c>
      <c r="L260" s="12" t="inlineStr">
        <is>
          <t>S4 - se compra terminado (tercerizado con sello IRAM)</t>
        </is>
      </c>
      <c r="M260" s="12" t="n"/>
      <c r="N260" s="25" t="inlineStr">
        <is>
          <t>P</t>
        </is>
      </c>
      <c r="O260" s="25" t="inlineStr">
        <is>
          <t>FL_DES_AFFF_10l</t>
        </is>
      </c>
      <c r="P260" s="12" t="n"/>
    </row>
    <row r="261">
      <c r="A261" s="25" t="inlineStr">
        <is>
          <t>FL_MAT_AFFF_10l</t>
        </is>
      </c>
      <c r="B261" s="25" t="n">
        <v>2</v>
      </c>
      <c r="C261" s="25" t="inlineStr">
        <is>
          <t>AFFF10-07</t>
        </is>
      </c>
      <c r="D261" s="12" t="inlineStr">
        <is>
          <t xml:space="preserve">        Cuerpo de válvula</t>
        </is>
      </c>
      <c r="E261" s="25" t="n">
        <v>1</v>
      </c>
      <c r="F261" s="25" t="inlineStr">
        <is>
          <t>u</t>
        </is>
      </c>
      <c r="G261" s="26" t="n">
        <v>0.4964</v>
      </c>
      <c r="H261" s="26">
        <f>E261*G261</f>
        <v/>
      </c>
      <c r="I261" s="25" t="inlineStr">
        <is>
          <t>Latón forjado</t>
        </is>
      </c>
      <c r="J261" s="12" t="inlineStr">
        <is>
          <t>68,2 × 43 × 34</t>
        </is>
      </c>
      <c r="K261" s="25" t="inlineStr">
        <is>
          <t>Compra (en el conjunto)</t>
        </is>
      </c>
      <c r="L261" s="12" t="inlineStr">
        <is>
          <t>S4 - se compra terminado (tercerizado con sello IRAM)</t>
        </is>
      </c>
      <c r="M261" s="12" t="n"/>
      <c r="N261" s="25" t="inlineStr">
        <is>
          <t>P</t>
        </is>
      </c>
      <c r="O261" s="25" t="inlineStr">
        <is>
          <t>FL_DES_AFFF_10l</t>
        </is>
      </c>
      <c r="P261" s="12" t="n"/>
    </row>
    <row r="262">
      <c r="A262" s="25" t="inlineStr">
        <is>
          <t>FL_MAT_AFFF_10l</t>
        </is>
      </c>
      <c r="B262" s="25" t="n">
        <v>2</v>
      </c>
      <c r="C262" s="25" t="inlineStr">
        <is>
          <t>AFFF10-08</t>
        </is>
      </c>
      <c r="D262" s="12" t="inlineStr">
        <is>
          <t xml:space="preserve">        Manómetro</t>
        </is>
      </c>
      <c r="E262" s="25" t="n">
        <v>1</v>
      </c>
      <c r="F262" s="25" t="inlineStr">
        <is>
          <t>u</t>
        </is>
      </c>
      <c r="G262" s="26" t="n">
        <v>0.06</v>
      </c>
      <c r="H262" s="26">
        <f>E262*G262</f>
        <v/>
      </c>
      <c r="I262" s="25" t="inlineStr">
        <is>
          <t>Comercial</t>
        </is>
      </c>
      <c r="J262" s="12" t="inlineStr">
        <is>
          <t>Ø38 esfera, rango 0-2 MPa, sector verde en 0,8</t>
        </is>
      </c>
      <c r="K262" s="25" t="inlineStr">
        <is>
          <t>Compra (en el conjunto)</t>
        </is>
      </c>
      <c r="L262" s="12" t="inlineStr">
        <is>
          <t>S4 - se compra terminado (tercerizado con sello IRAM)</t>
        </is>
      </c>
      <c r="M262" s="12" t="inlineStr">
        <is>
          <t>IRAM 3533</t>
        </is>
      </c>
      <c r="N262" s="25" t="inlineStr">
        <is>
          <t>R</t>
        </is>
      </c>
      <c r="O262" s="25" t="inlineStr">
        <is>
          <t>FL_DES_AFFF_10l</t>
        </is>
      </c>
      <c r="P262" s="12" t="inlineStr">
        <is>
          <t>Pieza comercial; sello IRAM 3533</t>
        </is>
      </c>
    </row>
    <row r="263">
      <c r="A263" s="25" t="inlineStr">
        <is>
          <t>FL_MAT_AFFF_10l</t>
        </is>
      </c>
      <c r="B263" s="25" t="n">
        <v>2</v>
      </c>
      <c r="C263" s="25" t="inlineStr">
        <is>
          <t>AFFF10-09</t>
        </is>
      </c>
      <c r="D263" s="12" t="inlineStr">
        <is>
          <t xml:space="preserve">        Manija de transporte</t>
        </is>
      </c>
      <c r="E263" s="25" t="n">
        <v>1</v>
      </c>
      <c r="F263" s="25" t="inlineStr">
        <is>
          <t>u</t>
        </is>
      </c>
      <c r="G263" s="26" t="n">
        <v>0.0546</v>
      </c>
      <c r="H263" s="26">
        <f>E263*G263</f>
        <v/>
      </c>
      <c r="I263" s="25" t="inlineStr">
        <is>
          <t>Chapa acero SAE 1010 pintada</t>
        </is>
      </c>
      <c r="J263" s="12" t="inlineStr">
        <is>
          <t>86,9 × 20 × 13,1</t>
        </is>
      </c>
      <c r="K263" s="25" t="inlineStr">
        <is>
          <t>Compra (en el conjunto)</t>
        </is>
      </c>
      <c r="L263" s="12" t="inlineStr">
        <is>
          <t>S4 - se compra terminado (tercerizado con sello IRAM)</t>
        </is>
      </c>
      <c r="M263" s="12" t="n"/>
      <c r="N263" s="25" t="inlineStr">
        <is>
          <t>P</t>
        </is>
      </c>
      <c r="O263" s="25" t="inlineStr">
        <is>
          <t>FL_DES_AFFF_10l</t>
        </is>
      </c>
      <c r="P263" s="12" t="n"/>
    </row>
    <row r="264">
      <c r="A264" s="25" t="inlineStr">
        <is>
          <t>FL_MAT_AFFF_10l</t>
        </is>
      </c>
      <c r="B264" s="25" t="n">
        <v>2</v>
      </c>
      <c r="C264" s="25" t="inlineStr">
        <is>
          <t>AFFF10-10</t>
        </is>
      </c>
      <c r="D264" s="12" t="inlineStr">
        <is>
          <t xml:space="preserve">        Manija de accionamiento</t>
        </is>
      </c>
      <c r="E264" s="25" t="n">
        <v>1</v>
      </c>
      <c r="F264" s="25" t="inlineStr">
        <is>
          <t>u</t>
        </is>
      </c>
      <c r="G264" s="26" t="n">
        <v>0.08160000000000001</v>
      </c>
      <c r="H264" s="26">
        <f>E264*G264</f>
        <v/>
      </c>
      <c r="I264" s="25" t="inlineStr">
        <is>
          <t>Chapa acero SAE 1010 pintada</t>
        </is>
      </c>
      <c r="J264" s="12" t="inlineStr">
        <is>
          <t>129,5 × 20 × 19,8</t>
        </is>
      </c>
      <c r="K264" s="25" t="inlineStr">
        <is>
          <t>Compra (en el conjunto)</t>
        </is>
      </c>
      <c r="L264" s="12" t="inlineStr">
        <is>
          <t>S4 - se compra terminado (tercerizado con sello IRAM)</t>
        </is>
      </c>
      <c r="M264" s="12" t="n"/>
      <c r="N264" s="25" t="inlineStr">
        <is>
          <t>P</t>
        </is>
      </c>
      <c r="O264" s="25" t="inlineStr">
        <is>
          <t>FL_DES_AFFF_10l</t>
        </is>
      </c>
      <c r="P264" s="12" t="n"/>
    </row>
    <row r="265">
      <c r="A265" s="25" t="inlineStr">
        <is>
          <t>FL_MAT_AFFF_10l</t>
        </is>
      </c>
      <c r="B265" s="25" t="n">
        <v>2</v>
      </c>
      <c r="C265" s="25" t="inlineStr">
        <is>
          <t>AFFF10-11</t>
        </is>
      </c>
      <c r="D265" s="12" t="inlineStr">
        <is>
          <t xml:space="preserve">        Eje de palanca</t>
        </is>
      </c>
      <c r="E265" s="25" t="n">
        <v>1</v>
      </c>
      <c r="F265" s="25" t="inlineStr">
        <is>
          <t>u</t>
        </is>
      </c>
      <c r="G265" s="26" t="n">
        <v>0.0081</v>
      </c>
      <c r="H265" s="26">
        <f>E265*G265</f>
        <v/>
      </c>
      <c r="I265" s="25" t="inlineStr">
        <is>
          <t>Acero inox. AISI 304</t>
        </is>
      </c>
      <c r="J265" s="12" t="inlineStr">
        <is>
          <t>36 × 6 × 6</t>
        </is>
      </c>
      <c r="K265" s="25" t="inlineStr">
        <is>
          <t>Compra (en el conjunto)</t>
        </is>
      </c>
      <c r="L265" s="12" t="inlineStr">
        <is>
          <t>S4 - se compra terminado (tercerizado con sello IRAM)</t>
        </is>
      </c>
      <c r="M265" s="12" t="n"/>
      <c r="N265" s="25" t="inlineStr">
        <is>
          <t>P</t>
        </is>
      </c>
      <c r="O265" s="25" t="inlineStr">
        <is>
          <t>FL_DES_AFFF_10l</t>
        </is>
      </c>
      <c r="P265" s="12" t="n"/>
    </row>
    <row r="266">
      <c r="A266" s="25" t="inlineStr">
        <is>
          <t>FL_MAT_AFFF_10l</t>
        </is>
      </c>
      <c r="B266" s="25" t="n">
        <v>2</v>
      </c>
      <c r="C266" s="25" t="inlineStr">
        <is>
          <t>AFFF10-12</t>
        </is>
      </c>
      <c r="D266" s="12" t="inlineStr">
        <is>
          <t xml:space="preserve">        Vástago</t>
        </is>
      </c>
      <c r="E266" s="25" t="n">
        <v>1</v>
      </c>
      <c r="F266" s="25" t="inlineStr">
        <is>
          <t>u</t>
        </is>
      </c>
      <c r="G266" s="26" t="n">
        <v>0.0017</v>
      </c>
      <c r="H266" s="26">
        <f>E266*G266</f>
        <v/>
      </c>
      <c r="I266" s="25" t="inlineStr">
        <is>
          <t>Latón</t>
        </is>
      </c>
      <c r="J266" s="12" t="inlineStr">
        <is>
          <t>8 × 8 × 4</t>
        </is>
      </c>
      <c r="K266" s="25" t="inlineStr">
        <is>
          <t>Compra (en el conjunto)</t>
        </is>
      </c>
      <c r="L266" s="12" t="inlineStr">
        <is>
          <t>S4 - se compra terminado (tercerizado con sello IRAM)</t>
        </is>
      </c>
      <c r="M266" s="12" t="n"/>
      <c r="N266" s="25" t="inlineStr">
        <is>
          <t>P</t>
        </is>
      </c>
      <c r="O266" s="25" t="inlineStr">
        <is>
          <t>FL_DES_AFFF_10l</t>
        </is>
      </c>
      <c r="P266" s="12" t="inlineStr">
        <is>
          <t>con junta tórica</t>
        </is>
      </c>
    </row>
    <row r="267">
      <c r="A267" s="25" t="inlineStr">
        <is>
          <t>FL_MAT_AFFF_10l</t>
        </is>
      </c>
      <c r="B267" s="25" t="n">
        <v>2</v>
      </c>
      <c r="C267" s="25" t="inlineStr">
        <is>
          <t>AFFF10-13</t>
        </is>
      </c>
      <c r="D267" s="12" t="inlineStr">
        <is>
          <t xml:space="preserve">        Pasador de seguridad</t>
        </is>
      </c>
      <c r="E267" s="25" t="n">
        <v>1</v>
      </c>
      <c r="F267" s="25" t="inlineStr">
        <is>
          <t>u</t>
        </is>
      </c>
      <c r="G267" s="26" t="n">
        <v>0.0055</v>
      </c>
      <c r="H267" s="26">
        <f>E267*G267</f>
        <v/>
      </c>
      <c r="I267" s="25" t="inlineStr">
        <is>
          <t>Alambre acero inox. AISI 304</t>
        </is>
      </c>
      <c r="J267" s="12" t="inlineStr">
        <is>
          <t>45,4 × 21 × 20,8</t>
        </is>
      </c>
      <c r="K267" s="25" t="inlineStr">
        <is>
          <t>Compra (en el conjunto)</t>
        </is>
      </c>
      <c r="L267" s="12" t="inlineStr">
        <is>
          <t>S4 - se compra terminado (tercerizado con sello IRAM)</t>
        </is>
      </c>
      <c r="M267" s="12" t="n"/>
      <c r="N267" s="25" t="inlineStr">
        <is>
          <t>P</t>
        </is>
      </c>
      <c r="O267" s="25" t="inlineStr">
        <is>
          <t>FL_DES_AFFF_10l</t>
        </is>
      </c>
      <c r="P267" s="12" t="inlineStr">
        <is>
          <t>con precinto</t>
        </is>
      </c>
    </row>
    <row r="268">
      <c r="A268" s="25" t="inlineStr">
        <is>
          <t>FL_MAT_AFFF_10l</t>
        </is>
      </c>
      <c r="B268" s="25" t="n">
        <v>2</v>
      </c>
      <c r="C268" s="25" t="inlineStr">
        <is>
          <t>AFFF10-14</t>
        </is>
      </c>
      <c r="D268" s="12" t="inlineStr">
        <is>
          <t xml:space="preserve">        Caño de pesca (sifón)</t>
        </is>
      </c>
      <c r="E268" s="25" t="n">
        <v>1</v>
      </c>
      <c r="F268" s="25" t="inlineStr">
        <is>
          <t>u</t>
        </is>
      </c>
      <c r="G268" s="26" t="n">
        <v>0.0229</v>
      </c>
      <c r="H268" s="26">
        <f>E268*G268</f>
        <v/>
      </c>
      <c r="I268" s="25" t="inlineStr">
        <is>
          <t>Tubo polipropileno</t>
        </is>
      </c>
      <c r="J268" s="12" t="inlineStr">
        <is>
          <t>Ø12 × 514,2 de largo</t>
        </is>
      </c>
      <c r="K268" s="25" t="inlineStr">
        <is>
          <t>Compra (en el conjunto)</t>
        </is>
      </c>
      <c r="L268" s="12" t="inlineStr">
        <is>
          <t>S4 - se compra terminado (tercerizado con sello IRAM)</t>
        </is>
      </c>
      <c r="M268" s="12" t="n"/>
      <c r="N268" s="25" t="inlineStr">
        <is>
          <t>P</t>
        </is>
      </c>
      <c r="O268" s="25" t="inlineStr">
        <is>
          <t>FL_DES_AFFF_10l</t>
        </is>
      </c>
      <c r="P268" s="12" t="n"/>
    </row>
    <row r="269">
      <c r="A269" s="25" t="inlineStr">
        <is>
          <t>FL_MAT_AFFF_10l</t>
        </is>
      </c>
      <c r="B269" s="25" t="n">
        <v>2</v>
      </c>
      <c r="C269" s="25" t="inlineStr">
        <is>
          <t>AFFF10-22</t>
        </is>
      </c>
      <c r="D269" s="12" t="inlineStr">
        <is>
          <t xml:space="preserve">        Junta tórica de asiento</t>
        </is>
      </c>
      <c r="E269" s="25" t="n">
        <v>1</v>
      </c>
      <c r="F269" s="25" t="inlineStr">
        <is>
          <t>u</t>
        </is>
      </c>
      <c r="G269" s="26" t="n">
        <v>0.001</v>
      </c>
      <c r="H269" s="26">
        <f>E269*G269</f>
        <v/>
      </c>
      <c r="I269" s="25" t="inlineStr">
        <is>
          <t>NBR 70 Shore A</t>
        </is>
      </c>
      <c r="J269" s="12" t="inlineStr">
        <is>
          <t>Ø31,4 ext. × cordón 3</t>
        </is>
      </c>
      <c r="K269" s="25" t="inlineStr">
        <is>
          <t>Compra (en el conjunto)</t>
        </is>
      </c>
      <c r="L269" s="12" t="inlineStr">
        <is>
          <t>S4 - se compra terminado (tercerizado con sello IRAM)</t>
        </is>
      </c>
      <c r="M269" s="12" t="n"/>
      <c r="N269" s="25" t="inlineStr">
        <is>
          <t>P</t>
        </is>
      </c>
      <c r="O269" s="25" t="inlineStr">
        <is>
          <t>FL_DES_AFFF_10l</t>
        </is>
      </c>
      <c r="P269" s="12" t="inlineStr">
        <is>
          <t>cambio c/recarga</t>
        </is>
      </c>
    </row>
    <row r="270">
      <c r="A270" s="25" t="inlineStr">
        <is>
          <t>FL_MAT_AFFF_10l</t>
        </is>
      </c>
      <c r="B270" s="25" t="n">
        <v>2</v>
      </c>
      <c r="C270" s="25" t="inlineStr">
        <is>
          <t>AFFF10-V2</t>
        </is>
      </c>
      <c r="D270" s="12" t="inlineStr">
        <is>
          <t xml:space="preserve">        Resorte de retorno del vástago</t>
        </is>
      </c>
      <c r="E270" s="25" t="n">
        <v>1</v>
      </c>
      <c r="F270" s="25" t="inlineStr">
        <is>
          <t>u</t>
        </is>
      </c>
      <c r="G270" s="26" t="n">
        <v>0.003</v>
      </c>
      <c r="H270" s="26">
        <f>E270*G270</f>
        <v/>
      </c>
      <c r="I270" s="25" t="inlineStr">
        <is>
          <t>Alambre acero inox. AISI 302</t>
        </is>
      </c>
      <c r="J270" s="12" t="inlineStr">
        <is>
          <t>según válvula</t>
        </is>
      </c>
      <c r="K270" s="25" t="inlineStr">
        <is>
          <t>Compra</t>
        </is>
      </c>
      <c r="L270" s="12" t="inlineStr">
        <is>
          <t>19 Ensamblaje</t>
        </is>
      </c>
      <c r="M270" s="12" t="n"/>
      <c r="N270" s="25" t="inlineStr">
        <is>
          <t>R</t>
        </is>
      </c>
      <c r="O270" s="25" t="n"/>
      <c r="P270" s="12" t="n"/>
    </row>
    <row r="271">
      <c r="A271" s="25" t="inlineStr">
        <is>
          <t>FL_MAT_AFFF_10l</t>
        </is>
      </c>
      <c r="B271" s="25" t="n">
        <v>2</v>
      </c>
      <c r="C271" s="25" t="inlineStr">
        <is>
          <t>AFFF10-V3</t>
        </is>
      </c>
      <c r="D271" s="12" t="inlineStr">
        <is>
          <t xml:space="preserve">        Junta tórica del vástago</t>
        </is>
      </c>
      <c r="E271" s="25" t="n">
        <v>1</v>
      </c>
      <c r="F271" s="25" t="inlineStr">
        <is>
          <t>u</t>
        </is>
      </c>
      <c r="G271" s="26" t="n">
        <v>0.001</v>
      </c>
      <c r="H271" s="26">
        <f>E271*G271</f>
        <v/>
      </c>
      <c r="I271" s="25" t="inlineStr">
        <is>
          <t>NBR 70 Shore A</t>
        </is>
      </c>
      <c r="J271" s="12" t="inlineStr">
        <is>
          <t>según válvula</t>
        </is>
      </c>
      <c r="K271" s="25" t="inlineStr">
        <is>
          <t>Compra</t>
        </is>
      </c>
      <c r="L271" s="12" t="inlineStr">
        <is>
          <t>19 Ensamblaje</t>
        </is>
      </c>
      <c r="M271" s="12" t="n"/>
      <c r="N271" s="25" t="inlineStr">
        <is>
          <t>P</t>
        </is>
      </c>
      <c r="O271" s="25" t="n"/>
      <c r="P271" s="12" t="inlineStr">
        <is>
          <t>Figura en el plano como «vástago con junta tórica»</t>
        </is>
      </c>
    </row>
    <row r="272">
      <c r="A272" s="22" t="inlineStr">
        <is>
          <t>FL_MAT_AFFF_10l</t>
        </is>
      </c>
      <c r="B272" s="22" t="n">
        <v>1</v>
      </c>
      <c r="C272" s="22" t="inlineStr">
        <is>
          <t>AFFF10-S3</t>
        </is>
      </c>
      <c r="D272" s="23" t="inlineStr">
        <is>
          <t xml:space="preserve">    Dispositivo de descarga</t>
        </is>
      </c>
      <c r="E272" s="22" t="n">
        <v>1</v>
      </c>
      <c r="F272" s="22" t="inlineStr">
        <is>
          <t>u</t>
        </is>
      </c>
      <c r="G272" s="24" t="n"/>
      <c r="H272" s="24">
        <f>H273+H274+H275+H276</f>
        <v/>
      </c>
      <c r="I272" s="22" t="n"/>
      <c r="J272" s="23" t="n"/>
      <c r="K272" s="22" t="inlineStr">
        <is>
          <t>Compra / armado</t>
        </is>
      </c>
      <c r="L272" s="23" t="n"/>
      <c r="M272" s="23" t="n"/>
      <c r="N272" s="22" t="inlineStr">
        <is>
          <t>P</t>
        </is>
      </c>
      <c r="O272" s="22" t="inlineStr">
        <is>
          <t>FL_DES_AFFF_10l</t>
        </is>
      </c>
      <c r="P272" s="23" t="n"/>
    </row>
    <row r="273">
      <c r="A273" s="25" t="inlineStr">
        <is>
          <t>FL_MAT_AFFF_10l</t>
        </is>
      </c>
      <c r="B273" s="25" t="n">
        <v>2</v>
      </c>
      <c r="C273" s="25" t="inlineStr">
        <is>
          <t>AFFF10-15</t>
        </is>
      </c>
      <c r="D273" s="12" t="inlineStr">
        <is>
          <t xml:space="preserve">        Racor de manguera</t>
        </is>
      </c>
      <c r="E273" s="25" t="n">
        <v>1</v>
      </c>
      <c r="F273" s="25" t="inlineStr">
        <is>
          <t>u</t>
        </is>
      </c>
      <c r="G273" s="26" t="n">
        <v>0.0258</v>
      </c>
      <c r="H273" s="26">
        <f>E273*G273</f>
        <v/>
      </c>
      <c r="I273" s="25" t="inlineStr">
        <is>
          <t>Latón</t>
        </is>
      </c>
      <c r="J273" s="12" t="inlineStr">
        <is>
          <t>18 × 18 × 12</t>
        </is>
      </c>
      <c r="K273" s="25" t="inlineStr">
        <is>
          <t>Compra (en el conjunto)</t>
        </is>
      </c>
      <c r="L273" s="12" t="inlineStr">
        <is>
          <t>S4 - se compra terminado (tercerizado con sello IRAM)</t>
        </is>
      </c>
      <c r="M273" s="12" t="n"/>
      <c r="N273" s="25" t="inlineStr">
        <is>
          <t>P</t>
        </is>
      </c>
      <c r="O273" s="25" t="inlineStr">
        <is>
          <t>FL_DES_AFFF_10l</t>
        </is>
      </c>
      <c r="P273" s="12" t="n"/>
    </row>
    <row r="274">
      <c r="A274" s="25" t="inlineStr">
        <is>
          <t>FL_MAT_AFFF_10l</t>
        </is>
      </c>
      <c r="B274" s="25" t="n">
        <v>2</v>
      </c>
      <c r="C274" s="25" t="inlineStr">
        <is>
          <t>AFFF10-16</t>
        </is>
      </c>
      <c r="D274" s="12" t="inlineStr">
        <is>
          <t xml:space="preserve">        Manguera</t>
        </is>
      </c>
      <c r="E274" s="25" t="n">
        <v>1</v>
      </c>
      <c r="F274" s="25" t="inlineStr">
        <is>
          <t>u</t>
        </is>
      </c>
      <c r="G274" s="26" t="n">
        <v>0.0497</v>
      </c>
      <c r="H274" s="26">
        <f>E274*G274</f>
        <v/>
      </c>
      <c r="I274" s="25" t="inlineStr">
        <is>
          <t>Caucho sintético</t>
        </is>
      </c>
      <c r="J274" s="12" t="inlineStr">
        <is>
          <t>Ø16 × 322 de largo desarrollado</t>
        </is>
      </c>
      <c r="K274" s="25" t="inlineStr">
        <is>
          <t>Compra (en el conjunto)</t>
        </is>
      </c>
      <c r="L274" s="12" t="inlineStr">
        <is>
          <t>S4 - se compra terminado (tercerizado con sello IRAM)</t>
        </is>
      </c>
      <c r="M274" s="12" t="n"/>
      <c r="N274" s="25" t="inlineStr">
        <is>
          <t>P</t>
        </is>
      </c>
      <c r="O274" s="25" t="inlineStr">
        <is>
          <t>FL_DES_AFFF_10l</t>
        </is>
      </c>
      <c r="P274" s="12" t="n"/>
    </row>
    <row r="275">
      <c r="A275" s="25" t="inlineStr">
        <is>
          <t>FL_MAT_AFFF_10l</t>
        </is>
      </c>
      <c r="B275" s="25" t="n">
        <v>2</v>
      </c>
      <c r="C275" s="25" t="inlineStr">
        <is>
          <t>AFFF10-17</t>
        </is>
      </c>
      <c r="D275" s="12" t="inlineStr">
        <is>
          <t xml:space="preserve">        Lanza espumígena</t>
        </is>
      </c>
      <c r="E275" s="25" t="n">
        <v>1</v>
      </c>
      <c r="F275" s="25" t="inlineStr">
        <is>
          <t>u</t>
        </is>
      </c>
      <c r="G275" s="26" t="n">
        <v>0.051</v>
      </c>
      <c r="H275" s="26">
        <f>E275*G275</f>
        <v/>
      </c>
      <c r="I275" s="25" t="inlineStr">
        <is>
          <t>Polipropileno</t>
        </is>
      </c>
      <c r="J275" s="12" t="inlineStr">
        <is>
          <t>210 × 32 × 32</t>
        </is>
      </c>
      <c r="K275" s="25" t="inlineStr">
        <is>
          <t>Compra (en el conjunto)</t>
        </is>
      </c>
      <c r="L275" s="12" t="inlineStr">
        <is>
          <t>S4 - se compra terminado (tercerizado con sello IRAM)</t>
        </is>
      </c>
      <c r="M275" s="12" t="n"/>
      <c r="N275" s="25" t="inlineStr">
        <is>
          <t>P</t>
        </is>
      </c>
      <c r="O275" s="25" t="inlineStr">
        <is>
          <t>FL_DES_AFFF_10l</t>
        </is>
      </c>
      <c r="P275" s="12" t="n"/>
    </row>
    <row r="276">
      <c r="A276" s="25" t="inlineStr">
        <is>
          <t>FL_MAT_AFFF_10l</t>
        </is>
      </c>
      <c r="B276" s="25" t="n">
        <v>2</v>
      </c>
      <c r="C276" s="25" t="inlineStr">
        <is>
          <t>AFFF10-18</t>
        </is>
      </c>
      <c r="D276" s="12" t="inlineStr">
        <is>
          <t xml:space="preserve">        Suncho portatobera</t>
        </is>
      </c>
      <c r="E276" s="25" t="n">
        <v>1</v>
      </c>
      <c r="F276" s="25" t="inlineStr">
        <is>
          <t>u</t>
        </is>
      </c>
      <c r="G276" s="26" t="n">
        <v>0.163</v>
      </c>
      <c r="H276" s="26">
        <f>E276*G276</f>
        <v/>
      </c>
      <c r="I276" s="25" t="inlineStr">
        <is>
          <t>Fleje acero SAE 1010 pintado</t>
        </is>
      </c>
      <c r="J276" s="12" t="inlineStr">
        <is>
          <t>196,5 × 193 × 18</t>
        </is>
      </c>
      <c r="K276" s="25" t="inlineStr">
        <is>
          <t>Compra (en el conjunto)</t>
        </is>
      </c>
      <c r="L276" s="12" t="inlineStr">
        <is>
          <t>S4 - se compra terminado (tercerizado con sello IRAM)</t>
        </is>
      </c>
      <c r="M276" s="12" t="n"/>
      <c r="N276" s="25" t="inlineStr">
        <is>
          <t>P</t>
        </is>
      </c>
      <c r="O276" s="25" t="inlineStr">
        <is>
          <t>FL_DES_AFFF_10l</t>
        </is>
      </c>
      <c r="P276" s="12" t="n"/>
    </row>
    <row r="277">
      <c r="A277" s="22" t="inlineStr">
        <is>
          <t>FL_MAT_AFFF_10l</t>
        </is>
      </c>
      <c r="B277" s="22" t="n">
        <v>1</v>
      </c>
      <c r="C277" s="22" t="inlineStr">
        <is>
          <t>AFFF10-S5</t>
        </is>
      </c>
      <c r="D277" s="23" t="inlineStr">
        <is>
          <t xml:space="preserve">    Carga: agente extintor y gas impulsor</t>
        </is>
      </c>
      <c r="E277" s="22" t="n">
        <v>1</v>
      </c>
      <c r="F277" s="22" t="inlineStr">
        <is>
          <t>u</t>
        </is>
      </c>
      <c r="G277" s="24" t="n"/>
      <c r="H277" s="24">
        <f>H278+H279+H280</f>
        <v/>
      </c>
      <c r="I277" s="22" t="n"/>
      <c r="J277" s="23" t="n"/>
      <c r="K277" s="22" t="inlineStr">
        <is>
          <t>Compra</t>
        </is>
      </c>
      <c r="L277" s="23" t="n"/>
      <c r="M277" s="23" t="n"/>
      <c r="N277" s="22" t="n"/>
      <c r="O277" s="22" t="n"/>
      <c r="P277" s="23" t="n"/>
    </row>
    <row r="278">
      <c r="A278" s="25" t="inlineStr">
        <is>
          <t>FL_MAT_AFFF_10l</t>
        </is>
      </c>
      <c r="B278" s="25" t="n">
        <v>2</v>
      </c>
      <c r="C278" s="25" t="inlineStr">
        <is>
          <t>AFFF10-A1</t>
        </is>
      </c>
      <c r="D278" s="12" t="inlineStr">
        <is>
          <t xml:space="preserve">        Agua potable (premezcla)</t>
        </is>
      </c>
      <c r="E278" s="25" t="n">
        <v>9.699999999999999</v>
      </c>
      <c r="F278" s="25" t="inlineStr">
        <is>
          <t>L</t>
        </is>
      </c>
      <c r="G278" s="26" t="n">
        <v>1</v>
      </c>
      <c r="H278" s="26">
        <f>E278*G278</f>
        <v/>
      </c>
      <c r="I278" s="25" t="inlineStr">
        <is>
          <t>Agua</t>
        </is>
      </c>
      <c r="J278" s="12" t="inlineStr">
        <is>
          <t>97 % de 10 L; tolerancia ± 3 %</t>
        </is>
      </c>
      <c r="K278" s="25" t="inlineStr">
        <is>
          <t>Red</t>
        </is>
      </c>
      <c r="L278" s="12" t="inlineStr">
        <is>
          <t>SP-1 premezcla</t>
        </is>
      </c>
      <c r="M278" s="12" t="inlineStr">
        <is>
          <t>IRAM 3517-2:2020 tabla 3</t>
        </is>
      </c>
      <c r="N278" s="25" t="inlineStr">
        <is>
          <t>N</t>
        </is>
      </c>
      <c r="O278" s="25" t="n"/>
      <c r="P278" s="12" t="n"/>
    </row>
    <row r="279">
      <c r="A279" s="25" t="inlineStr">
        <is>
          <t>FL_MAT_AFFF_10l</t>
        </is>
      </c>
      <c r="B279" s="25" t="n">
        <v>2</v>
      </c>
      <c r="C279" s="25" t="inlineStr">
        <is>
          <t>AFFF10-A1b</t>
        </is>
      </c>
      <c r="D279" s="12" t="inlineStr">
        <is>
          <t xml:space="preserve">        Concentrado espumígeno AFFF 3 % (IRAM 3515)</t>
        </is>
      </c>
      <c r="E279" s="25" t="n">
        <v>0.3</v>
      </c>
      <c r="F279" s="25" t="inlineStr">
        <is>
          <t>L</t>
        </is>
      </c>
      <c r="G279" s="26" t="n">
        <v>1</v>
      </c>
      <c r="H279" s="26">
        <f>E279*G279</f>
        <v/>
      </c>
      <c r="I279" s="25" t="inlineStr">
        <is>
          <t>Concentrado espumígeno AFFF 3 % (IRAM 3515)</t>
        </is>
      </c>
      <c r="J279" s="12" t="inlineStr">
        <is>
          <t>nominal 0,3 L; tolerancia ± 3 % (IRAM 3517-2:2020 tabla 3)</t>
        </is>
      </c>
      <c r="K279" s="25" t="inlineStr">
        <is>
          <t>Compra</t>
        </is>
      </c>
      <c r="L279" s="12" t="inlineStr">
        <is>
          <t>SP-1 almacén previo a la carga</t>
        </is>
      </c>
      <c r="M279" s="12" t="inlineStr">
        <is>
          <t>IRAM 3515</t>
        </is>
      </c>
      <c r="N279" s="25" t="inlineStr">
        <is>
          <t>N</t>
        </is>
      </c>
      <c r="O279" s="25" t="n"/>
      <c r="P279" s="12" t="n"/>
    </row>
    <row r="280">
      <c r="A280" s="25" t="inlineStr">
        <is>
          <t>FL_MAT_AFFF_10l</t>
        </is>
      </c>
      <c r="B280" s="25" t="n">
        <v>2</v>
      </c>
      <c r="C280" s="25" t="inlineStr">
        <is>
          <t>AFFF10-A2</t>
        </is>
      </c>
      <c r="D280" s="12" t="inlineStr">
        <is>
          <t xml:space="preserve">        Gas impulsor: Aire comprimido</t>
        </is>
      </c>
      <c r="E280" s="25" t="n">
        <v>0.0427</v>
      </c>
      <c r="F280" s="25" t="inlineStr">
        <is>
          <t>kg</t>
        </is>
      </c>
      <c r="G280" s="26" t="n">
        <v>1</v>
      </c>
      <c r="H280" s="26">
        <f>E280*G280</f>
        <v/>
      </c>
      <c r="I280" s="25" t="inlineStr">
        <is>
          <t>Aire comprimido</t>
        </is>
      </c>
      <c r="J280" s="12" t="inlineStr">
        <is>
          <t>33 L normales para 0,8 MPa a 20 °C en 3,98 dm³ libres</t>
        </is>
      </c>
      <c r="K280" s="25" t="inlineStr">
        <is>
          <t>Compra</t>
        </is>
      </c>
      <c r="L280" s="12" t="inlineStr">
        <is>
          <t>20 Presurización (T05) / C10</t>
        </is>
      </c>
      <c r="M280" s="12" t="inlineStr">
        <is>
          <t>IRAM 3517-2 9.4.9 (tabla 2) · IRAM 3523 2.3 y 3.10</t>
        </is>
      </c>
      <c r="N280" s="25" t="inlineStr">
        <is>
          <t>C</t>
        </is>
      </c>
      <c r="O280" s="25" t="n"/>
      <c r="P280" s="12" t="inlineStr">
        <is>
          <t>Batería en SP-1; punto de rocío ≤ -56,7 °C para gases limpios</t>
        </is>
      </c>
    </row>
    <row r="281">
      <c r="A281" s="22" t="inlineStr">
        <is>
          <t>FL_MAT_AFFF_10l</t>
        </is>
      </c>
      <c r="B281" s="22" t="n">
        <v>1</v>
      </c>
      <c r="C281" s="22" t="inlineStr">
        <is>
          <t>AFFF10-S6</t>
        </is>
      </c>
      <c r="D281" s="23" t="inlineStr">
        <is>
          <t xml:space="preserve">    Identificación y precinto</t>
        </is>
      </c>
      <c r="E281" s="22" t="n">
        <v>1</v>
      </c>
      <c r="F281" s="22" t="inlineStr">
        <is>
          <t>u</t>
        </is>
      </c>
      <c r="G281" s="24" t="n"/>
      <c r="H281" s="24">
        <f>H282+H283+H284+H285+H286</f>
        <v/>
      </c>
      <c r="I281" s="22" t="n"/>
      <c r="J281" s="23" t="n"/>
      <c r="K281" s="22" t="inlineStr">
        <is>
          <t>Compra</t>
        </is>
      </c>
      <c r="L281" s="23" t="inlineStr">
        <is>
          <t>22 Etiquetado (T07)</t>
        </is>
      </c>
      <c r="M281" s="23" t="n"/>
      <c r="N281" s="22" t="n"/>
      <c r="O281" s="22" t="n"/>
      <c r="P281" s="23" t="n"/>
    </row>
    <row r="282">
      <c r="A282" s="25" t="inlineStr">
        <is>
          <t>FL_MAT_AFFF_10l</t>
        </is>
      </c>
      <c r="B282" s="25" t="n">
        <v>2</v>
      </c>
      <c r="C282" s="25" t="inlineStr">
        <is>
          <t>AFFF10-19</t>
        </is>
      </c>
      <c r="D282" s="12" t="inlineStr">
        <is>
          <t xml:space="preserve">        Placa de características</t>
        </is>
      </c>
      <c r="E282" s="25" t="n">
        <v>1</v>
      </c>
      <c r="F282" s="25" t="inlineStr">
        <is>
          <t>u</t>
        </is>
      </c>
      <c r="G282" s="26" t="n">
        <v>0.0102</v>
      </c>
      <c r="H282" s="26">
        <f>E282*G282</f>
        <v/>
      </c>
      <c r="I282" s="25" t="inlineStr">
        <is>
          <t>Vinilo autoadhesivo laminado</t>
        </is>
      </c>
      <c r="J282" s="12" t="inlineStr">
        <is>
          <t>179 × 136 (desarrollo × alto), e ≈ 0,3</t>
        </is>
      </c>
      <c r="K282" s="25" t="inlineStr">
        <is>
          <t>Compra</t>
        </is>
      </c>
      <c r="L282" s="12" t="inlineStr">
        <is>
          <t>22 Etiquetado (T07)</t>
        </is>
      </c>
      <c r="M282" s="12" t="inlineStr">
        <is>
          <t>IRAM 3534 · IRAM 3527 cap. 5</t>
        </is>
      </c>
      <c r="N282" s="25" t="inlineStr">
        <is>
          <t>P</t>
        </is>
      </c>
      <c r="O282" s="25" t="inlineStr">
        <is>
          <t>FL_DES_AFFF_10l</t>
        </is>
      </c>
      <c r="P282" s="12" t="inlineStr">
        <is>
          <t>IRAM 3534</t>
        </is>
      </c>
    </row>
    <row r="283">
      <c r="A283" s="25" t="inlineStr">
        <is>
          <t>FL_MAT_AFFF_10l</t>
        </is>
      </c>
      <c r="B283" s="25" t="n">
        <v>2</v>
      </c>
      <c r="C283" s="25" t="inlineStr">
        <is>
          <t>AFFF10-20</t>
        </is>
      </c>
      <c r="D283" s="12" t="inlineStr">
        <is>
          <t xml:space="preserve">        Oblea de fabricación (PBA)</t>
        </is>
      </c>
      <c r="E283" s="25" t="n">
        <v>1</v>
      </c>
      <c r="F283" s="25" t="inlineStr">
        <is>
          <t>u</t>
        </is>
      </c>
      <c r="G283" s="26" t="n">
        <v>0.0009</v>
      </c>
      <c r="H283" s="26">
        <f>E283*G283</f>
        <v/>
      </c>
      <c r="I283" s="25" t="inlineStr">
        <is>
          <t>Papel de seguridad autodestructible</t>
        </is>
      </c>
      <c r="J283" s="12" t="inlineStr">
        <is>
          <t>Ø46 (Res. OPDS 522/07), numerada, autodestructible</t>
        </is>
      </c>
      <c r="K283" s="25" t="inlineStr">
        <is>
          <t>Compra</t>
        </is>
      </c>
      <c r="L283" s="12" t="inlineStr">
        <is>
          <t>22 Etiquetado (T07)</t>
        </is>
      </c>
      <c r="M283" s="12" t="inlineStr">
        <is>
          <t>Res. OPDS 522/07 anexos 1, 2 y 6</t>
        </is>
      </c>
      <c r="N283" s="25" t="inlineStr">
        <is>
          <t>P</t>
        </is>
      </c>
      <c r="O283" s="25" t="inlineStr">
        <is>
          <t>FL_DES_AFFF_10l</t>
        </is>
      </c>
      <c r="P283" s="12" t="inlineStr">
        <is>
          <t>Res. 522/07</t>
        </is>
      </c>
    </row>
    <row r="284">
      <c r="A284" s="25" t="inlineStr">
        <is>
          <t>FL_MAT_AFFF_10l</t>
        </is>
      </c>
      <c r="B284" s="25" t="n">
        <v>2</v>
      </c>
      <c r="C284" s="25" t="inlineStr">
        <is>
          <t>AFFF10-21</t>
        </is>
      </c>
      <c r="D284" s="12" t="inlineStr">
        <is>
          <t xml:space="preserve">        Estampilla IRAM de conformidad</t>
        </is>
      </c>
      <c r="E284" s="25" t="n">
        <v>1</v>
      </c>
      <c r="F284" s="25" t="inlineStr">
        <is>
          <t>u</t>
        </is>
      </c>
      <c r="G284" s="26" t="n">
        <v>0.001</v>
      </c>
      <c r="H284" s="26">
        <f>E284*G284</f>
        <v/>
      </c>
      <c r="I284" s="25" t="inlineStr">
        <is>
          <t>Provista por IRAM (Anexo R)</t>
        </is>
      </c>
      <c r="J284" s="12" t="inlineStr">
        <is>
          <t>60 × 40</t>
        </is>
      </c>
      <c r="K284" s="25" t="inlineStr">
        <is>
          <t>Compra</t>
        </is>
      </c>
      <c r="L284" s="12" t="inlineStr">
        <is>
          <t>22 Etiquetado (T07)</t>
        </is>
      </c>
      <c r="M284" s="12" t="inlineStr">
        <is>
          <t>IRAM Anexo R (DC-PG-129)</t>
        </is>
      </c>
      <c r="N284" s="25" t="inlineStr">
        <is>
          <t>P</t>
        </is>
      </c>
      <c r="O284" s="25" t="inlineStr">
        <is>
          <t>FL_DES_AFFF_10l</t>
        </is>
      </c>
      <c r="P284" s="12" t="inlineStr">
        <is>
          <t>numerada</t>
        </is>
      </c>
    </row>
    <row r="285">
      <c r="A285" s="25" t="inlineStr">
        <is>
          <t>FL_MAT_AFFF_10l</t>
        </is>
      </c>
      <c r="B285" s="25" t="n">
        <v>2</v>
      </c>
      <c r="C285" s="25" t="inlineStr">
        <is>
          <t>AFFF10-23</t>
        </is>
      </c>
      <c r="D285" s="12" t="inlineStr">
        <is>
          <t xml:space="preserve">        Precinto de fábrica</t>
        </is>
      </c>
      <c r="E285" s="25" t="n">
        <v>1</v>
      </c>
      <c r="F285" s="25" t="inlineStr">
        <is>
          <t>u</t>
        </is>
      </c>
      <c r="G285" s="26" t="n">
        <v>0.0002</v>
      </c>
      <c r="H285" s="26">
        <f>E285*G285</f>
        <v/>
      </c>
      <c r="I285" s="25" t="inlineStr">
        <is>
          <t>Polipropileno</t>
        </is>
      </c>
      <c r="J285" s="12" t="inlineStr">
        <is>
          <t>Ø5 × 10, numerado, rotura 30-50 N</t>
        </is>
      </c>
      <c r="K285" s="25" t="inlineStr">
        <is>
          <t>Compra</t>
        </is>
      </c>
      <c r="L285" s="12" t="inlineStr">
        <is>
          <t>20 Presurización (T05)</t>
        </is>
      </c>
      <c r="M285" s="12" t="inlineStr">
        <is>
          <t>IRAM 3523 3.3.2 · IRAM 3517-2:2020 9.4.13</t>
        </is>
      </c>
      <c r="N285" s="25" t="inlineStr">
        <is>
          <t>P</t>
        </is>
      </c>
      <c r="O285" s="25" t="inlineStr">
        <is>
          <t>FL_DES_AFFF_10l</t>
        </is>
      </c>
      <c r="P285" s="12" t="inlineStr">
        <is>
          <t>id. FLAMA y lote</t>
        </is>
      </c>
    </row>
    <row r="286">
      <c r="A286" s="25" t="inlineStr">
        <is>
          <t>FL_MAT_AFFF_10l</t>
        </is>
      </c>
      <c r="B286" s="25" t="n">
        <v>2</v>
      </c>
      <c r="C286" s="25" t="inlineStr">
        <is>
          <t>AFFF10-I3</t>
        </is>
      </c>
      <c r="D286" s="12" t="inlineStr">
        <is>
          <t xml:space="preserve">        Tarjeta oficial de vigencia (CABA)</t>
        </is>
      </c>
      <c r="E286" s="25" t="n">
        <v>1</v>
      </c>
      <c r="F286" s="25" t="inlineStr">
        <is>
          <t>u</t>
        </is>
      </c>
      <c r="G286" s="26" t="n">
        <v>0.002</v>
      </c>
      <c r="H286" s="26">
        <f>E286*G286</f>
        <v/>
      </c>
      <c r="I286" s="25" t="inlineStr">
        <is>
          <t>Formulario oficial</t>
        </is>
      </c>
      <c r="J286" s="12" t="inlineStr">
        <is>
          <t>provista por DG Rentas GCBA</t>
        </is>
      </c>
      <c r="K286" s="25" t="inlineStr">
        <is>
          <t>Compra</t>
        </is>
      </c>
      <c r="L286" s="12" t="inlineStr">
        <is>
          <t>22 Etiquetado</t>
        </is>
      </c>
      <c r="M286" s="12" t="inlineStr">
        <is>
          <t>Ordenanza 40.473 art. 6</t>
        </is>
      </c>
      <c r="N286" s="25" t="inlineStr">
        <is>
          <t>N</t>
        </is>
      </c>
      <c r="O286" s="25" t="n"/>
      <c r="P286" s="12" t="inlineStr">
        <is>
          <t>Clase, capacidad, fecha de carga y vencimiento, garantía; se anexa al matafuego (no se dibuja)</t>
        </is>
      </c>
    </row>
    <row r="287">
      <c r="A287" s="22" t="inlineStr">
        <is>
          <t>FL_MAT_AFFF_10l</t>
        </is>
      </c>
      <c r="B287" s="22" t="n">
        <v>1</v>
      </c>
      <c r="C287" s="22" t="inlineStr">
        <is>
          <t>AFFF10-S8</t>
        </is>
      </c>
      <c r="D287" s="23" t="inlineStr">
        <is>
          <t xml:space="preserve">    Soporte (accesorio de montaje)</t>
        </is>
      </c>
      <c r="E287" s="22" t="n">
        <v>1</v>
      </c>
      <c r="F287" s="22" t="inlineStr">
        <is>
          <t>u</t>
        </is>
      </c>
      <c r="G287" s="24" t="n"/>
      <c r="H287" s="24">
        <f>H288+H289</f>
        <v/>
      </c>
      <c r="I287" s="22" t="n"/>
      <c r="J287" s="23" t="n"/>
      <c r="K287" s="22" t="inlineStr">
        <is>
          <t>Compra</t>
        </is>
      </c>
      <c r="L287" s="23" t="inlineStr">
        <is>
          <t>23 Embalaje (va dentro de la caja)</t>
        </is>
      </c>
      <c r="M287" s="23" t="inlineStr">
        <is>
          <t>IRAM 3517-2 7.4</t>
        </is>
      </c>
      <c r="N287" s="22" t="n"/>
      <c r="O287" s="22" t="n"/>
      <c r="P287" s="23" t="n"/>
    </row>
    <row r="288">
      <c r="A288" s="25" t="inlineStr">
        <is>
          <t>FL_MAT_AFFF_10l</t>
        </is>
      </c>
      <c r="B288" s="25" t="n">
        <v>2</v>
      </c>
      <c r="C288" s="25" t="inlineStr">
        <is>
          <t>AFFF10-I5</t>
        </is>
      </c>
      <c r="D288" s="12" t="inlineStr">
        <is>
          <t xml:space="preserve">        Soporte de pared (FL_ACC_01)</t>
        </is>
      </c>
      <c r="E288" s="25" t="n">
        <v>1</v>
      </c>
      <c r="F288" s="25" t="inlineStr">
        <is>
          <t>u</t>
        </is>
      </c>
      <c r="G288" s="26" t="n">
        <v>0.327</v>
      </c>
      <c r="H288" s="26">
        <f>E288*G288</f>
        <v/>
      </c>
      <c r="I288" s="25" t="inlineStr">
        <is>
          <t>Chapa acero SAE 1010 e=2 pintada</t>
        </is>
      </c>
      <c r="J288" s="12" t="inlineStr">
        <is>
          <t>placa 60 × 180, ala con ranura Ø cuello + 3</t>
        </is>
      </c>
      <c r="K288" s="25" t="inlineStr">
        <is>
          <t>Compra</t>
        </is>
      </c>
      <c r="L288" s="12" t="inlineStr">
        <is>
          <t>23 Embalaje</t>
        </is>
      </c>
      <c r="M288" s="12" t="inlineStr">
        <is>
          <t>IRAM 3517-2 7.4</t>
        </is>
      </c>
      <c r="N288" s="25" t="inlineStr">
        <is>
          <t>P</t>
        </is>
      </c>
      <c r="O288" s="25" t="inlineStr">
        <is>
          <t>FL_ACC_01</t>
        </is>
      </c>
      <c r="P288" s="12" t="n"/>
    </row>
    <row r="289">
      <c r="A289" s="25" t="inlineStr">
        <is>
          <t>FL_MAT_AFFF_10l</t>
        </is>
      </c>
      <c r="B289" s="25" t="n">
        <v>2</v>
      </c>
      <c r="C289" s="25" t="inlineStr">
        <is>
          <t>AFFF10-I6</t>
        </is>
      </c>
      <c r="D289" s="12" t="inlineStr">
        <is>
          <t xml:space="preserve">        Tornillo y tarugo de fijación</t>
        </is>
      </c>
      <c r="E289" s="25" t="n">
        <v>2</v>
      </c>
      <c r="F289" s="25" t="inlineStr">
        <is>
          <t>u</t>
        </is>
      </c>
      <c r="G289" s="26" t="n">
        <v>0.01</v>
      </c>
      <c r="H289" s="26">
        <f>E289*G289</f>
        <v/>
      </c>
      <c r="I289" s="25" t="inlineStr">
        <is>
          <t>Acero cincado / nylon</t>
        </is>
      </c>
      <c r="J289" s="12" t="inlineStr">
        <is>
          <t>M6 × 50 + tarugo 8</t>
        </is>
      </c>
      <c r="K289" s="25" t="inlineStr">
        <is>
          <t>Compra</t>
        </is>
      </c>
      <c r="L289" s="12" t="inlineStr">
        <is>
          <t>23 Embalaje</t>
        </is>
      </c>
      <c r="M289" s="12" t="n"/>
      <c r="N289" s="25" t="inlineStr">
        <is>
          <t>R</t>
        </is>
      </c>
      <c r="O289" s="25" t="n"/>
      <c r="P289" s="12" t="n"/>
    </row>
    <row r="290">
      <c r="A290" s="22" t="inlineStr">
        <is>
          <t>FL_MAT_AFFF_10l</t>
        </is>
      </c>
      <c r="B290" s="22" t="n">
        <v>1</v>
      </c>
      <c r="C290" s="22" t="inlineStr">
        <is>
          <t>AFFF10-S7</t>
        </is>
      </c>
      <c r="D290" s="23" t="inlineStr">
        <is>
          <t xml:space="preserve">    Embalaje</t>
        </is>
      </c>
      <c r="E290" s="22" t="n">
        <v>1</v>
      </c>
      <c r="F290" s="22" t="inlineStr">
        <is>
          <t>u</t>
        </is>
      </c>
      <c r="G290" s="24" t="n"/>
      <c r="H290" s="24">
        <f>H291+H292+H293+H294+H295</f>
        <v/>
      </c>
      <c r="I290" s="22" t="n"/>
      <c r="J290" s="23" t="n"/>
      <c r="K290" s="22" t="inlineStr">
        <is>
          <t>Compra</t>
        </is>
      </c>
      <c r="L290" s="23" t="inlineStr">
        <is>
          <t>23 Embalaje -&gt; 24 envolvedora (T11)</t>
        </is>
      </c>
      <c r="M290" s="23" t="n"/>
      <c r="N290" s="22" t="n"/>
      <c r="O290" s="22" t="n"/>
      <c r="P290" s="23" t="n"/>
    </row>
    <row r="291">
      <c r="A291" s="25" t="inlineStr">
        <is>
          <t>FL_MAT_AFFF_10l</t>
        </is>
      </c>
      <c r="B291" s="25" t="n">
        <v>2</v>
      </c>
      <c r="C291" s="25" t="inlineStr">
        <is>
          <t>AFFF10-E1</t>
        </is>
      </c>
      <c r="D291" s="12" t="inlineStr">
        <is>
          <t xml:space="preserve">        Caja de cartón corrugado doble</t>
        </is>
      </c>
      <c r="E291" s="25" t="n">
        <v>1</v>
      </c>
      <c r="F291" s="25" t="inlineStr">
        <is>
          <t>u</t>
        </is>
      </c>
      <c r="G291" s="26" t="n">
        <v>0.5</v>
      </c>
      <c r="H291" s="26">
        <f>E291*G291</f>
        <v/>
      </c>
      <c r="I291" s="25" t="inlineStr">
        <is>
          <t>Cartón corrugado</t>
        </is>
      </c>
      <c r="J291" s="12" t="inlineStr">
        <is>
          <t>270 × 223 × 670 interior</t>
        </is>
      </c>
      <c r="K291" s="25" t="inlineStr">
        <is>
          <t>Compra</t>
        </is>
      </c>
      <c r="L291" s="12" t="inlineStr">
        <is>
          <t>23 Embalaje</t>
        </is>
      </c>
      <c r="M291" s="12" t="n"/>
      <c r="N291" s="25" t="inlineStr">
        <is>
          <t>R</t>
        </is>
      </c>
      <c r="O291" s="25" t="n"/>
      <c r="P291" s="12" t="n"/>
    </row>
    <row r="292">
      <c r="A292" s="25" t="inlineStr">
        <is>
          <t>FL_MAT_AFFF_10l</t>
        </is>
      </c>
      <c r="B292" s="25" t="n">
        <v>2</v>
      </c>
      <c r="C292" s="25" t="inlineStr">
        <is>
          <t>AFFF10-E2</t>
        </is>
      </c>
      <c r="D292" s="12" t="inlineStr">
        <is>
          <t xml:space="preserve">        Instructivo de uso y mantenimiento</t>
        </is>
      </c>
      <c r="E292" s="25" t="n">
        <v>1</v>
      </c>
      <c r="F292" s="25" t="inlineStr">
        <is>
          <t>u</t>
        </is>
      </c>
      <c r="G292" s="26" t="n">
        <v>0.01</v>
      </c>
      <c r="H292" s="26">
        <f>E292*G292</f>
        <v/>
      </c>
      <c r="I292" s="25" t="inlineStr">
        <is>
          <t>Papel</t>
        </is>
      </c>
      <c r="J292" s="12" t="inlineStr">
        <is>
          <t>A5</t>
        </is>
      </c>
      <c r="K292" s="25" t="inlineStr">
        <is>
          <t>Compra</t>
        </is>
      </c>
      <c r="L292" s="12" t="inlineStr">
        <is>
          <t>23 Embalaje</t>
        </is>
      </c>
      <c r="M292" s="12" t="inlineStr">
        <is>
          <t>IRAM 3517-2 (información al usuario)</t>
        </is>
      </c>
      <c r="N292" s="25" t="inlineStr">
        <is>
          <t>R</t>
        </is>
      </c>
      <c r="O292" s="25" t="n"/>
      <c r="P292" s="12" t="n"/>
    </row>
    <row r="293">
      <c r="A293" s="25" t="inlineStr">
        <is>
          <t>FL_MAT_AFFF_10l</t>
        </is>
      </c>
      <c r="B293" s="25" t="n">
        <v>2</v>
      </c>
      <c r="C293" s="25" t="inlineStr">
        <is>
          <t>AFFF10-E3</t>
        </is>
      </c>
      <c r="D293" s="12" t="inlineStr">
        <is>
          <t xml:space="preserve">        Pallet 1200 × 1000 (fracción)</t>
        </is>
      </c>
      <c r="E293" s="25" t="n">
        <v>0.0312</v>
      </c>
      <c r="F293" s="25" t="inlineStr">
        <is>
          <t>u</t>
        </is>
      </c>
      <c r="G293" s="26" t="n">
        <v>0.6879999999999999</v>
      </c>
      <c r="H293" s="26">
        <f>E293*G293</f>
        <v/>
      </c>
      <c r="I293" s="25" t="inlineStr">
        <is>
          <t>Madera</t>
        </is>
      </c>
      <c r="J293" s="12" t="inlineStr">
        <is>
          <t>32 u por pallet</t>
        </is>
      </c>
      <c r="K293" s="25" t="inlineStr">
        <is>
          <t>Compra</t>
        </is>
      </c>
      <c r="L293" s="12" t="inlineStr">
        <is>
          <t>23 Embalaje</t>
        </is>
      </c>
      <c r="M293" s="12" t="n"/>
      <c r="N293" s="25" t="inlineStr">
        <is>
          <t>R</t>
        </is>
      </c>
      <c r="O293" s="25" t="n"/>
      <c r="P293" s="12" t="n"/>
    </row>
    <row r="294">
      <c r="A294" s="25" t="inlineStr">
        <is>
          <t>FL_MAT_AFFF_10l</t>
        </is>
      </c>
      <c r="B294" s="25" t="n">
        <v>2</v>
      </c>
      <c r="C294" s="25" t="inlineStr">
        <is>
          <t>AFFF10-E4</t>
        </is>
      </c>
      <c r="D294" s="12" t="inlineStr">
        <is>
          <t xml:space="preserve">        Film stretch (fracción del pallet)</t>
        </is>
      </c>
      <c r="E294" s="25" t="n">
        <v>0.0109</v>
      </c>
      <c r="F294" s="25" t="inlineStr">
        <is>
          <t>kg</t>
        </is>
      </c>
      <c r="G294" s="26" t="n">
        <v>1</v>
      </c>
      <c r="H294" s="26">
        <f>E294*G294</f>
        <v/>
      </c>
      <c r="I294" s="25" t="inlineStr">
        <is>
          <t>PE lineal 23 µm</t>
        </is>
      </c>
      <c r="J294" s="12" t="inlineStr">
        <is>
          <t>envolvedora EDOS PS5</t>
        </is>
      </c>
      <c r="K294" s="25" t="inlineStr">
        <is>
          <t>Compra</t>
        </is>
      </c>
      <c r="L294" s="12" t="inlineStr">
        <is>
          <t>24 Envolvedora (T11)</t>
        </is>
      </c>
      <c r="M294" s="12" t="n"/>
      <c r="N294" s="25" t="inlineStr">
        <is>
          <t>R</t>
        </is>
      </c>
      <c r="O294" s="25" t="n"/>
      <c r="P294" s="12" t="n"/>
    </row>
    <row r="295">
      <c r="A295" s="25" t="inlineStr">
        <is>
          <t>FL_MAT_AFFF_10l</t>
        </is>
      </c>
      <c r="B295" s="25" t="n">
        <v>2</v>
      </c>
      <c r="C295" s="25" t="inlineStr">
        <is>
          <t>AFFF10-E5</t>
        </is>
      </c>
      <c r="D295" s="12" t="inlineStr">
        <is>
          <t xml:space="preserve">        Etiqueta de pallet (lote y destino, fracción)</t>
        </is>
      </c>
      <c r="E295" s="25" t="n">
        <v>0.0312</v>
      </c>
      <c r="F295" s="25" t="inlineStr">
        <is>
          <t>u</t>
        </is>
      </c>
      <c r="G295" s="26" t="n">
        <v>0</v>
      </c>
      <c r="H295" s="26">
        <f>E295*G295</f>
        <v/>
      </c>
      <c r="I295" s="25" t="inlineStr">
        <is>
          <t>Papel térmico</t>
        </is>
      </c>
      <c r="J295" s="12" t="inlineStr">
        <is>
          <t>100 × 150</t>
        </is>
      </c>
      <c r="K295" s="25" t="inlineStr">
        <is>
          <t>Compra</t>
        </is>
      </c>
      <c r="L295" s="12" t="inlineStr">
        <is>
          <t>24 Envolvedora</t>
        </is>
      </c>
      <c r="M295" s="12" t="n"/>
      <c r="N295" s="25" t="inlineStr">
        <is>
          <t>R</t>
        </is>
      </c>
      <c r="O295" s="25" t="n"/>
      <c r="P295" s="12" t="n"/>
    </row>
    <row r="296">
      <c r="A296" s="19" t="inlineStr">
        <is>
          <t>FL_MAT_AFFF_50l</t>
        </is>
      </c>
      <c r="B296" s="19" t="n">
        <v>0</v>
      </c>
      <c r="C296" s="19" t="inlineStr">
        <is>
          <t>FL_MAT_AFFF_50l</t>
        </is>
      </c>
      <c r="D296" s="20" t="inlineStr">
        <is>
          <t>Extintor AFFF 50 l sobre ruedas</t>
        </is>
      </c>
      <c r="E296" s="19" t="n">
        <v>1</v>
      </c>
      <c r="F296" s="19" t="inlineStr">
        <is>
          <t>u</t>
        </is>
      </c>
      <c r="G296" s="21" t="n"/>
      <c r="H296" s="21" t="n"/>
      <c r="I296" s="19" t="n"/>
      <c r="J296" s="20" t="n"/>
      <c r="K296" s="19" t="n"/>
      <c r="L296" s="20" t="n"/>
      <c r="M296" s="20" t="inlineStr">
        <is>
          <t>IRAM 3541</t>
        </is>
      </c>
      <c r="N296" s="19" t="inlineStr">
        <is>
          <t>P</t>
        </is>
      </c>
      <c r="O296" s="19" t="inlineStr">
        <is>
          <t>FL_MAT_AFFF_50l</t>
        </is>
      </c>
      <c r="P296" s="20" t="inlineStr">
        <is>
          <t>Tercerizado revendido (S4)</t>
        </is>
      </c>
    </row>
    <row r="297">
      <c r="A297" s="22" t="inlineStr">
        <is>
          <t>FL_MAT_AFFF_50l</t>
        </is>
      </c>
      <c r="B297" s="22" t="n">
        <v>1</v>
      </c>
      <c r="C297" s="22" t="inlineStr">
        <is>
          <t>AFFF50-S1</t>
        </is>
      </c>
      <c r="D297" s="23" t="inlineStr">
        <is>
          <t xml:space="preserve">    Recipiente (cilindro)</t>
        </is>
      </c>
      <c r="E297" s="22" t="n">
        <v>1</v>
      </c>
      <c r="F297" s="22" t="inlineStr">
        <is>
          <t>u</t>
        </is>
      </c>
      <c r="G297" s="24" t="n"/>
      <c r="H297" s="24">
        <f>H298+H299+H300+H301+H302+H305</f>
        <v/>
      </c>
      <c r="I297" s="22" t="n"/>
      <c r="J297" s="23" t="n"/>
      <c r="K297" s="22" t="inlineStr">
        <is>
          <t>Compra / armado</t>
        </is>
      </c>
      <c r="L297" s="23" t="n"/>
      <c r="M297" s="23" t="inlineStr">
        <is>
          <t>IRAM 3523 / 3550 (recipiente)</t>
        </is>
      </c>
      <c r="N297" s="22" t="inlineStr">
        <is>
          <t>P</t>
        </is>
      </c>
      <c r="O297" s="22" t="inlineStr">
        <is>
          <t>FL_DES_AFFF_50l</t>
        </is>
      </c>
      <c r="P297" s="23" t="n"/>
    </row>
    <row r="298">
      <c r="A298" s="25" t="inlineStr">
        <is>
          <t>FL_MAT_AFFF_50l</t>
        </is>
      </c>
      <c r="B298" s="25" t="n">
        <v>2</v>
      </c>
      <c r="C298" s="25" t="inlineStr">
        <is>
          <t>AFFF50-01</t>
        </is>
      </c>
      <c r="D298" s="12" t="inlineStr">
        <is>
          <t xml:space="preserve">        Cuerpo (virola)</t>
        </is>
      </c>
      <c r="E298" s="25" t="n">
        <v>1</v>
      </c>
      <c r="F298" s="25" t="inlineStr">
        <is>
          <t>u</t>
        </is>
      </c>
      <c r="G298" s="26" t="n">
        <v>13.3755</v>
      </c>
      <c r="H298" s="26">
        <f>E298*G298</f>
        <v/>
      </c>
      <c r="I298" s="25" t="inlineStr">
        <is>
          <t>Chapa acero SAE 1010 e=3,2</t>
        </is>
      </c>
      <c r="J298" s="12" t="inlineStr">
        <is>
          <t>Ø320 × e3,2 × 535 de alto; desarrollo 995,3 × 535</t>
        </is>
      </c>
      <c r="K298" s="25" t="inlineStr">
        <is>
          <t>Compra (en el conjunto)</t>
        </is>
      </c>
      <c r="L298" s="12" t="inlineStr">
        <is>
          <t>S4 - se compra terminado (tercerizado con sello IRAM)</t>
        </is>
      </c>
      <c r="M298" s="12" t="n"/>
      <c r="N298" s="25" t="inlineStr">
        <is>
          <t>P</t>
        </is>
      </c>
      <c r="O298" s="25" t="inlineStr">
        <is>
          <t>FL_DES_AFFF_50l</t>
        </is>
      </c>
      <c r="P298" s="12" t="inlineStr">
        <is>
          <t>costura long. MIG</t>
        </is>
      </c>
    </row>
    <row r="299">
      <c r="A299" s="25" t="inlineStr">
        <is>
          <t>FL_MAT_AFFF_50l</t>
        </is>
      </c>
      <c r="B299" s="25" t="n">
        <v>2</v>
      </c>
      <c r="C299" s="25" t="inlineStr">
        <is>
          <t>AFFF50-02</t>
        </is>
      </c>
      <c r="D299" s="12" t="inlineStr">
        <is>
          <t xml:space="preserve">        Cúpula</t>
        </is>
      </c>
      <c r="E299" s="25" t="n">
        <v>1</v>
      </c>
      <c r="F299" s="25" t="inlineStr">
        <is>
          <t>u</t>
        </is>
      </c>
      <c r="G299" s="26" t="n">
        <v>2.884</v>
      </c>
      <c r="H299" s="26">
        <f>E299*G299</f>
        <v/>
      </c>
      <c r="I299" s="25" t="inlineStr">
        <is>
          <t>Chapa acero SAE 1010 e=3,2</t>
        </is>
      </c>
      <c r="J299" s="12" t="inlineStr">
        <is>
          <t>Ø320 × e3,2 × 101,7 de alto; disco Ø393,8</t>
        </is>
      </c>
      <c r="K299" s="25" t="inlineStr">
        <is>
          <t>Compra (en el conjunto)</t>
        </is>
      </c>
      <c r="L299" s="12" t="inlineStr">
        <is>
          <t>S4 - se compra terminado (tercerizado con sello IRAM)</t>
        </is>
      </c>
      <c r="M299" s="12" t="n"/>
      <c r="N299" s="25" t="inlineStr">
        <is>
          <t>P</t>
        </is>
      </c>
      <c r="O299" s="25" t="inlineStr">
        <is>
          <t>FL_DES_AFFF_50l</t>
        </is>
      </c>
      <c r="P299" s="12" t="inlineStr">
        <is>
          <t>embutida</t>
        </is>
      </c>
    </row>
    <row r="300">
      <c r="A300" s="25" t="inlineStr">
        <is>
          <t>FL_MAT_AFFF_50l</t>
        </is>
      </c>
      <c r="B300" s="25" t="n">
        <v>2</v>
      </c>
      <c r="C300" s="25" t="inlineStr">
        <is>
          <t>AFFF50-03</t>
        </is>
      </c>
      <c r="D300" s="12" t="inlineStr">
        <is>
          <t xml:space="preserve">        Fondo</t>
        </is>
      </c>
      <c r="E300" s="25" t="n">
        <v>1</v>
      </c>
      <c r="F300" s="25" t="inlineStr">
        <is>
          <t>u</t>
        </is>
      </c>
      <c r="G300" s="26" t="n">
        <v>3.1025</v>
      </c>
      <c r="H300" s="26">
        <f>E300*G300</f>
        <v/>
      </c>
      <c r="I300" s="25" t="inlineStr">
        <is>
          <t>Chapa acero SAE 1010 e=3,2</t>
        </is>
      </c>
      <c r="J300" s="12" t="inlineStr">
        <is>
          <t>Ø320 × e3,2 × 105 de alto; disco Ø408,5</t>
        </is>
      </c>
      <c r="K300" s="25" t="inlineStr">
        <is>
          <t>Compra (en el conjunto)</t>
        </is>
      </c>
      <c r="L300" s="12" t="inlineStr">
        <is>
          <t>S4 - se compra terminado (tercerizado con sello IRAM)</t>
        </is>
      </c>
      <c r="M300" s="12" t="n"/>
      <c r="N300" s="25" t="inlineStr">
        <is>
          <t>P</t>
        </is>
      </c>
      <c r="O300" s="25" t="inlineStr">
        <is>
          <t>FL_DES_AFFF_50l</t>
        </is>
      </c>
      <c r="P300" s="12" t="inlineStr">
        <is>
          <t>embutido</t>
        </is>
      </c>
    </row>
    <row r="301">
      <c r="A301" s="25" t="inlineStr">
        <is>
          <t>FL_MAT_AFFF_50l</t>
        </is>
      </c>
      <c r="B301" s="25" t="n">
        <v>2</v>
      </c>
      <c r="C301" s="25" t="inlineStr">
        <is>
          <t>AFFF50-04</t>
        </is>
      </c>
      <c r="D301" s="12" t="inlineStr">
        <is>
          <t xml:space="preserve">        Cuello roscado</t>
        </is>
      </c>
      <c r="E301" s="25" t="n">
        <v>1</v>
      </c>
      <c r="F301" s="25" t="inlineStr">
        <is>
          <t>u</t>
        </is>
      </c>
      <c r="G301" s="26" t="n">
        <v>0.6085</v>
      </c>
      <c r="H301" s="26">
        <f>E301*G301</f>
        <v/>
      </c>
      <c r="I301" s="25" t="inlineStr">
        <is>
          <t>Acero SAE 1010</t>
        </is>
      </c>
      <c r="J301" s="12" t="inlineStr">
        <is>
          <t>Ø88 × 37 de alto, rosca RBSP 2 1/2"-11 h, asiento Ø80</t>
        </is>
      </c>
      <c r="K301" s="25" t="inlineStr">
        <is>
          <t>Compra (en el conjunto)</t>
        </is>
      </c>
      <c r="L301" s="12" t="inlineStr">
        <is>
          <t>S4 - se compra terminado (tercerizado con sello IRAM)</t>
        </is>
      </c>
      <c r="M301" s="12" t="n"/>
      <c r="N301" s="25" t="inlineStr">
        <is>
          <t>P</t>
        </is>
      </c>
      <c r="O301" s="25" t="inlineStr">
        <is>
          <t>FL_DES_AFFF_50l</t>
        </is>
      </c>
      <c r="P301" s="12" t="inlineStr">
        <is>
          <t>RBSP 2 1/2"-11 h</t>
        </is>
      </c>
    </row>
    <row r="302">
      <c r="A302" s="25" t="inlineStr">
        <is>
          <t>FL_MAT_AFFF_50l</t>
        </is>
      </c>
      <c r="B302" s="25" t="n">
        <v>2</v>
      </c>
      <c r="C302" s="25" t="inlineStr">
        <is>
          <t>AFFF50-C1</t>
        </is>
      </c>
      <c r="D302" s="12" t="inlineStr">
        <is>
          <t xml:space="preserve">        Aporte de soldadura: Alambre MAG ER70S-6 Ø0,9/1,2</t>
        </is>
      </c>
      <c r="E302" s="25" t="n">
        <v>0.433</v>
      </c>
      <c r="F302" s="25" t="inlineStr">
        <is>
          <t>kg</t>
        </is>
      </c>
      <c r="G302" s="26" t="n">
        <v>0.92</v>
      </c>
      <c r="H302" s="26">
        <f>E302*G302</f>
        <v/>
      </c>
      <c r="I302" s="25" t="inlineStr">
        <is>
          <t>Alambre MAG ER70S-6 Ø0,9/1,2</t>
        </is>
      </c>
      <c r="J302" s="12" t="inlineStr">
        <is>
          <t>cordones del plano: 398 g depositados (rend. 92 %)</t>
        </is>
      </c>
      <c r="K302" s="25" t="inlineStr">
        <is>
          <t>Compra</t>
        </is>
      </c>
      <c r="L302" s="12" t="inlineStr">
        <is>
          <t>4 sold. long. / 8 cuello / 11 circunferencial</t>
        </is>
      </c>
      <c r="M302" s="12" t="inlineStr">
        <is>
          <t>ISO 4063 131 / 141</t>
        </is>
      </c>
      <c r="N302" s="25" t="inlineStr">
        <is>
          <t>P</t>
        </is>
      </c>
      <c r="O302" s="25" t="n"/>
      <c r="P302" s="12" t="n"/>
    </row>
    <row r="303">
      <c r="A303" s="25" t="inlineStr">
        <is>
          <t>FL_MAT_AFFF_50l</t>
        </is>
      </c>
      <c r="B303" s="25" t="n">
        <v>2</v>
      </c>
      <c r="C303" s="25" t="inlineStr">
        <is>
          <t>AFFF50-C2</t>
        </is>
      </c>
      <c r="D303" s="12" t="inlineStr">
        <is>
          <t xml:space="preserve">        Gas de protección: Arcal 21 (Ar + 18 % CO₂)</t>
        </is>
      </c>
      <c r="E303" s="25" t="n">
        <v>194.9</v>
      </c>
      <c r="F303" s="25" t="inlineStr">
        <is>
          <t>L</t>
        </is>
      </c>
      <c r="G303" s="26" t="n"/>
      <c r="H303" s="26" t="n"/>
      <c r="I303" s="25" t="inlineStr">
        <is>
          <t>Arcal 21 (Ar + 18 % CO₂)</t>
        </is>
      </c>
      <c r="J303" s="12" t="inlineStr">
        <is>
          <t>13 min de arco × 15 L/min</t>
        </is>
      </c>
      <c r="K303" s="25" t="inlineStr">
        <is>
          <t>Compra</t>
        </is>
      </c>
      <c r="L303" s="12" t="inlineStr">
        <is>
          <t>Colector SC</t>
        </is>
      </c>
      <c r="M303" s="12" t="n"/>
      <c r="N303" s="25" t="inlineStr">
        <is>
          <t>R</t>
        </is>
      </c>
      <c r="O303" s="25" t="n"/>
      <c r="P303" s="12" t="n"/>
    </row>
    <row r="304">
      <c r="A304" s="25" t="inlineStr">
        <is>
          <t>FL_MAT_AFFF_50l</t>
        </is>
      </c>
      <c r="B304" s="25" t="n">
        <v>2</v>
      </c>
      <c r="C304" s="25" t="inlineStr">
        <is>
          <t>AFFF50-C3</t>
        </is>
      </c>
      <c r="D304" s="12" t="inlineStr">
        <is>
          <t xml:space="preserve">        Granalla de acero (consumo)</t>
        </is>
      </c>
      <c r="E304" s="25" t="n">
        <v>0.062</v>
      </c>
      <c r="F304" s="25" t="inlineStr">
        <is>
          <t>kg</t>
        </is>
      </c>
      <c r="G304" s="26" t="n"/>
      <c r="H304" s="26" t="n"/>
      <c r="I304" s="25" t="inlineStr">
        <is>
          <t>Granalla S-230</t>
        </is>
      </c>
      <c r="J304" s="12" t="inlineStr">
        <is>
          <t>0,771 m² a Sa 2½</t>
        </is>
      </c>
      <c r="K304" s="25" t="inlineStr">
        <is>
          <t>Compra</t>
        </is>
      </c>
      <c r="L304" s="12" t="inlineStr">
        <is>
          <t>14 Granallado (B08)</t>
        </is>
      </c>
      <c r="M304" s="12" t="inlineStr">
        <is>
          <t>ISO 8501-1</t>
        </is>
      </c>
      <c r="N304" s="25" t="inlineStr">
        <is>
          <t>R</t>
        </is>
      </c>
      <c r="O304" s="25" t="n"/>
      <c r="P304" s="12" t="n"/>
    </row>
    <row r="305">
      <c r="A305" s="25" t="inlineStr">
        <is>
          <t>FL_MAT_AFFF_50l</t>
        </is>
      </c>
      <c r="B305" s="25" t="n">
        <v>2</v>
      </c>
      <c r="C305" s="25" t="inlineStr">
        <is>
          <t>AFFF50-C4</t>
        </is>
      </c>
      <c r="D305" s="12" t="inlineStr">
        <is>
          <t xml:space="preserve">        Pintura en polvo poliéster rojo</t>
        </is>
      </c>
      <c r="E305" s="25" t="n">
        <v>0.143</v>
      </c>
      <c r="F305" s="25" t="inlineStr">
        <is>
          <t>kg</t>
        </is>
      </c>
      <c r="G305" s="26" t="n">
        <v>0.65</v>
      </c>
      <c r="H305" s="26">
        <f>E305*G305</f>
        <v/>
      </c>
      <c r="I305" s="25" t="inlineStr">
        <is>
          <t>Poliéster rojo 03-1-050</t>
        </is>
      </c>
      <c r="J305" s="12" t="inlineStr">
        <is>
          <t>0,771 m² × 80 µm (60-100 µm), rendimiento 65 %</t>
        </is>
      </c>
      <c r="K305" s="25" t="inlineStr">
        <is>
          <t>Compra</t>
        </is>
      </c>
      <c r="L305" s="12" t="inlineStr">
        <is>
          <t>17 Pintura (S-P) / tercerizada en carros</t>
        </is>
      </c>
      <c r="M305" s="12" t="inlineStr">
        <is>
          <t>DOC-01 · IRAM 3517-2 9.10</t>
        </is>
      </c>
      <c r="N305" s="25" t="inlineStr">
        <is>
          <t>R</t>
        </is>
      </c>
      <c r="O305" s="25" t="n"/>
      <c r="P305" s="12" t="n"/>
    </row>
    <row r="306">
      <c r="A306" s="22" t="inlineStr">
        <is>
          <t>FL_MAT_AFFF_50l</t>
        </is>
      </c>
      <c r="B306" s="22" t="n">
        <v>1</v>
      </c>
      <c r="C306" s="22" t="inlineStr">
        <is>
          <t>AFFF50-S2</t>
        </is>
      </c>
      <c r="D306" s="23" t="inlineStr">
        <is>
          <t xml:space="preserve">    Conjunto de válvula</t>
        </is>
      </c>
      <c r="E306" s="22" t="n">
        <v>1</v>
      </c>
      <c r="F306" s="22" t="inlineStr">
        <is>
          <t>u</t>
        </is>
      </c>
      <c r="G306" s="24" t="n"/>
      <c r="H306" s="24">
        <f>H307+H308+H309+H310+H311+H312+H313+H314+H315+H316+H317+H318+H319</f>
        <v/>
      </c>
      <c r="I306" s="22" t="n"/>
      <c r="J306" s="23" t="n"/>
      <c r="K306" s="22" t="inlineStr">
        <is>
          <t>Compra / armado</t>
        </is>
      </c>
      <c r="L306" s="23" t="n"/>
      <c r="M306" s="23" t="inlineStr">
        <is>
          <t>Manómetro IRAM 3533</t>
        </is>
      </c>
      <c r="N306" s="22" t="inlineStr">
        <is>
          <t>P</t>
        </is>
      </c>
      <c r="O306" s="22" t="inlineStr">
        <is>
          <t>FL_DES_AFFF_50l</t>
        </is>
      </c>
      <c r="P306" s="23" t="n"/>
    </row>
    <row r="307">
      <c r="A307" s="25" t="inlineStr">
        <is>
          <t>FL_MAT_AFFF_50l</t>
        </is>
      </c>
      <c r="B307" s="25" t="n">
        <v>2</v>
      </c>
      <c r="C307" s="25" t="inlineStr">
        <is>
          <t>AFFF50-11</t>
        </is>
      </c>
      <c r="D307" s="12" t="inlineStr">
        <is>
          <t xml:space="preserve">        Collarín de válvula</t>
        </is>
      </c>
      <c r="E307" s="25" t="n">
        <v>1</v>
      </c>
      <c r="F307" s="25" t="inlineStr">
        <is>
          <t>u</t>
        </is>
      </c>
      <c r="G307" s="26" t="n">
        <v>0.4107</v>
      </c>
      <c r="H307" s="26">
        <f>E307*G307</f>
        <v/>
      </c>
      <c r="I307" s="25" t="inlineStr">
        <is>
          <t>Latón forjado</t>
        </is>
      </c>
      <c r="J307" s="12" t="inlineStr">
        <is>
          <t>96,1 × 96,1 × 13,5</t>
        </is>
      </c>
      <c r="K307" s="25" t="inlineStr">
        <is>
          <t>Compra (en el conjunto)</t>
        </is>
      </c>
      <c r="L307" s="12" t="inlineStr">
        <is>
          <t>S4 - se compra terminado (tercerizado con sello IRAM)</t>
        </is>
      </c>
      <c r="M307" s="12" t="n"/>
      <c r="N307" s="25" t="inlineStr">
        <is>
          <t>P</t>
        </is>
      </c>
      <c r="O307" s="25" t="inlineStr">
        <is>
          <t>FL_DES_AFFF_50l</t>
        </is>
      </c>
      <c r="P307" s="12" t="n"/>
    </row>
    <row r="308">
      <c r="A308" s="25" t="inlineStr">
        <is>
          <t>FL_MAT_AFFF_50l</t>
        </is>
      </c>
      <c r="B308" s="25" t="n">
        <v>2</v>
      </c>
      <c r="C308" s="25" t="inlineStr">
        <is>
          <t>AFFF50-12</t>
        </is>
      </c>
      <c r="D308" s="12" t="inlineStr">
        <is>
          <t xml:space="preserve">        Espiga roscada</t>
        </is>
      </c>
      <c r="E308" s="25" t="n">
        <v>1</v>
      </c>
      <c r="F308" s="25" t="inlineStr">
        <is>
          <t>u</t>
        </is>
      </c>
      <c r="G308" s="26" t="n">
        <v>0.1187</v>
      </c>
      <c r="H308" s="26">
        <f>E308*G308</f>
        <v/>
      </c>
      <c r="I308" s="25" t="inlineStr">
        <is>
          <t>Latón forjado</t>
        </is>
      </c>
      <c r="J308" s="12" t="inlineStr">
        <is>
          <t>72,2 × 72,2 × 16,2</t>
        </is>
      </c>
      <c r="K308" s="25" t="inlineStr">
        <is>
          <t>Compra (en el conjunto)</t>
        </is>
      </c>
      <c r="L308" s="12" t="inlineStr">
        <is>
          <t>S4 - se compra terminado (tercerizado con sello IRAM)</t>
        </is>
      </c>
      <c r="M308" s="12" t="n"/>
      <c r="N308" s="25" t="inlineStr">
        <is>
          <t>P</t>
        </is>
      </c>
      <c r="O308" s="25" t="inlineStr">
        <is>
          <t>FL_DES_AFFF_50l</t>
        </is>
      </c>
      <c r="P308" s="12" t="n"/>
    </row>
    <row r="309">
      <c r="A309" s="25" t="inlineStr">
        <is>
          <t>FL_MAT_AFFF_50l</t>
        </is>
      </c>
      <c r="B309" s="25" t="n">
        <v>2</v>
      </c>
      <c r="C309" s="25" t="inlineStr">
        <is>
          <t>AFFF50-13</t>
        </is>
      </c>
      <c r="D309" s="12" t="inlineStr">
        <is>
          <t xml:space="preserve">        Cuerpo de válvula</t>
        </is>
      </c>
      <c r="E309" s="25" t="n">
        <v>1</v>
      </c>
      <c r="F309" s="25" t="inlineStr">
        <is>
          <t>u</t>
        </is>
      </c>
      <c r="G309" s="26" t="n">
        <v>0.7378</v>
      </c>
      <c r="H309" s="26">
        <f>E309*G309</f>
        <v/>
      </c>
      <c r="I309" s="25" t="inlineStr">
        <is>
          <t>Latón forjado</t>
        </is>
      </c>
      <c r="J309" s="12" t="inlineStr">
        <is>
          <t>58,4 × 54 × 46,3</t>
        </is>
      </c>
      <c r="K309" s="25" t="inlineStr">
        <is>
          <t>Compra (en el conjunto)</t>
        </is>
      </c>
      <c r="L309" s="12" t="inlineStr">
        <is>
          <t>S4 - se compra terminado (tercerizado con sello IRAM)</t>
        </is>
      </c>
      <c r="M309" s="12" t="n"/>
      <c r="N309" s="25" t="inlineStr">
        <is>
          <t>P</t>
        </is>
      </c>
      <c r="O309" s="25" t="inlineStr">
        <is>
          <t>FL_DES_AFFF_50l</t>
        </is>
      </c>
      <c r="P309" s="12" t="n"/>
    </row>
    <row r="310">
      <c r="A310" s="25" t="inlineStr">
        <is>
          <t>FL_MAT_AFFF_50l</t>
        </is>
      </c>
      <c r="B310" s="25" t="n">
        <v>2</v>
      </c>
      <c r="C310" s="25" t="inlineStr">
        <is>
          <t>AFFF50-14</t>
        </is>
      </c>
      <c r="D310" s="12" t="inlineStr">
        <is>
          <t xml:space="preserve">        Manómetro</t>
        </is>
      </c>
      <c r="E310" s="25" t="n">
        <v>1</v>
      </c>
      <c r="F310" s="25" t="inlineStr">
        <is>
          <t>u</t>
        </is>
      </c>
      <c r="G310" s="26" t="n">
        <v>0.12</v>
      </c>
      <c r="H310" s="26">
        <f>E310*G310</f>
        <v/>
      </c>
      <c r="I310" s="25" t="inlineStr">
        <is>
          <t>Comercial</t>
        </is>
      </c>
      <c r="J310" s="12" t="inlineStr">
        <is>
          <t>Ø50 esfera, rango 0-2 MPa, sector verde en 0,8</t>
        </is>
      </c>
      <c r="K310" s="25" t="inlineStr">
        <is>
          <t>Compra (en el conjunto)</t>
        </is>
      </c>
      <c r="L310" s="12" t="inlineStr">
        <is>
          <t>S4 - se compra terminado (tercerizado con sello IRAM)</t>
        </is>
      </c>
      <c r="M310" s="12" t="inlineStr">
        <is>
          <t>IRAM 3533</t>
        </is>
      </c>
      <c r="N310" s="25" t="inlineStr">
        <is>
          <t>R</t>
        </is>
      </c>
      <c r="O310" s="25" t="inlineStr">
        <is>
          <t>FL_DES_AFFF_50l</t>
        </is>
      </c>
      <c r="P310" s="12" t="inlineStr">
        <is>
          <t>Pieza comercial; sello IRAM 3533</t>
        </is>
      </c>
    </row>
    <row r="311">
      <c r="A311" s="25" t="inlineStr">
        <is>
          <t>FL_MAT_AFFF_50l</t>
        </is>
      </c>
      <c r="B311" s="25" t="n">
        <v>2</v>
      </c>
      <c r="C311" s="25" t="inlineStr">
        <is>
          <t>AFFF50-15</t>
        </is>
      </c>
      <c r="D311" s="12" t="inlineStr">
        <is>
          <t xml:space="preserve">        Manija de transporte</t>
        </is>
      </c>
      <c r="E311" s="25" t="n">
        <v>1</v>
      </c>
      <c r="F311" s="25" t="inlineStr">
        <is>
          <t>u</t>
        </is>
      </c>
      <c r="G311" s="26" t="n">
        <v>0.1002</v>
      </c>
      <c r="H311" s="26">
        <f>E311*G311</f>
        <v/>
      </c>
      <c r="I311" s="25" t="inlineStr">
        <is>
          <t>Chapa acero SAE 1010 pintada</t>
        </is>
      </c>
      <c r="J311" s="12" t="inlineStr">
        <is>
          <t>87,6 × 27 × 14,5</t>
        </is>
      </c>
      <c r="K311" s="25" t="inlineStr">
        <is>
          <t>Compra (en el conjunto)</t>
        </is>
      </c>
      <c r="L311" s="12" t="inlineStr">
        <is>
          <t>S4 - se compra terminado (tercerizado con sello IRAM)</t>
        </is>
      </c>
      <c r="M311" s="12" t="n"/>
      <c r="N311" s="25" t="inlineStr">
        <is>
          <t>P</t>
        </is>
      </c>
      <c r="O311" s="25" t="inlineStr">
        <is>
          <t>FL_DES_AFFF_50l</t>
        </is>
      </c>
      <c r="P311" s="12" t="n"/>
    </row>
    <row r="312">
      <c r="A312" s="25" t="inlineStr">
        <is>
          <t>FL_MAT_AFFF_50l</t>
        </is>
      </c>
      <c r="B312" s="25" t="n">
        <v>2</v>
      </c>
      <c r="C312" s="25" t="inlineStr">
        <is>
          <t>AFFF50-16</t>
        </is>
      </c>
      <c r="D312" s="12" t="inlineStr">
        <is>
          <t xml:space="preserve">        Manija de accionamiento</t>
        </is>
      </c>
      <c r="E312" s="25" t="n">
        <v>1</v>
      </c>
      <c r="F312" s="25" t="inlineStr">
        <is>
          <t>u</t>
        </is>
      </c>
      <c r="G312" s="26" t="n">
        <v>0.1682</v>
      </c>
      <c r="H312" s="26">
        <f>E312*G312</f>
        <v/>
      </c>
      <c r="I312" s="25" t="inlineStr">
        <is>
          <t>Chapa acero SAE 1010 pintada</t>
        </is>
      </c>
      <c r="J312" s="12" t="inlineStr">
        <is>
          <t>146,6 × 27 × 23,3</t>
        </is>
      </c>
      <c r="K312" s="25" t="inlineStr">
        <is>
          <t>Compra (en el conjunto)</t>
        </is>
      </c>
      <c r="L312" s="12" t="inlineStr">
        <is>
          <t>S4 - se compra terminado (tercerizado con sello IRAM)</t>
        </is>
      </c>
      <c r="M312" s="12" t="n"/>
      <c r="N312" s="25" t="inlineStr">
        <is>
          <t>P</t>
        </is>
      </c>
      <c r="O312" s="25" t="inlineStr">
        <is>
          <t>FL_DES_AFFF_50l</t>
        </is>
      </c>
      <c r="P312" s="12" t="n"/>
    </row>
    <row r="313">
      <c r="A313" s="25" t="inlineStr">
        <is>
          <t>FL_MAT_AFFF_50l</t>
        </is>
      </c>
      <c r="B313" s="25" t="n">
        <v>2</v>
      </c>
      <c r="C313" s="25" t="inlineStr">
        <is>
          <t>AFFF50-17</t>
        </is>
      </c>
      <c r="D313" s="12" t="inlineStr">
        <is>
          <t xml:space="preserve">        Eje de palanca</t>
        </is>
      </c>
      <c r="E313" s="25" t="n">
        <v>1</v>
      </c>
      <c r="F313" s="25" t="inlineStr">
        <is>
          <t>u</t>
        </is>
      </c>
      <c r="G313" s="26" t="n">
        <v>0.0199</v>
      </c>
      <c r="H313" s="26">
        <f>E313*G313</f>
        <v/>
      </c>
      <c r="I313" s="25" t="inlineStr">
        <is>
          <t>Acero inox. AISI 304</t>
        </is>
      </c>
      <c r="J313" s="12" t="inlineStr">
        <is>
          <t>48,6 × 8,1 × 8,1</t>
        </is>
      </c>
      <c r="K313" s="25" t="inlineStr">
        <is>
          <t>Compra (en el conjunto)</t>
        </is>
      </c>
      <c r="L313" s="12" t="inlineStr">
        <is>
          <t>S4 - se compra terminado (tercerizado con sello IRAM)</t>
        </is>
      </c>
      <c r="M313" s="12" t="n"/>
      <c r="N313" s="25" t="inlineStr">
        <is>
          <t>P</t>
        </is>
      </c>
      <c r="O313" s="25" t="inlineStr">
        <is>
          <t>FL_DES_AFFF_50l</t>
        </is>
      </c>
      <c r="P313" s="12" t="n"/>
    </row>
    <row r="314">
      <c r="A314" s="25" t="inlineStr">
        <is>
          <t>FL_MAT_AFFF_50l</t>
        </is>
      </c>
      <c r="B314" s="25" t="n">
        <v>2</v>
      </c>
      <c r="C314" s="25" t="inlineStr">
        <is>
          <t>AFFF50-18</t>
        </is>
      </c>
      <c r="D314" s="12" t="inlineStr">
        <is>
          <t xml:space="preserve">        Vástago</t>
        </is>
      </c>
      <c r="E314" s="25" t="n">
        <v>1</v>
      </c>
      <c r="F314" s="25" t="inlineStr">
        <is>
          <t>u</t>
        </is>
      </c>
      <c r="G314" s="26" t="n">
        <v>0.0039</v>
      </c>
      <c r="H314" s="26">
        <f>E314*G314</f>
        <v/>
      </c>
      <c r="I314" s="25" t="inlineStr">
        <is>
          <t>Latón</t>
        </is>
      </c>
      <c r="J314" s="12" t="inlineStr">
        <is>
          <t>10,8 × 10,8 × 5</t>
        </is>
      </c>
      <c r="K314" s="25" t="inlineStr">
        <is>
          <t>Compra (en el conjunto)</t>
        </is>
      </c>
      <c r="L314" s="12" t="inlineStr">
        <is>
          <t>S4 - se compra terminado (tercerizado con sello IRAM)</t>
        </is>
      </c>
      <c r="M314" s="12" t="n"/>
      <c r="N314" s="25" t="inlineStr">
        <is>
          <t>P</t>
        </is>
      </c>
      <c r="O314" s="25" t="inlineStr">
        <is>
          <t>FL_DES_AFFF_50l</t>
        </is>
      </c>
      <c r="P314" s="12" t="inlineStr">
        <is>
          <t>con junta tórica</t>
        </is>
      </c>
    </row>
    <row r="315">
      <c r="A315" s="25" t="inlineStr">
        <is>
          <t>FL_MAT_AFFF_50l</t>
        </is>
      </c>
      <c r="B315" s="25" t="n">
        <v>2</v>
      </c>
      <c r="C315" s="25" t="inlineStr">
        <is>
          <t>AFFF50-19</t>
        </is>
      </c>
      <c r="D315" s="12" t="inlineStr">
        <is>
          <t xml:space="preserve">        Pasador de seguridad</t>
        </is>
      </c>
      <c r="E315" s="25" t="n">
        <v>1</v>
      </c>
      <c r="F315" s="25" t="inlineStr">
        <is>
          <t>u</t>
        </is>
      </c>
      <c r="G315" s="26" t="n">
        <v>0.0135</v>
      </c>
      <c r="H315" s="26">
        <f>E315*G315</f>
        <v/>
      </c>
      <c r="I315" s="25" t="inlineStr">
        <is>
          <t>Alambre acero inox. AISI 304</t>
        </is>
      </c>
      <c r="J315" s="12" t="inlineStr">
        <is>
          <t>61,3 × 28,4 × 28,1</t>
        </is>
      </c>
      <c r="K315" s="25" t="inlineStr">
        <is>
          <t>Compra (en el conjunto)</t>
        </is>
      </c>
      <c r="L315" s="12" t="inlineStr">
        <is>
          <t>S4 - se compra terminado (tercerizado con sello IRAM)</t>
        </is>
      </c>
      <c r="M315" s="12" t="n"/>
      <c r="N315" s="25" t="inlineStr">
        <is>
          <t>P</t>
        </is>
      </c>
      <c r="O315" s="25" t="inlineStr">
        <is>
          <t>FL_DES_AFFF_50l</t>
        </is>
      </c>
      <c r="P315" s="12" t="inlineStr">
        <is>
          <t>con precinto</t>
        </is>
      </c>
    </row>
    <row r="316">
      <c r="A316" s="25" t="inlineStr">
        <is>
          <t>FL_MAT_AFFF_50l</t>
        </is>
      </c>
      <c r="B316" s="25" t="n">
        <v>2</v>
      </c>
      <c r="C316" s="25" t="inlineStr">
        <is>
          <t>AFFF50-20</t>
        </is>
      </c>
      <c r="D316" s="12" t="inlineStr">
        <is>
          <t xml:space="preserve">        Caño de pesca (sifón)</t>
        </is>
      </c>
      <c r="E316" s="25" t="n">
        <v>1</v>
      </c>
      <c r="F316" s="25" t="inlineStr">
        <is>
          <t>u</t>
        </is>
      </c>
      <c r="G316" s="26" t="n">
        <v>0.1736</v>
      </c>
      <c r="H316" s="26">
        <f>E316*G316</f>
        <v/>
      </c>
      <c r="I316" s="25" t="inlineStr">
        <is>
          <t>Tubo PVC rígido</t>
        </is>
      </c>
      <c r="J316" s="12" t="inlineStr">
        <is>
          <t>Ø24 × 734,3 de largo</t>
        </is>
      </c>
      <c r="K316" s="25" t="inlineStr">
        <is>
          <t>Compra (en el conjunto)</t>
        </is>
      </c>
      <c r="L316" s="12" t="inlineStr">
        <is>
          <t>S4 - se compra terminado (tercerizado con sello IRAM)</t>
        </is>
      </c>
      <c r="M316" s="12" t="n"/>
      <c r="N316" s="25" t="inlineStr">
        <is>
          <t>P</t>
        </is>
      </c>
      <c r="O316" s="25" t="inlineStr">
        <is>
          <t>FL_DES_AFFF_50l</t>
        </is>
      </c>
      <c r="P316" s="12" t="n"/>
    </row>
    <row r="317">
      <c r="A317" s="25" t="inlineStr">
        <is>
          <t>FL_MAT_AFFF_50l</t>
        </is>
      </c>
      <c r="B317" s="25" t="n">
        <v>2</v>
      </c>
      <c r="C317" s="25" t="inlineStr">
        <is>
          <t>AFFF50-30</t>
        </is>
      </c>
      <c r="D317" s="12" t="inlineStr">
        <is>
          <t xml:space="preserve">        Junta tórica de asiento</t>
        </is>
      </c>
      <c r="E317" s="25" t="n">
        <v>1</v>
      </c>
      <c r="F317" s="25" t="inlineStr">
        <is>
          <t>u</t>
        </is>
      </c>
      <c r="G317" s="26" t="n">
        <v>0.0024</v>
      </c>
      <c r="H317" s="26">
        <f>E317*G317</f>
        <v/>
      </c>
      <c r="I317" s="25" t="inlineStr">
        <is>
          <t>NBR 70 Shore A</t>
        </is>
      </c>
      <c r="J317" s="12" t="inlineStr">
        <is>
          <t>Ø75,2 ext. × cordón 3</t>
        </is>
      </c>
      <c r="K317" s="25" t="inlineStr">
        <is>
          <t>Compra (en el conjunto)</t>
        </is>
      </c>
      <c r="L317" s="12" t="inlineStr">
        <is>
          <t>S4 - se compra terminado (tercerizado con sello IRAM)</t>
        </is>
      </c>
      <c r="M317" s="12" t="n"/>
      <c r="N317" s="25" t="inlineStr">
        <is>
          <t>P</t>
        </is>
      </c>
      <c r="O317" s="25" t="inlineStr">
        <is>
          <t>FL_DES_AFFF_50l</t>
        </is>
      </c>
      <c r="P317" s="12" t="inlineStr">
        <is>
          <t>cambio c/recarga</t>
        </is>
      </c>
    </row>
    <row r="318">
      <c r="A318" s="25" t="inlineStr">
        <is>
          <t>FL_MAT_AFFF_50l</t>
        </is>
      </c>
      <c r="B318" s="25" t="n">
        <v>2</v>
      </c>
      <c r="C318" s="25" t="inlineStr">
        <is>
          <t>AFFF50-V2</t>
        </is>
      </c>
      <c r="D318" s="12" t="inlineStr">
        <is>
          <t xml:space="preserve">        Resorte de retorno del vástago</t>
        </is>
      </c>
      <c r="E318" s="25" t="n">
        <v>1</v>
      </c>
      <c r="F318" s="25" t="inlineStr">
        <is>
          <t>u</t>
        </is>
      </c>
      <c r="G318" s="26" t="n">
        <v>0.003</v>
      </c>
      <c r="H318" s="26">
        <f>E318*G318</f>
        <v/>
      </c>
      <c r="I318" s="25" t="inlineStr">
        <is>
          <t>Alambre acero inox. AISI 302</t>
        </is>
      </c>
      <c r="J318" s="12" t="inlineStr">
        <is>
          <t>según válvula</t>
        </is>
      </c>
      <c r="K318" s="25" t="inlineStr">
        <is>
          <t>Compra</t>
        </is>
      </c>
      <c r="L318" s="12" t="inlineStr">
        <is>
          <t>19 Ensamblaje</t>
        </is>
      </c>
      <c r="M318" s="12" t="n"/>
      <c r="N318" s="25" t="inlineStr">
        <is>
          <t>R</t>
        </is>
      </c>
      <c r="O318" s="25" t="n"/>
      <c r="P318" s="12" t="n"/>
    </row>
    <row r="319">
      <c r="A319" s="25" t="inlineStr">
        <is>
          <t>FL_MAT_AFFF_50l</t>
        </is>
      </c>
      <c r="B319" s="25" t="n">
        <v>2</v>
      </c>
      <c r="C319" s="25" t="inlineStr">
        <is>
          <t>AFFF50-V3</t>
        </is>
      </c>
      <c r="D319" s="12" t="inlineStr">
        <is>
          <t xml:space="preserve">        Junta tórica del vástago</t>
        </is>
      </c>
      <c r="E319" s="25" t="n">
        <v>1</v>
      </c>
      <c r="F319" s="25" t="inlineStr">
        <is>
          <t>u</t>
        </is>
      </c>
      <c r="G319" s="26" t="n">
        <v>0.001</v>
      </c>
      <c r="H319" s="26">
        <f>E319*G319</f>
        <v/>
      </c>
      <c r="I319" s="25" t="inlineStr">
        <is>
          <t>NBR 70 Shore A</t>
        </is>
      </c>
      <c r="J319" s="12" t="inlineStr">
        <is>
          <t>según válvula</t>
        </is>
      </c>
      <c r="K319" s="25" t="inlineStr">
        <is>
          <t>Compra</t>
        </is>
      </c>
      <c r="L319" s="12" t="inlineStr">
        <is>
          <t>19 Ensamblaje</t>
        </is>
      </c>
      <c r="M319" s="12" t="n"/>
      <c r="N319" s="25" t="inlineStr">
        <is>
          <t>P</t>
        </is>
      </c>
      <c r="O319" s="25" t="n"/>
      <c r="P319" s="12" t="inlineStr">
        <is>
          <t>Figura en el plano como «vástago con junta tórica»</t>
        </is>
      </c>
    </row>
    <row r="320">
      <c r="A320" s="22" t="inlineStr">
        <is>
          <t>FL_MAT_AFFF_50l</t>
        </is>
      </c>
      <c r="B320" s="22" t="n">
        <v>1</v>
      </c>
      <c r="C320" s="22" t="inlineStr">
        <is>
          <t>AFFF50-S3</t>
        </is>
      </c>
      <c r="D320" s="23" t="inlineStr">
        <is>
          <t xml:space="preserve">    Dispositivo de descarga</t>
        </is>
      </c>
      <c r="E320" s="22" t="n">
        <v>1</v>
      </c>
      <c r="F320" s="22" t="inlineStr">
        <is>
          <t>u</t>
        </is>
      </c>
      <c r="G320" s="24" t="n"/>
      <c r="H320" s="24">
        <f>H321+H322+H323+H324+H325+H326</f>
        <v/>
      </c>
      <c r="I320" s="22" t="n"/>
      <c r="J320" s="23" t="n"/>
      <c r="K320" s="22" t="inlineStr">
        <is>
          <t>Compra / armado</t>
        </is>
      </c>
      <c r="L320" s="23" t="n"/>
      <c r="M320" s="23" t="n"/>
      <c r="N320" s="22" t="inlineStr">
        <is>
          <t>P</t>
        </is>
      </c>
      <c r="O320" s="22" t="inlineStr">
        <is>
          <t>FL_DES_AFFF_50l</t>
        </is>
      </c>
      <c r="P320" s="23" t="n"/>
    </row>
    <row r="321">
      <c r="A321" s="25" t="inlineStr">
        <is>
          <t>FL_MAT_AFFF_50l</t>
        </is>
      </c>
      <c r="B321" s="25" t="n">
        <v>2</v>
      </c>
      <c r="C321" s="25" t="inlineStr">
        <is>
          <t>AFFF50-21</t>
        </is>
      </c>
      <c r="D321" s="12" t="inlineStr">
        <is>
          <t xml:space="preserve">        Manguera (tramo enrollado)</t>
        </is>
      </c>
      <c r="E321" s="25" t="n">
        <v>1</v>
      </c>
      <c r="F321" s="25" t="inlineStr">
        <is>
          <t>u</t>
        </is>
      </c>
      <c r="G321" s="26" t="n">
        <v>0.4763</v>
      </c>
      <c r="H321" s="26">
        <f>E321*G321</f>
        <v/>
      </c>
      <c r="I321" s="25" t="inlineStr">
        <is>
          <t>Caucho sintético</t>
        </is>
      </c>
      <c r="J321" s="12" t="inlineStr">
        <is>
          <t>Ø25 × 1.263 de largo desarrollado</t>
        </is>
      </c>
      <c r="K321" s="25" t="inlineStr">
        <is>
          <t>Compra (en el conjunto)</t>
        </is>
      </c>
      <c r="L321" s="12" t="inlineStr">
        <is>
          <t>S4 - se compra terminado (tercerizado con sello IRAM)</t>
        </is>
      </c>
      <c r="M321" s="12" t="n"/>
      <c r="N321" s="25" t="inlineStr">
        <is>
          <t>P</t>
        </is>
      </c>
      <c r="O321" s="25" t="inlineStr">
        <is>
          <t>FL_DES_AFFF_50l</t>
        </is>
      </c>
      <c r="P321" s="12" t="n"/>
    </row>
    <row r="322">
      <c r="A322" s="25" t="inlineStr">
        <is>
          <t>FL_MAT_AFFF_50l</t>
        </is>
      </c>
      <c r="B322" s="25" t="n">
        <v>2</v>
      </c>
      <c r="C322" s="25" t="inlineStr">
        <is>
          <t>AFFF50-22</t>
        </is>
      </c>
      <c r="D322" s="12" t="inlineStr">
        <is>
          <t xml:space="preserve">        Soporte de manguera</t>
        </is>
      </c>
      <c r="E322" s="25" t="n">
        <v>1</v>
      </c>
      <c r="F322" s="25" t="inlineStr">
        <is>
          <t>u</t>
        </is>
      </c>
      <c r="G322" s="26" t="n">
        <v>1.6857</v>
      </c>
      <c r="H322" s="26">
        <f>E322*G322</f>
        <v/>
      </c>
      <c r="I322" s="25" t="inlineStr">
        <is>
          <t>Planchuela acero SAE 1010</t>
        </is>
      </c>
      <c r="J322" s="12" t="inlineStr">
        <is>
          <t>490,8 × 217 × 40,5</t>
        </is>
      </c>
      <c r="K322" s="25" t="inlineStr">
        <is>
          <t>Compra (en el conjunto)</t>
        </is>
      </c>
      <c r="L322" s="12" t="inlineStr">
        <is>
          <t>S4 - se compra terminado (tercerizado con sello IRAM)</t>
        </is>
      </c>
      <c r="M322" s="12" t="n"/>
      <c r="N322" s="25" t="inlineStr">
        <is>
          <t>P</t>
        </is>
      </c>
      <c r="O322" s="25" t="inlineStr">
        <is>
          <t>FL_DES_AFFF_50l</t>
        </is>
      </c>
      <c r="P322" s="12" t="n"/>
    </row>
    <row r="323">
      <c r="A323" s="25" t="inlineStr">
        <is>
          <t>FL_MAT_AFFF_50l</t>
        </is>
      </c>
      <c r="B323" s="25" t="n">
        <v>2</v>
      </c>
      <c r="C323" s="25" t="inlineStr">
        <is>
          <t>AFFF50-23</t>
        </is>
      </c>
      <c r="D323" s="12" t="inlineStr">
        <is>
          <t xml:space="preserve">        Racor de manguera</t>
        </is>
      </c>
      <c r="E323" s="25" t="n">
        <v>1</v>
      </c>
      <c r="F323" s="25" t="inlineStr">
        <is>
          <t>u</t>
        </is>
      </c>
      <c r="G323" s="26" t="n">
        <v>0.0612</v>
      </c>
      <c r="H323" s="26">
        <f>E323*G323</f>
        <v/>
      </c>
      <c r="I323" s="25" t="inlineStr">
        <is>
          <t>Latón</t>
        </is>
      </c>
      <c r="J323" s="12" t="inlineStr">
        <is>
          <t>24 × 24 × 16</t>
        </is>
      </c>
      <c r="K323" s="25" t="inlineStr">
        <is>
          <t>Compra (en el conjunto)</t>
        </is>
      </c>
      <c r="L323" s="12" t="inlineStr">
        <is>
          <t>S4 - se compra terminado (tercerizado con sello IRAM)</t>
        </is>
      </c>
      <c r="M323" s="12" t="n"/>
      <c r="N323" s="25" t="inlineStr">
        <is>
          <t>P</t>
        </is>
      </c>
      <c r="O323" s="25" t="inlineStr">
        <is>
          <t>FL_DES_AFFF_50l</t>
        </is>
      </c>
      <c r="P323" s="12" t="n"/>
    </row>
    <row r="324">
      <c r="A324" s="25" t="inlineStr">
        <is>
          <t>FL_MAT_AFFF_50l</t>
        </is>
      </c>
      <c r="B324" s="25" t="n">
        <v>2</v>
      </c>
      <c r="C324" s="25" t="inlineStr">
        <is>
          <t>AFFF50-24</t>
        </is>
      </c>
      <c r="D324" s="12" t="inlineStr">
        <is>
          <t xml:space="preserve">        Manguera</t>
        </is>
      </c>
      <c r="E324" s="25" t="n">
        <v>1</v>
      </c>
      <c r="F324" s="25" t="inlineStr">
        <is>
          <t>u</t>
        </is>
      </c>
      <c r="G324" s="26" t="n">
        <v>0.1766</v>
      </c>
      <c r="H324" s="26">
        <f>E324*G324</f>
        <v/>
      </c>
      <c r="I324" s="25" t="inlineStr">
        <is>
          <t>Caucho sintético</t>
        </is>
      </c>
      <c r="J324" s="12" t="inlineStr">
        <is>
          <t>Ø16 × 1.144 de largo desarrollado</t>
        </is>
      </c>
      <c r="K324" s="25" t="inlineStr">
        <is>
          <t>Compra (en el conjunto)</t>
        </is>
      </c>
      <c r="L324" s="12" t="inlineStr">
        <is>
          <t>S4 - se compra terminado (tercerizado con sello IRAM)</t>
        </is>
      </c>
      <c r="M324" s="12" t="n"/>
      <c r="N324" s="25" t="inlineStr">
        <is>
          <t>P</t>
        </is>
      </c>
      <c r="O324" s="25" t="inlineStr">
        <is>
          <t>FL_DES_AFFF_50l</t>
        </is>
      </c>
      <c r="P324" s="12" t="n"/>
    </row>
    <row r="325">
      <c r="A325" s="25" t="inlineStr">
        <is>
          <t>FL_MAT_AFFF_50l</t>
        </is>
      </c>
      <c r="B325" s="25" t="n">
        <v>2</v>
      </c>
      <c r="C325" s="25" t="inlineStr">
        <is>
          <t>AFFF50-25</t>
        </is>
      </c>
      <c r="D325" s="12" t="inlineStr">
        <is>
          <t xml:space="preserve">        Válvula esférica</t>
        </is>
      </c>
      <c r="E325" s="25" t="n">
        <v>1</v>
      </c>
      <c r="F325" s="25" t="inlineStr">
        <is>
          <t>u</t>
        </is>
      </c>
      <c r="G325" s="26" t="n">
        <v>0.4225</v>
      </c>
      <c r="H325" s="26">
        <f>E325*G325</f>
        <v/>
      </c>
      <c r="I325" s="25" t="inlineStr">
        <is>
          <t>Latón cromado</t>
        </is>
      </c>
      <c r="J325" s="12" t="inlineStr">
        <is>
          <t>130 × 60 × 40</t>
        </is>
      </c>
      <c r="K325" s="25" t="inlineStr">
        <is>
          <t>Compra (en el conjunto)</t>
        </is>
      </c>
      <c r="L325" s="12" t="inlineStr">
        <is>
          <t>S4 - se compra terminado (tercerizado con sello IRAM)</t>
        </is>
      </c>
      <c r="M325" s="12" t="n"/>
      <c r="N325" s="25" t="inlineStr">
        <is>
          <t>P</t>
        </is>
      </c>
      <c r="O325" s="25" t="inlineStr">
        <is>
          <t>FL_DES_AFFF_50l</t>
        </is>
      </c>
      <c r="P325" s="12" t="n"/>
    </row>
    <row r="326">
      <c r="A326" s="25" t="inlineStr">
        <is>
          <t>FL_MAT_AFFF_50l</t>
        </is>
      </c>
      <c r="B326" s="25" t="n">
        <v>2</v>
      </c>
      <c r="C326" s="25" t="inlineStr">
        <is>
          <t>AFFF50-26</t>
        </is>
      </c>
      <c r="D326" s="12" t="inlineStr">
        <is>
          <t xml:space="preserve">        Lanza espumígena</t>
        </is>
      </c>
      <c r="E326" s="25" t="n">
        <v>1</v>
      </c>
      <c r="F326" s="25" t="inlineStr">
        <is>
          <t>u</t>
        </is>
      </c>
      <c r="G326" s="26" t="n">
        <v>0.1023</v>
      </c>
      <c r="H326" s="26">
        <f>E326*G326</f>
        <v/>
      </c>
      <c r="I326" s="25" t="inlineStr">
        <is>
          <t>Polipropileno</t>
        </is>
      </c>
      <c r="J326" s="12" t="inlineStr">
        <is>
          <t>380 × 56 × 56</t>
        </is>
      </c>
      <c r="K326" s="25" t="inlineStr">
        <is>
          <t>Compra (en el conjunto)</t>
        </is>
      </c>
      <c r="L326" s="12" t="inlineStr">
        <is>
          <t>S4 - se compra terminado (tercerizado con sello IRAM)</t>
        </is>
      </c>
      <c r="M326" s="12" t="n"/>
      <c r="N326" s="25" t="inlineStr">
        <is>
          <t>P</t>
        </is>
      </c>
      <c r="O326" s="25" t="inlineStr">
        <is>
          <t>FL_DES_AFFF_50l</t>
        </is>
      </c>
      <c r="P326" s="12" t="n"/>
    </row>
    <row r="327">
      <c r="A327" s="22" t="inlineStr">
        <is>
          <t>FL_MAT_AFFF_50l</t>
        </is>
      </c>
      <c r="B327" s="22" t="n">
        <v>1</v>
      </c>
      <c r="C327" s="22" t="inlineStr">
        <is>
          <t>AFFF50-S4</t>
        </is>
      </c>
      <c r="D327" s="23" t="inlineStr">
        <is>
          <t xml:space="preserve">    Carro (bastidor y ruedas)</t>
        </is>
      </c>
      <c r="E327" s="22" t="n">
        <v>1</v>
      </c>
      <c r="F327" s="22" t="inlineStr">
        <is>
          <t>u</t>
        </is>
      </c>
      <c r="G327" s="24" t="n"/>
      <c r="H327" s="24">
        <f>H328+H329+H330+H331+H332+H333</f>
        <v/>
      </c>
      <c r="I327" s="22" t="n"/>
      <c r="J327" s="23" t="n"/>
      <c r="K327" s="22" t="inlineStr">
        <is>
          <t>Compra / armado</t>
        </is>
      </c>
      <c r="L327" s="23" t="n"/>
      <c r="M327" s="23" t="n"/>
      <c r="N327" s="22" t="inlineStr">
        <is>
          <t>P</t>
        </is>
      </c>
      <c r="O327" s="22" t="inlineStr">
        <is>
          <t>FL_DES_AFFF_50l</t>
        </is>
      </c>
      <c r="P327" s="23" t="n"/>
    </row>
    <row r="328">
      <c r="A328" s="25" t="inlineStr">
        <is>
          <t>FL_MAT_AFFF_50l</t>
        </is>
      </c>
      <c r="B328" s="25" t="n">
        <v>2</v>
      </c>
      <c r="C328" s="25" t="inlineStr">
        <is>
          <t>AFFF50-05</t>
        </is>
      </c>
      <c r="D328" s="12" t="inlineStr">
        <is>
          <t xml:space="preserve">        Neumático macizo</t>
        </is>
      </c>
      <c r="E328" s="25" t="n">
        <v>2</v>
      </c>
      <c r="F328" s="25" t="inlineStr">
        <is>
          <t>u</t>
        </is>
      </c>
      <c r="G328" s="26" t="n">
        <v>3.8922</v>
      </c>
      <c r="H328" s="26">
        <f>E328*G328</f>
        <v/>
      </c>
      <c r="I328" s="25" t="inlineStr">
        <is>
          <t>Caucho</t>
        </is>
      </c>
      <c r="J328" s="12" t="inlineStr">
        <is>
          <t>Ø350 × 70 de ancho</t>
        </is>
      </c>
      <c r="K328" s="25" t="inlineStr">
        <is>
          <t>Compra (en el conjunto)</t>
        </is>
      </c>
      <c r="L328" s="12" t="inlineStr">
        <is>
          <t>S4 - se compra terminado (tercerizado con sello IRAM)</t>
        </is>
      </c>
      <c r="M328" s="12" t="n"/>
      <c r="N328" s="25" t="inlineStr">
        <is>
          <t>P</t>
        </is>
      </c>
      <c r="O328" s="25" t="inlineStr">
        <is>
          <t>FL_DES_AFFF_50l</t>
        </is>
      </c>
      <c r="P328" s="12" t="n"/>
    </row>
    <row r="329">
      <c r="A329" s="25" t="inlineStr">
        <is>
          <t>FL_MAT_AFFF_50l</t>
        </is>
      </c>
      <c r="B329" s="25" t="n">
        <v>2</v>
      </c>
      <c r="C329" s="25" t="inlineStr">
        <is>
          <t>AFFF50-06</t>
        </is>
      </c>
      <c r="D329" s="12" t="inlineStr">
        <is>
          <t xml:space="preserve">        Llanta con cubo</t>
        </is>
      </c>
      <c r="E329" s="25" t="n">
        <v>2</v>
      </c>
      <c r="F329" s="25" t="inlineStr">
        <is>
          <t>u</t>
        </is>
      </c>
      <c r="G329" s="26" t="n">
        <v>4.0415</v>
      </c>
      <c r="H329" s="26">
        <f>E329*G329</f>
        <v/>
      </c>
      <c r="I329" s="25" t="inlineStr">
        <is>
          <t>Chapa acero SAE 1010</t>
        </is>
      </c>
      <c r="J329" s="12" t="inlineStr">
        <is>
          <t>Ø252 × 80 de ancho</t>
        </is>
      </c>
      <c r="K329" s="25" t="inlineStr">
        <is>
          <t>Compra (en el conjunto)</t>
        </is>
      </c>
      <c r="L329" s="12" t="inlineStr">
        <is>
          <t>S4 - se compra terminado (tercerizado con sello IRAM)</t>
        </is>
      </c>
      <c r="M329" s="12" t="n"/>
      <c r="N329" s="25" t="inlineStr">
        <is>
          <t>P</t>
        </is>
      </c>
      <c r="O329" s="25" t="inlineStr">
        <is>
          <t>FL_DES_AFFF_50l</t>
        </is>
      </c>
      <c r="P329" s="12" t="n"/>
    </row>
    <row r="330">
      <c r="A330" s="25" t="inlineStr">
        <is>
          <t>FL_MAT_AFFF_50l</t>
        </is>
      </c>
      <c r="B330" s="25" t="n">
        <v>2</v>
      </c>
      <c r="C330" s="25" t="inlineStr">
        <is>
          <t>AFFF50-07</t>
        </is>
      </c>
      <c r="D330" s="12" t="inlineStr">
        <is>
          <t xml:space="preserve">        Eje de ruedas</t>
        </is>
      </c>
      <c r="E330" s="25" t="n">
        <v>1</v>
      </c>
      <c r="F330" s="25" t="inlineStr">
        <is>
          <t>u</t>
        </is>
      </c>
      <c r="G330" s="26" t="n">
        <v>1.3333</v>
      </c>
      <c r="H330" s="26">
        <f>E330*G330</f>
        <v/>
      </c>
      <c r="I330" s="25" t="inlineStr">
        <is>
          <t>Acero SAE 1045</t>
        </is>
      </c>
      <c r="J330" s="12" t="inlineStr">
        <is>
          <t>Ø25 × 346 de largo</t>
        </is>
      </c>
      <c r="K330" s="25" t="inlineStr">
        <is>
          <t>Compra (en el conjunto)</t>
        </is>
      </c>
      <c r="L330" s="12" t="inlineStr">
        <is>
          <t>S4 - se compra terminado (tercerizado con sello IRAM)</t>
        </is>
      </c>
      <c r="M330" s="12" t="n"/>
      <c r="N330" s="25" t="inlineStr">
        <is>
          <t>P</t>
        </is>
      </c>
      <c r="O330" s="25" t="inlineStr">
        <is>
          <t>FL_DES_AFFF_50l</t>
        </is>
      </c>
      <c r="P330" s="12" t="n"/>
    </row>
    <row r="331">
      <c r="A331" s="25" t="inlineStr">
        <is>
          <t>FL_MAT_AFFF_50l</t>
        </is>
      </c>
      <c r="B331" s="25" t="n">
        <v>2</v>
      </c>
      <c r="C331" s="25" t="inlineStr">
        <is>
          <t>AFFF50-08</t>
        </is>
      </c>
      <c r="D331" s="12" t="inlineStr">
        <is>
          <t xml:space="preserve">        Bastidor</t>
        </is>
      </c>
      <c r="E331" s="25" t="n">
        <v>1</v>
      </c>
      <c r="F331" s="25" t="inlineStr">
        <is>
          <t>u</t>
        </is>
      </c>
      <c r="G331" s="26" t="n">
        <v>2.0504</v>
      </c>
      <c r="H331" s="26">
        <f>E331*G331</f>
        <v/>
      </c>
      <c r="I331" s="25" t="inlineStr">
        <is>
          <t>Caño acero SAE 1010 Ø25,4×1,6</t>
        </is>
      </c>
      <c r="J331" s="12" t="inlineStr">
        <is>
          <t>caño Ø25,4 × 1,6 × 2.148 de largo desarrollado</t>
        </is>
      </c>
      <c r="K331" s="25" t="inlineStr">
        <is>
          <t>Compra (en el conjunto)</t>
        </is>
      </c>
      <c r="L331" s="12" t="inlineStr">
        <is>
          <t>S4 - se compra terminado (tercerizado con sello IRAM)</t>
        </is>
      </c>
      <c r="M331" s="12" t="n"/>
      <c r="N331" s="25" t="inlineStr">
        <is>
          <t>P</t>
        </is>
      </c>
      <c r="O331" s="25" t="inlineStr">
        <is>
          <t>FL_DES_AFFF_50l</t>
        </is>
      </c>
      <c r="P331" s="12" t="n"/>
    </row>
    <row r="332">
      <c r="A332" s="25" t="inlineStr">
        <is>
          <t>FL_MAT_AFFF_50l</t>
        </is>
      </c>
      <c r="B332" s="25" t="n">
        <v>2</v>
      </c>
      <c r="C332" s="25" t="inlineStr">
        <is>
          <t>AFFF50-09</t>
        </is>
      </c>
      <c r="D332" s="12" t="inlineStr">
        <is>
          <t xml:space="preserve">        Sunchos de fijación</t>
        </is>
      </c>
      <c r="E332" s="25" t="n">
        <v>1</v>
      </c>
      <c r="F332" s="25" t="inlineStr">
        <is>
          <t>u</t>
        </is>
      </c>
      <c r="G332" s="26" t="n">
        <v>5.4228</v>
      </c>
      <c r="H332" s="26">
        <f>E332*G332</f>
        <v/>
      </c>
      <c r="I332" s="25" t="inlineStr">
        <is>
          <t>Planchuela acero SAE 1010</t>
        </is>
      </c>
      <c r="J332" s="12" t="inlineStr">
        <is>
          <t>459 × 424 × 332</t>
        </is>
      </c>
      <c r="K332" s="25" t="inlineStr">
        <is>
          <t>Compra (en el conjunto)</t>
        </is>
      </c>
      <c r="L332" s="12" t="inlineStr">
        <is>
          <t>S4 - se compra terminado (tercerizado con sello IRAM)</t>
        </is>
      </c>
      <c r="M332" s="12" t="n"/>
      <c r="N332" s="25" t="inlineStr">
        <is>
          <t>P</t>
        </is>
      </c>
      <c r="O332" s="25" t="inlineStr">
        <is>
          <t>FL_DES_AFFF_50l</t>
        </is>
      </c>
      <c r="P332" s="12" t="n"/>
    </row>
    <row r="333">
      <c r="A333" s="25" t="inlineStr">
        <is>
          <t>FL_MAT_AFFF_50l</t>
        </is>
      </c>
      <c r="B333" s="25" t="n">
        <v>2</v>
      </c>
      <c r="C333" s="25" t="inlineStr">
        <is>
          <t>AFFF50-10</t>
        </is>
      </c>
      <c r="D333" s="12" t="inlineStr">
        <is>
          <t xml:space="preserve">        Apoyo delantero</t>
        </is>
      </c>
      <c r="E333" s="25" t="n">
        <v>1</v>
      </c>
      <c r="F333" s="25" t="inlineStr">
        <is>
          <t>u</t>
        </is>
      </c>
      <c r="G333" s="26" t="n">
        <v>0.3022</v>
      </c>
      <c r="H333" s="26">
        <f>E333*G333</f>
        <v/>
      </c>
      <c r="I333" s="25" t="inlineStr">
        <is>
          <t>Chapa acero SAE 1010 plegada</t>
        </is>
      </c>
      <c r="J333" s="12" t="inlineStr">
        <is>
          <t>70 × 55 × 50</t>
        </is>
      </c>
      <c r="K333" s="25" t="inlineStr">
        <is>
          <t>Compra (en el conjunto)</t>
        </is>
      </c>
      <c r="L333" s="12" t="inlineStr">
        <is>
          <t>S4 - se compra terminado (tercerizado con sello IRAM)</t>
        </is>
      </c>
      <c r="M333" s="12" t="n"/>
      <c r="N333" s="25" t="inlineStr">
        <is>
          <t>P</t>
        </is>
      </c>
      <c r="O333" s="25" t="inlineStr">
        <is>
          <t>FL_DES_AFFF_50l</t>
        </is>
      </c>
      <c r="P333" s="12" t="n"/>
    </row>
    <row r="334">
      <c r="A334" s="22" t="inlineStr">
        <is>
          <t>FL_MAT_AFFF_50l</t>
        </is>
      </c>
      <c r="B334" s="22" t="n">
        <v>1</v>
      </c>
      <c r="C334" s="22" t="inlineStr">
        <is>
          <t>AFFF50-S5</t>
        </is>
      </c>
      <c r="D334" s="23" t="inlineStr">
        <is>
          <t xml:space="preserve">    Carga: agente extintor y gas impulsor</t>
        </is>
      </c>
      <c r="E334" s="22" t="n">
        <v>1</v>
      </c>
      <c r="F334" s="22" t="inlineStr">
        <is>
          <t>u</t>
        </is>
      </c>
      <c r="G334" s="24" t="n"/>
      <c r="H334" s="24">
        <f>H335+H336+H337</f>
        <v/>
      </c>
      <c r="I334" s="22" t="n"/>
      <c r="J334" s="23" t="n"/>
      <c r="K334" s="22" t="inlineStr">
        <is>
          <t>Compra</t>
        </is>
      </c>
      <c r="L334" s="23" t="n"/>
      <c r="M334" s="23" t="n"/>
      <c r="N334" s="22" t="n"/>
      <c r="O334" s="22" t="n"/>
      <c r="P334" s="23" t="n"/>
    </row>
    <row r="335">
      <c r="A335" s="25" t="inlineStr">
        <is>
          <t>FL_MAT_AFFF_50l</t>
        </is>
      </c>
      <c r="B335" s="25" t="n">
        <v>2</v>
      </c>
      <c r="C335" s="25" t="inlineStr">
        <is>
          <t>AFFF50-A1</t>
        </is>
      </c>
      <c r="D335" s="12" t="inlineStr">
        <is>
          <t xml:space="preserve">        Agua potable (premezcla)</t>
        </is>
      </c>
      <c r="E335" s="25" t="n">
        <v>48.5</v>
      </c>
      <c r="F335" s="25" t="inlineStr">
        <is>
          <t>L</t>
        </is>
      </c>
      <c r="G335" s="26" t="n">
        <v>1</v>
      </c>
      <c r="H335" s="26">
        <f>E335*G335</f>
        <v/>
      </c>
      <c r="I335" s="25" t="inlineStr">
        <is>
          <t>Agua</t>
        </is>
      </c>
      <c r="J335" s="12" t="inlineStr">
        <is>
          <t>97 % de 50 L; tolerancia ± 3 %</t>
        </is>
      </c>
      <c r="K335" s="25" t="inlineStr">
        <is>
          <t>Red</t>
        </is>
      </c>
      <c r="L335" s="12" t="inlineStr">
        <is>
          <t>SP-1 premezcla</t>
        </is>
      </c>
      <c r="M335" s="12" t="inlineStr">
        <is>
          <t>IRAM 3517-2:2020 tabla 3</t>
        </is>
      </c>
      <c r="N335" s="25" t="inlineStr">
        <is>
          <t>N</t>
        </is>
      </c>
      <c r="O335" s="25" t="n"/>
      <c r="P335" s="12" t="n"/>
    </row>
    <row r="336">
      <c r="A336" s="25" t="inlineStr">
        <is>
          <t>FL_MAT_AFFF_50l</t>
        </is>
      </c>
      <c r="B336" s="25" t="n">
        <v>2</v>
      </c>
      <c r="C336" s="25" t="inlineStr">
        <is>
          <t>AFFF50-A1b</t>
        </is>
      </c>
      <c r="D336" s="12" t="inlineStr">
        <is>
          <t xml:space="preserve">        Concentrado espumígeno AFFF 3 % (IRAM 3515)</t>
        </is>
      </c>
      <c r="E336" s="25" t="n">
        <v>1.5</v>
      </c>
      <c r="F336" s="25" t="inlineStr">
        <is>
          <t>L</t>
        </is>
      </c>
      <c r="G336" s="26" t="n">
        <v>1</v>
      </c>
      <c r="H336" s="26">
        <f>E336*G336</f>
        <v/>
      </c>
      <c r="I336" s="25" t="inlineStr">
        <is>
          <t>Concentrado espumígeno AFFF 3 % (IRAM 3515)</t>
        </is>
      </c>
      <c r="J336" s="12" t="inlineStr">
        <is>
          <t>nominal 1,5 L; tolerancia ± 3 % (IRAM 3517-2:2020 tabla 3)</t>
        </is>
      </c>
      <c r="K336" s="25" t="inlineStr">
        <is>
          <t>Compra</t>
        </is>
      </c>
      <c r="L336" s="12" t="inlineStr">
        <is>
          <t>SP-1 almacén previo a la carga</t>
        </is>
      </c>
      <c r="M336" s="12" t="inlineStr">
        <is>
          <t>IRAM 3515</t>
        </is>
      </c>
      <c r="N336" s="25" t="inlineStr">
        <is>
          <t>N</t>
        </is>
      </c>
      <c r="O336" s="25" t="n"/>
      <c r="P336" s="12" t="n"/>
    </row>
    <row r="337">
      <c r="A337" s="25" t="inlineStr">
        <is>
          <t>FL_MAT_AFFF_50l</t>
        </is>
      </c>
      <c r="B337" s="25" t="n">
        <v>2</v>
      </c>
      <c r="C337" s="25" t="inlineStr">
        <is>
          <t>AFFF50-A2</t>
        </is>
      </c>
      <c r="D337" s="12" t="inlineStr">
        <is>
          <t xml:space="preserve">        Gas impulsor: Aire comprimido</t>
        </is>
      </c>
      <c r="E337" s="25" t="n">
        <v>0.1265</v>
      </c>
      <c r="F337" s="25" t="inlineStr">
        <is>
          <t>kg</t>
        </is>
      </c>
      <c r="G337" s="26" t="n">
        <v>1</v>
      </c>
      <c r="H337" s="26">
        <f>E337*G337</f>
        <v/>
      </c>
      <c r="I337" s="25" t="inlineStr">
        <is>
          <t>Aire comprimido</t>
        </is>
      </c>
      <c r="J337" s="12" t="inlineStr">
        <is>
          <t>97,8 L normales para 0,8 MPa a 20 °C en 11,8 dm³ libres</t>
        </is>
      </c>
      <c r="K337" s="25" t="inlineStr">
        <is>
          <t>Compra</t>
        </is>
      </c>
      <c r="L337" s="12" t="inlineStr">
        <is>
          <t>20 Presurización (T05) / C10</t>
        </is>
      </c>
      <c r="M337" s="12" t="inlineStr">
        <is>
          <t>IRAM 3517-2 9.4.9 (tabla 2) · IRAM 3523 2.3 y 3.10</t>
        </is>
      </c>
      <c r="N337" s="25" t="inlineStr">
        <is>
          <t>C</t>
        </is>
      </c>
      <c r="O337" s="25" t="n"/>
      <c r="P337" s="12" t="inlineStr">
        <is>
          <t>Batería en SP-1; punto de rocío ≤ -56,7 °C para gases limpios</t>
        </is>
      </c>
    </row>
    <row r="338">
      <c r="A338" s="22" t="inlineStr">
        <is>
          <t>FL_MAT_AFFF_50l</t>
        </is>
      </c>
      <c r="B338" s="22" t="n">
        <v>1</v>
      </c>
      <c r="C338" s="22" t="inlineStr">
        <is>
          <t>AFFF50-S6</t>
        </is>
      </c>
      <c r="D338" s="23" t="inlineStr">
        <is>
          <t xml:space="preserve">    Identificación y precinto</t>
        </is>
      </c>
      <c r="E338" s="22" t="n">
        <v>1</v>
      </c>
      <c r="F338" s="22" t="inlineStr">
        <is>
          <t>u</t>
        </is>
      </c>
      <c r="G338" s="24" t="n"/>
      <c r="H338" s="24">
        <f>H339+H340+H341+H342+H343</f>
        <v/>
      </c>
      <c r="I338" s="22" t="n"/>
      <c r="J338" s="23" t="n"/>
      <c r="K338" s="22" t="inlineStr">
        <is>
          <t>Compra</t>
        </is>
      </c>
      <c r="L338" s="23" t="inlineStr">
        <is>
          <t>22 Etiquetado (T07)</t>
        </is>
      </c>
      <c r="M338" s="23" t="n"/>
      <c r="N338" s="22" t="n"/>
      <c r="O338" s="22" t="n"/>
      <c r="P338" s="23" t="n"/>
    </row>
    <row r="339">
      <c r="A339" s="25" t="inlineStr">
        <is>
          <t>FL_MAT_AFFF_50l</t>
        </is>
      </c>
      <c r="B339" s="25" t="n">
        <v>2</v>
      </c>
      <c r="C339" s="25" t="inlineStr">
        <is>
          <t>AFFF50-27</t>
        </is>
      </c>
      <c r="D339" s="12" t="inlineStr">
        <is>
          <t xml:space="preserve">        Placa de características</t>
        </is>
      </c>
      <c r="E339" s="25" t="n">
        <v>1</v>
      </c>
      <c r="F339" s="25" t="inlineStr">
        <is>
          <t>u</t>
        </is>
      </c>
      <c r="G339" s="26" t="n">
        <v>0.0185</v>
      </c>
      <c r="H339" s="26">
        <f>E339*G339</f>
        <v/>
      </c>
      <c r="I339" s="25" t="inlineStr">
        <is>
          <t>Vinilo autoadhesivo laminado</t>
        </is>
      </c>
      <c r="J339" s="12" t="inlineStr">
        <is>
          <t>302 × 146 (desarrollo × alto), e ≈ 0,3</t>
        </is>
      </c>
      <c r="K339" s="25" t="inlineStr">
        <is>
          <t>Compra</t>
        </is>
      </c>
      <c r="L339" s="12" t="inlineStr">
        <is>
          <t>22 Etiquetado (T07)</t>
        </is>
      </c>
      <c r="M339" s="12" t="inlineStr">
        <is>
          <t>IRAM 3534 · IRAM 3541 cap. 5</t>
        </is>
      </c>
      <c r="N339" s="25" t="inlineStr">
        <is>
          <t>P</t>
        </is>
      </c>
      <c r="O339" s="25" t="inlineStr">
        <is>
          <t>FL_DES_AFFF_50l</t>
        </is>
      </c>
      <c r="P339" s="12" t="inlineStr">
        <is>
          <t>IRAM 3534</t>
        </is>
      </c>
    </row>
    <row r="340">
      <c r="A340" s="25" t="inlineStr">
        <is>
          <t>FL_MAT_AFFF_50l</t>
        </is>
      </c>
      <c r="B340" s="25" t="n">
        <v>2</v>
      </c>
      <c r="C340" s="25" t="inlineStr">
        <is>
          <t>AFFF50-28</t>
        </is>
      </c>
      <c r="D340" s="12" t="inlineStr">
        <is>
          <t xml:space="preserve">        Oblea de fabricación (PBA)</t>
        </is>
      </c>
      <c r="E340" s="25" t="n">
        <v>1</v>
      </c>
      <c r="F340" s="25" t="inlineStr">
        <is>
          <t>u</t>
        </is>
      </c>
      <c r="G340" s="26" t="n">
        <v>0.0009</v>
      </c>
      <c r="H340" s="26">
        <f>E340*G340</f>
        <v/>
      </c>
      <c r="I340" s="25" t="inlineStr">
        <is>
          <t>Papel de seguridad autodestructible</t>
        </is>
      </c>
      <c r="J340" s="12" t="inlineStr">
        <is>
          <t>Ø46 (Res. OPDS 522/07), numerada, autodestructible</t>
        </is>
      </c>
      <c r="K340" s="25" t="inlineStr">
        <is>
          <t>Compra</t>
        </is>
      </c>
      <c r="L340" s="12" t="inlineStr">
        <is>
          <t>22 Etiquetado (T07)</t>
        </is>
      </c>
      <c r="M340" s="12" t="inlineStr">
        <is>
          <t>Res. OPDS 522/07 anexos 1, 2 y 6</t>
        </is>
      </c>
      <c r="N340" s="25" t="inlineStr">
        <is>
          <t>P</t>
        </is>
      </c>
      <c r="O340" s="25" t="inlineStr">
        <is>
          <t>FL_DES_AFFF_50l</t>
        </is>
      </c>
      <c r="P340" s="12" t="inlineStr">
        <is>
          <t>Res. 522/07</t>
        </is>
      </c>
    </row>
    <row r="341">
      <c r="A341" s="25" t="inlineStr">
        <is>
          <t>FL_MAT_AFFF_50l</t>
        </is>
      </c>
      <c r="B341" s="25" t="n">
        <v>2</v>
      </c>
      <c r="C341" s="25" t="inlineStr">
        <is>
          <t>AFFF50-29</t>
        </is>
      </c>
      <c r="D341" s="12" t="inlineStr">
        <is>
          <t xml:space="preserve">        Estampilla IRAM de conformidad</t>
        </is>
      </c>
      <c r="E341" s="25" t="n">
        <v>1</v>
      </c>
      <c r="F341" s="25" t="inlineStr">
        <is>
          <t>u</t>
        </is>
      </c>
      <c r="G341" s="26" t="n">
        <v>0.001</v>
      </c>
      <c r="H341" s="26">
        <f>E341*G341</f>
        <v/>
      </c>
      <c r="I341" s="25" t="inlineStr">
        <is>
          <t>Provista por IRAM (Anexo R)</t>
        </is>
      </c>
      <c r="J341" s="12" t="inlineStr">
        <is>
          <t>60 × 40</t>
        </is>
      </c>
      <c r="K341" s="25" t="inlineStr">
        <is>
          <t>Compra</t>
        </is>
      </c>
      <c r="L341" s="12" t="inlineStr">
        <is>
          <t>22 Etiquetado (T07)</t>
        </is>
      </c>
      <c r="M341" s="12" t="inlineStr">
        <is>
          <t>IRAM Anexo R (DC-PG-129)</t>
        </is>
      </c>
      <c r="N341" s="25" t="inlineStr">
        <is>
          <t>P</t>
        </is>
      </c>
      <c r="O341" s="25" t="inlineStr">
        <is>
          <t>FL_DES_AFFF_50l</t>
        </is>
      </c>
      <c r="P341" s="12" t="inlineStr">
        <is>
          <t>numerada</t>
        </is>
      </c>
    </row>
    <row r="342">
      <c r="A342" s="25" t="inlineStr">
        <is>
          <t>FL_MAT_AFFF_50l</t>
        </is>
      </c>
      <c r="B342" s="25" t="n">
        <v>2</v>
      </c>
      <c r="C342" s="25" t="inlineStr">
        <is>
          <t>AFFF50-31</t>
        </is>
      </c>
      <c r="D342" s="12" t="inlineStr">
        <is>
          <t xml:space="preserve">        Precinto de fábrica</t>
        </is>
      </c>
      <c r="E342" s="25" t="n">
        <v>1</v>
      </c>
      <c r="F342" s="25" t="inlineStr">
        <is>
          <t>u</t>
        </is>
      </c>
      <c r="G342" s="26" t="n">
        <v>0.0002</v>
      </c>
      <c r="H342" s="26">
        <f>E342*G342</f>
        <v/>
      </c>
      <c r="I342" s="25" t="inlineStr">
        <is>
          <t>Polipropileno</t>
        </is>
      </c>
      <c r="J342" s="12" t="inlineStr">
        <is>
          <t>Ø5 × 10, numerado, rotura 30-50 N</t>
        </is>
      </c>
      <c r="K342" s="25" t="inlineStr">
        <is>
          <t>Compra</t>
        </is>
      </c>
      <c r="L342" s="12" t="inlineStr">
        <is>
          <t>20 Presurización (T05)</t>
        </is>
      </c>
      <c r="M342" s="12" t="inlineStr">
        <is>
          <t>IRAM 3523 3.3.2 · IRAM 3517-2:2020 9.4.13</t>
        </is>
      </c>
      <c r="N342" s="25" t="inlineStr">
        <is>
          <t>P</t>
        </is>
      </c>
      <c r="O342" s="25" t="inlineStr">
        <is>
          <t>FL_DES_AFFF_50l</t>
        </is>
      </c>
      <c r="P342" s="12" t="inlineStr">
        <is>
          <t>id. FLAMA y lote</t>
        </is>
      </c>
    </row>
    <row r="343">
      <c r="A343" s="25" t="inlineStr">
        <is>
          <t>FL_MAT_AFFF_50l</t>
        </is>
      </c>
      <c r="B343" s="25" t="n">
        <v>2</v>
      </c>
      <c r="C343" s="25" t="inlineStr">
        <is>
          <t>AFFF50-I3</t>
        </is>
      </c>
      <c r="D343" s="12" t="inlineStr">
        <is>
          <t xml:space="preserve">        Tarjeta oficial de vigencia (CABA)</t>
        </is>
      </c>
      <c r="E343" s="25" t="n">
        <v>1</v>
      </c>
      <c r="F343" s="25" t="inlineStr">
        <is>
          <t>u</t>
        </is>
      </c>
      <c r="G343" s="26" t="n">
        <v>0.002</v>
      </c>
      <c r="H343" s="26">
        <f>E343*G343</f>
        <v/>
      </c>
      <c r="I343" s="25" t="inlineStr">
        <is>
          <t>Formulario oficial</t>
        </is>
      </c>
      <c r="J343" s="12" t="inlineStr">
        <is>
          <t>provista por DG Rentas GCBA</t>
        </is>
      </c>
      <c r="K343" s="25" t="inlineStr">
        <is>
          <t>Compra</t>
        </is>
      </c>
      <c r="L343" s="12" t="inlineStr">
        <is>
          <t>22 Etiquetado</t>
        </is>
      </c>
      <c r="M343" s="12" t="inlineStr">
        <is>
          <t>Ordenanza 40.473 art. 6</t>
        </is>
      </c>
      <c r="N343" s="25" t="inlineStr">
        <is>
          <t>N</t>
        </is>
      </c>
      <c r="O343" s="25" t="n"/>
      <c r="P343" s="12" t="inlineStr">
        <is>
          <t>Clase, capacidad, fecha de carga y vencimiento, garantía; se anexa al matafuego (no se dibuja)</t>
        </is>
      </c>
    </row>
    <row r="344">
      <c r="A344" s="22" t="inlineStr">
        <is>
          <t>FL_MAT_AFFF_50l</t>
        </is>
      </c>
      <c r="B344" s="22" t="n">
        <v>1</v>
      </c>
      <c r="C344" s="22" t="inlineStr">
        <is>
          <t>AFFF50-S7</t>
        </is>
      </c>
      <c r="D344" s="23" t="inlineStr">
        <is>
          <t xml:space="preserve">    Embalaje</t>
        </is>
      </c>
      <c r="E344" s="22" t="n">
        <v>1</v>
      </c>
      <c r="F344" s="22" t="inlineStr">
        <is>
          <t>u</t>
        </is>
      </c>
      <c r="G344" s="24" t="n"/>
      <c r="H344" s="24">
        <f>H345+H346+H347+H348</f>
        <v/>
      </c>
      <c r="I344" s="22" t="n"/>
      <c r="J344" s="23" t="n"/>
      <c r="K344" s="22" t="inlineStr">
        <is>
          <t>Compra</t>
        </is>
      </c>
      <c r="L344" s="23" t="inlineStr">
        <is>
          <t>23 Embalaje -&gt; 24 envolvedora (T11)</t>
        </is>
      </c>
      <c r="M344" s="23" t="n"/>
      <c r="N344" s="22" t="n"/>
      <c r="O344" s="22" t="n"/>
      <c r="P344" s="23" t="n"/>
    </row>
    <row r="345">
      <c r="A345" s="25" t="inlineStr">
        <is>
          <t>FL_MAT_AFFF_50l</t>
        </is>
      </c>
      <c r="B345" s="25" t="n">
        <v>2</v>
      </c>
      <c r="C345" s="25" t="inlineStr">
        <is>
          <t>AFFF50-E1</t>
        </is>
      </c>
      <c r="D345" s="12" t="inlineStr">
        <is>
          <t xml:space="preserve">        Esquineros y funda de polietileno</t>
        </is>
      </c>
      <c r="E345" s="25" t="n">
        <v>1</v>
      </c>
      <c r="F345" s="25" t="inlineStr">
        <is>
          <t>jgo</t>
        </is>
      </c>
      <c r="G345" s="26" t="n">
        <v>0.3</v>
      </c>
      <c r="H345" s="26">
        <f>E345*G345</f>
        <v/>
      </c>
      <c r="I345" s="25" t="inlineStr">
        <is>
          <t>PE / cartón</t>
        </is>
      </c>
      <c r="J345" s="12" t="inlineStr">
        <is>
          <t>a medida</t>
        </is>
      </c>
      <c r="K345" s="25" t="inlineStr">
        <is>
          <t>Compra</t>
        </is>
      </c>
      <c r="L345" s="12" t="inlineStr">
        <is>
          <t>23 Embalaje</t>
        </is>
      </c>
      <c r="M345" s="12" t="n"/>
      <c r="N345" s="25" t="inlineStr">
        <is>
          <t>R</t>
        </is>
      </c>
      <c r="O345" s="25" t="n"/>
      <c r="P345" s="12" t="n"/>
    </row>
    <row r="346">
      <c r="A346" s="25" t="inlineStr">
        <is>
          <t>FL_MAT_AFFF_50l</t>
        </is>
      </c>
      <c r="B346" s="25" t="n">
        <v>2</v>
      </c>
      <c r="C346" s="25" t="inlineStr">
        <is>
          <t>AFFF50-E3</t>
        </is>
      </c>
      <c r="D346" s="12" t="inlineStr">
        <is>
          <t xml:space="preserve">        Pallet 1200 × 1000 (fracción)</t>
        </is>
      </c>
      <c r="E346" s="25" t="n">
        <v>0.5</v>
      </c>
      <c r="F346" s="25" t="inlineStr">
        <is>
          <t>u</t>
        </is>
      </c>
      <c r="G346" s="26" t="n">
        <v>11</v>
      </c>
      <c r="H346" s="26">
        <f>E346*G346</f>
        <v/>
      </c>
      <c r="I346" s="25" t="inlineStr">
        <is>
          <t>Madera</t>
        </is>
      </c>
      <c r="J346" s="12" t="inlineStr">
        <is>
          <t>2 u por pallet</t>
        </is>
      </c>
      <c r="K346" s="25" t="inlineStr">
        <is>
          <t>Compra</t>
        </is>
      </c>
      <c r="L346" s="12" t="inlineStr">
        <is>
          <t>23 Embalaje</t>
        </is>
      </c>
      <c r="M346" s="12" t="n"/>
      <c r="N346" s="25" t="inlineStr">
        <is>
          <t>R</t>
        </is>
      </c>
      <c r="O346" s="25" t="n"/>
      <c r="P346" s="12" t="n"/>
    </row>
    <row r="347">
      <c r="A347" s="25" t="inlineStr">
        <is>
          <t>FL_MAT_AFFF_50l</t>
        </is>
      </c>
      <c r="B347" s="25" t="n">
        <v>2</v>
      </c>
      <c r="C347" s="25" t="inlineStr">
        <is>
          <t>AFFF50-E4</t>
        </is>
      </c>
      <c r="D347" s="12" t="inlineStr">
        <is>
          <t xml:space="preserve">        Film stretch (fracción del pallet)</t>
        </is>
      </c>
      <c r="E347" s="25" t="n">
        <v>0.175</v>
      </c>
      <c r="F347" s="25" t="inlineStr">
        <is>
          <t>kg</t>
        </is>
      </c>
      <c r="G347" s="26" t="n">
        <v>1</v>
      </c>
      <c r="H347" s="26">
        <f>E347*G347</f>
        <v/>
      </c>
      <c r="I347" s="25" t="inlineStr">
        <is>
          <t>PE lineal 23 µm</t>
        </is>
      </c>
      <c r="J347" s="12" t="inlineStr">
        <is>
          <t>envolvedora EDOS PS5</t>
        </is>
      </c>
      <c r="K347" s="25" t="inlineStr">
        <is>
          <t>Compra</t>
        </is>
      </c>
      <c r="L347" s="12" t="inlineStr">
        <is>
          <t>24 Envolvedora (T11)</t>
        </is>
      </c>
      <c r="M347" s="12" t="n"/>
      <c r="N347" s="25" t="inlineStr">
        <is>
          <t>R</t>
        </is>
      </c>
      <c r="O347" s="25" t="n"/>
      <c r="P347" s="12" t="n"/>
    </row>
    <row r="348">
      <c r="A348" s="25" t="inlineStr">
        <is>
          <t>FL_MAT_AFFF_50l</t>
        </is>
      </c>
      <c r="B348" s="25" t="n">
        <v>2</v>
      </c>
      <c r="C348" s="25" t="inlineStr">
        <is>
          <t>AFFF50-E5</t>
        </is>
      </c>
      <c r="D348" s="12" t="inlineStr">
        <is>
          <t xml:space="preserve">        Etiqueta de pallet (lote y destino, fracción)</t>
        </is>
      </c>
      <c r="E348" s="25" t="n">
        <v>0.5</v>
      </c>
      <c r="F348" s="25" t="inlineStr">
        <is>
          <t>u</t>
        </is>
      </c>
      <c r="G348" s="26" t="n">
        <v>0</v>
      </c>
      <c r="H348" s="26">
        <f>E348*G348</f>
        <v/>
      </c>
      <c r="I348" s="25" t="inlineStr">
        <is>
          <t>Papel térmico</t>
        </is>
      </c>
      <c r="J348" s="12" t="inlineStr">
        <is>
          <t>100 × 150</t>
        </is>
      </c>
      <c r="K348" s="25" t="inlineStr">
        <is>
          <t>Compra</t>
        </is>
      </c>
      <c r="L348" s="12" t="inlineStr">
        <is>
          <t>24 Envolvedora</t>
        </is>
      </c>
      <c r="M348" s="12" t="n"/>
      <c r="N348" s="25" t="inlineStr">
        <is>
          <t>R</t>
        </is>
      </c>
      <c r="O348" s="25" t="n"/>
      <c r="P348" s="12" t="n"/>
    </row>
    <row r="349">
      <c r="A349" s="19" t="inlineStr">
        <is>
          <t>FL_MAT_BC_5kg</t>
        </is>
      </c>
      <c r="B349" s="19" t="n">
        <v>0</v>
      </c>
      <c r="C349" s="19" t="inlineStr">
        <is>
          <t>FL_MAT_BC_5kg</t>
        </is>
      </c>
      <c r="D349" s="20" t="inlineStr">
        <is>
          <t>Extintor BC 5 kg</t>
        </is>
      </c>
      <c r="E349" s="19" t="n">
        <v>1</v>
      </c>
      <c r="F349" s="19" t="inlineStr">
        <is>
          <t>u</t>
        </is>
      </c>
      <c r="G349" s="21" t="n"/>
      <c r="H349" s="21" t="n"/>
      <c r="I349" s="19" t="n"/>
      <c r="J349" s="20" t="n"/>
      <c r="K349" s="19" t="n"/>
      <c r="L349" s="20" t="n"/>
      <c r="M349" s="20" t="inlineStr">
        <is>
          <t>IRAM 3523</t>
        </is>
      </c>
      <c r="N349" s="19" t="inlineStr">
        <is>
          <t>P</t>
        </is>
      </c>
      <c r="O349" s="19" t="inlineStr">
        <is>
          <t>FL_MAT_BC_5kg</t>
        </is>
      </c>
      <c r="P349" s="20" t="inlineStr">
        <is>
          <t>Fabricación propia</t>
        </is>
      </c>
    </row>
    <row r="350">
      <c r="A350" s="22" t="inlineStr">
        <is>
          <t>FL_MAT_BC_5kg</t>
        </is>
      </c>
      <c r="B350" s="22" t="n">
        <v>1</v>
      </c>
      <c r="C350" s="22" t="inlineStr">
        <is>
          <t>BC5-S1</t>
        </is>
      </c>
      <c r="D350" s="23" t="inlineStr">
        <is>
          <t xml:space="preserve">    Recipiente (cilindro)</t>
        </is>
      </c>
      <c r="E350" s="22" t="n">
        <v>1</v>
      </c>
      <c r="F350" s="22" t="inlineStr">
        <is>
          <t>u</t>
        </is>
      </c>
      <c r="G350" s="24" t="n"/>
      <c r="H350" s="24">
        <f>H351+H353+H355+H357+H359+H362</f>
        <v/>
      </c>
      <c r="I350" s="22" t="n"/>
      <c r="J350" s="23" t="n"/>
      <c r="K350" s="22" t="inlineStr">
        <is>
          <t>Fabricación</t>
        </is>
      </c>
      <c r="L350" s="23" t="n"/>
      <c r="M350" s="23" t="inlineStr">
        <is>
          <t>IRAM 3523 / 3550 (recipiente)</t>
        </is>
      </c>
      <c r="N350" s="22" t="inlineStr">
        <is>
          <t>P</t>
        </is>
      </c>
      <c r="O350" s="22" t="inlineStr">
        <is>
          <t>FL_DES_BC_5kg</t>
        </is>
      </c>
      <c r="P350" s="23" t="n"/>
    </row>
    <row r="351">
      <c r="A351" s="25" t="inlineStr">
        <is>
          <t>FL_MAT_BC_5kg</t>
        </is>
      </c>
      <c r="B351" s="25" t="n">
        <v>2</v>
      </c>
      <c r="C351" s="25" t="inlineStr">
        <is>
          <t>BC5-01</t>
        </is>
      </c>
      <c r="D351" s="12" t="inlineStr">
        <is>
          <t xml:space="preserve">        Cuerpo (virola)</t>
        </is>
      </c>
      <c r="E351" s="25" t="n">
        <v>1</v>
      </c>
      <c r="F351" s="25" t="inlineStr">
        <is>
          <t>u</t>
        </is>
      </c>
      <c r="G351" s="26" t="n">
        <v>1.9203</v>
      </c>
      <c r="H351" s="26">
        <f>E351*G351</f>
        <v/>
      </c>
      <c r="I351" s="25" t="inlineStr">
        <is>
          <t>Chapa acero SAE 1010 e=1,6</t>
        </is>
      </c>
      <c r="J351" s="12" t="inlineStr">
        <is>
          <t>Ø153 × e1,6 × 321,4 de alto; desarrollo 475,6 × 321,4</t>
        </is>
      </c>
      <c r="K351" s="25" t="inlineStr">
        <is>
          <t>Fabricación</t>
        </is>
      </c>
      <c r="L351" s="12" t="inlineStr">
        <is>
          <t>1 Guillotina -&gt; 2 numerado -&gt; 3 cilindrado -&gt; 4 soldadura longitudinal</t>
        </is>
      </c>
      <c r="M351" s="12" t="n"/>
      <c r="N351" s="25" t="inlineStr">
        <is>
          <t>P</t>
        </is>
      </c>
      <c r="O351" s="25" t="inlineStr">
        <is>
          <t>FL_DES_BC_5kg</t>
        </is>
      </c>
      <c r="P351" s="12" t="inlineStr">
        <is>
          <t>costura long. MIG</t>
        </is>
      </c>
    </row>
    <row r="352">
      <c r="A352" s="27" t="inlineStr">
        <is>
          <t>FL_MAT_BC_5kg</t>
        </is>
      </c>
      <c r="B352" s="27" t="n">
        <v>3</v>
      </c>
      <c r="C352" s="27" t="inlineStr">
        <is>
          <t>MP-HOJA</t>
        </is>
      </c>
      <c r="D352" s="28" t="inlineStr">
        <is>
          <t xml:space="preserve">            Recorte de hoja LAF 1000 × 2000 e=1,6</t>
        </is>
      </c>
      <c r="E352" s="27" t="n">
        <v>1</v>
      </c>
      <c r="F352" s="27" t="inlineStr">
        <is>
          <t>u</t>
        </is>
      </c>
      <c r="G352" s="29" t="n">
        <v>2.092</v>
      </c>
      <c r="H352" s="29">
        <f>E352*G352</f>
        <v/>
      </c>
      <c r="I352" s="27" t="inlineStr">
        <is>
          <t>Chapa SAE 1010 LAF</t>
        </is>
      </c>
      <c r="J352" s="28" t="inlineStr">
        <is>
          <t>330 × 474,5 (aprovech. 94 %)</t>
        </is>
      </c>
      <c r="K352" s="27" t="inlineStr">
        <is>
          <t>Compra (Pradecon)</t>
        </is>
      </c>
      <c r="L352" s="28" t="inlineStr">
        <is>
          <t>AL-1H paquetes de hojas</t>
        </is>
      </c>
      <c r="M352" s="28" t="n"/>
      <c r="N352" s="27" t="inlineStr">
        <is>
          <t>L</t>
        </is>
      </c>
      <c r="O352" s="27" t="inlineStr">
        <is>
          <t>FL_PI_04 h2</t>
        </is>
      </c>
      <c r="P352" s="28" t="n"/>
    </row>
    <row r="353">
      <c r="A353" s="25" t="inlineStr">
        <is>
          <t>FL_MAT_BC_5kg</t>
        </is>
      </c>
      <c r="B353" s="25" t="n">
        <v>2</v>
      </c>
      <c r="C353" s="25" t="inlineStr">
        <is>
          <t>BC5-02</t>
        </is>
      </c>
      <c r="D353" s="12" t="inlineStr">
        <is>
          <t xml:space="preserve">        Cúpula</t>
        </is>
      </c>
      <c r="E353" s="25" t="n">
        <v>1</v>
      </c>
      <c r="F353" s="25" t="inlineStr">
        <is>
          <t>u</t>
        </is>
      </c>
      <c r="G353" s="26" t="n">
        <v>0.3505</v>
      </c>
      <c r="H353" s="26">
        <f>E353*G353</f>
        <v/>
      </c>
      <c r="I353" s="25" t="inlineStr">
        <is>
          <t>Chapa acero SAE 1010 e=1,6</t>
        </is>
      </c>
      <c r="J353" s="12" t="inlineStr">
        <is>
          <t>Ø153 × e1,6 × 53,1 de alto; disco Ø221</t>
        </is>
      </c>
      <c r="K353" s="25" t="inlineStr">
        <is>
          <t>Fabricación</t>
        </is>
      </c>
      <c r="L353" s="12" t="inlineStr">
        <is>
          <t>6 Desbobinado + embutido (M06-M08)</t>
        </is>
      </c>
      <c r="M353" s="12" t="n"/>
      <c r="N353" s="25" t="inlineStr">
        <is>
          <t>P</t>
        </is>
      </c>
      <c r="O353" s="25" t="inlineStr">
        <is>
          <t>FL_DES_BC_5kg</t>
        </is>
      </c>
      <c r="P353" s="12" t="inlineStr">
        <is>
          <t>embutida</t>
        </is>
      </c>
    </row>
    <row r="354">
      <c r="A354" s="27" t="inlineStr">
        <is>
          <t>FL_MAT_BC_5kg</t>
        </is>
      </c>
      <c r="B354" s="27" t="n">
        <v>3</v>
      </c>
      <c r="C354" s="27" t="inlineStr">
        <is>
          <t>MP-FLEJE</t>
        </is>
      </c>
      <c r="D354" s="28" t="inlineStr">
        <is>
          <t xml:space="preserve">            Fleje e=1,6 × 250 (paso 224)</t>
        </is>
      </c>
      <c r="E354" s="27" t="n">
        <v>0.224</v>
      </c>
      <c r="F354" s="27" t="inlineStr">
        <is>
          <t>m</t>
        </is>
      </c>
      <c r="G354" s="29" t="n">
        <v>3.14</v>
      </c>
      <c r="H354" s="29">
        <f>E354*G354</f>
        <v/>
      </c>
      <c r="I354" s="27" t="inlineStr">
        <is>
          <t>Fleje SAE 1010</t>
        </is>
      </c>
      <c r="J354" s="28" t="inlineStr">
        <is>
          <t>disco Ø221 (kg por m de fleje)</t>
        </is>
      </c>
      <c r="K354" s="27" t="inlineStr">
        <is>
          <t>Compra (Pacheco / Pradecon)</t>
        </is>
      </c>
      <c r="L354" s="28" t="inlineStr">
        <is>
          <t>AL-1F porta-flejes</t>
        </is>
      </c>
      <c r="M354" s="28" t="n"/>
      <c r="N354" s="27" t="inlineStr">
        <is>
          <t>L</t>
        </is>
      </c>
      <c r="O354" s="27" t="inlineStr">
        <is>
          <t>FL_PI_04 h2</t>
        </is>
      </c>
      <c r="P354" s="28" t="n"/>
    </row>
    <row r="355">
      <c r="A355" s="25" t="inlineStr">
        <is>
          <t>FL_MAT_BC_5kg</t>
        </is>
      </c>
      <c r="B355" s="25" t="n">
        <v>2</v>
      </c>
      <c r="C355" s="25" t="inlineStr">
        <is>
          <t>BC5-03</t>
        </is>
      </c>
      <c r="D355" s="12" t="inlineStr">
        <is>
          <t xml:space="preserve">        Fondo</t>
        </is>
      </c>
      <c r="E355" s="25" t="n">
        <v>1</v>
      </c>
      <c r="F355" s="25" t="inlineStr">
        <is>
          <t>u</t>
        </is>
      </c>
      <c r="G355" s="26" t="n">
        <v>0.2214</v>
      </c>
      <c r="H355" s="26">
        <f>E355*G355</f>
        <v/>
      </c>
      <c r="I355" s="25" t="inlineStr">
        <is>
          <t>Chapa acero SAE 1010 e=1,6</t>
        </is>
      </c>
      <c r="J355" s="12" t="inlineStr">
        <is>
          <t>Ø153 × e1,6 × 17,6 de alto; disco Ø177</t>
        </is>
      </c>
      <c r="K355" s="25" t="inlineStr">
        <is>
          <t>Fabricación</t>
        </is>
      </c>
      <c r="L355" s="12" t="inlineStr">
        <is>
          <t>6 Desbobinado + embutido (M06-M08)</t>
        </is>
      </c>
      <c r="M355" s="12" t="n"/>
      <c r="N355" s="25" t="inlineStr">
        <is>
          <t>P</t>
        </is>
      </c>
      <c r="O355" s="25" t="inlineStr">
        <is>
          <t>FL_DES_BC_5kg</t>
        </is>
      </c>
      <c r="P355" s="12" t="inlineStr">
        <is>
          <t>embutido</t>
        </is>
      </c>
    </row>
    <row r="356">
      <c r="A356" s="27" t="inlineStr">
        <is>
          <t>FL_MAT_BC_5kg</t>
        </is>
      </c>
      <c r="B356" s="27" t="n">
        <v>3</v>
      </c>
      <c r="C356" s="27" t="inlineStr">
        <is>
          <t>MP-FLEJE</t>
        </is>
      </c>
      <c r="D356" s="28" t="inlineStr">
        <is>
          <t xml:space="preserve">            Fleje e=1,6 × 200 (paso 180)</t>
        </is>
      </c>
      <c r="E356" s="27" t="n">
        <v>0.18</v>
      </c>
      <c r="F356" s="27" t="inlineStr">
        <is>
          <t>m</t>
        </is>
      </c>
      <c r="G356" s="29" t="n">
        <v>2.512</v>
      </c>
      <c r="H356" s="29">
        <f>E356*G356</f>
        <v/>
      </c>
      <c r="I356" s="27" t="inlineStr">
        <is>
          <t>Fleje SAE 1010</t>
        </is>
      </c>
      <c r="J356" s="28" t="inlineStr">
        <is>
          <t>disco Ø177 (kg por m de fleje)</t>
        </is>
      </c>
      <c r="K356" s="27" t="inlineStr">
        <is>
          <t>Compra (Pacheco / Pradecon)</t>
        </is>
      </c>
      <c r="L356" s="28" t="inlineStr">
        <is>
          <t>AL-1F porta-flejes</t>
        </is>
      </c>
      <c r="M356" s="28" t="n"/>
      <c r="N356" s="27" t="inlineStr">
        <is>
          <t>L</t>
        </is>
      </c>
      <c r="O356" s="27" t="inlineStr">
        <is>
          <t>FL_PI_04 h2</t>
        </is>
      </c>
      <c r="P356" s="28" t="n"/>
    </row>
    <row r="357">
      <c r="A357" s="25" t="inlineStr">
        <is>
          <t>FL_MAT_BC_5kg</t>
        </is>
      </c>
      <c r="B357" s="25" t="n">
        <v>2</v>
      </c>
      <c r="C357" s="25" t="inlineStr">
        <is>
          <t>BC5-04</t>
        </is>
      </c>
      <c r="D357" s="12" t="inlineStr">
        <is>
          <t xml:space="preserve">        Cuello roscado</t>
        </is>
      </c>
      <c r="E357" s="25" t="n">
        <v>1</v>
      </c>
      <c r="F357" s="25" t="inlineStr">
        <is>
          <t>u</t>
        </is>
      </c>
      <c r="G357" s="26" t="n">
        <v>0.0589</v>
      </c>
      <c r="H357" s="26">
        <f>E357*G357</f>
        <v/>
      </c>
      <c r="I357" s="25" t="inlineStr">
        <is>
          <t>Acero SAE 1010</t>
        </is>
      </c>
      <c r="J357" s="12" t="inlineStr">
        <is>
          <t>Ø37 × 15 de alto, rosca M30x1,5, asiento Ø35</t>
        </is>
      </c>
      <c r="K357" s="25" t="inlineStr">
        <is>
          <t>Fabricación</t>
        </is>
      </c>
      <c r="L357" s="12" t="inlineStr">
        <is>
          <t>7 Preparación de cuello -&gt; 8 soldadura de cuello</t>
        </is>
      </c>
      <c r="M357" s="12" t="n"/>
      <c r="N357" s="25" t="inlineStr">
        <is>
          <t>P</t>
        </is>
      </c>
      <c r="O357" s="25" t="inlineStr">
        <is>
          <t>FL_DES_BC_5kg</t>
        </is>
      </c>
      <c r="P357" s="12" t="inlineStr">
        <is>
          <t>M30x1,5</t>
        </is>
      </c>
    </row>
    <row r="358">
      <c r="A358" s="27" t="inlineStr">
        <is>
          <t>FL_MAT_BC_5kg</t>
        </is>
      </c>
      <c r="B358" s="27" t="n">
        <v>3</v>
      </c>
      <c r="C358" s="27" t="inlineStr">
        <is>
          <t>MP-CUELLO</t>
        </is>
      </c>
      <c r="D358" s="28" t="inlineStr">
        <is>
          <t xml:space="preserve">            Cuello roscado mecanizado (pieza comprada lista para soldar)</t>
        </is>
      </c>
      <c r="E358" s="27" t="n">
        <v>1</v>
      </c>
      <c r="F358" s="27" t="inlineStr">
        <is>
          <t>u</t>
        </is>
      </c>
      <c r="G358" s="29" t="n">
        <v>0.059</v>
      </c>
      <c r="H358" s="29">
        <f>E358*G358</f>
        <v/>
      </c>
      <c r="I358" s="27" t="inlineStr">
        <is>
          <t>Acero SAE 1010 / 1020</t>
        </is>
      </c>
      <c r="J358" s="28" t="inlineStr">
        <is>
          <t>rosca M30x1,5</t>
        </is>
      </c>
      <c r="K358" s="27" t="inlineStr">
        <is>
          <t>Compra (Eli-Met)</t>
        </is>
      </c>
      <c r="L358" s="28" t="inlineStr">
        <is>
          <t>AL-1C cuellos y roscas</t>
        </is>
      </c>
      <c r="M358" s="28" t="n"/>
      <c r="N358" s="27" t="inlineStr">
        <is>
          <t>L</t>
        </is>
      </c>
      <c r="O358" s="27" t="n"/>
      <c r="P358" s="28" t="n"/>
    </row>
    <row r="359">
      <c r="A359" s="25" t="inlineStr">
        <is>
          <t>FL_MAT_BC_5kg</t>
        </is>
      </c>
      <c r="B359" s="25" t="n">
        <v>2</v>
      </c>
      <c r="C359" s="25" t="inlineStr">
        <is>
          <t>BC5-C1</t>
        </is>
      </c>
      <c r="D359" s="12" t="inlineStr">
        <is>
          <t xml:space="preserve">        Aporte de soldadura: Alambre MAG ER70S-6 Ø0,9/1,2</t>
        </is>
      </c>
      <c r="E359" s="25" t="n">
        <v>0.0571</v>
      </c>
      <c r="F359" s="25" t="inlineStr">
        <is>
          <t>kg</t>
        </is>
      </c>
      <c r="G359" s="26" t="n">
        <v>0.92</v>
      </c>
      <c r="H359" s="26">
        <f>E359*G359</f>
        <v/>
      </c>
      <c r="I359" s="25" t="inlineStr">
        <is>
          <t>Alambre MAG ER70S-6 Ø0,9/1,2</t>
        </is>
      </c>
      <c r="J359" s="12" t="inlineStr">
        <is>
          <t>cordones del plano: 53 g depositados (rend. 92 %)</t>
        </is>
      </c>
      <c r="K359" s="25" t="inlineStr">
        <is>
          <t>Compra</t>
        </is>
      </c>
      <c r="L359" s="12" t="inlineStr">
        <is>
          <t>4 sold. long. / 8 cuello / 11 circunferencial</t>
        </is>
      </c>
      <c r="M359" s="12" t="inlineStr">
        <is>
          <t>ISO 4063 131 / 141</t>
        </is>
      </c>
      <c r="N359" s="25" t="inlineStr">
        <is>
          <t>P</t>
        </is>
      </c>
      <c r="O359" s="25" t="n"/>
      <c r="P359" s="12" t="n"/>
    </row>
    <row r="360">
      <c r="A360" s="25" t="inlineStr">
        <is>
          <t>FL_MAT_BC_5kg</t>
        </is>
      </c>
      <c r="B360" s="25" t="n">
        <v>2</v>
      </c>
      <c r="C360" s="25" t="inlineStr">
        <is>
          <t>BC5-C2</t>
        </is>
      </c>
      <c r="D360" s="12" t="inlineStr">
        <is>
          <t xml:space="preserve">        Gas de protección: Arcal 21 (Ar + 18 % CO₂)</t>
        </is>
      </c>
      <c r="E360" s="25" t="n">
        <v>25.7</v>
      </c>
      <c r="F360" s="25" t="inlineStr">
        <is>
          <t>L</t>
        </is>
      </c>
      <c r="G360" s="26" t="n"/>
      <c r="H360" s="26" t="n"/>
      <c r="I360" s="25" t="inlineStr">
        <is>
          <t>Arcal 21 (Ar + 18 % CO₂)</t>
        </is>
      </c>
      <c r="J360" s="12" t="inlineStr">
        <is>
          <t>1,7 min de arco × 15 L/min</t>
        </is>
      </c>
      <c r="K360" s="25" t="inlineStr">
        <is>
          <t>Compra</t>
        </is>
      </c>
      <c r="L360" s="12" t="inlineStr">
        <is>
          <t>Colector SC</t>
        </is>
      </c>
      <c r="M360" s="12" t="n"/>
      <c r="N360" s="25" t="inlineStr">
        <is>
          <t>R</t>
        </is>
      </c>
      <c r="O360" s="25" t="n"/>
      <c r="P360" s="12" t="n"/>
    </row>
    <row r="361">
      <c r="A361" s="25" t="inlineStr">
        <is>
          <t>FL_MAT_BC_5kg</t>
        </is>
      </c>
      <c r="B361" s="25" t="n">
        <v>2</v>
      </c>
      <c r="C361" s="25" t="inlineStr">
        <is>
          <t>BC5-C3</t>
        </is>
      </c>
      <c r="D361" s="12" t="inlineStr">
        <is>
          <t xml:space="preserve">        Granalla de acero (consumo)</t>
        </is>
      </c>
      <c r="E361" s="25" t="n">
        <v>0.016</v>
      </c>
      <c r="F361" s="25" t="inlineStr">
        <is>
          <t>kg</t>
        </is>
      </c>
      <c r="G361" s="26" t="n"/>
      <c r="H361" s="26" t="n"/>
      <c r="I361" s="25" t="inlineStr">
        <is>
          <t>Granalla S-230</t>
        </is>
      </c>
      <c r="J361" s="12" t="inlineStr">
        <is>
          <t>0,198 m² a Sa 2½</t>
        </is>
      </c>
      <c r="K361" s="25" t="inlineStr">
        <is>
          <t>Compra</t>
        </is>
      </c>
      <c r="L361" s="12" t="inlineStr">
        <is>
          <t>14 Granallado (B08)</t>
        </is>
      </c>
      <c r="M361" s="12" t="inlineStr">
        <is>
          <t>ISO 8501-1</t>
        </is>
      </c>
      <c r="N361" s="25" t="inlineStr">
        <is>
          <t>R</t>
        </is>
      </c>
      <c r="O361" s="25" t="n"/>
      <c r="P361" s="12" t="n"/>
    </row>
    <row r="362">
      <c r="A362" s="25" t="inlineStr">
        <is>
          <t>FL_MAT_BC_5kg</t>
        </is>
      </c>
      <c r="B362" s="25" t="n">
        <v>2</v>
      </c>
      <c r="C362" s="25" t="inlineStr">
        <is>
          <t>BC5-C4</t>
        </is>
      </c>
      <c r="D362" s="12" t="inlineStr">
        <is>
          <t xml:space="preserve">        Pintura en polvo poliéster rojo</t>
        </is>
      </c>
      <c r="E362" s="25" t="n">
        <v>0.037</v>
      </c>
      <c r="F362" s="25" t="inlineStr">
        <is>
          <t>kg</t>
        </is>
      </c>
      <c r="G362" s="26" t="n">
        <v>0.65</v>
      </c>
      <c r="H362" s="26">
        <f>E362*G362</f>
        <v/>
      </c>
      <c r="I362" s="25" t="inlineStr">
        <is>
          <t>Poliéster rojo 03-1-050</t>
        </is>
      </c>
      <c r="J362" s="12" t="inlineStr">
        <is>
          <t>0,198 m² × 80 µm (60-100 µm), rendimiento 65 %</t>
        </is>
      </c>
      <c r="K362" s="25" t="inlineStr">
        <is>
          <t>Compra</t>
        </is>
      </c>
      <c r="L362" s="12" t="inlineStr">
        <is>
          <t>17 Pintura (S-P) / tercerizada en carros</t>
        </is>
      </c>
      <c r="M362" s="12" t="inlineStr">
        <is>
          <t>DOC-01 · IRAM 3517-2 9.10</t>
        </is>
      </c>
      <c r="N362" s="25" t="inlineStr">
        <is>
          <t>R</t>
        </is>
      </c>
      <c r="O362" s="25" t="n"/>
      <c r="P362" s="12" t="n"/>
    </row>
    <row r="363">
      <c r="A363" s="22" t="inlineStr">
        <is>
          <t>FL_MAT_BC_5kg</t>
        </is>
      </c>
      <c r="B363" s="22" t="n">
        <v>1</v>
      </c>
      <c r="C363" s="22" t="inlineStr">
        <is>
          <t>BC5-S2</t>
        </is>
      </c>
      <c r="D363" s="23" t="inlineStr">
        <is>
          <t xml:space="preserve">    Conjunto de válvula</t>
        </is>
      </c>
      <c r="E363" s="22" t="n">
        <v>1</v>
      </c>
      <c r="F363" s="22" t="inlineStr">
        <is>
          <t>u</t>
        </is>
      </c>
      <c r="G363" s="24" t="n"/>
      <c r="H363" s="24">
        <f>H364+H365+H366+H367+H368+H369+H370+H371+H372+H373+H374+H375+H376</f>
        <v/>
      </c>
      <c r="I363" s="22" t="n"/>
      <c r="J363" s="23" t="n"/>
      <c r="K363" s="22" t="inlineStr">
        <is>
          <t>Compra / armado</t>
        </is>
      </c>
      <c r="L363" s="23" t="n"/>
      <c r="M363" s="23" t="inlineStr">
        <is>
          <t>Manómetro IRAM 3533</t>
        </is>
      </c>
      <c r="N363" s="22" t="inlineStr">
        <is>
          <t>P</t>
        </is>
      </c>
      <c r="O363" s="22" t="inlineStr">
        <is>
          <t>FL_DES_BC_5kg</t>
        </is>
      </c>
      <c r="P363" s="23" t="n"/>
    </row>
    <row r="364">
      <c r="A364" s="25" t="inlineStr">
        <is>
          <t>FL_MAT_BC_5kg</t>
        </is>
      </c>
      <c r="B364" s="25" t="n">
        <v>2</v>
      </c>
      <c r="C364" s="25" t="inlineStr">
        <is>
          <t>BC5-05</t>
        </is>
      </c>
      <c r="D364" s="12" t="inlineStr">
        <is>
          <t xml:space="preserve">        Collarín de válvula</t>
        </is>
      </c>
      <c r="E364" s="25" t="n">
        <v>1</v>
      </c>
      <c r="F364" s="25" t="inlineStr">
        <is>
          <t>u</t>
        </is>
      </c>
      <c r="G364" s="26" t="n">
        <v>0.0833</v>
      </c>
      <c r="H364" s="26">
        <f>E364*G364</f>
        <v/>
      </c>
      <c r="I364" s="25" t="inlineStr">
        <is>
          <t>Latón forjado</t>
        </is>
      </c>
      <c r="J364" s="12" t="inlineStr">
        <is>
          <t>43 × 43 × 10</t>
        </is>
      </c>
      <c r="K364" s="25" t="inlineStr">
        <is>
          <t>Compra</t>
        </is>
      </c>
      <c r="L364" s="12" t="inlineStr">
        <is>
          <t>19 Ensamblaje de válvula (T03/T04)</t>
        </is>
      </c>
      <c r="M364" s="12" t="n"/>
      <c r="N364" s="25" t="inlineStr">
        <is>
          <t>P</t>
        </is>
      </c>
      <c r="O364" s="25" t="inlineStr">
        <is>
          <t>FL_DES_BC_5kg</t>
        </is>
      </c>
      <c r="P364" s="12" t="n"/>
    </row>
    <row r="365">
      <c r="A365" s="25" t="inlineStr">
        <is>
          <t>FL_MAT_BC_5kg</t>
        </is>
      </c>
      <c r="B365" s="25" t="n">
        <v>2</v>
      </c>
      <c r="C365" s="25" t="inlineStr">
        <is>
          <t>BC5-06</t>
        </is>
      </c>
      <c r="D365" s="12" t="inlineStr">
        <is>
          <t xml:space="preserve">        Espiga roscada</t>
        </is>
      </c>
      <c r="E365" s="25" t="n">
        <v>1</v>
      </c>
      <c r="F365" s="25" t="inlineStr">
        <is>
          <t>u</t>
        </is>
      </c>
      <c r="G365" s="26" t="n">
        <v>0.0243</v>
      </c>
      <c r="H365" s="26">
        <f>E365*G365</f>
        <v/>
      </c>
      <c r="I365" s="25" t="inlineStr">
        <is>
          <t>Latón forjado</t>
        </is>
      </c>
      <c r="J365" s="12" t="inlineStr">
        <is>
          <t>28,4 × 28,4 × 12</t>
        </is>
      </c>
      <c r="K365" s="25" t="inlineStr">
        <is>
          <t>Compra</t>
        </is>
      </c>
      <c r="L365" s="12" t="inlineStr">
        <is>
          <t>19 Ensamblaje de válvula (T03/T04)</t>
        </is>
      </c>
      <c r="M365" s="12" t="n"/>
      <c r="N365" s="25" t="inlineStr">
        <is>
          <t>P</t>
        </is>
      </c>
      <c r="O365" s="25" t="inlineStr">
        <is>
          <t>FL_DES_BC_5kg</t>
        </is>
      </c>
      <c r="P365" s="12" t="n"/>
    </row>
    <row r="366">
      <c r="A366" s="25" t="inlineStr">
        <is>
          <t>FL_MAT_BC_5kg</t>
        </is>
      </c>
      <c r="B366" s="25" t="n">
        <v>2</v>
      </c>
      <c r="C366" s="25" t="inlineStr">
        <is>
          <t>BC5-07</t>
        </is>
      </c>
      <c r="D366" s="12" t="inlineStr">
        <is>
          <t xml:space="preserve">        Cuerpo de válvula</t>
        </is>
      </c>
      <c r="E366" s="25" t="n">
        <v>1</v>
      </c>
      <c r="F366" s="25" t="inlineStr">
        <is>
          <t>u</t>
        </is>
      </c>
      <c r="G366" s="26" t="n">
        <v>0.4131</v>
      </c>
      <c r="H366" s="26">
        <f>E366*G366</f>
        <v/>
      </c>
      <c r="I366" s="25" t="inlineStr">
        <is>
          <t>Latón forjado</t>
        </is>
      </c>
      <c r="J366" s="12" t="inlineStr">
        <is>
          <t>56,3 × 43 × 34</t>
        </is>
      </c>
      <c r="K366" s="25" t="inlineStr">
        <is>
          <t>Compra</t>
        </is>
      </c>
      <c r="L366" s="12" t="inlineStr">
        <is>
          <t>19 Ensamblaje de válvula (T03/T04)</t>
        </is>
      </c>
      <c r="M366" s="12" t="n"/>
      <c r="N366" s="25" t="inlineStr">
        <is>
          <t>P</t>
        </is>
      </c>
      <c r="O366" s="25" t="inlineStr">
        <is>
          <t>FL_DES_BC_5kg</t>
        </is>
      </c>
      <c r="P366" s="12" t="n"/>
    </row>
    <row r="367">
      <c r="A367" s="25" t="inlineStr">
        <is>
          <t>FL_MAT_BC_5kg</t>
        </is>
      </c>
      <c r="B367" s="25" t="n">
        <v>2</v>
      </c>
      <c r="C367" s="25" t="inlineStr">
        <is>
          <t>BC5-08</t>
        </is>
      </c>
      <c r="D367" s="12" t="inlineStr">
        <is>
          <t xml:space="preserve">        Manómetro</t>
        </is>
      </c>
      <c r="E367" s="25" t="n">
        <v>1</v>
      </c>
      <c r="F367" s="25" t="inlineStr">
        <is>
          <t>u</t>
        </is>
      </c>
      <c r="G367" s="26" t="n">
        <v>0.06</v>
      </c>
      <c r="H367" s="26">
        <f>E367*G367</f>
        <v/>
      </c>
      <c r="I367" s="25" t="inlineStr">
        <is>
          <t>Comercial</t>
        </is>
      </c>
      <c r="J367" s="12" t="inlineStr">
        <is>
          <t>Ø38 esfera, rango 0-3,5 MPa, sector verde en 1,4</t>
        </is>
      </c>
      <c r="K367" s="25" t="inlineStr">
        <is>
          <t>Compra</t>
        </is>
      </c>
      <c r="L367" s="12" t="inlineStr">
        <is>
          <t>19 Ensamblaje de válvula (T03/T04)</t>
        </is>
      </c>
      <c r="M367" s="12" t="inlineStr">
        <is>
          <t>IRAM 3533</t>
        </is>
      </c>
      <c r="N367" s="25" t="inlineStr">
        <is>
          <t>R</t>
        </is>
      </c>
      <c r="O367" s="25" t="inlineStr">
        <is>
          <t>FL_DES_BC_5kg</t>
        </is>
      </c>
      <c r="P367" s="12" t="inlineStr">
        <is>
          <t>Pieza comercial; sello IRAM 3533</t>
        </is>
      </c>
    </row>
    <row r="368">
      <c r="A368" s="25" t="inlineStr">
        <is>
          <t>FL_MAT_BC_5kg</t>
        </is>
      </c>
      <c r="B368" s="25" t="n">
        <v>2</v>
      </c>
      <c r="C368" s="25" t="inlineStr">
        <is>
          <t>BC5-09</t>
        </is>
      </c>
      <c r="D368" s="12" t="inlineStr">
        <is>
          <t xml:space="preserve">        Manija de transporte</t>
        </is>
      </c>
      <c r="E368" s="25" t="n">
        <v>1</v>
      </c>
      <c r="F368" s="25" t="inlineStr">
        <is>
          <t>u</t>
        </is>
      </c>
      <c r="G368" s="26" t="n">
        <v>0.0619</v>
      </c>
      <c r="H368" s="26">
        <f>E368*G368</f>
        <v/>
      </c>
      <c r="I368" s="25" t="inlineStr">
        <is>
          <t>Chapa acero SAE 1010 pintada</t>
        </is>
      </c>
      <c r="J368" s="12" t="inlineStr">
        <is>
          <t>98,4 × 20 × 14,3</t>
        </is>
      </c>
      <c r="K368" s="25" t="inlineStr">
        <is>
          <t>Compra</t>
        </is>
      </c>
      <c r="L368" s="12" t="inlineStr">
        <is>
          <t>19 Ensamblaje de válvula (T03/T04)</t>
        </is>
      </c>
      <c r="M368" s="12" t="n"/>
      <c r="N368" s="25" t="inlineStr">
        <is>
          <t>P</t>
        </is>
      </c>
      <c r="O368" s="25" t="inlineStr">
        <is>
          <t>FL_DES_BC_5kg</t>
        </is>
      </c>
      <c r="P368" s="12" t="n"/>
    </row>
    <row r="369">
      <c r="A369" s="25" t="inlineStr">
        <is>
          <t>FL_MAT_BC_5kg</t>
        </is>
      </c>
      <c r="B369" s="25" t="n">
        <v>2</v>
      </c>
      <c r="C369" s="25" t="inlineStr">
        <is>
          <t>BC5-10</t>
        </is>
      </c>
      <c r="D369" s="12" t="inlineStr">
        <is>
          <t xml:space="preserve">        Manija de accionamiento</t>
        </is>
      </c>
      <c r="E369" s="25" t="n">
        <v>1</v>
      </c>
      <c r="F369" s="25" t="inlineStr">
        <is>
          <t>u</t>
        </is>
      </c>
      <c r="G369" s="26" t="n">
        <v>0.08890000000000001</v>
      </c>
      <c r="H369" s="26">
        <f>E369*G369</f>
        <v/>
      </c>
      <c r="I369" s="25" t="inlineStr">
        <is>
          <t>Chapa acero SAE 1010 pintada</t>
        </is>
      </c>
      <c r="J369" s="12" t="inlineStr">
        <is>
          <t>141 × 21,2 × 20</t>
        </is>
      </c>
      <c r="K369" s="25" t="inlineStr">
        <is>
          <t>Compra</t>
        </is>
      </c>
      <c r="L369" s="12" t="inlineStr">
        <is>
          <t>19 Ensamblaje de válvula (T03/T04)</t>
        </is>
      </c>
      <c r="M369" s="12" t="n"/>
      <c r="N369" s="25" t="inlineStr">
        <is>
          <t>P</t>
        </is>
      </c>
      <c r="O369" s="25" t="inlineStr">
        <is>
          <t>FL_DES_BC_5kg</t>
        </is>
      </c>
      <c r="P369" s="12" t="n"/>
    </row>
    <row r="370">
      <c r="A370" s="25" t="inlineStr">
        <is>
          <t>FL_MAT_BC_5kg</t>
        </is>
      </c>
      <c r="B370" s="25" t="n">
        <v>2</v>
      </c>
      <c r="C370" s="25" t="inlineStr">
        <is>
          <t>BC5-11</t>
        </is>
      </c>
      <c r="D370" s="12" t="inlineStr">
        <is>
          <t xml:space="preserve">        Eje de palanca</t>
        </is>
      </c>
      <c r="E370" s="25" t="n">
        <v>1</v>
      </c>
      <c r="F370" s="25" t="inlineStr">
        <is>
          <t>u</t>
        </is>
      </c>
      <c r="G370" s="26" t="n">
        <v>0.0081</v>
      </c>
      <c r="H370" s="26">
        <f>E370*G370</f>
        <v/>
      </c>
      <c r="I370" s="25" t="inlineStr">
        <is>
          <t>Acero inox. AISI 304</t>
        </is>
      </c>
      <c r="J370" s="12" t="inlineStr">
        <is>
          <t>36 × 6 × 6</t>
        </is>
      </c>
      <c r="K370" s="25" t="inlineStr">
        <is>
          <t>Compra</t>
        </is>
      </c>
      <c r="L370" s="12" t="inlineStr">
        <is>
          <t>19 Ensamblaje de válvula (T03/T04)</t>
        </is>
      </c>
      <c r="M370" s="12" t="n"/>
      <c r="N370" s="25" t="inlineStr">
        <is>
          <t>P</t>
        </is>
      </c>
      <c r="O370" s="25" t="inlineStr">
        <is>
          <t>FL_DES_BC_5kg</t>
        </is>
      </c>
      <c r="P370" s="12" t="n"/>
    </row>
    <row r="371">
      <c r="A371" s="25" t="inlineStr">
        <is>
          <t>FL_MAT_BC_5kg</t>
        </is>
      </c>
      <c r="B371" s="25" t="n">
        <v>2</v>
      </c>
      <c r="C371" s="25" t="inlineStr">
        <is>
          <t>BC5-12</t>
        </is>
      </c>
      <c r="D371" s="12" t="inlineStr">
        <is>
          <t xml:space="preserve">        Vástago</t>
        </is>
      </c>
      <c r="E371" s="25" t="n">
        <v>1</v>
      </c>
      <c r="F371" s="25" t="inlineStr">
        <is>
          <t>u</t>
        </is>
      </c>
      <c r="G371" s="26" t="n">
        <v>0.0017</v>
      </c>
      <c r="H371" s="26">
        <f>E371*G371</f>
        <v/>
      </c>
      <c r="I371" s="25" t="inlineStr">
        <is>
          <t>Latón</t>
        </is>
      </c>
      <c r="J371" s="12" t="inlineStr">
        <is>
          <t>8 × 8 × 4</t>
        </is>
      </c>
      <c r="K371" s="25" t="inlineStr">
        <is>
          <t>Compra</t>
        </is>
      </c>
      <c r="L371" s="12" t="inlineStr">
        <is>
          <t>19 Ensamblaje de válvula (T03/T04)</t>
        </is>
      </c>
      <c r="M371" s="12" t="n"/>
      <c r="N371" s="25" t="inlineStr">
        <is>
          <t>P</t>
        </is>
      </c>
      <c r="O371" s="25" t="inlineStr">
        <is>
          <t>FL_DES_BC_5kg</t>
        </is>
      </c>
      <c r="P371" s="12" t="inlineStr">
        <is>
          <t>con junta tórica</t>
        </is>
      </c>
    </row>
    <row r="372">
      <c r="A372" s="25" t="inlineStr">
        <is>
          <t>FL_MAT_BC_5kg</t>
        </is>
      </c>
      <c r="B372" s="25" t="n">
        <v>2</v>
      </c>
      <c r="C372" s="25" t="inlineStr">
        <is>
          <t>BC5-13</t>
        </is>
      </c>
      <c r="D372" s="12" t="inlineStr">
        <is>
          <t xml:space="preserve">        Pasador de seguridad</t>
        </is>
      </c>
      <c r="E372" s="25" t="n">
        <v>1</v>
      </c>
      <c r="F372" s="25" t="inlineStr">
        <is>
          <t>u</t>
        </is>
      </c>
      <c r="G372" s="26" t="n">
        <v>0.0055</v>
      </c>
      <c r="H372" s="26">
        <f>E372*G372</f>
        <v/>
      </c>
      <c r="I372" s="25" t="inlineStr">
        <is>
          <t>Alambre acero inox. AISI 304</t>
        </is>
      </c>
      <c r="J372" s="12" t="inlineStr">
        <is>
          <t>45,4 × 21 × 20,8</t>
        </is>
      </c>
      <c r="K372" s="25" t="inlineStr">
        <is>
          <t>Compra</t>
        </is>
      </c>
      <c r="L372" s="12" t="inlineStr">
        <is>
          <t>19 Ensamblaje de válvula (T03/T04)</t>
        </is>
      </c>
      <c r="M372" s="12" t="n"/>
      <c r="N372" s="25" t="inlineStr">
        <is>
          <t>P</t>
        </is>
      </c>
      <c r="O372" s="25" t="inlineStr">
        <is>
          <t>FL_DES_BC_5kg</t>
        </is>
      </c>
      <c r="P372" s="12" t="inlineStr">
        <is>
          <t>con precinto</t>
        </is>
      </c>
    </row>
    <row r="373">
      <c r="A373" s="25" t="inlineStr">
        <is>
          <t>FL_MAT_BC_5kg</t>
        </is>
      </c>
      <c r="B373" s="25" t="n">
        <v>2</v>
      </c>
      <c r="C373" s="25" t="inlineStr">
        <is>
          <t>BC5-14</t>
        </is>
      </c>
      <c r="D373" s="12" t="inlineStr">
        <is>
          <t xml:space="preserve">        Caño de pesca (sifón)</t>
        </is>
      </c>
      <c r="E373" s="25" t="n">
        <v>1</v>
      </c>
      <c r="F373" s="25" t="inlineStr">
        <is>
          <t>u</t>
        </is>
      </c>
      <c r="G373" s="26" t="n">
        <v>0.0244</v>
      </c>
      <c r="H373" s="26">
        <f>E373*G373</f>
        <v/>
      </c>
      <c r="I373" s="25" t="inlineStr">
        <is>
          <t>Tubo PVC rígido</t>
        </is>
      </c>
      <c r="J373" s="12" t="inlineStr">
        <is>
          <t>Ø12 × 352,4 de largo</t>
        </is>
      </c>
      <c r="K373" s="25" t="inlineStr">
        <is>
          <t>Compra</t>
        </is>
      </c>
      <c r="L373" s="12" t="inlineStr">
        <is>
          <t>19 Ensamblaje de válvula (T03/T04)</t>
        </is>
      </c>
      <c r="M373" s="12" t="n"/>
      <c r="N373" s="25" t="inlineStr">
        <is>
          <t>P</t>
        </is>
      </c>
      <c r="O373" s="25" t="inlineStr">
        <is>
          <t>FL_DES_BC_5kg</t>
        </is>
      </c>
      <c r="P373" s="12" t="n"/>
    </row>
    <row r="374">
      <c r="A374" s="25" t="inlineStr">
        <is>
          <t>FL_MAT_BC_5kg</t>
        </is>
      </c>
      <c r="B374" s="25" t="n">
        <v>2</v>
      </c>
      <c r="C374" s="25" t="inlineStr">
        <is>
          <t>BC5-22</t>
        </is>
      </c>
      <c r="D374" s="12" t="inlineStr">
        <is>
          <t xml:space="preserve">        Junta tórica de asiento</t>
        </is>
      </c>
      <c r="E374" s="25" t="n">
        <v>1</v>
      </c>
      <c r="F374" s="25" t="inlineStr">
        <is>
          <t>u</t>
        </is>
      </c>
      <c r="G374" s="26" t="n">
        <v>0.001</v>
      </c>
      <c r="H374" s="26">
        <f>E374*G374</f>
        <v/>
      </c>
      <c r="I374" s="25" t="inlineStr">
        <is>
          <t>NBR 70 Shore A</t>
        </is>
      </c>
      <c r="J374" s="12" t="inlineStr">
        <is>
          <t>Ø31,4 ext. × cordón 3</t>
        </is>
      </c>
      <c r="K374" s="25" t="inlineStr">
        <is>
          <t>Compra</t>
        </is>
      </c>
      <c r="L374" s="12" t="inlineStr">
        <is>
          <t>19 Ensamblaje de válvula (T03/T04)</t>
        </is>
      </c>
      <c r="M374" s="12" t="n"/>
      <c r="N374" s="25" t="inlineStr">
        <is>
          <t>P</t>
        </is>
      </c>
      <c r="O374" s="25" t="inlineStr">
        <is>
          <t>FL_DES_BC_5kg</t>
        </is>
      </c>
      <c r="P374" s="12" t="inlineStr">
        <is>
          <t>cambio c/recarga</t>
        </is>
      </c>
    </row>
    <row r="375">
      <c r="A375" s="25" t="inlineStr">
        <is>
          <t>FL_MAT_BC_5kg</t>
        </is>
      </c>
      <c r="B375" s="25" t="n">
        <v>2</v>
      </c>
      <c r="C375" s="25" t="inlineStr">
        <is>
          <t>BC5-V2</t>
        </is>
      </c>
      <c r="D375" s="12" t="inlineStr">
        <is>
          <t xml:space="preserve">        Resorte de retorno del vástago</t>
        </is>
      </c>
      <c r="E375" s="25" t="n">
        <v>1</v>
      </c>
      <c r="F375" s="25" t="inlineStr">
        <is>
          <t>u</t>
        </is>
      </c>
      <c r="G375" s="26" t="n">
        <v>0.003</v>
      </c>
      <c r="H375" s="26">
        <f>E375*G375</f>
        <v/>
      </c>
      <c r="I375" s="25" t="inlineStr">
        <is>
          <t>Alambre acero inox. AISI 302</t>
        </is>
      </c>
      <c r="J375" s="12" t="inlineStr">
        <is>
          <t>según válvula</t>
        </is>
      </c>
      <c r="K375" s="25" t="inlineStr">
        <is>
          <t>Compra</t>
        </is>
      </c>
      <c r="L375" s="12" t="inlineStr">
        <is>
          <t>19 Ensamblaje</t>
        </is>
      </c>
      <c r="M375" s="12" t="n"/>
      <c r="N375" s="25" t="inlineStr">
        <is>
          <t>R</t>
        </is>
      </c>
      <c r="O375" s="25" t="n"/>
      <c r="P375" s="12" t="n"/>
    </row>
    <row r="376">
      <c r="A376" s="25" t="inlineStr">
        <is>
          <t>FL_MAT_BC_5kg</t>
        </is>
      </c>
      <c r="B376" s="25" t="n">
        <v>2</v>
      </c>
      <c r="C376" s="25" t="inlineStr">
        <is>
          <t>BC5-V3</t>
        </is>
      </c>
      <c r="D376" s="12" t="inlineStr">
        <is>
          <t xml:space="preserve">        Junta tórica del vástago</t>
        </is>
      </c>
      <c r="E376" s="25" t="n">
        <v>1</v>
      </c>
      <c r="F376" s="25" t="inlineStr">
        <is>
          <t>u</t>
        </is>
      </c>
      <c r="G376" s="26" t="n">
        <v>0.001</v>
      </c>
      <c r="H376" s="26">
        <f>E376*G376</f>
        <v/>
      </c>
      <c r="I376" s="25" t="inlineStr">
        <is>
          <t>NBR 70 Shore A</t>
        </is>
      </c>
      <c r="J376" s="12" t="inlineStr">
        <is>
          <t>según válvula</t>
        </is>
      </c>
      <c r="K376" s="25" t="inlineStr">
        <is>
          <t>Compra</t>
        </is>
      </c>
      <c r="L376" s="12" t="inlineStr">
        <is>
          <t>19 Ensamblaje</t>
        </is>
      </c>
      <c r="M376" s="12" t="n"/>
      <c r="N376" s="25" t="inlineStr">
        <is>
          <t>P</t>
        </is>
      </c>
      <c r="O376" s="25" t="n"/>
      <c r="P376" s="12" t="inlineStr">
        <is>
          <t>Figura en el plano como «vástago con junta tórica»</t>
        </is>
      </c>
    </row>
    <row r="377">
      <c r="A377" s="22" t="inlineStr">
        <is>
          <t>FL_MAT_BC_5kg</t>
        </is>
      </c>
      <c r="B377" s="22" t="n">
        <v>1</v>
      </c>
      <c r="C377" s="22" t="inlineStr">
        <is>
          <t>BC5-S3</t>
        </is>
      </c>
      <c r="D377" s="23" t="inlineStr">
        <is>
          <t xml:space="preserve">    Dispositivo de descarga</t>
        </is>
      </c>
      <c r="E377" s="22" t="n">
        <v>1</v>
      </c>
      <c r="F377" s="22" t="inlineStr">
        <is>
          <t>u</t>
        </is>
      </c>
      <c r="G377" s="24" t="n"/>
      <c r="H377" s="24">
        <f>H378+H379+H380+H381</f>
        <v/>
      </c>
      <c r="I377" s="22" t="n"/>
      <c r="J377" s="23" t="n"/>
      <c r="K377" s="22" t="inlineStr">
        <is>
          <t>Compra / armado</t>
        </is>
      </c>
      <c r="L377" s="23" t="n"/>
      <c r="M377" s="23" t="n"/>
      <c r="N377" s="22" t="inlineStr">
        <is>
          <t>P</t>
        </is>
      </c>
      <c r="O377" s="22" t="inlineStr">
        <is>
          <t>FL_DES_BC_5kg</t>
        </is>
      </c>
      <c r="P377" s="23" t="n"/>
    </row>
    <row r="378">
      <c r="A378" s="25" t="inlineStr">
        <is>
          <t>FL_MAT_BC_5kg</t>
        </is>
      </c>
      <c r="B378" s="25" t="n">
        <v>2</v>
      </c>
      <c r="C378" s="25" t="inlineStr">
        <is>
          <t>BC5-15</t>
        </is>
      </c>
      <c r="D378" s="12" t="inlineStr">
        <is>
          <t xml:space="preserve">        Racor de manguera</t>
        </is>
      </c>
      <c r="E378" s="25" t="n">
        <v>1</v>
      </c>
      <c r="F378" s="25" t="inlineStr">
        <is>
          <t>u</t>
        </is>
      </c>
      <c r="G378" s="26" t="n">
        <v>0.0258</v>
      </c>
      <c r="H378" s="26">
        <f>E378*G378</f>
        <v/>
      </c>
      <c r="I378" s="25" t="inlineStr">
        <is>
          <t>Latón</t>
        </is>
      </c>
      <c r="J378" s="12" t="inlineStr">
        <is>
          <t>18 × 18 × 12</t>
        </is>
      </c>
      <c r="K378" s="25" t="inlineStr">
        <is>
          <t>Compra</t>
        </is>
      </c>
      <c r="L378" s="12" t="inlineStr">
        <is>
          <t>19 Ensamblaje (T03/T04)</t>
        </is>
      </c>
      <c r="M378" s="12" t="n"/>
      <c r="N378" s="25" t="inlineStr">
        <is>
          <t>P</t>
        </is>
      </c>
      <c r="O378" s="25" t="inlineStr">
        <is>
          <t>FL_DES_BC_5kg</t>
        </is>
      </c>
      <c r="P378" s="12" t="n"/>
    </row>
    <row r="379">
      <c r="A379" s="25" t="inlineStr">
        <is>
          <t>FL_MAT_BC_5kg</t>
        </is>
      </c>
      <c r="B379" s="25" t="n">
        <v>2</v>
      </c>
      <c r="C379" s="25" t="inlineStr">
        <is>
          <t>BC5-16</t>
        </is>
      </c>
      <c r="D379" s="12" t="inlineStr">
        <is>
          <t xml:space="preserve">        Manguera</t>
        </is>
      </c>
      <c r="E379" s="25" t="n">
        <v>1</v>
      </c>
      <c r="F379" s="25" t="inlineStr">
        <is>
          <t>u</t>
        </is>
      </c>
      <c r="G379" s="26" t="n">
        <v>0.046</v>
      </c>
      <c r="H379" s="26">
        <f>E379*G379</f>
        <v/>
      </c>
      <c r="I379" s="25" t="inlineStr">
        <is>
          <t>Caucho sintético</t>
        </is>
      </c>
      <c r="J379" s="12" t="inlineStr">
        <is>
          <t>Ø16 × 298 de largo desarrollado</t>
        </is>
      </c>
      <c r="K379" s="25" t="inlineStr">
        <is>
          <t>Compra</t>
        </is>
      </c>
      <c r="L379" s="12" t="inlineStr">
        <is>
          <t>19 Ensamblaje (T03/T04)</t>
        </is>
      </c>
      <c r="M379" s="12" t="n"/>
      <c r="N379" s="25" t="inlineStr">
        <is>
          <t>P</t>
        </is>
      </c>
      <c r="O379" s="25" t="inlineStr">
        <is>
          <t>FL_DES_BC_5kg</t>
        </is>
      </c>
      <c r="P379" s="12" t="n"/>
    </row>
    <row r="380">
      <c r="A380" s="25" t="inlineStr">
        <is>
          <t>FL_MAT_BC_5kg</t>
        </is>
      </c>
      <c r="B380" s="25" t="n">
        <v>2</v>
      </c>
      <c r="C380" s="25" t="inlineStr">
        <is>
          <t>BC5-17</t>
        </is>
      </c>
      <c r="D380" s="12" t="inlineStr">
        <is>
          <t xml:space="preserve">        Tobera con portatobera</t>
        </is>
      </c>
      <c r="E380" s="25" t="n">
        <v>1</v>
      </c>
      <c r="F380" s="25" t="inlineStr">
        <is>
          <t>u</t>
        </is>
      </c>
      <c r="G380" s="26" t="n">
        <v>0.0166</v>
      </c>
      <c r="H380" s="26">
        <f>E380*G380</f>
        <v/>
      </c>
      <c r="I380" s="25" t="inlineStr">
        <is>
          <t>Polipropileno</t>
        </is>
      </c>
      <c r="J380" s="12" t="inlineStr">
        <is>
          <t>75 × 24 × 24</t>
        </is>
      </c>
      <c r="K380" s="25" t="inlineStr">
        <is>
          <t>Compra</t>
        </is>
      </c>
      <c r="L380" s="12" t="inlineStr">
        <is>
          <t>19 Ensamblaje (T03/T04)</t>
        </is>
      </c>
      <c r="M380" s="12" t="n"/>
      <c r="N380" s="25" t="inlineStr">
        <is>
          <t>P</t>
        </is>
      </c>
      <c r="O380" s="25" t="inlineStr">
        <is>
          <t>FL_DES_BC_5kg</t>
        </is>
      </c>
      <c r="P380" s="12" t="n"/>
    </row>
    <row r="381">
      <c r="A381" s="25" t="inlineStr">
        <is>
          <t>FL_MAT_BC_5kg</t>
        </is>
      </c>
      <c r="B381" s="25" t="n">
        <v>2</v>
      </c>
      <c r="C381" s="25" t="inlineStr">
        <is>
          <t>BC5-18</t>
        </is>
      </c>
      <c r="D381" s="12" t="inlineStr">
        <is>
          <t xml:space="preserve">        Suncho portatobera</t>
        </is>
      </c>
      <c r="E381" s="25" t="n">
        <v>1</v>
      </c>
      <c r="F381" s="25" t="inlineStr">
        <is>
          <t>u</t>
        </is>
      </c>
      <c r="G381" s="26" t="n">
        <v>0.1319</v>
      </c>
      <c r="H381" s="26">
        <f>E381*G381</f>
        <v/>
      </c>
      <c r="I381" s="25" t="inlineStr">
        <is>
          <t>Fleje acero SAE 1010 pintado</t>
        </is>
      </c>
      <c r="J381" s="12" t="inlineStr">
        <is>
          <t>159,9 × 156 × 18</t>
        </is>
      </c>
      <c r="K381" s="25" t="inlineStr">
        <is>
          <t>Compra (estructura)</t>
        </is>
      </c>
      <c r="L381" s="12" t="inlineStr">
        <is>
          <t>19 Ensamblaje (T03/T04)</t>
        </is>
      </c>
      <c r="M381" s="12" t="n"/>
      <c r="N381" s="25" t="inlineStr">
        <is>
          <t>P</t>
        </is>
      </c>
      <c r="O381" s="25" t="inlineStr">
        <is>
          <t>FL_DES_BC_5kg</t>
        </is>
      </c>
      <c r="P381" s="12" t="n"/>
    </row>
    <row r="382">
      <c r="A382" s="22" t="inlineStr">
        <is>
          <t>FL_MAT_BC_5kg</t>
        </is>
      </c>
      <c r="B382" s="22" t="n">
        <v>1</v>
      </c>
      <c r="C382" s="22" t="inlineStr">
        <is>
          <t>BC5-S5</t>
        </is>
      </c>
      <c r="D382" s="23" t="inlineStr">
        <is>
          <t xml:space="preserve">    Carga: agente extintor y gas impulsor</t>
        </is>
      </c>
      <c r="E382" s="22" t="n">
        <v>1</v>
      </c>
      <c r="F382" s="22" t="inlineStr">
        <is>
          <t>u</t>
        </is>
      </c>
      <c r="G382" s="24" t="n"/>
      <c r="H382" s="24">
        <f>H383+H384</f>
        <v/>
      </c>
      <c r="I382" s="22" t="n"/>
      <c r="J382" s="23" t="n"/>
      <c r="K382" s="22" t="inlineStr">
        <is>
          <t>Carga en planta</t>
        </is>
      </c>
      <c r="L382" s="23" t="inlineStr">
        <is>
          <t>18 Carga de polvo (T01) / C8 (T02)</t>
        </is>
      </c>
      <c r="M382" s="23" t="n"/>
      <c r="N382" s="22" t="n"/>
      <c r="O382" s="22" t="n"/>
      <c r="P382" s="23" t="n"/>
    </row>
    <row r="383">
      <c r="A383" s="25" t="inlineStr">
        <is>
          <t>FL_MAT_BC_5kg</t>
        </is>
      </c>
      <c r="B383" s="25" t="n">
        <v>2</v>
      </c>
      <c r="C383" s="25" t="inlineStr">
        <is>
          <t>BC5-A1</t>
        </is>
      </c>
      <c r="D383" s="12" t="inlineStr">
        <is>
          <t xml:space="preserve">        Polvo químico seco BC - BC sódico (NaHCO₃ ≥ 85,5 %)</t>
        </is>
      </c>
      <c r="E383" s="25" t="n">
        <v>5.15</v>
      </c>
      <c r="F383" s="25" t="inlineStr">
        <is>
          <t>kg</t>
        </is>
      </c>
      <c r="G383" s="26" t="n">
        <v>1</v>
      </c>
      <c r="H383" s="26">
        <f>E383*G383</f>
        <v/>
      </c>
      <c r="I383" s="25" t="inlineStr">
        <is>
          <t>Polvo químico seco BC - BC sódico (NaHCO₃ ≥ 85,5 %)</t>
        </is>
      </c>
      <c r="J383" s="12" t="inlineStr">
        <is>
          <t>nominal 5 kg; tolerancia 0 / +300 g (IRAM 3517-2:2020 tabla 3 · IRAM 3523 tabla II)</t>
        </is>
      </c>
      <c r="K383" s="25" t="inlineStr">
        <is>
          <t>Compra</t>
        </is>
      </c>
      <c r="L383" s="12" t="inlineStr">
        <is>
          <t>SP-1 almacén previo a la carga</t>
        </is>
      </c>
      <c r="M383" s="12" t="inlineStr">
        <is>
          <t>IRAM 3566</t>
        </is>
      </c>
      <c r="N383" s="25" t="inlineStr">
        <is>
          <t>N</t>
        </is>
      </c>
      <c r="O383" s="25" t="n"/>
      <c r="P383" s="12" t="inlineStr">
        <is>
          <t>potencial - · alternativa BC Púrpura K (KHCO₃ 92 ± 5 %): 40B · Lote único por extintor; prohibido mezclar ABC con BC (3517-2 9.9.1.6)</t>
        </is>
      </c>
    </row>
    <row r="384">
      <c r="A384" s="25" t="inlineStr">
        <is>
          <t>FL_MAT_BC_5kg</t>
        </is>
      </c>
      <c r="B384" s="25" t="n">
        <v>2</v>
      </c>
      <c r="C384" s="25" t="inlineStr">
        <is>
          <t>BC5-A2</t>
        </is>
      </c>
      <c r="D384" s="12" t="inlineStr">
        <is>
          <t xml:space="preserve">        Gas impulsor: N₂</t>
        </is>
      </c>
      <c r="E384" s="25" t="n">
        <v>0.0077</v>
      </c>
      <c r="F384" s="25" t="inlineStr">
        <is>
          <t>kg</t>
        </is>
      </c>
      <c r="G384" s="26" t="n">
        <v>1</v>
      </c>
      <c r="H384" s="26">
        <f>E384*G384</f>
        <v/>
      </c>
      <c r="I384" s="25" t="inlineStr">
        <is>
          <t>N₂</t>
        </is>
      </c>
      <c r="J384" s="12" t="inlineStr">
        <is>
          <t>6,1 L normales para 1,4 MPa a 20 °C en 0,44 dm³ libres</t>
        </is>
      </c>
      <c r="K384" s="25" t="inlineStr">
        <is>
          <t>Compra</t>
        </is>
      </c>
      <c r="L384" s="12" t="inlineStr">
        <is>
          <t>20 Presurización (T05) / C10</t>
        </is>
      </c>
      <c r="M384" s="12" t="inlineStr">
        <is>
          <t>IRAM 3517-2 9.4.9 (tabla 2) · IRAM 3523 2.3 y 3.10</t>
        </is>
      </c>
      <c r="N384" s="25" t="inlineStr">
        <is>
          <t>C</t>
        </is>
      </c>
      <c r="O384" s="25" t="n"/>
      <c r="P384" s="12" t="inlineStr">
        <is>
          <t>VOLUMEN LIBRE INSUFICIENTE con ρ típica (0,44 dm³): ver Carga_N2 - exigir densidad aparente mínima al polvo o agrandar el recipiente</t>
        </is>
      </c>
    </row>
    <row r="385">
      <c r="A385" s="22" t="inlineStr">
        <is>
          <t>FL_MAT_BC_5kg</t>
        </is>
      </c>
      <c r="B385" s="22" t="n">
        <v>1</v>
      </c>
      <c r="C385" s="22" t="inlineStr">
        <is>
          <t>BC5-S6</t>
        </is>
      </c>
      <c r="D385" s="23" t="inlineStr">
        <is>
          <t xml:space="preserve">    Identificación y precinto</t>
        </is>
      </c>
      <c r="E385" s="22" t="n">
        <v>1</v>
      </c>
      <c r="F385" s="22" t="inlineStr">
        <is>
          <t>u</t>
        </is>
      </c>
      <c r="G385" s="24" t="n"/>
      <c r="H385" s="24">
        <f>H386+H387+H388+H389+H390</f>
        <v/>
      </c>
      <c r="I385" s="22" t="n"/>
      <c r="J385" s="23" t="n"/>
      <c r="K385" s="22" t="inlineStr">
        <is>
          <t>Compra</t>
        </is>
      </c>
      <c r="L385" s="23" t="inlineStr">
        <is>
          <t>22 Etiquetado (T07)</t>
        </is>
      </c>
      <c r="M385" s="23" t="n"/>
      <c r="N385" s="22" t="n"/>
      <c r="O385" s="22" t="n"/>
      <c r="P385" s="23" t="n"/>
    </row>
    <row r="386">
      <c r="A386" s="25" t="inlineStr">
        <is>
          <t>FL_MAT_BC_5kg</t>
        </is>
      </c>
      <c r="B386" s="25" t="n">
        <v>2</v>
      </c>
      <c r="C386" s="25" t="inlineStr">
        <is>
          <t>BC5-19</t>
        </is>
      </c>
      <c r="D386" s="12" t="inlineStr">
        <is>
          <t xml:space="preserve">        Placa de características</t>
        </is>
      </c>
      <c r="E386" s="25" t="n">
        <v>1</v>
      </c>
      <c r="F386" s="25" t="inlineStr">
        <is>
          <t>u</t>
        </is>
      </c>
      <c r="G386" s="26" t="n">
        <v>0.0092</v>
      </c>
      <c r="H386" s="26">
        <f>E386*G386</f>
        <v/>
      </c>
      <c r="I386" s="25" t="inlineStr">
        <is>
          <t>Vinilo autoadhesivo laminado</t>
        </is>
      </c>
      <c r="J386" s="12" t="inlineStr">
        <is>
          <t>144 × 152 (desarrollo × alto), e ≈ 0,3</t>
        </is>
      </c>
      <c r="K386" s="25" t="inlineStr">
        <is>
          <t>Compra</t>
        </is>
      </c>
      <c r="L386" s="12" t="inlineStr">
        <is>
          <t>22 Etiquetado (T07)</t>
        </is>
      </c>
      <c r="M386" s="12" t="inlineStr">
        <is>
          <t>IRAM 3534 · IRAM 3523 cap. 5</t>
        </is>
      </c>
      <c r="N386" s="25" t="inlineStr">
        <is>
          <t>P</t>
        </is>
      </c>
      <c r="O386" s="25" t="inlineStr">
        <is>
          <t>FL_DES_BC_5kg</t>
        </is>
      </c>
      <c r="P386" s="12" t="inlineStr">
        <is>
          <t>IRAM 3534</t>
        </is>
      </c>
    </row>
    <row r="387">
      <c r="A387" s="25" t="inlineStr">
        <is>
          <t>FL_MAT_BC_5kg</t>
        </is>
      </c>
      <c r="B387" s="25" t="n">
        <v>2</v>
      </c>
      <c r="C387" s="25" t="inlineStr">
        <is>
          <t>BC5-20</t>
        </is>
      </c>
      <c r="D387" s="12" t="inlineStr">
        <is>
          <t xml:space="preserve">        Oblea de fabricación (PBA)</t>
        </is>
      </c>
      <c r="E387" s="25" t="n">
        <v>1</v>
      </c>
      <c r="F387" s="25" t="inlineStr">
        <is>
          <t>u</t>
        </is>
      </c>
      <c r="G387" s="26" t="n">
        <v>0.0009</v>
      </c>
      <c r="H387" s="26">
        <f>E387*G387</f>
        <v/>
      </c>
      <c r="I387" s="25" t="inlineStr">
        <is>
          <t>Papel de seguridad autodestructible</t>
        </is>
      </c>
      <c r="J387" s="12" t="inlineStr">
        <is>
          <t>Ø46 (Res. OPDS 522/07), numerada, autodestructible</t>
        </is>
      </c>
      <c r="K387" s="25" t="inlineStr">
        <is>
          <t>Compra</t>
        </is>
      </c>
      <c r="L387" s="12" t="inlineStr">
        <is>
          <t>22 Etiquetado (T07)</t>
        </is>
      </c>
      <c r="M387" s="12" t="inlineStr">
        <is>
          <t>Res. OPDS 522/07 anexos 1, 2 y 6</t>
        </is>
      </c>
      <c r="N387" s="25" t="inlineStr">
        <is>
          <t>P</t>
        </is>
      </c>
      <c r="O387" s="25" t="inlineStr">
        <is>
          <t>FL_DES_BC_5kg</t>
        </is>
      </c>
      <c r="P387" s="12" t="inlineStr">
        <is>
          <t>Res. 522/07</t>
        </is>
      </c>
    </row>
    <row r="388">
      <c r="A388" s="25" t="inlineStr">
        <is>
          <t>FL_MAT_BC_5kg</t>
        </is>
      </c>
      <c r="B388" s="25" t="n">
        <v>2</v>
      </c>
      <c r="C388" s="25" t="inlineStr">
        <is>
          <t>BC5-21</t>
        </is>
      </c>
      <c r="D388" s="12" t="inlineStr">
        <is>
          <t xml:space="preserve">        Estampilla IRAM de conformidad</t>
        </is>
      </c>
      <c r="E388" s="25" t="n">
        <v>1</v>
      </c>
      <c r="F388" s="25" t="inlineStr">
        <is>
          <t>u</t>
        </is>
      </c>
      <c r="G388" s="26" t="n">
        <v>0.001</v>
      </c>
      <c r="H388" s="26">
        <f>E388*G388</f>
        <v/>
      </c>
      <c r="I388" s="25" t="inlineStr">
        <is>
          <t>Provista por IRAM (Anexo R)</t>
        </is>
      </c>
      <c r="J388" s="12" t="inlineStr">
        <is>
          <t>60 × 40</t>
        </is>
      </c>
      <c r="K388" s="25" t="inlineStr">
        <is>
          <t>Compra</t>
        </is>
      </c>
      <c r="L388" s="12" t="inlineStr">
        <is>
          <t>22 Etiquetado (T07)</t>
        </is>
      </c>
      <c r="M388" s="12" t="inlineStr">
        <is>
          <t>IRAM Anexo R (DC-PG-129)</t>
        </is>
      </c>
      <c r="N388" s="25" t="inlineStr">
        <is>
          <t>P</t>
        </is>
      </c>
      <c r="O388" s="25" t="inlineStr">
        <is>
          <t>FL_DES_BC_5kg</t>
        </is>
      </c>
      <c r="P388" s="12" t="inlineStr">
        <is>
          <t>numerada</t>
        </is>
      </c>
    </row>
    <row r="389">
      <c r="A389" s="25" t="inlineStr">
        <is>
          <t>FL_MAT_BC_5kg</t>
        </is>
      </c>
      <c r="B389" s="25" t="n">
        <v>2</v>
      </c>
      <c r="C389" s="25" t="inlineStr">
        <is>
          <t>BC5-23</t>
        </is>
      </c>
      <c r="D389" s="12" t="inlineStr">
        <is>
          <t xml:space="preserve">        Precinto de fábrica</t>
        </is>
      </c>
      <c r="E389" s="25" t="n">
        <v>1</v>
      </c>
      <c r="F389" s="25" t="inlineStr">
        <is>
          <t>u</t>
        </is>
      </c>
      <c r="G389" s="26" t="n">
        <v>0.0002</v>
      </c>
      <c r="H389" s="26">
        <f>E389*G389</f>
        <v/>
      </c>
      <c r="I389" s="25" t="inlineStr">
        <is>
          <t>Polipropileno</t>
        </is>
      </c>
      <c r="J389" s="12" t="inlineStr">
        <is>
          <t>Ø5 × 10, numerado, rotura 30-50 N</t>
        </is>
      </c>
      <c r="K389" s="25" t="inlineStr">
        <is>
          <t>Compra</t>
        </is>
      </c>
      <c r="L389" s="12" t="inlineStr">
        <is>
          <t>20 Presurización (T05)</t>
        </is>
      </c>
      <c r="M389" s="12" t="inlineStr">
        <is>
          <t>IRAM 3523 3.3.2 · IRAM 3517-2:2020 9.4.13</t>
        </is>
      </c>
      <c r="N389" s="25" t="inlineStr">
        <is>
          <t>P</t>
        </is>
      </c>
      <c r="O389" s="25" t="inlineStr">
        <is>
          <t>FL_DES_BC_5kg</t>
        </is>
      </c>
      <c r="P389" s="12" t="inlineStr">
        <is>
          <t>id. FLAMA y lote</t>
        </is>
      </c>
    </row>
    <row r="390">
      <c r="A390" s="25" t="inlineStr">
        <is>
          <t>FL_MAT_BC_5kg</t>
        </is>
      </c>
      <c r="B390" s="25" t="n">
        <v>2</v>
      </c>
      <c r="C390" s="25" t="inlineStr">
        <is>
          <t>BC5-I3</t>
        </is>
      </c>
      <c r="D390" s="12" t="inlineStr">
        <is>
          <t xml:space="preserve">        Tarjeta oficial de vigencia (CABA)</t>
        </is>
      </c>
      <c r="E390" s="25" t="n">
        <v>1</v>
      </c>
      <c r="F390" s="25" t="inlineStr">
        <is>
          <t>u</t>
        </is>
      </c>
      <c r="G390" s="26" t="n">
        <v>0.002</v>
      </c>
      <c r="H390" s="26">
        <f>E390*G390</f>
        <v/>
      </c>
      <c r="I390" s="25" t="inlineStr">
        <is>
          <t>Formulario oficial</t>
        </is>
      </c>
      <c r="J390" s="12" t="inlineStr">
        <is>
          <t>provista por DG Rentas GCBA</t>
        </is>
      </c>
      <c r="K390" s="25" t="inlineStr">
        <is>
          <t>Compra</t>
        </is>
      </c>
      <c r="L390" s="12" t="inlineStr">
        <is>
          <t>22 Etiquetado</t>
        </is>
      </c>
      <c r="M390" s="12" t="inlineStr">
        <is>
          <t>Ordenanza 40.473 art. 6</t>
        </is>
      </c>
      <c r="N390" s="25" t="inlineStr">
        <is>
          <t>N</t>
        </is>
      </c>
      <c r="O390" s="25" t="n"/>
      <c r="P390" s="12" t="inlineStr">
        <is>
          <t>Clase, capacidad, fecha de carga y vencimiento, garantía; se anexa al matafuego (no se dibuja)</t>
        </is>
      </c>
    </row>
    <row r="391">
      <c r="A391" s="22" t="inlineStr">
        <is>
          <t>FL_MAT_BC_5kg</t>
        </is>
      </c>
      <c r="B391" s="22" t="n">
        <v>1</v>
      </c>
      <c r="C391" s="22" t="inlineStr">
        <is>
          <t>BC5-S8</t>
        </is>
      </c>
      <c r="D391" s="23" t="inlineStr">
        <is>
          <t xml:space="preserve">    Soporte (accesorio de montaje)</t>
        </is>
      </c>
      <c r="E391" s="22" t="n">
        <v>1</v>
      </c>
      <c r="F391" s="22" t="inlineStr">
        <is>
          <t>u</t>
        </is>
      </c>
      <c r="G391" s="24" t="n"/>
      <c r="H391" s="24">
        <f>H392+H393</f>
        <v/>
      </c>
      <c r="I391" s="22" t="n"/>
      <c r="J391" s="23" t="n"/>
      <c r="K391" s="22" t="inlineStr">
        <is>
          <t>Compra</t>
        </is>
      </c>
      <c r="L391" s="23" t="inlineStr">
        <is>
          <t>23 Embalaje (va dentro de la caja)</t>
        </is>
      </c>
      <c r="M391" s="23" t="inlineStr">
        <is>
          <t>IRAM 3517-2 7.4</t>
        </is>
      </c>
      <c r="N391" s="22" t="n"/>
      <c r="O391" s="22" t="n"/>
      <c r="P391" s="23" t="n"/>
    </row>
    <row r="392">
      <c r="A392" s="25" t="inlineStr">
        <is>
          <t>FL_MAT_BC_5kg</t>
        </is>
      </c>
      <c r="B392" s="25" t="n">
        <v>2</v>
      </c>
      <c r="C392" s="25" t="inlineStr">
        <is>
          <t>BC5-I5</t>
        </is>
      </c>
      <c r="D392" s="12" t="inlineStr">
        <is>
          <t xml:space="preserve">        Soporte de pared (FL_ACC_01)</t>
        </is>
      </c>
      <c r="E392" s="25" t="n">
        <v>1</v>
      </c>
      <c r="F392" s="25" t="inlineStr">
        <is>
          <t>u</t>
        </is>
      </c>
      <c r="G392" s="26" t="n">
        <v>0.29</v>
      </c>
      <c r="H392" s="26">
        <f>E392*G392</f>
        <v/>
      </c>
      <c r="I392" s="25" t="inlineStr">
        <is>
          <t>Chapa acero SAE 1010 e=2 pintada</t>
        </is>
      </c>
      <c r="J392" s="12" t="inlineStr">
        <is>
          <t>placa 60 × 180, ala con ranura Ø cuello + 3</t>
        </is>
      </c>
      <c r="K392" s="25" t="inlineStr">
        <is>
          <t>Compra</t>
        </is>
      </c>
      <c r="L392" s="12" t="inlineStr">
        <is>
          <t>23 Embalaje</t>
        </is>
      </c>
      <c r="M392" s="12" t="inlineStr">
        <is>
          <t>IRAM 3517-2 7.4</t>
        </is>
      </c>
      <c r="N392" s="25" t="inlineStr">
        <is>
          <t>P</t>
        </is>
      </c>
      <c r="O392" s="25" t="inlineStr">
        <is>
          <t>FL_ACC_01</t>
        </is>
      </c>
      <c r="P392" s="12" t="n"/>
    </row>
    <row r="393">
      <c r="A393" s="25" t="inlineStr">
        <is>
          <t>FL_MAT_BC_5kg</t>
        </is>
      </c>
      <c r="B393" s="25" t="n">
        <v>2</v>
      </c>
      <c r="C393" s="25" t="inlineStr">
        <is>
          <t>BC5-I6</t>
        </is>
      </c>
      <c r="D393" s="12" t="inlineStr">
        <is>
          <t xml:space="preserve">        Tornillo y tarugo de fijación</t>
        </is>
      </c>
      <c r="E393" s="25" t="n">
        <v>2</v>
      </c>
      <c r="F393" s="25" t="inlineStr">
        <is>
          <t>u</t>
        </is>
      </c>
      <c r="G393" s="26" t="n">
        <v>0.01</v>
      </c>
      <c r="H393" s="26">
        <f>E393*G393</f>
        <v/>
      </c>
      <c r="I393" s="25" t="inlineStr">
        <is>
          <t>Acero cincado / nylon</t>
        </is>
      </c>
      <c r="J393" s="12" t="inlineStr">
        <is>
          <t>M6 × 50 + tarugo 8</t>
        </is>
      </c>
      <c r="K393" s="25" t="inlineStr">
        <is>
          <t>Compra</t>
        </is>
      </c>
      <c r="L393" s="12" t="inlineStr">
        <is>
          <t>23 Embalaje</t>
        </is>
      </c>
      <c r="M393" s="12" t="n"/>
      <c r="N393" s="25" t="inlineStr">
        <is>
          <t>R</t>
        </is>
      </c>
      <c r="O393" s="25" t="n"/>
      <c r="P393" s="12" t="n"/>
    </row>
    <row r="394">
      <c r="A394" s="25" t="inlineStr">
        <is>
          <t>FL_MAT_BC_5kg</t>
        </is>
      </c>
      <c r="B394" s="25" t="n">
        <v>2</v>
      </c>
      <c r="C394" s="25" t="inlineStr">
        <is>
          <t>BC5-I8</t>
        </is>
      </c>
      <c r="D394" s="12" t="inlineStr">
        <is>
          <t xml:space="preserve">        Soporte opcional (pared o vehicular, según pedido)</t>
        </is>
      </c>
      <c r="E394" s="25" t="n">
        <v>0</v>
      </c>
      <c r="F394" s="25" t="inlineStr">
        <is>
          <t>u</t>
        </is>
      </c>
      <c r="G394" s="26" t="n"/>
      <c r="H394" s="26" t="n"/>
      <c r="I394" s="25" t="inlineStr">
        <is>
          <t>-</t>
        </is>
      </c>
      <c r="J394" s="12" t="inlineStr">
        <is>
          <t>-</t>
        </is>
      </c>
      <c r="K394" s="25" t="inlineStr">
        <is>
          <t>Compra</t>
        </is>
      </c>
      <c r="L394" s="12" t="n"/>
      <c r="M394" s="12" t="n"/>
      <c r="N394" s="25" t="inlineStr">
        <is>
          <t>C</t>
        </is>
      </c>
      <c r="O394" s="25" t="n"/>
      <c r="P394" s="12" t="inlineStr">
        <is>
          <t>Sólo si el pedido lo incluye</t>
        </is>
      </c>
    </row>
    <row r="395">
      <c r="A395" s="22" t="inlineStr">
        <is>
          <t>FL_MAT_BC_5kg</t>
        </is>
      </c>
      <c r="B395" s="22" t="n">
        <v>1</v>
      </c>
      <c r="C395" s="22" t="inlineStr">
        <is>
          <t>BC5-S7</t>
        </is>
      </c>
      <c r="D395" s="23" t="inlineStr">
        <is>
          <t xml:space="preserve">    Embalaje</t>
        </is>
      </c>
      <c r="E395" s="22" t="n">
        <v>1</v>
      </c>
      <c r="F395" s="22" t="inlineStr">
        <is>
          <t>u</t>
        </is>
      </c>
      <c r="G395" s="24" t="n"/>
      <c r="H395" s="24">
        <f>H396+H397+H398+H399+H400</f>
        <v/>
      </c>
      <c r="I395" s="22" t="n"/>
      <c r="J395" s="23" t="n"/>
      <c r="K395" s="22" t="inlineStr">
        <is>
          <t>Compra</t>
        </is>
      </c>
      <c r="L395" s="23" t="inlineStr">
        <is>
          <t>23 Embalaje -&gt; 24 envolvedora (T11)</t>
        </is>
      </c>
      <c r="M395" s="23" t="n"/>
      <c r="N395" s="22" t="n"/>
      <c r="O395" s="22" t="n"/>
      <c r="P395" s="23" t="n"/>
    </row>
    <row r="396">
      <c r="A396" s="25" t="inlineStr">
        <is>
          <t>FL_MAT_BC_5kg</t>
        </is>
      </c>
      <c r="B396" s="25" t="n">
        <v>2</v>
      </c>
      <c r="C396" s="25" t="inlineStr">
        <is>
          <t>BC5-E1</t>
        </is>
      </c>
      <c r="D396" s="12" t="inlineStr">
        <is>
          <t xml:space="preserve">        Caja de cartón corrugado simple</t>
        </is>
      </c>
      <c r="E396" s="25" t="n">
        <v>1</v>
      </c>
      <c r="F396" s="25" t="inlineStr">
        <is>
          <t>u</t>
        </is>
      </c>
      <c r="G396" s="26" t="n">
        <v>0.25</v>
      </c>
      <c r="H396" s="26">
        <f>E396*G396</f>
        <v/>
      </c>
      <c r="I396" s="25" t="inlineStr">
        <is>
          <t>Cartón corrugado</t>
        </is>
      </c>
      <c r="J396" s="12" t="inlineStr">
        <is>
          <t>255 × 186 × 500 interior</t>
        </is>
      </c>
      <c r="K396" s="25" t="inlineStr">
        <is>
          <t>Compra</t>
        </is>
      </c>
      <c r="L396" s="12" t="inlineStr">
        <is>
          <t>23 Embalaje</t>
        </is>
      </c>
      <c r="M396" s="12" t="n"/>
      <c r="N396" s="25" t="inlineStr">
        <is>
          <t>R</t>
        </is>
      </c>
      <c r="O396" s="25" t="n"/>
      <c r="P396" s="12" t="n"/>
    </row>
    <row r="397">
      <c r="A397" s="25" t="inlineStr">
        <is>
          <t>FL_MAT_BC_5kg</t>
        </is>
      </c>
      <c r="B397" s="25" t="n">
        <v>2</v>
      </c>
      <c r="C397" s="25" t="inlineStr">
        <is>
          <t>BC5-E2</t>
        </is>
      </c>
      <c r="D397" s="12" t="inlineStr">
        <is>
          <t xml:space="preserve">        Instructivo de uso y mantenimiento</t>
        </is>
      </c>
      <c r="E397" s="25" t="n">
        <v>1</v>
      </c>
      <c r="F397" s="25" t="inlineStr">
        <is>
          <t>u</t>
        </is>
      </c>
      <c r="G397" s="26" t="n">
        <v>0.01</v>
      </c>
      <c r="H397" s="26">
        <f>E397*G397</f>
        <v/>
      </c>
      <c r="I397" s="25" t="inlineStr">
        <is>
          <t>Papel</t>
        </is>
      </c>
      <c r="J397" s="12" t="inlineStr">
        <is>
          <t>A5</t>
        </is>
      </c>
      <c r="K397" s="25" t="inlineStr">
        <is>
          <t>Compra</t>
        </is>
      </c>
      <c r="L397" s="12" t="inlineStr">
        <is>
          <t>23 Embalaje</t>
        </is>
      </c>
      <c r="M397" s="12" t="inlineStr">
        <is>
          <t>IRAM 3517-2 (información al usuario)</t>
        </is>
      </c>
      <c r="N397" s="25" t="inlineStr">
        <is>
          <t>R</t>
        </is>
      </c>
      <c r="O397" s="25" t="n"/>
      <c r="P397" s="12" t="n"/>
    </row>
    <row r="398">
      <c r="A398" s="25" t="inlineStr">
        <is>
          <t>FL_MAT_BC_5kg</t>
        </is>
      </c>
      <c r="B398" s="25" t="n">
        <v>2</v>
      </c>
      <c r="C398" s="25" t="inlineStr">
        <is>
          <t>BC5-E3</t>
        </is>
      </c>
      <c r="D398" s="12" t="inlineStr">
        <is>
          <t xml:space="preserve">        Pallet 1200 × 1000 (fracción)</t>
        </is>
      </c>
      <c r="E398" s="25" t="n">
        <v>0.025</v>
      </c>
      <c r="F398" s="25" t="inlineStr">
        <is>
          <t>u</t>
        </is>
      </c>
      <c r="G398" s="26" t="n">
        <v>0.55</v>
      </c>
      <c r="H398" s="26">
        <f>E398*G398</f>
        <v/>
      </c>
      <c r="I398" s="25" t="inlineStr">
        <is>
          <t>Madera</t>
        </is>
      </c>
      <c r="J398" s="12" t="inlineStr">
        <is>
          <t>40 u por pallet</t>
        </is>
      </c>
      <c r="K398" s="25" t="inlineStr">
        <is>
          <t>Compra</t>
        </is>
      </c>
      <c r="L398" s="12" t="inlineStr">
        <is>
          <t>23 Embalaje</t>
        </is>
      </c>
      <c r="M398" s="12" t="n"/>
      <c r="N398" s="25" t="inlineStr">
        <is>
          <t>R</t>
        </is>
      </c>
      <c r="O398" s="25" t="n"/>
      <c r="P398" s="12" t="n"/>
    </row>
    <row r="399">
      <c r="A399" s="25" t="inlineStr">
        <is>
          <t>FL_MAT_BC_5kg</t>
        </is>
      </c>
      <c r="B399" s="25" t="n">
        <v>2</v>
      </c>
      <c r="C399" s="25" t="inlineStr">
        <is>
          <t>BC5-E4</t>
        </is>
      </c>
      <c r="D399" s="12" t="inlineStr">
        <is>
          <t xml:space="preserve">        Film stretch (fracción del pallet)</t>
        </is>
      </c>
      <c r="E399" s="25" t="n">
        <v>0.008699999999999999</v>
      </c>
      <c r="F399" s="25" t="inlineStr">
        <is>
          <t>kg</t>
        </is>
      </c>
      <c r="G399" s="26" t="n">
        <v>1</v>
      </c>
      <c r="H399" s="26">
        <f>E399*G399</f>
        <v/>
      </c>
      <c r="I399" s="25" t="inlineStr">
        <is>
          <t>PE lineal 23 µm</t>
        </is>
      </c>
      <c r="J399" s="12" t="inlineStr">
        <is>
          <t>envolvedora EDOS PS5</t>
        </is>
      </c>
      <c r="K399" s="25" t="inlineStr">
        <is>
          <t>Compra</t>
        </is>
      </c>
      <c r="L399" s="12" t="inlineStr">
        <is>
          <t>24 Envolvedora (T11)</t>
        </is>
      </c>
      <c r="M399" s="12" t="n"/>
      <c r="N399" s="25" t="inlineStr">
        <is>
          <t>R</t>
        </is>
      </c>
      <c r="O399" s="25" t="n"/>
      <c r="P399" s="12" t="n"/>
    </row>
    <row r="400">
      <c r="A400" s="25" t="inlineStr">
        <is>
          <t>FL_MAT_BC_5kg</t>
        </is>
      </c>
      <c r="B400" s="25" t="n">
        <v>2</v>
      </c>
      <c r="C400" s="25" t="inlineStr">
        <is>
          <t>BC5-E5</t>
        </is>
      </c>
      <c r="D400" s="12" t="inlineStr">
        <is>
          <t xml:space="preserve">        Etiqueta de pallet (lote y destino, fracción)</t>
        </is>
      </c>
      <c r="E400" s="25" t="n">
        <v>0.025</v>
      </c>
      <c r="F400" s="25" t="inlineStr">
        <is>
          <t>u</t>
        </is>
      </c>
      <c r="G400" s="26" t="n">
        <v>0</v>
      </c>
      <c r="H400" s="26">
        <f>E400*G400</f>
        <v/>
      </c>
      <c r="I400" s="25" t="inlineStr">
        <is>
          <t>Papel térmico</t>
        </is>
      </c>
      <c r="J400" s="12" t="inlineStr">
        <is>
          <t>100 × 150</t>
        </is>
      </c>
      <c r="K400" s="25" t="inlineStr">
        <is>
          <t>Compra</t>
        </is>
      </c>
      <c r="L400" s="12" t="inlineStr">
        <is>
          <t>24 Envolvedora</t>
        </is>
      </c>
      <c r="M400" s="12" t="n"/>
      <c r="N400" s="25" t="inlineStr">
        <is>
          <t>R</t>
        </is>
      </c>
      <c r="O400" s="25" t="n"/>
      <c r="P400" s="12" t="n"/>
    </row>
    <row r="401">
      <c r="A401" s="19" t="inlineStr">
        <is>
          <t>FL_MAT_SALESK_6l</t>
        </is>
      </c>
      <c r="B401" s="19" t="n">
        <v>0</v>
      </c>
      <c r="C401" s="19" t="inlineStr">
        <is>
          <t>FL_MAT_SALESK_6l</t>
        </is>
      </c>
      <c r="D401" s="20" t="inlineStr">
        <is>
          <t>Extintor Sales K 6 l</t>
        </is>
      </c>
      <c r="E401" s="19" t="n">
        <v>1</v>
      </c>
      <c r="F401" s="19" t="inlineStr">
        <is>
          <t>u</t>
        </is>
      </c>
      <c r="G401" s="21" t="n"/>
      <c r="H401" s="21" t="n"/>
      <c r="I401" s="19" t="n"/>
      <c r="J401" s="20" t="n"/>
      <c r="K401" s="19" t="n"/>
      <c r="L401" s="20" t="n"/>
      <c r="M401" s="20" t="inlineStr">
        <is>
          <t>IRAM 3694</t>
        </is>
      </c>
      <c r="N401" s="19" t="inlineStr">
        <is>
          <t>P</t>
        </is>
      </c>
      <c r="O401" s="19" t="inlineStr">
        <is>
          <t>FL_MAT_SALESK_6l</t>
        </is>
      </c>
      <c r="P401" s="20" t="inlineStr">
        <is>
          <t>Tercerizado revendido (S4)</t>
        </is>
      </c>
    </row>
    <row r="402">
      <c r="A402" s="22" t="inlineStr">
        <is>
          <t>FL_MAT_SALESK_6l</t>
        </is>
      </c>
      <c r="B402" s="22" t="n">
        <v>1</v>
      </c>
      <c r="C402" s="22" t="inlineStr">
        <is>
          <t>SALESK6-S1</t>
        </is>
      </c>
      <c r="D402" s="23" t="inlineStr">
        <is>
          <t xml:space="preserve">    Recipiente (cilindro)</t>
        </is>
      </c>
      <c r="E402" s="22" t="n">
        <v>1</v>
      </c>
      <c r="F402" s="22" t="inlineStr">
        <is>
          <t>u</t>
        </is>
      </c>
      <c r="G402" s="24" t="n"/>
      <c r="H402" s="24">
        <f>H403+H404+H405+H406+H407</f>
        <v/>
      </c>
      <c r="I402" s="22" t="n"/>
      <c r="J402" s="23" t="n"/>
      <c r="K402" s="22" t="inlineStr">
        <is>
          <t>Compra / armado</t>
        </is>
      </c>
      <c r="L402" s="23" t="n"/>
      <c r="M402" s="23" t="inlineStr">
        <is>
          <t>IRAM 3523 / 3550 (recipiente)</t>
        </is>
      </c>
      <c r="N402" s="22" t="inlineStr">
        <is>
          <t>P</t>
        </is>
      </c>
      <c r="O402" s="22" t="inlineStr">
        <is>
          <t>FL_DES_SALESK_6l</t>
        </is>
      </c>
      <c r="P402" s="23" t="n"/>
    </row>
    <row r="403">
      <c r="A403" s="25" t="inlineStr">
        <is>
          <t>FL_MAT_SALESK_6l</t>
        </is>
      </c>
      <c r="B403" s="25" t="n">
        <v>2</v>
      </c>
      <c r="C403" s="25" t="inlineStr">
        <is>
          <t>SALESK6-01</t>
        </is>
      </c>
      <c r="D403" s="12" t="inlineStr">
        <is>
          <t xml:space="preserve">        Cuerpo (virola)</t>
        </is>
      </c>
      <c r="E403" s="25" t="n">
        <v>1</v>
      </c>
      <c r="F403" s="25" t="inlineStr">
        <is>
          <t>u</t>
        </is>
      </c>
      <c r="G403" s="26" t="n">
        <v>1.1162</v>
      </c>
      <c r="H403" s="26">
        <f>E403*G403</f>
        <v/>
      </c>
      <c r="I403" s="25" t="inlineStr">
        <is>
          <t>Chapa acero inox. AISI 304 e=0,8</t>
        </is>
      </c>
      <c r="J403" s="12" t="inlineStr">
        <is>
          <t>Ø190 × e0,8 × 296 de alto; desarrollo 594,4 × 296</t>
        </is>
      </c>
      <c r="K403" s="25" t="inlineStr">
        <is>
          <t>Compra (en el conjunto)</t>
        </is>
      </c>
      <c r="L403" s="12" t="inlineStr">
        <is>
          <t>S4 - se compra terminado (tercerizado con sello IRAM)</t>
        </is>
      </c>
      <c r="M403" s="12" t="n"/>
      <c r="N403" s="25" t="inlineStr">
        <is>
          <t>P</t>
        </is>
      </c>
      <c r="O403" s="25" t="inlineStr">
        <is>
          <t>FL_DES_SALESK_6l</t>
        </is>
      </c>
      <c r="P403" s="12" t="inlineStr">
        <is>
          <t>costura long. TIG</t>
        </is>
      </c>
    </row>
    <row r="404">
      <c r="A404" s="25" t="inlineStr">
        <is>
          <t>FL_MAT_SALESK_6l</t>
        </is>
      </c>
      <c r="B404" s="25" t="n">
        <v>2</v>
      </c>
      <c r="C404" s="25" t="inlineStr">
        <is>
          <t>SALESK6-02</t>
        </is>
      </c>
      <c r="D404" s="12" t="inlineStr">
        <is>
          <t xml:space="preserve">        Cúpula</t>
        </is>
      </c>
      <c r="E404" s="25" t="n">
        <v>1</v>
      </c>
      <c r="F404" s="25" t="inlineStr">
        <is>
          <t>u</t>
        </is>
      </c>
      <c r="G404" s="26" t="n">
        <v>0.2544</v>
      </c>
      <c r="H404" s="26">
        <f>E404*G404</f>
        <v/>
      </c>
      <c r="I404" s="25" t="inlineStr">
        <is>
          <t>Chapa acero inox. AISI 304 e=0,8</t>
        </is>
      </c>
      <c r="J404" s="12" t="inlineStr">
        <is>
          <t>Ø190 × e0,8 × 59 de alto; disco Ø232,7</t>
        </is>
      </c>
      <c r="K404" s="25" t="inlineStr">
        <is>
          <t>Compra (en el conjunto)</t>
        </is>
      </c>
      <c r="L404" s="12" t="inlineStr">
        <is>
          <t>S4 - se compra terminado (tercerizado con sello IRAM)</t>
        </is>
      </c>
      <c r="M404" s="12" t="n"/>
      <c r="N404" s="25" t="inlineStr">
        <is>
          <t>P</t>
        </is>
      </c>
      <c r="O404" s="25" t="inlineStr">
        <is>
          <t>FL_DES_SALESK_6l</t>
        </is>
      </c>
      <c r="P404" s="12" t="inlineStr">
        <is>
          <t>embutida</t>
        </is>
      </c>
    </row>
    <row r="405">
      <c r="A405" s="25" t="inlineStr">
        <is>
          <t>FL_MAT_SALESK_6l</t>
        </is>
      </c>
      <c r="B405" s="25" t="n">
        <v>2</v>
      </c>
      <c r="C405" s="25" t="inlineStr">
        <is>
          <t>SALESK6-03</t>
        </is>
      </c>
      <c r="D405" s="12" t="inlineStr">
        <is>
          <t xml:space="preserve">        Fondo</t>
        </is>
      </c>
      <c r="E405" s="25" t="n">
        <v>1</v>
      </c>
      <c r="F405" s="25" t="inlineStr">
        <is>
          <t>u</t>
        </is>
      </c>
      <c r="G405" s="26" t="n">
        <v>0.1769</v>
      </c>
      <c r="H405" s="26">
        <f>E405*G405</f>
        <v/>
      </c>
      <c r="I405" s="25" t="inlineStr">
        <is>
          <t>Chapa acero inox. AISI 304 e=0,8</t>
        </is>
      </c>
      <c r="J405" s="12" t="inlineStr">
        <is>
          <t>Ø190 × e0,8 × 10,8 de alto; disco Ø194,1</t>
        </is>
      </c>
      <c r="K405" s="25" t="inlineStr">
        <is>
          <t>Compra (en el conjunto)</t>
        </is>
      </c>
      <c r="L405" s="12" t="inlineStr">
        <is>
          <t>S4 - se compra terminado (tercerizado con sello IRAM)</t>
        </is>
      </c>
      <c r="M405" s="12" t="n"/>
      <c r="N405" s="25" t="inlineStr">
        <is>
          <t>P</t>
        </is>
      </c>
      <c r="O405" s="25" t="inlineStr">
        <is>
          <t>FL_DES_SALESK_6l</t>
        </is>
      </c>
      <c r="P405" s="12" t="inlineStr">
        <is>
          <t>embutido</t>
        </is>
      </c>
    </row>
    <row r="406">
      <c r="A406" s="25" t="inlineStr">
        <is>
          <t>FL_MAT_SALESK_6l</t>
        </is>
      </c>
      <c r="B406" s="25" t="n">
        <v>2</v>
      </c>
      <c r="C406" s="25" t="inlineStr">
        <is>
          <t>SALESK6-04</t>
        </is>
      </c>
      <c r="D406" s="12" t="inlineStr">
        <is>
          <t xml:space="preserve">        Cuello roscado</t>
        </is>
      </c>
      <c r="E406" s="25" t="n">
        <v>1</v>
      </c>
      <c r="F406" s="25" t="inlineStr">
        <is>
          <t>u</t>
        </is>
      </c>
      <c r="G406" s="26" t="n">
        <v>0.0539</v>
      </c>
      <c r="H406" s="26">
        <f>E406*G406</f>
        <v/>
      </c>
      <c r="I406" s="25" t="inlineStr">
        <is>
          <t>Acero inox. AISI 304</t>
        </is>
      </c>
      <c r="J406" s="12" t="inlineStr">
        <is>
          <t>Ø37 × 14 de alto, rosca M30x1,5, asiento Ø35</t>
        </is>
      </c>
      <c r="K406" s="25" t="inlineStr">
        <is>
          <t>Compra (en el conjunto)</t>
        </is>
      </c>
      <c r="L406" s="12" t="inlineStr">
        <is>
          <t>S4 - se compra terminado (tercerizado con sello IRAM)</t>
        </is>
      </c>
      <c r="M406" s="12" t="n"/>
      <c r="N406" s="25" t="inlineStr">
        <is>
          <t>P</t>
        </is>
      </c>
      <c r="O406" s="25" t="inlineStr">
        <is>
          <t>FL_DES_SALESK_6l</t>
        </is>
      </c>
      <c r="P406" s="12" t="inlineStr">
        <is>
          <t>M30x1,5</t>
        </is>
      </c>
    </row>
    <row r="407">
      <c r="A407" s="25" t="inlineStr">
        <is>
          <t>FL_MAT_SALESK_6l</t>
        </is>
      </c>
      <c r="B407" s="25" t="n">
        <v>2</v>
      </c>
      <c r="C407" s="25" t="inlineStr">
        <is>
          <t>SALESK6-C1</t>
        </is>
      </c>
      <c r="D407" s="12" t="inlineStr">
        <is>
          <t xml:space="preserve">        Aporte de soldadura: Varilla TIG ER308L Ø1,6</t>
        </is>
      </c>
      <c r="E407" s="25" t="n">
        <v>0.0385</v>
      </c>
      <c r="F407" s="25" t="inlineStr">
        <is>
          <t>kg</t>
        </is>
      </c>
      <c r="G407" s="26" t="n">
        <v>0.95</v>
      </c>
      <c r="H407" s="26">
        <f>E407*G407</f>
        <v/>
      </c>
      <c r="I407" s="25" t="inlineStr">
        <is>
          <t>Varilla TIG ER308L Ø1,6</t>
        </is>
      </c>
      <c r="J407" s="12" t="inlineStr">
        <is>
          <t>cordones del plano: 37 g depositados (rend. 95 %)</t>
        </is>
      </c>
      <c r="K407" s="25" t="inlineStr">
        <is>
          <t>Compra</t>
        </is>
      </c>
      <c r="L407" s="12" t="inlineStr">
        <is>
          <t>4 sold. long. / 8 cuello / 11 circunferencial</t>
        </is>
      </c>
      <c r="M407" s="12" t="inlineStr">
        <is>
          <t>ISO 4063 131 / 141</t>
        </is>
      </c>
      <c r="N407" s="25" t="inlineStr">
        <is>
          <t>P</t>
        </is>
      </c>
      <c r="O407" s="25" t="n"/>
      <c r="P407" s="12" t="n"/>
    </row>
    <row r="408">
      <c r="A408" s="25" t="inlineStr">
        <is>
          <t>FL_MAT_SALESK_6l</t>
        </is>
      </c>
      <c r="B408" s="25" t="n">
        <v>2</v>
      </c>
      <c r="C408" s="25" t="inlineStr">
        <is>
          <t>SALESK6-C2</t>
        </is>
      </c>
      <c r="D408" s="12" t="inlineStr">
        <is>
          <t xml:space="preserve">        Gas de protección: Argón</t>
        </is>
      </c>
      <c r="E408" s="25" t="n">
        <v>28.8</v>
      </c>
      <c r="F408" s="25" t="inlineStr">
        <is>
          <t>L</t>
        </is>
      </c>
      <c r="G408" s="26" t="n"/>
      <c r="H408" s="26" t="n"/>
      <c r="I408" s="25" t="inlineStr">
        <is>
          <t>Argón</t>
        </is>
      </c>
      <c r="J408" s="12" t="inlineStr">
        <is>
          <t>2,9 min de arco × 10 L/min</t>
        </is>
      </c>
      <c r="K408" s="25" t="inlineStr">
        <is>
          <t>Compra</t>
        </is>
      </c>
      <c r="L408" s="12" t="inlineStr">
        <is>
          <t>Botellón</t>
        </is>
      </c>
      <c r="M408" s="12" t="n"/>
      <c r="N408" s="25" t="inlineStr">
        <is>
          <t>R</t>
        </is>
      </c>
      <c r="O408" s="25" t="n"/>
      <c r="P408" s="12" t="n"/>
    </row>
    <row r="409">
      <c r="A409" s="22" t="inlineStr">
        <is>
          <t>FL_MAT_SALESK_6l</t>
        </is>
      </c>
      <c r="B409" s="22" t="n">
        <v>1</v>
      </c>
      <c r="C409" s="22" t="inlineStr">
        <is>
          <t>SALESK6-S2</t>
        </is>
      </c>
      <c r="D409" s="23" t="inlineStr">
        <is>
          <t xml:space="preserve">    Conjunto de válvula</t>
        </is>
      </c>
      <c r="E409" s="22" t="n">
        <v>1</v>
      </c>
      <c r="F409" s="22" t="inlineStr">
        <is>
          <t>u</t>
        </is>
      </c>
      <c r="G409" s="24" t="n"/>
      <c r="H409" s="24">
        <f>H410+H411+H412+H413+H414+H415+H416+H417+H418+H419+H420+H421+H422</f>
        <v/>
      </c>
      <c r="I409" s="22" t="n"/>
      <c r="J409" s="23" t="n"/>
      <c r="K409" s="22" t="inlineStr">
        <is>
          <t>Compra / armado</t>
        </is>
      </c>
      <c r="L409" s="23" t="n"/>
      <c r="M409" s="23" t="inlineStr">
        <is>
          <t>Manómetro IRAM 3533</t>
        </is>
      </c>
      <c r="N409" s="22" t="inlineStr">
        <is>
          <t>P</t>
        </is>
      </c>
      <c r="O409" s="22" t="inlineStr">
        <is>
          <t>FL_DES_SALESK_6l</t>
        </is>
      </c>
      <c r="P409" s="23" t="n"/>
    </row>
    <row r="410">
      <c r="A410" s="25" t="inlineStr">
        <is>
          <t>FL_MAT_SALESK_6l</t>
        </is>
      </c>
      <c r="B410" s="25" t="n">
        <v>2</v>
      </c>
      <c r="C410" s="25" t="inlineStr">
        <is>
          <t>SALESK6-05</t>
        </is>
      </c>
      <c r="D410" s="12" t="inlineStr">
        <is>
          <t xml:space="preserve">        Collarín de válvula</t>
        </is>
      </c>
      <c r="E410" s="25" t="n">
        <v>1</v>
      </c>
      <c r="F410" s="25" t="inlineStr">
        <is>
          <t>u</t>
        </is>
      </c>
      <c r="G410" s="26" t="n">
        <v>0.0833</v>
      </c>
      <c r="H410" s="26">
        <f>E410*G410</f>
        <v/>
      </c>
      <c r="I410" s="25" t="inlineStr">
        <is>
          <t>Latón forjado</t>
        </is>
      </c>
      <c r="J410" s="12" t="inlineStr">
        <is>
          <t>43 × 43 × 10</t>
        </is>
      </c>
      <c r="K410" s="25" t="inlineStr">
        <is>
          <t>Compra (en el conjunto)</t>
        </is>
      </c>
      <c r="L410" s="12" t="inlineStr">
        <is>
          <t>S4 - se compra terminado (tercerizado con sello IRAM)</t>
        </is>
      </c>
      <c r="M410" s="12" t="n"/>
      <c r="N410" s="25" t="inlineStr">
        <is>
          <t>P</t>
        </is>
      </c>
      <c r="O410" s="25" t="inlineStr">
        <is>
          <t>FL_DES_SALESK_6l</t>
        </is>
      </c>
      <c r="P410" s="12" t="n"/>
    </row>
    <row r="411">
      <c r="A411" s="25" t="inlineStr">
        <is>
          <t>FL_MAT_SALESK_6l</t>
        </is>
      </c>
      <c r="B411" s="25" t="n">
        <v>2</v>
      </c>
      <c r="C411" s="25" t="inlineStr">
        <is>
          <t>SALESK6-06</t>
        </is>
      </c>
      <c r="D411" s="12" t="inlineStr">
        <is>
          <t xml:space="preserve">        Espiga roscada</t>
        </is>
      </c>
      <c r="E411" s="25" t="n">
        <v>1</v>
      </c>
      <c r="F411" s="25" t="inlineStr">
        <is>
          <t>u</t>
        </is>
      </c>
      <c r="G411" s="26" t="n">
        <v>0.0243</v>
      </c>
      <c r="H411" s="26">
        <f>E411*G411</f>
        <v/>
      </c>
      <c r="I411" s="25" t="inlineStr">
        <is>
          <t>Latón forjado</t>
        </is>
      </c>
      <c r="J411" s="12" t="inlineStr">
        <is>
          <t>28,4 × 28,4 × 12</t>
        </is>
      </c>
      <c r="K411" s="25" t="inlineStr">
        <is>
          <t>Compra (en el conjunto)</t>
        </is>
      </c>
      <c r="L411" s="12" t="inlineStr">
        <is>
          <t>S4 - se compra terminado (tercerizado con sello IRAM)</t>
        </is>
      </c>
      <c r="M411" s="12" t="n"/>
      <c r="N411" s="25" t="inlineStr">
        <is>
          <t>P</t>
        </is>
      </c>
      <c r="O411" s="25" t="inlineStr">
        <is>
          <t>FL_DES_SALESK_6l</t>
        </is>
      </c>
      <c r="P411" s="12" t="n"/>
    </row>
    <row r="412">
      <c r="A412" s="25" t="inlineStr">
        <is>
          <t>FL_MAT_SALESK_6l</t>
        </is>
      </c>
      <c r="B412" s="25" t="n">
        <v>2</v>
      </c>
      <c r="C412" s="25" t="inlineStr">
        <is>
          <t>SALESK6-07</t>
        </is>
      </c>
      <c r="D412" s="12" t="inlineStr">
        <is>
          <t xml:space="preserve">        Cuerpo de válvula</t>
        </is>
      </c>
      <c r="E412" s="25" t="n">
        <v>1</v>
      </c>
      <c r="F412" s="25" t="inlineStr">
        <is>
          <t>u</t>
        </is>
      </c>
      <c r="G412" s="26" t="n">
        <v>0.463</v>
      </c>
      <c r="H412" s="26">
        <f>E412*G412</f>
        <v/>
      </c>
      <c r="I412" s="25" t="inlineStr">
        <is>
          <t>Latón forjado</t>
        </is>
      </c>
      <c r="J412" s="12" t="inlineStr">
        <is>
          <t>63,4 × 43 × 34</t>
        </is>
      </c>
      <c r="K412" s="25" t="inlineStr">
        <is>
          <t>Compra (en el conjunto)</t>
        </is>
      </c>
      <c r="L412" s="12" t="inlineStr">
        <is>
          <t>S4 - se compra terminado (tercerizado con sello IRAM)</t>
        </is>
      </c>
      <c r="M412" s="12" t="n"/>
      <c r="N412" s="25" t="inlineStr">
        <is>
          <t>P</t>
        </is>
      </c>
      <c r="O412" s="25" t="inlineStr">
        <is>
          <t>FL_DES_SALESK_6l</t>
        </is>
      </c>
      <c r="P412" s="12" t="n"/>
    </row>
    <row r="413">
      <c r="A413" s="25" t="inlineStr">
        <is>
          <t>FL_MAT_SALESK_6l</t>
        </is>
      </c>
      <c r="B413" s="25" t="n">
        <v>2</v>
      </c>
      <c r="C413" s="25" t="inlineStr">
        <is>
          <t>SALESK6-08</t>
        </is>
      </c>
      <c r="D413" s="12" t="inlineStr">
        <is>
          <t xml:space="preserve">        Manómetro</t>
        </is>
      </c>
      <c r="E413" s="25" t="n">
        <v>1</v>
      </c>
      <c r="F413" s="25" t="inlineStr">
        <is>
          <t>u</t>
        </is>
      </c>
      <c r="G413" s="26" t="n">
        <v>0.06</v>
      </c>
      <c r="H413" s="26">
        <f>E413*G413</f>
        <v/>
      </c>
      <c r="I413" s="25" t="inlineStr">
        <is>
          <t>Comercial</t>
        </is>
      </c>
      <c r="J413" s="12" t="inlineStr">
        <is>
          <t>Ø38 esfera, rango 0-2 MPa, sector verde en 0,8</t>
        </is>
      </c>
      <c r="K413" s="25" t="inlineStr">
        <is>
          <t>Compra (en el conjunto)</t>
        </is>
      </c>
      <c r="L413" s="12" t="inlineStr">
        <is>
          <t>S4 - se compra terminado (tercerizado con sello IRAM)</t>
        </is>
      </c>
      <c r="M413" s="12" t="inlineStr">
        <is>
          <t>IRAM 3533</t>
        </is>
      </c>
      <c r="N413" s="25" t="inlineStr">
        <is>
          <t>R</t>
        </is>
      </c>
      <c r="O413" s="25" t="inlineStr">
        <is>
          <t>FL_DES_SALESK_6l</t>
        </is>
      </c>
      <c r="P413" s="12" t="inlineStr">
        <is>
          <t>Pieza comercial; sello IRAM 3533</t>
        </is>
      </c>
    </row>
    <row r="414">
      <c r="A414" s="25" t="inlineStr">
        <is>
          <t>FL_MAT_SALESK_6l</t>
        </is>
      </c>
      <c r="B414" s="25" t="n">
        <v>2</v>
      </c>
      <c r="C414" s="25" t="inlineStr">
        <is>
          <t>SALESK6-09</t>
        </is>
      </c>
      <c r="D414" s="12" t="inlineStr">
        <is>
          <t xml:space="preserve">        Manija de transporte</t>
        </is>
      </c>
      <c r="E414" s="25" t="n">
        <v>1</v>
      </c>
      <c r="F414" s="25" t="inlineStr">
        <is>
          <t>u</t>
        </is>
      </c>
      <c r="G414" s="26" t="n">
        <v>0.0793</v>
      </c>
      <c r="H414" s="26">
        <f>E414*G414</f>
        <v/>
      </c>
      <c r="I414" s="25" t="inlineStr">
        <is>
          <t>Chapa acero SAE 1010 pintada</t>
        </is>
      </c>
      <c r="J414" s="12" t="inlineStr">
        <is>
          <t>126 × 20 × 17,2</t>
        </is>
      </c>
      <c r="K414" s="25" t="inlineStr">
        <is>
          <t>Compra (en el conjunto)</t>
        </is>
      </c>
      <c r="L414" s="12" t="inlineStr">
        <is>
          <t>S4 - se compra terminado (tercerizado con sello IRAM)</t>
        </is>
      </c>
      <c r="M414" s="12" t="n"/>
      <c r="N414" s="25" t="inlineStr">
        <is>
          <t>P</t>
        </is>
      </c>
      <c r="O414" s="25" t="inlineStr">
        <is>
          <t>FL_DES_SALESK_6l</t>
        </is>
      </c>
      <c r="P414" s="12" t="n"/>
    </row>
    <row r="415">
      <c r="A415" s="25" t="inlineStr">
        <is>
          <t>FL_MAT_SALESK_6l</t>
        </is>
      </c>
      <c r="B415" s="25" t="n">
        <v>2</v>
      </c>
      <c r="C415" s="25" t="inlineStr">
        <is>
          <t>SALESK6-10</t>
        </is>
      </c>
      <c r="D415" s="12" t="inlineStr">
        <is>
          <t xml:space="preserve">        Manija de accionamiento</t>
        </is>
      </c>
      <c r="E415" s="25" t="n">
        <v>1</v>
      </c>
      <c r="F415" s="25" t="inlineStr">
        <is>
          <t>u</t>
        </is>
      </c>
      <c r="G415" s="26" t="n">
        <v>0.1063</v>
      </c>
      <c r="H415" s="26">
        <f>E415*G415</f>
        <v/>
      </c>
      <c r="I415" s="25" t="inlineStr">
        <is>
          <t>Chapa acero SAE 1010 pintada</t>
        </is>
      </c>
      <c r="J415" s="12" t="inlineStr">
        <is>
          <t>168,5 × 24,6 × 20</t>
        </is>
      </c>
      <c r="K415" s="25" t="inlineStr">
        <is>
          <t>Compra (en el conjunto)</t>
        </is>
      </c>
      <c r="L415" s="12" t="inlineStr">
        <is>
          <t>S4 - se compra terminado (tercerizado con sello IRAM)</t>
        </is>
      </c>
      <c r="M415" s="12" t="n"/>
      <c r="N415" s="25" t="inlineStr">
        <is>
          <t>P</t>
        </is>
      </c>
      <c r="O415" s="25" t="inlineStr">
        <is>
          <t>FL_DES_SALESK_6l</t>
        </is>
      </c>
      <c r="P415" s="12" t="n"/>
    </row>
    <row r="416">
      <c r="A416" s="25" t="inlineStr">
        <is>
          <t>FL_MAT_SALESK_6l</t>
        </is>
      </c>
      <c r="B416" s="25" t="n">
        <v>2</v>
      </c>
      <c r="C416" s="25" t="inlineStr">
        <is>
          <t>SALESK6-11</t>
        </is>
      </c>
      <c r="D416" s="12" t="inlineStr">
        <is>
          <t xml:space="preserve">        Eje de palanca</t>
        </is>
      </c>
      <c r="E416" s="25" t="n">
        <v>1</v>
      </c>
      <c r="F416" s="25" t="inlineStr">
        <is>
          <t>u</t>
        </is>
      </c>
      <c r="G416" s="26" t="n">
        <v>0.0081</v>
      </c>
      <c r="H416" s="26">
        <f>E416*G416</f>
        <v/>
      </c>
      <c r="I416" s="25" t="inlineStr">
        <is>
          <t>Acero inox. AISI 304</t>
        </is>
      </c>
      <c r="J416" s="12" t="inlineStr">
        <is>
          <t>36 × 6 × 6</t>
        </is>
      </c>
      <c r="K416" s="25" t="inlineStr">
        <is>
          <t>Compra (en el conjunto)</t>
        </is>
      </c>
      <c r="L416" s="12" t="inlineStr">
        <is>
          <t>S4 - se compra terminado (tercerizado con sello IRAM)</t>
        </is>
      </c>
      <c r="M416" s="12" t="n"/>
      <c r="N416" s="25" t="inlineStr">
        <is>
          <t>P</t>
        </is>
      </c>
      <c r="O416" s="25" t="inlineStr">
        <is>
          <t>FL_DES_SALESK_6l</t>
        </is>
      </c>
      <c r="P416" s="12" t="n"/>
    </row>
    <row r="417">
      <c r="A417" s="25" t="inlineStr">
        <is>
          <t>FL_MAT_SALESK_6l</t>
        </is>
      </c>
      <c r="B417" s="25" t="n">
        <v>2</v>
      </c>
      <c r="C417" s="25" t="inlineStr">
        <is>
          <t>SALESK6-12</t>
        </is>
      </c>
      <c r="D417" s="12" t="inlineStr">
        <is>
          <t xml:space="preserve">        Vástago</t>
        </is>
      </c>
      <c r="E417" s="25" t="n">
        <v>1</v>
      </c>
      <c r="F417" s="25" t="inlineStr">
        <is>
          <t>u</t>
        </is>
      </c>
      <c r="G417" s="26" t="n">
        <v>0.0017</v>
      </c>
      <c r="H417" s="26">
        <f>E417*G417</f>
        <v/>
      </c>
      <c r="I417" s="25" t="inlineStr">
        <is>
          <t>Latón</t>
        </is>
      </c>
      <c r="J417" s="12" t="inlineStr">
        <is>
          <t>8 × 8 × 4</t>
        </is>
      </c>
      <c r="K417" s="25" t="inlineStr">
        <is>
          <t>Compra (en el conjunto)</t>
        </is>
      </c>
      <c r="L417" s="12" t="inlineStr">
        <is>
          <t>S4 - se compra terminado (tercerizado con sello IRAM)</t>
        </is>
      </c>
      <c r="M417" s="12" t="n"/>
      <c r="N417" s="25" t="inlineStr">
        <is>
          <t>P</t>
        </is>
      </c>
      <c r="O417" s="25" t="inlineStr">
        <is>
          <t>FL_DES_SALESK_6l</t>
        </is>
      </c>
      <c r="P417" s="12" t="inlineStr">
        <is>
          <t>con junta tórica</t>
        </is>
      </c>
    </row>
    <row r="418">
      <c r="A418" s="25" t="inlineStr">
        <is>
          <t>FL_MAT_SALESK_6l</t>
        </is>
      </c>
      <c r="B418" s="25" t="n">
        <v>2</v>
      </c>
      <c r="C418" s="25" t="inlineStr">
        <is>
          <t>SALESK6-13</t>
        </is>
      </c>
      <c r="D418" s="12" t="inlineStr">
        <is>
          <t xml:space="preserve">        Pasador de seguridad</t>
        </is>
      </c>
      <c r="E418" s="25" t="n">
        <v>1</v>
      </c>
      <c r="F418" s="25" t="inlineStr">
        <is>
          <t>u</t>
        </is>
      </c>
      <c r="G418" s="26" t="n">
        <v>0.0055</v>
      </c>
      <c r="H418" s="26">
        <f>E418*G418</f>
        <v/>
      </c>
      <c r="I418" s="25" t="inlineStr">
        <is>
          <t>Alambre acero inox. AISI 304</t>
        </is>
      </c>
      <c r="J418" s="12" t="inlineStr">
        <is>
          <t>45,4 × 21 × 20,8</t>
        </is>
      </c>
      <c r="K418" s="25" t="inlineStr">
        <is>
          <t>Compra (en el conjunto)</t>
        </is>
      </c>
      <c r="L418" s="12" t="inlineStr">
        <is>
          <t>S4 - se compra terminado (tercerizado con sello IRAM)</t>
        </is>
      </c>
      <c r="M418" s="12" t="n"/>
      <c r="N418" s="25" t="inlineStr">
        <is>
          <t>P</t>
        </is>
      </c>
      <c r="O418" s="25" t="inlineStr">
        <is>
          <t>FL_DES_SALESK_6l</t>
        </is>
      </c>
      <c r="P418" s="12" t="inlineStr">
        <is>
          <t>con precinto</t>
        </is>
      </c>
    </row>
    <row r="419">
      <c r="A419" s="25" t="inlineStr">
        <is>
          <t>FL_MAT_SALESK_6l</t>
        </is>
      </c>
      <c r="B419" s="25" t="n">
        <v>2</v>
      </c>
      <c r="C419" s="25" t="inlineStr">
        <is>
          <t>SALESK6-14</t>
        </is>
      </c>
      <c r="D419" s="12" t="inlineStr">
        <is>
          <t xml:space="preserve">        Caño de pesca (sifón)</t>
        </is>
      </c>
      <c r="E419" s="25" t="n">
        <v>1</v>
      </c>
      <c r="F419" s="25" t="inlineStr">
        <is>
          <t>u</t>
        </is>
      </c>
      <c r="G419" s="26" t="n">
        <v>0.0149</v>
      </c>
      <c r="H419" s="26">
        <f>E419*G419</f>
        <v/>
      </c>
      <c r="I419" s="25" t="inlineStr">
        <is>
          <t>Tubo polipropileno</t>
        </is>
      </c>
      <c r="J419" s="12" t="inlineStr">
        <is>
          <t>Ø12 × 334,2 de largo</t>
        </is>
      </c>
      <c r="K419" s="25" t="inlineStr">
        <is>
          <t>Compra (en el conjunto)</t>
        </is>
      </c>
      <c r="L419" s="12" t="inlineStr">
        <is>
          <t>S4 - se compra terminado (tercerizado con sello IRAM)</t>
        </is>
      </c>
      <c r="M419" s="12" t="n"/>
      <c r="N419" s="25" t="inlineStr">
        <is>
          <t>P</t>
        </is>
      </c>
      <c r="O419" s="25" t="inlineStr">
        <is>
          <t>FL_DES_SALESK_6l</t>
        </is>
      </c>
      <c r="P419" s="12" t="n"/>
    </row>
    <row r="420">
      <c r="A420" s="25" t="inlineStr">
        <is>
          <t>FL_MAT_SALESK_6l</t>
        </is>
      </c>
      <c r="B420" s="25" t="n">
        <v>2</v>
      </c>
      <c r="C420" s="25" t="inlineStr">
        <is>
          <t>SALESK6-22</t>
        </is>
      </c>
      <c r="D420" s="12" t="inlineStr">
        <is>
          <t xml:space="preserve">        Junta tórica de asiento</t>
        </is>
      </c>
      <c r="E420" s="25" t="n">
        <v>1</v>
      </c>
      <c r="F420" s="25" t="inlineStr">
        <is>
          <t>u</t>
        </is>
      </c>
      <c r="G420" s="26" t="n">
        <v>0.001</v>
      </c>
      <c r="H420" s="26">
        <f>E420*G420</f>
        <v/>
      </c>
      <c r="I420" s="25" t="inlineStr">
        <is>
          <t>NBR 70 Shore A</t>
        </is>
      </c>
      <c r="J420" s="12" t="inlineStr">
        <is>
          <t>Ø31,4 ext. × cordón 3</t>
        </is>
      </c>
      <c r="K420" s="25" t="inlineStr">
        <is>
          <t>Compra (en el conjunto)</t>
        </is>
      </c>
      <c r="L420" s="12" t="inlineStr">
        <is>
          <t>S4 - se compra terminado (tercerizado con sello IRAM)</t>
        </is>
      </c>
      <c r="M420" s="12" t="n"/>
      <c r="N420" s="25" t="inlineStr">
        <is>
          <t>P</t>
        </is>
      </c>
      <c r="O420" s="25" t="inlineStr">
        <is>
          <t>FL_DES_SALESK_6l</t>
        </is>
      </c>
      <c r="P420" s="12" t="inlineStr">
        <is>
          <t>cambio c/recarga</t>
        </is>
      </c>
    </row>
    <row r="421">
      <c r="A421" s="25" t="inlineStr">
        <is>
          <t>FL_MAT_SALESK_6l</t>
        </is>
      </c>
      <c r="B421" s="25" t="n">
        <v>2</v>
      </c>
      <c r="C421" s="25" t="inlineStr">
        <is>
          <t>SALESK6-V2</t>
        </is>
      </c>
      <c r="D421" s="12" t="inlineStr">
        <is>
          <t xml:space="preserve">        Resorte de retorno del vástago</t>
        </is>
      </c>
      <c r="E421" s="25" t="n">
        <v>1</v>
      </c>
      <c r="F421" s="25" t="inlineStr">
        <is>
          <t>u</t>
        </is>
      </c>
      <c r="G421" s="26" t="n">
        <v>0.003</v>
      </c>
      <c r="H421" s="26">
        <f>E421*G421</f>
        <v/>
      </c>
      <c r="I421" s="25" t="inlineStr">
        <is>
          <t>Alambre acero inox. AISI 302</t>
        </is>
      </c>
      <c r="J421" s="12" t="inlineStr">
        <is>
          <t>según válvula</t>
        </is>
      </c>
      <c r="K421" s="25" t="inlineStr">
        <is>
          <t>Compra</t>
        </is>
      </c>
      <c r="L421" s="12" t="inlineStr">
        <is>
          <t>19 Ensamblaje</t>
        </is>
      </c>
      <c r="M421" s="12" t="n"/>
      <c r="N421" s="25" t="inlineStr">
        <is>
          <t>R</t>
        </is>
      </c>
      <c r="O421" s="25" t="n"/>
      <c r="P421" s="12" t="n"/>
    </row>
    <row r="422">
      <c r="A422" s="25" t="inlineStr">
        <is>
          <t>FL_MAT_SALESK_6l</t>
        </is>
      </c>
      <c r="B422" s="25" t="n">
        <v>2</v>
      </c>
      <c r="C422" s="25" t="inlineStr">
        <is>
          <t>SALESK6-V3</t>
        </is>
      </c>
      <c r="D422" s="12" t="inlineStr">
        <is>
          <t xml:space="preserve">        Junta tórica del vástago</t>
        </is>
      </c>
      <c r="E422" s="25" t="n">
        <v>1</v>
      </c>
      <c r="F422" s="25" t="inlineStr">
        <is>
          <t>u</t>
        </is>
      </c>
      <c r="G422" s="26" t="n">
        <v>0.001</v>
      </c>
      <c r="H422" s="26">
        <f>E422*G422</f>
        <v/>
      </c>
      <c r="I422" s="25" t="inlineStr">
        <is>
          <t>NBR 70 Shore A</t>
        </is>
      </c>
      <c r="J422" s="12" t="inlineStr">
        <is>
          <t>según válvula</t>
        </is>
      </c>
      <c r="K422" s="25" t="inlineStr">
        <is>
          <t>Compra</t>
        </is>
      </c>
      <c r="L422" s="12" t="inlineStr">
        <is>
          <t>19 Ensamblaje</t>
        </is>
      </c>
      <c r="M422" s="12" t="n"/>
      <c r="N422" s="25" t="inlineStr">
        <is>
          <t>P</t>
        </is>
      </c>
      <c r="O422" s="25" t="n"/>
      <c r="P422" s="12" t="inlineStr">
        <is>
          <t>Figura en el plano como «vástago con junta tórica»</t>
        </is>
      </c>
    </row>
    <row r="423">
      <c r="A423" s="22" t="inlineStr">
        <is>
          <t>FL_MAT_SALESK_6l</t>
        </is>
      </c>
      <c r="B423" s="22" t="n">
        <v>1</v>
      </c>
      <c r="C423" s="22" t="inlineStr">
        <is>
          <t>SALESK6-S3</t>
        </is>
      </c>
      <c r="D423" s="23" t="inlineStr">
        <is>
          <t xml:space="preserve">    Dispositivo de descarga</t>
        </is>
      </c>
      <c r="E423" s="22" t="n">
        <v>1</v>
      </c>
      <c r="F423" s="22" t="inlineStr">
        <is>
          <t>u</t>
        </is>
      </c>
      <c r="G423" s="24" t="n"/>
      <c r="H423" s="24">
        <f>H424+H425+H426+H427</f>
        <v/>
      </c>
      <c r="I423" s="22" t="n"/>
      <c r="J423" s="23" t="n"/>
      <c r="K423" s="22" t="inlineStr">
        <is>
          <t>Compra / armado</t>
        </is>
      </c>
      <c r="L423" s="23" t="n"/>
      <c r="M423" s="23" t="n"/>
      <c r="N423" s="22" t="inlineStr">
        <is>
          <t>P</t>
        </is>
      </c>
      <c r="O423" s="22" t="inlineStr">
        <is>
          <t>FL_DES_SALESK_6l</t>
        </is>
      </c>
      <c r="P423" s="23" t="n"/>
    </row>
    <row r="424">
      <c r="A424" s="25" t="inlineStr">
        <is>
          <t>FL_MAT_SALESK_6l</t>
        </is>
      </c>
      <c r="B424" s="25" t="n">
        <v>2</v>
      </c>
      <c r="C424" s="25" t="inlineStr">
        <is>
          <t>SALESK6-15</t>
        </is>
      </c>
      <c r="D424" s="12" t="inlineStr">
        <is>
          <t xml:space="preserve">        Racor de manguera</t>
        </is>
      </c>
      <c r="E424" s="25" t="n">
        <v>1</v>
      </c>
      <c r="F424" s="25" t="inlineStr">
        <is>
          <t>u</t>
        </is>
      </c>
      <c r="G424" s="26" t="n">
        <v>0.0258</v>
      </c>
      <c r="H424" s="26">
        <f>E424*G424</f>
        <v/>
      </c>
      <c r="I424" s="25" t="inlineStr">
        <is>
          <t>Latón</t>
        </is>
      </c>
      <c r="J424" s="12" t="inlineStr">
        <is>
          <t>18 × 18 × 12</t>
        </is>
      </c>
      <c r="K424" s="25" t="inlineStr">
        <is>
          <t>Compra (en el conjunto)</t>
        </is>
      </c>
      <c r="L424" s="12" t="inlineStr">
        <is>
          <t>S4 - se compra terminado (tercerizado con sello IRAM)</t>
        </is>
      </c>
      <c r="M424" s="12" t="n"/>
      <c r="N424" s="25" t="inlineStr">
        <is>
          <t>P</t>
        </is>
      </c>
      <c r="O424" s="25" t="inlineStr">
        <is>
          <t>FL_DES_SALESK_6l</t>
        </is>
      </c>
      <c r="P424" s="12" t="n"/>
    </row>
    <row r="425">
      <c r="A425" s="25" t="inlineStr">
        <is>
          <t>FL_MAT_SALESK_6l</t>
        </is>
      </c>
      <c r="B425" s="25" t="n">
        <v>2</v>
      </c>
      <c r="C425" s="25" t="inlineStr">
        <is>
          <t>SALESK6-16</t>
        </is>
      </c>
      <c r="D425" s="12" t="inlineStr">
        <is>
          <t xml:space="preserve">        Manguera</t>
        </is>
      </c>
      <c r="E425" s="25" t="n">
        <v>1</v>
      </c>
      <c r="F425" s="25" t="inlineStr">
        <is>
          <t>u</t>
        </is>
      </c>
      <c r="G425" s="26" t="n">
        <v>0.0198</v>
      </c>
      <c r="H425" s="26">
        <f>E425*G425</f>
        <v/>
      </c>
      <c r="I425" s="25" t="inlineStr">
        <is>
          <t>Caucho sintético</t>
        </is>
      </c>
      <c r="J425" s="12" t="inlineStr">
        <is>
          <t>Ø16 × 128 de largo desarrollado</t>
        </is>
      </c>
      <c r="K425" s="25" t="inlineStr">
        <is>
          <t>Compra (en el conjunto)</t>
        </is>
      </c>
      <c r="L425" s="12" t="inlineStr">
        <is>
          <t>S4 - se compra terminado (tercerizado con sello IRAM)</t>
        </is>
      </c>
      <c r="M425" s="12" t="n"/>
      <c r="N425" s="25" t="inlineStr">
        <is>
          <t>P</t>
        </is>
      </c>
      <c r="O425" s="25" t="inlineStr">
        <is>
          <t>FL_DES_SALESK_6l</t>
        </is>
      </c>
      <c r="P425" s="12" t="n"/>
    </row>
    <row r="426">
      <c r="A426" s="25" t="inlineStr">
        <is>
          <t>FL_MAT_SALESK_6l</t>
        </is>
      </c>
      <c r="B426" s="25" t="n">
        <v>2</v>
      </c>
      <c r="C426" s="25" t="inlineStr">
        <is>
          <t>SALESK6-17</t>
        </is>
      </c>
      <c r="D426" s="12" t="inlineStr">
        <is>
          <t xml:space="preserve">        Lanza aplicadora clase K</t>
        </is>
      </c>
      <c r="E426" s="25" t="n">
        <v>1</v>
      </c>
      <c r="F426" s="25" t="inlineStr">
        <is>
          <t>u</t>
        </is>
      </c>
      <c r="G426" s="26" t="n">
        <v>0.2727</v>
      </c>
      <c r="H426" s="26">
        <f>E426*G426</f>
        <v/>
      </c>
      <c r="I426" s="25" t="inlineStr">
        <is>
          <t>Acero inox. AISI 304</t>
        </is>
      </c>
      <c r="J426" s="12" t="inlineStr">
        <is>
          <t>300 × 26 × 26</t>
        </is>
      </c>
      <c r="K426" s="25" t="inlineStr">
        <is>
          <t>Compra (en el conjunto)</t>
        </is>
      </c>
      <c r="L426" s="12" t="inlineStr">
        <is>
          <t>S4 - se compra terminado (tercerizado con sello IRAM)</t>
        </is>
      </c>
      <c r="M426" s="12" t="n"/>
      <c r="N426" s="25" t="inlineStr">
        <is>
          <t>P</t>
        </is>
      </c>
      <c r="O426" s="25" t="inlineStr">
        <is>
          <t>FL_DES_SALESK_6l</t>
        </is>
      </c>
      <c r="P426" s="12" t="n"/>
    </row>
    <row r="427">
      <c r="A427" s="25" t="inlineStr">
        <is>
          <t>FL_MAT_SALESK_6l</t>
        </is>
      </c>
      <c r="B427" s="25" t="n">
        <v>2</v>
      </c>
      <c r="C427" s="25" t="inlineStr">
        <is>
          <t>SALESK6-18</t>
        </is>
      </c>
      <c r="D427" s="12" t="inlineStr">
        <is>
          <t xml:space="preserve">        Suncho portatobera</t>
        </is>
      </c>
      <c r="E427" s="25" t="n">
        <v>1</v>
      </c>
      <c r="F427" s="25" t="inlineStr">
        <is>
          <t>u</t>
        </is>
      </c>
      <c r="G427" s="26" t="n">
        <v>0.162</v>
      </c>
      <c r="H427" s="26">
        <f>E427*G427</f>
        <v/>
      </c>
      <c r="I427" s="25" t="inlineStr">
        <is>
          <t>Fleje acero SAE 1010 pintado</t>
        </is>
      </c>
      <c r="J427" s="12" t="inlineStr">
        <is>
          <t>199,9 × 193 × 18</t>
        </is>
      </c>
      <c r="K427" s="25" t="inlineStr">
        <is>
          <t>Compra (en el conjunto)</t>
        </is>
      </c>
      <c r="L427" s="12" t="inlineStr">
        <is>
          <t>S4 - se compra terminado (tercerizado con sello IRAM)</t>
        </is>
      </c>
      <c r="M427" s="12" t="n"/>
      <c r="N427" s="25" t="inlineStr">
        <is>
          <t>P</t>
        </is>
      </c>
      <c r="O427" s="25" t="inlineStr">
        <is>
          <t>FL_DES_SALESK_6l</t>
        </is>
      </c>
      <c r="P427" s="12" t="n"/>
    </row>
    <row r="428">
      <c r="A428" s="22" t="inlineStr">
        <is>
          <t>FL_MAT_SALESK_6l</t>
        </is>
      </c>
      <c r="B428" s="22" t="n">
        <v>1</v>
      </c>
      <c r="C428" s="22" t="inlineStr">
        <is>
          <t>SALESK6-S5</t>
        </is>
      </c>
      <c r="D428" s="23" t="inlineStr">
        <is>
          <t xml:space="preserve">    Carga: agente extintor y gas impulsor</t>
        </is>
      </c>
      <c r="E428" s="22" t="n">
        <v>1</v>
      </c>
      <c r="F428" s="22" t="inlineStr">
        <is>
          <t>u</t>
        </is>
      </c>
      <c r="G428" s="24" t="n"/>
      <c r="H428" s="24">
        <f>H429+H430</f>
        <v/>
      </c>
      <c r="I428" s="22" t="n"/>
      <c r="J428" s="23" t="n"/>
      <c r="K428" s="22" t="inlineStr">
        <is>
          <t>Compra</t>
        </is>
      </c>
      <c r="L428" s="23" t="n"/>
      <c r="M428" s="23" t="n"/>
      <c r="N428" s="22" t="n"/>
      <c r="O428" s="22" t="n"/>
      <c r="P428" s="23" t="n"/>
    </row>
    <row r="429">
      <c r="A429" s="25" t="inlineStr">
        <is>
          <t>FL_MAT_SALESK_6l</t>
        </is>
      </c>
      <c r="B429" s="25" t="n">
        <v>2</v>
      </c>
      <c r="C429" s="25" t="inlineStr">
        <is>
          <t>SALESK6-A1</t>
        </is>
      </c>
      <c r="D429" s="12" t="inlineStr">
        <is>
          <t xml:space="preserve">        Acetato de potasio - DEMSA Kitchen - Acetato de potasio (DEMSA Kitchen, 1,300 g/ml, pH 8,5)</t>
        </is>
      </c>
      <c r="E429" s="25" t="n">
        <v>6.09</v>
      </c>
      <c r="F429" s="25" t="inlineStr">
        <is>
          <t>L</t>
        </is>
      </c>
      <c r="G429" s="26" t="n">
        <v>1.3</v>
      </c>
      <c r="H429" s="26">
        <f>E429*G429</f>
        <v/>
      </c>
      <c r="I429" s="25" t="inlineStr">
        <is>
          <t>Acetato de potasio - DEMSA Kitchen - Acetato de potasio (DEMSA Kitchen, 1,300 g/ml, pH 8,5)</t>
        </is>
      </c>
      <c r="J429" s="12" t="inlineStr">
        <is>
          <t>nominal 6 L; tolerancia 0 / +3 % (IRAM 3517-2:2020 tabla 3)</t>
        </is>
      </c>
      <c r="K429" s="25" t="inlineStr">
        <is>
          <t>Compra</t>
        </is>
      </c>
      <c r="L429" s="12" t="inlineStr">
        <is>
          <t>SP-1 almacén previo a la carga</t>
        </is>
      </c>
      <c r="M429" s="12" t="inlineStr">
        <is>
          <t>IRAM 3697</t>
        </is>
      </c>
      <c r="N429" s="25" t="inlineStr">
        <is>
          <t>N</t>
        </is>
      </c>
      <c r="O429" s="25" t="n"/>
      <c r="P429" s="12" t="inlineStr">
        <is>
          <t>potencial 1A-K</t>
        </is>
      </c>
    </row>
    <row r="430">
      <c r="A430" s="25" t="inlineStr">
        <is>
          <t>FL_MAT_SALESK_6l</t>
        </is>
      </c>
      <c r="B430" s="25" t="n">
        <v>2</v>
      </c>
      <c r="C430" s="25" t="inlineStr">
        <is>
          <t>SALESK6-A2</t>
        </is>
      </c>
      <c r="D430" s="12" t="inlineStr">
        <is>
          <t xml:space="preserve">        Gas impulsor: N₂</t>
        </is>
      </c>
      <c r="E430" s="25" t="n">
        <v>0.0306</v>
      </c>
      <c r="F430" s="25" t="inlineStr">
        <is>
          <t>kg</t>
        </is>
      </c>
      <c r="G430" s="26" t="n">
        <v>1</v>
      </c>
      <c r="H430" s="26">
        <f>E430*G430</f>
        <v/>
      </c>
      <c r="I430" s="25" t="inlineStr">
        <is>
          <t>N₂</t>
        </is>
      </c>
      <c r="J430" s="12" t="inlineStr">
        <is>
          <t>24,5 L normales para 0,8 MPa a 20 °C en 2,96 dm³ libres</t>
        </is>
      </c>
      <c r="K430" s="25" t="inlineStr">
        <is>
          <t>Compra</t>
        </is>
      </c>
      <c r="L430" s="12" t="inlineStr">
        <is>
          <t>20 Presurización (T05) / C10</t>
        </is>
      </c>
      <c r="M430" s="12" t="inlineStr">
        <is>
          <t>IRAM 3517-2 9.4.9 (tabla 2) · IRAM 3523 2.3 y 3.10</t>
        </is>
      </c>
      <c r="N430" s="25" t="inlineStr">
        <is>
          <t>C</t>
        </is>
      </c>
      <c r="O430" s="25" t="n"/>
      <c r="P430" s="12" t="inlineStr">
        <is>
          <t>Batería en SP-1; punto de rocío ≤ -56,7 °C para gases limpios</t>
        </is>
      </c>
    </row>
    <row r="431">
      <c r="A431" s="22" t="inlineStr">
        <is>
          <t>FL_MAT_SALESK_6l</t>
        </is>
      </c>
      <c r="B431" s="22" t="n">
        <v>1</v>
      </c>
      <c r="C431" s="22" t="inlineStr">
        <is>
          <t>SALESK6-S6</t>
        </is>
      </c>
      <c r="D431" s="23" t="inlineStr">
        <is>
          <t xml:space="preserve">    Identificación y precinto</t>
        </is>
      </c>
      <c r="E431" s="22" t="n">
        <v>1</v>
      </c>
      <c r="F431" s="22" t="inlineStr">
        <is>
          <t>u</t>
        </is>
      </c>
      <c r="G431" s="24" t="n"/>
      <c r="H431" s="24">
        <f>H432+H433+H434+H435+H436</f>
        <v/>
      </c>
      <c r="I431" s="22" t="n"/>
      <c r="J431" s="23" t="n"/>
      <c r="K431" s="22" t="inlineStr">
        <is>
          <t>Compra</t>
        </is>
      </c>
      <c r="L431" s="23" t="inlineStr">
        <is>
          <t>22 Etiquetado (T07)</t>
        </is>
      </c>
      <c r="M431" s="23" t="n"/>
      <c r="N431" s="22" t="n"/>
      <c r="O431" s="22" t="n"/>
      <c r="P431" s="23" t="n"/>
    </row>
    <row r="432">
      <c r="A432" s="25" t="inlineStr">
        <is>
          <t>FL_MAT_SALESK_6l</t>
        </is>
      </c>
      <c r="B432" s="25" t="n">
        <v>2</v>
      </c>
      <c r="C432" s="25" t="inlineStr">
        <is>
          <t>SALESK6-19</t>
        </is>
      </c>
      <c r="D432" s="12" t="inlineStr">
        <is>
          <t xml:space="preserve">        Placa de características</t>
        </is>
      </c>
      <c r="E432" s="25" t="n">
        <v>1</v>
      </c>
      <c r="F432" s="25" t="inlineStr">
        <is>
          <t>u</t>
        </is>
      </c>
      <c r="G432" s="26" t="n">
        <v>0.0086</v>
      </c>
      <c r="H432" s="26">
        <f>E432*G432</f>
        <v/>
      </c>
      <c r="I432" s="25" t="inlineStr">
        <is>
          <t>Vinilo autoadhesivo laminado</t>
        </is>
      </c>
      <c r="J432" s="12" t="inlineStr">
        <is>
          <t>179 × 114 (desarrollo × alto), e ≈ 0,3</t>
        </is>
      </c>
      <c r="K432" s="25" t="inlineStr">
        <is>
          <t>Compra</t>
        </is>
      </c>
      <c r="L432" s="12" t="inlineStr">
        <is>
          <t>22 Etiquetado (T07)</t>
        </is>
      </c>
      <c r="M432" s="12" t="inlineStr">
        <is>
          <t>IRAM 3534 · IRAM 3694 cap. 5</t>
        </is>
      </c>
      <c r="N432" s="25" t="inlineStr">
        <is>
          <t>P</t>
        </is>
      </c>
      <c r="O432" s="25" t="inlineStr">
        <is>
          <t>FL_DES_SALESK_6l</t>
        </is>
      </c>
      <c r="P432" s="12" t="inlineStr">
        <is>
          <t>IRAM 3534</t>
        </is>
      </c>
    </row>
    <row r="433">
      <c r="A433" s="25" t="inlineStr">
        <is>
          <t>FL_MAT_SALESK_6l</t>
        </is>
      </c>
      <c r="B433" s="25" t="n">
        <v>2</v>
      </c>
      <c r="C433" s="25" t="inlineStr">
        <is>
          <t>SALESK6-20</t>
        </is>
      </c>
      <c r="D433" s="12" t="inlineStr">
        <is>
          <t xml:space="preserve">        Oblea de fabricación (PBA)</t>
        </is>
      </c>
      <c r="E433" s="25" t="n">
        <v>1</v>
      </c>
      <c r="F433" s="25" t="inlineStr">
        <is>
          <t>u</t>
        </is>
      </c>
      <c r="G433" s="26" t="n">
        <v>0.0009</v>
      </c>
      <c r="H433" s="26">
        <f>E433*G433</f>
        <v/>
      </c>
      <c r="I433" s="25" t="inlineStr">
        <is>
          <t>Papel de seguridad autodestructible</t>
        </is>
      </c>
      <c r="J433" s="12" t="inlineStr">
        <is>
          <t>Ø46 (Res. OPDS 522/07), numerada, autodestructible</t>
        </is>
      </c>
      <c r="K433" s="25" t="inlineStr">
        <is>
          <t>Compra</t>
        </is>
      </c>
      <c r="L433" s="12" t="inlineStr">
        <is>
          <t>22 Etiquetado (T07)</t>
        </is>
      </c>
      <c r="M433" s="12" t="inlineStr">
        <is>
          <t>Res. OPDS 522/07 anexos 1, 2 y 6</t>
        </is>
      </c>
      <c r="N433" s="25" t="inlineStr">
        <is>
          <t>P</t>
        </is>
      </c>
      <c r="O433" s="25" t="inlineStr">
        <is>
          <t>FL_DES_SALESK_6l</t>
        </is>
      </c>
      <c r="P433" s="12" t="inlineStr">
        <is>
          <t>Res. 522/07</t>
        </is>
      </c>
    </row>
    <row r="434">
      <c r="A434" s="25" t="inlineStr">
        <is>
          <t>FL_MAT_SALESK_6l</t>
        </is>
      </c>
      <c r="B434" s="25" t="n">
        <v>2</v>
      </c>
      <c r="C434" s="25" t="inlineStr">
        <is>
          <t>SALESK6-21</t>
        </is>
      </c>
      <c r="D434" s="12" t="inlineStr">
        <is>
          <t xml:space="preserve">        Estampilla IRAM de conformidad</t>
        </is>
      </c>
      <c r="E434" s="25" t="n">
        <v>1</v>
      </c>
      <c r="F434" s="25" t="inlineStr">
        <is>
          <t>u</t>
        </is>
      </c>
      <c r="G434" s="26" t="n">
        <v>0.001</v>
      </c>
      <c r="H434" s="26">
        <f>E434*G434</f>
        <v/>
      </c>
      <c r="I434" s="25" t="inlineStr">
        <is>
          <t>Provista por IRAM (Anexo R)</t>
        </is>
      </c>
      <c r="J434" s="12" t="inlineStr">
        <is>
          <t>60 × 40</t>
        </is>
      </c>
      <c r="K434" s="25" t="inlineStr">
        <is>
          <t>Compra</t>
        </is>
      </c>
      <c r="L434" s="12" t="inlineStr">
        <is>
          <t>22 Etiquetado (T07)</t>
        </is>
      </c>
      <c r="M434" s="12" t="inlineStr">
        <is>
          <t>IRAM Anexo R (DC-PG-129)</t>
        </is>
      </c>
      <c r="N434" s="25" t="inlineStr">
        <is>
          <t>P</t>
        </is>
      </c>
      <c r="O434" s="25" t="inlineStr">
        <is>
          <t>FL_DES_SALESK_6l</t>
        </is>
      </c>
      <c r="P434" s="12" t="inlineStr">
        <is>
          <t>numerada</t>
        </is>
      </c>
    </row>
    <row r="435">
      <c r="A435" s="25" t="inlineStr">
        <is>
          <t>FL_MAT_SALESK_6l</t>
        </is>
      </c>
      <c r="B435" s="25" t="n">
        <v>2</v>
      </c>
      <c r="C435" s="25" t="inlineStr">
        <is>
          <t>SALESK6-23</t>
        </is>
      </c>
      <c r="D435" s="12" t="inlineStr">
        <is>
          <t xml:space="preserve">        Precinto de fábrica</t>
        </is>
      </c>
      <c r="E435" s="25" t="n">
        <v>1</v>
      </c>
      <c r="F435" s="25" t="inlineStr">
        <is>
          <t>u</t>
        </is>
      </c>
      <c r="G435" s="26" t="n">
        <v>0.0002</v>
      </c>
      <c r="H435" s="26">
        <f>E435*G435</f>
        <v/>
      </c>
      <c r="I435" s="25" t="inlineStr">
        <is>
          <t>Polipropileno</t>
        </is>
      </c>
      <c r="J435" s="12" t="inlineStr">
        <is>
          <t>Ø5 × 10, numerado, rotura 30-50 N</t>
        </is>
      </c>
      <c r="K435" s="25" t="inlineStr">
        <is>
          <t>Compra</t>
        </is>
      </c>
      <c r="L435" s="12" t="inlineStr">
        <is>
          <t>20 Presurización (T05)</t>
        </is>
      </c>
      <c r="M435" s="12" t="inlineStr">
        <is>
          <t>IRAM 3523 3.3.2 · IRAM 3517-2:2020 9.4.13</t>
        </is>
      </c>
      <c r="N435" s="25" t="inlineStr">
        <is>
          <t>P</t>
        </is>
      </c>
      <c r="O435" s="25" t="inlineStr">
        <is>
          <t>FL_DES_SALESK_6l</t>
        </is>
      </c>
      <c r="P435" s="12" t="inlineStr">
        <is>
          <t>id. FLAMA y lote</t>
        </is>
      </c>
    </row>
    <row r="436">
      <c r="A436" s="25" t="inlineStr">
        <is>
          <t>FL_MAT_SALESK_6l</t>
        </is>
      </c>
      <c r="B436" s="25" t="n">
        <v>2</v>
      </c>
      <c r="C436" s="25" t="inlineStr">
        <is>
          <t>SALESK6-I3</t>
        </is>
      </c>
      <c r="D436" s="12" t="inlineStr">
        <is>
          <t xml:space="preserve">        Tarjeta oficial de vigencia (CABA)</t>
        </is>
      </c>
      <c r="E436" s="25" t="n">
        <v>1</v>
      </c>
      <c r="F436" s="25" t="inlineStr">
        <is>
          <t>u</t>
        </is>
      </c>
      <c r="G436" s="26" t="n">
        <v>0.002</v>
      </c>
      <c r="H436" s="26">
        <f>E436*G436</f>
        <v/>
      </c>
      <c r="I436" s="25" t="inlineStr">
        <is>
          <t>Formulario oficial</t>
        </is>
      </c>
      <c r="J436" s="12" t="inlineStr">
        <is>
          <t>provista por DG Rentas GCBA</t>
        </is>
      </c>
      <c r="K436" s="25" t="inlineStr">
        <is>
          <t>Compra</t>
        </is>
      </c>
      <c r="L436" s="12" t="inlineStr">
        <is>
          <t>22 Etiquetado</t>
        </is>
      </c>
      <c r="M436" s="12" t="inlineStr">
        <is>
          <t>Ordenanza 40.473 art. 6</t>
        </is>
      </c>
      <c r="N436" s="25" t="inlineStr">
        <is>
          <t>N</t>
        </is>
      </c>
      <c r="O436" s="25" t="n"/>
      <c r="P436" s="12" t="inlineStr">
        <is>
          <t>Clase, capacidad, fecha de carga y vencimiento, garantía; se anexa al matafuego (no se dibuja)</t>
        </is>
      </c>
    </row>
    <row r="437">
      <c r="A437" s="22" t="inlineStr">
        <is>
          <t>FL_MAT_SALESK_6l</t>
        </is>
      </c>
      <c r="B437" s="22" t="n">
        <v>1</v>
      </c>
      <c r="C437" s="22" t="inlineStr">
        <is>
          <t>SALESK6-S8</t>
        </is>
      </c>
      <c r="D437" s="23" t="inlineStr">
        <is>
          <t xml:space="preserve">    Soporte (accesorio de montaje)</t>
        </is>
      </c>
      <c r="E437" s="22" t="n">
        <v>1</v>
      </c>
      <c r="F437" s="22" t="inlineStr">
        <is>
          <t>u</t>
        </is>
      </c>
      <c r="G437" s="24" t="n"/>
      <c r="H437" s="24">
        <f>H438+H439</f>
        <v/>
      </c>
      <c r="I437" s="22" t="n"/>
      <c r="J437" s="23" t="n"/>
      <c r="K437" s="22" t="inlineStr">
        <is>
          <t>Compra</t>
        </is>
      </c>
      <c r="L437" s="23" t="inlineStr">
        <is>
          <t>23 Embalaje (va dentro de la caja)</t>
        </is>
      </c>
      <c r="M437" s="23" t="inlineStr">
        <is>
          <t>IRAM 3517-2 7.4</t>
        </is>
      </c>
      <c r="N437" s="22" t="n"/>
      <c r="O437" s="22" t="n"/>
      <c r="P437" s="23" t="n"/>
    </row>
    <row r="438">
      <c r="A438" s="25" t="inlineStr">
        <is>
          <t>FL_MAT_SALESK_6l</t>
        </is>
      </c>
      <c r="B438" s="25" t="n">
        <v>2</v>
      </c>
      <c r="C438" s="25" t="inlineStr">
        <is>
          <t>SALESK6-I5</t>
        </is>
      </c>
      <c r="D438" s="12" t="inlineStr">
        <is>
          <t xml:space="preserve">        Soporte de pared (FL_ACC_01)</t>
        </is>
      </c>
      <c r="E438" s="25" t="n">
        <v>1</v>
      </c>
      <c r="F438" s="25" t="inlineStr">
        <is>
          <t>u</t>
        </is>
      </c>
      <c r="G438" s="26" t="n">
        <v>0.327</v>
      </c>
      <c r="H438" s="26">
        <f>E438*G438</f>
        <v/>
      </c>
      <c r="I438" s="25" t="inlineStr">
        <is>
          <t>Chapa acero SAE 1010 e=2 pintada</t>
        </is>
      </c>
      <c r="J438" s="12" t="inlineStr">
        <is>
          <t>placa 60 × 180, ala con ranura Ø cuello + 3</t>
        </is>
      </c>
      <c r="K438" s="25" t="inlineStr">
        <is>
          <t>Compra</t>
        </is>
      </c>
      <c r="L438" s="12" t="inlineStr">
        <is>
          <t>23 Embalaje</t>
        </is>
      </c>
      <c r="M438" s="12" t="inlineStr">
        <is>
          <t>IRAM 3517-2 7.4</t>
        </is>
      </c>
      <c r="N438" s="25" t="inlineStr">
        <is>
          <t>P</t>
        </is>
      </c>
      <c r="O438" s="25" t="inlineStr">
        <is>
          <t>FL_ACC_01</t>
        </is>
      </c>
      <c r="P438" s="12" t="n"/>
    </row>
    <row r="439">
      <c r="A439" s="25" t="inlineStr">
        <is>
          <t>FL_MAT_SALESK_6l</t>
        </is>
      </c>
      <c r="B439" s="25" t="n">
        <v>2</v>
      </c>
      <c r="C439" s="25" t="inlineStr">
        <is>
          <t>SALESK6-I6</t>
        </is>
      </c>
      <c r="D439" s="12" t="inlineStr">
        <is>
          <t xml:space="preserve">        Tornillo y tarugo de fijación</t>
        </is>
      </c>
      <c r="E439" s="25" t="n">
        <v>2</v>
      </c>
      <c r="F439" s="25" t="inlineStr">
        <is>
          <t>u</t>
        </is>
      </c>
      <c r="G439" s="26" t="n">
        <v>0.01</v>
      </c>
      <c r="H439" s="26">
        <f>E439*G439</f>
        <v/>
      </c>
      <c r="I439" s="25" t="inlineStr">
        <is>
          <t>Acero cincado / nylon</t>
        </is>
      </c>
      <c r="J439" s="12" t="inlineStr">
        <is>
          <t>M6 × 50 + tarugo 8</t>
        </is>
      </c>
      <c r="K439" s="25" t="inlineStr">
        <is>
          <t>Compra</t>
        </is>
      </c>
      <c r="L439" s="12" t="inlineStr">
        <is>
          <t>23 Embalaje</t>
        </is>
      </c>
      <c r="M439" s="12" t="n"/>
      <c r="N439" s="25" t="inlineStr">
        <is>
          <t>R</t>
        </is>
      </c>
      <c r="O439" s="25" t="n"/>
      <c r="P439" s="12" t="n"/>
    </row>
    <row r="440">
      <c r="A440" s="22" t="inlineStr">
        <is>
          <t>FL_MAT_SALESK_6l</t>
        </is>
      </c>
      <c r="B440" s="22" t="n">
        <v>1</v>
      </c>
      <c r="C440" s="22" t="inlineStr">
        <is>
          <t>SALESK6-S7</t>
        </is>
      </c>
      <c r="D440" s="23" t="inlineStr">
        <is>
          <t xml:space="preserve">    Embalaje</t>
        </is>
      </c>
      <c r="E440" s="22" t="n">
        <v>1</v>
      </c>
      <c r="F440" s="22" t="inlineStr">
        <is>
          <t>u</t>
        </is>
      </c>
      <c r="G440" s="24" t="n"/>
      <c r="H440" s="24">
        <f>H441+H442+H443+H444+H445</f>
        <v/>
      </c>
      <c r="I440" s="22" t="n"/>
      <c r="J440" s="23" t="n"/>
      <c r="K440" s="22" t="inlineStr">
        <is>
          <t>Compra</t>
        </is>
      </c>
      <c r="L440" s="23" t="inlineStr">
        <is>
          <t>23 Embalaje -&gt; 24 envolvedora (T11)</t>
        </is>
      </c>
      <c r="M440" s="23" t="n"/>
      <c r="N440" s="22" t="n"/>
      <c r="O440" s="22" t="n"/>
      <c r="P440" s="23" t="n"/>
    </row>
    <row r="441">
      <c r="A441" s="25" t="inlineStr">
        <is>
          <t>FL_MAT_SALESK_6l</t>
        </is>
      </c>
      <c r="B441" s="25" t="n">
        <v>2</v>
      </c>
      <c r="C441" s="25" t="inlineStr">
        <is>
          <t>SALESK6-E1</t>
        </is>
      </c>
      <c r="D441" s="12" t="inlineStr">
        <is>
          <t xml:space="preserve">        Caja de cartón corrugado doble</t>
        </is>
      </c>
      <c r="E441" s="25" t="n">
        <v>1</v>
      </c>
      <c r="F441" s="25" t="inlineStr">
        <is>
          <t>u</t>
        </is>
      </c>
      <c r="G441" s="26" t="n">
        <v>0.5</v>
      </c>
      <c r="H441" s="26">
        <f>E441*G441</f>
        <v/>
      </c>
      <c r="I441" s="25" t="inlineStr">
        <is>
          <t>Cartón corrugado</t>
        </is>
      </c>
      <c r="J441" s="12" t="inlineStr">
        <is>
          <t>300 × 223 × 490 interior</t>
        </is>
      </c>
      <c r="K441" s="25" t="inlineStr">
        <is>
          <t>Compra</t>
        </is>
      </c>
      <c r="L441" s="12" t="inlineStr">
        <is>
          <t>23 Embalaje</t>
        </is>
      </c>
      <c r="M441" s="12" t="n"/>
      <c r="N441" s="25" t="inlineStr">
        <is>
          <t>R</t>
        </is>
      </c>
      <c r="O441" s="25" t="n"/>
      <c r="P441" s="12" t="n"/>
    </row>
    <row r="442">
      <c r="A442" s="25" t="inlineStr">
        <is>
          <t>FL_MAT_SALESK_6l</t>
        </is>
      </c>
      <c r="B442" s="25" t="n">
        <v>2</v>
      </c>
      <c r="C442" s="25" t="inlineStr">
        <is>
          <t>SALESK6-E2</t>
        </is>
      </c>
      <c r="D442" s="12" t="inlineStr">
        <is>
          <t xml:space="preserve">        Instructivo de uso y mantenimiento</t>
        </is>
      </c>
      <c r="E442" s="25" t="n">
        <v>1</v>
      </c>
      <c r="F442" s="25" t="inlineStr">
        <is>
          <t>u</t>
        </is>
      </c>
      <c r="G442" s="26" t="n">
        <v>0.01</v>
      </c>
      <c r="H442" s="26">
        <f>E442*G442</f>
        <v/>
      </c>
      <c r="I442" s="25" t="inlineStr">
        <is>
          <t>Papel</t>
        </is>
      </c>
      <c r="J442" s="12" t="inlineStr">
        <is>
          <t>A5</t>
        </is>
      </c>
      <c r="K442" s="25" t="inlineStr">
        <is>
          <t>Compra</t>
        </is>
      </c>
      <c r="L442" s="12" t="inlineStr">
        <is>
          <t>23 Embalaje</t>
        </is>
      </c>
      <c r="M442" s="12" t="inlineStr">
        <is>
          <t>IRAM 3517-2 (información al usuario)</t>
        </is>
      </c>
      <c r="N442" s="25" t="inlineStr">
        <is>
          <t>R</t>
        </is>
      </c>
      <c r="O442" s="25" t="n"/>
      <c r="P442" s="12" t="n"/>
    </row>
    <row r="443">
      <c r="A443" s="25" t="inlineStr">
        <is>
          <t>FL_MAT_SALESK_6l</t>
        </is>
      </c>
      <c r="B443" s="25" t="n">
        <v>2</v>
      </c>
      <c r="C443" s="25" t="inlineStr">
        <is>
          <t>SALESK6-E3</t>
        </is>
      </c>
      <c r="D443" s="12" t="inlineStr">
        <is>
          <t xml:space="preserve">        Pallet 1200 × 1000 (fracción)</t>
        </is>
      </c>
      <c r="E443" s="25" t="n">
        <v>0.0333</v>
      </c>
      <c r="F443" s="25" t="inlineStr">
        <is>
          <t>u</t>
        </is>
      </c>
      <c r="G443" s="26" t="n">
        <v>0.733</v>
      </c>
      <c r="H443" s="26">
        <f>E443*G443</f>
        <v/>
      </c>
      <c r="I443" s="25" t="inlineStr">
        <is>
          <t>Madera</t>
        </is>
      </c>
      <c r="J443" s="12" t="inlineStr">
        <is>
          <t>30 u por pallet</t>
        </is>
      </c>
      <c r="K443" s="25" t="inlineStr">
        <is>
          <t>Compra</t>
        </is>
      </c>
      <c r="L443" s="12" t="inlineStr">
        <is>
          <t>23 Embalaje</t>
        </is>
      </c>
      <c r="M443" s="12" t="n"/>
      <c r="N443" s="25" t="inlineStr">
        <is>
          <t>R</t>
        </is>
      </c>
      <c r="O443" s="25" t="n"/>
      <c r="P443" s="12" t="n"/>
    </row>
    <row r="444">
      <c r="A444" s="25" t="inlineStr">
        <is>
          <t>FL_MAT_SALESK_6l</t>
        </is>
      </c>
      <c r="B444" s="25" t="n">
        <v>2</v>
      </c>
      <c r="C444" s="25" t="inlineStr">
        <is>
          <t>SALESK6-E4</t>
        </is>
      </c>
      <c r="D444" s="12" t="inlineStr">
        <is>
          <t xml:space="preserve">        Film stretch (fracción del pallet)</t>
        </is>
      </c>
      <c r="E444" s="25" t="n">
        <v>0.0117</v>
      </c>
      <c r="F444" s="25" t="inlineStr">
        <is>
          <t>kg</t>
        </is>
      </c>
      <c r="G444" s="26" t="n">
        <v>1</v>
      </c>
      <c r="H444" s="26">
        <f>E444*G444</f>
        <v/>
      </c>
      <c r="I444" s="25" t="inlineStr">
        <is>
          <t>PE lineal 23 µm</t>
        </is>
      </c>
      <c r="J444" s="12" t="inlineStr">
        <is>
          <t>envolvedora EDOS PS5</t>
        </is>
      </c>
      <c r="K444" s="25" t="inlineStr">
        <is>
          <t>Compra</t>
        </is>
      </c>
      <c r="L444" s="12" t="inlineStr">
        <is>
          <t>24 Envolvedora (T11)</t>
        </is>
      </c>
      <c r="M444" s="12" t="n"/>
      <c r="N444" s="25" t="inlineStr">
        <is>
          <t>R</t>
        </is>
      </c>
      <c r="O444" s="25" t="n"/>
      <c r="P444" s="12" t="n"/>
    </row>
    <row r="445">
      <c r="A445" s="25" t="inlineStr">
        <is>
          <t>FL_MAT_SALESK_6l</t>
        </is>
      </c>
      <c r="B445" s="25" t="n">
        <v>2</v>
      </c>
      <c r="C445" s="25" t="inlineStr">
        <is>
          <t>SALESK6-E5</t>
        </is>
      </c>
      <c r="D445" s="12" t="inlineStr">
        <is>
          <t xml:space="preserve">        Etiqueta de pallet (lote y destino, fracción)</t>
        </is>
      </c>
      <c r="E445" s="25" t="n">
        <v>0.0333</v>
      </c>
      <c r="F445" s="25" t="inlineStr">
        <is>
          <t>u</t>
        </is>
      </c>
      <c r="G445" s="26" t="n">
        <v>0</v>
      </c>
      <c r="H445" s="26">
        <f>E445*G445</f>
        <v/>
      </c>
      <c r="I445" s="25" t="inlineStr">
        <is>
          <t>Papel térmico</t>
        </is>
      </c>
      <c r="J445" s="12" t="inlineStr">
        <is>
          <t>100 × 150</t>
        </is>
      </c>
      <c r="K445" s="25" t="inlineStr">
        <is>
          <t>Compra</t>
        </is>
      </c>
      <c r="L445" s="12" t="inlineStr">
        <is>
          <t>24 Envolvedora</t>
        </is>
      </c>
      <c r="M445" s="12" t="n"/>
      <c r="N445" s="25" t="inlineStr">
        <is>
          <t>R</t>
        </is>
      </c>
      <c r="O445" s="25" t="n"/>
      <c r="P445" s="12" t="n"/>
    </row>
    <row r="446">
      <c r="A446" s="19" t="inlineStr">
        <is>
          <t>FL_MAT_CO2_2kg</t>
        </is>
      </c>
      <c r="B446" s="19" t="n">
        <v>0</v>
      </c>
      <c r="C446" s="19" t="inlineStr">
        <is>
          <t>FL_MAT_CO2_2kg</t>
        </is>
      </c>
      <c r="D446" s="20" t="inlineStr">
        <is>
          <t>Extintor CO₂ 2 kg</t>
        </is>
      </c>
      <c r="E446" s="19" t="n">
        <v>1</v>
      </c>
      <c r="F446" s="19" t="inlineStr">
        <is>
          <t>u</t>
        </is>
      </c>
      <c r="G446" s="21" t="n"/>
      <c r="H446" s="21" t="n"/>
      <c r="I446" s="19" t="n"/>
      <c r="J446" s="20" t="n"/>
      <c r="K446" s="19" t="n"/>
      <c r="L446" s="20" t="n"/>
      <c r="M446" s="20" t="inlineStr">
        <is>
          <t>IRAM 3509</t>
        </is>
      </c>
      <c r="N446" s="19" t="inlineStr">
        <is>
          <t>P</t>
        </is>
      </c>
      <c r="O446" s="19" t="inlineStr">
        <is>
          <t>FL_MAT_CO2_2kg</t>
        </is>
      </c>
      <c r="P446" s="20" t="inlineStr">
        <is>
          <t>Tercerizado revendido (S4)</t>
        </is>
      </c>
    </row>
    <row r="447">
      <c r="A447" s="22" t="inlineStr">
        <is>
          <t>FL_MAT_CO2_2kg</t>
        </is>
      </c>
      <c r="B447" s="22" t="n">
        <v>1</v>
      </c>
      <c r="C447" s="22" t="inlineStr">
        <is>
          <t>CO22-S1</t>
        </is>
      </c>
      <c r="D447" s="23" t="inlineStr">
        <is>
          <t xml:space="preserve">    Recipiente (cilindro)</t>
        </is>
      </c>
      <c r="E447" s="22" t="n">
        <v>1</v>
      </c>
      <c r="F447" s="22" t="inlineStr">
        <is>
          <t>u</t>
        </is>
      </c>
      <c r="G447" s="24" t="n"/>
      <c r="H447" s="24">
        <f>H448+H449+H450</f>
        <v/>
      </c>
      <c r="I447" s="22" t="n"/>
      <c r="J447" s="23" t="n"/>
      <c r="K447" s="22" t="inlineStr">
        <is>
          <t>Compra / armado</t>
        </is>
      </c>
      <c r="L447" s="23" t="n"/>
      <c r="M447" s="23" t="inlineStr">
        <is>
          <t>IRAM 3523 / 3550 (recipiente)</t>
        </is>
      </c>
      <c r="N447" s="22" t="inlineStr">
        <is>
          <t>P</t>
        </is>
      </c>
      <c r="O447" s="22" t="inlineStr">
        <is>
          <t>FL_DES_CO2_2kg</t>
        </is>
      </c>
      <c r="P447" s="23" t="n"/>
    </row>
    <row r="448">
      <c r="A448" s="25" t="inlineStr">
        <is>
          <t>FL_MAT_CO2_2kg</t>
        </is>
      </c>
      <c r="B448" s="25" t="n">
        <v>2</v>
      </c>
      <c r="C448" s="25" t="inlineStr">
        <is>
          <t>CO22-01</t>
        </is>
      </c>
      <c r="D448" s="12" t="inlineStr">
        <is>
          <t xml:space="preserve">        Cilindro sin costura</t>
        </is>
      </c>
      <c r="E448" s="25" t="n">
        <v>1</v>
      </c>
      <c r="F448" s="25" t="inlineStr">
        <is>
          <t>u</t>
        </is>
      </c>
      <c r="G448" s="26" t="n">
        <v>5.7663</v>
      </c>
      <c r="H448" s="26">
        <f>E448*G448</f>
        <v/>
      </c>
      <c r="I448" s="25" t="inlineStr">
        <is>
          <t>Tubo acero 34CrMo4 sin costura e=5,4</t>
        </is>
      </c>
      <c r="J448" s="12" t="inlineStr">
        <is>
          <t>Cilindro sin costura Ø114 × e5,4 × 411,2 de alto (cuello integral)</t>
        </is>
      </c>
      <c r="K448" s="25" t="inlineStr">
        <is>
          <t>Compra (en el conjunto)</t>
        </is>
      </c>
      <c r="L448" s="12" t="inlineStr">
        <is>
          <t>S4 - se compra terminado (tercerizado con sello IRAM)</t>
        </is>
      </c>
      <c r="M448" s="12" t="n"/>
      <c r="N448" s="25" t="inlineStr">
        <is>
          <t>P</t>
        </is>
      </c>
      <c r="O448" s="25" t="inlineStr">
        <is>
          <t>FL_DES_CO2_2kg</t>
        </is>
      </c>
      <c r="P448" s="12" t="inlineStr">
        <is>
          <t>cuello integral</t>
        </is>
      </c>
    </row>
    <row r="449">
      <c r="A449" s="25" t="inlineStr">
        <is>
          <t>FL_MAT_CO2_2kg</t>
        </is>
      </c>
      <c r="B449" s="25" t="n">
        <v>2</v>
      </c>
      <c r="C449" s="25" t="inlineStr">
        <is>
          <t>CO22-12</t>
        </is>
      </c>
      <c r="D449" s="12" t="inlineStr">
        <is>
          <t xml:space="preserve">        Pie de apoyo</t>
        </is>
      </c>
      <c r="E449" s="25" t="n">
        <v>1</v>
      </c>
      <c r="F449" s="25" t="inlineStr">
        <is>
          <t>u</t>
        </is>
      </c>
      <c r="G449" s="26" t="n">
        <v>0.066</v>
      </c>
      <c r="H449" s="26">
        <f>E449*G449</f>
        <v/>
      </c>
      <c r="I449" s="25" t="inlineStr">
        <is>
          <t>Polietileno AD</t>
        </is>
      </c>
      <c r="J449" s="12" t="inlineStr">
        <is>
          <t>114 × 114 × 31,4</t>
        </is>
      </c>
      <c r="K449" s="25" t="inlineStr">
        <is>
          <t>Compra (en el conjunto)</t>
        </is>
      </c>
      <c r="L449" s="12" t="inlineStr">
        <is>
          <t>S4 - se compra terminado (tercerizado con sello IRAM)</t>
        </is>
      </c>
      <c r="M449" s="12" t="n"/>
      <c r="N449" s="25" t="inlineStr">
        <is>
          <t>P</t>
        </is>
      </c>
      <c r="O449" s="25" t="inlineStr">
        <is>
          <t>FL_DES_CO2_2kg</t>
        </is>
      </c>
      <c r="P449" s="12" t="n"/>
    </row>
    <row r="450">
      <c r="A450" s="25" t="inlineStr">
        <is>
          <t>FL_MAT_CO2_2kg</t>
        </is>
      </c>
      <c r="B450" s="25" t="n">
        <v>2</v>
      </c>
      <c r="C450" s="25" t="inlineStr">
        <is>
          <t>CO22-C3</t>
        </is>
      </c>
      <c r="D450" s="12" t="inlineStr">
        <is>
          <t xml:space="preserve">        Pintura en polvo poliéster rojo (recipiente)</t>
        </is>
      </c>
      <c r="E450" s="25" t="n">
        <v>0.025</v>
      </c>
      <c r="F450" s="25" t="inlineStr">
        <is>
          <t>kg</t>
        </is>
      </c>
      <c r="G450" s="26" t="n">
        <v>0.65</v>
      </c>
      <c r="H450" s="26">
        <f>E450*G450</f>
        <v/>
      </c>
      <c r="I450" s="25" t="inlineStr">
        <is>
          <t>Poliéster RAL 3000 / rojo 03-1-050</t>
        </is>
      </c>
      <c r="J450" s="12" t="inlineStr">
        <is>
          <t>0,136 m² × 80 µm, rendimiento 65 %</t>
        </is>
      </c>
      <c r="K450" s="25" t="inlineStr">
        <is>
          <t>Compra</t>
        </is>
      </c>
      <c r="L450" s="12" t="inlineStr">
        <is>
          <t>17 Pintura (S-P)</t>
        </is>
      </c>
      <c r="M450" s="12" t="inlineStr">
        <is>
          <t>DOC-01</t>
        </is>
      </c>
      <c r="N450" s="25" t="inlineStr">
        <is>
          <t>R</t>
        </is>
      </c>
      <c r="O450" s="25" t="n"/>
      <c r="P450" s="12" t="n"/>
    </row>
    <row r="451">
      <c r="A451" s="22" t="inlineStr">
        <is>
          <t>FL_MAT_CO2_2kg</t>
        </is>
      </c>
      <c r="B451" s="22" t="n">
        <v>1</v>
      </c>
      <c r="C451" s="22" t="inlineStr">
        <is>
          <t>CO22-S2</t>
        </is>
      </c>
      <c r="D451" s="23" t="inlineStr">
        <is>
          <t xml:space="preserve">    Conjunto de válvula</t>
        </is>
      </c>
      <c r="E451" s="22" t="n">
        <v>1</v>
      </c>
      <c r="F451" s="22" t="inlineStr">
        <is>
          <t>u</t>
        </is>
      </c>
      <c r="G451" s="24" t="n"/>
      <c r="H451" s="24">
        <f>H452+H453+H454+H455+H456+H457+H458+H459+H460+H461+H462+H463</f>
        <v/>
      </c>
      <c r="I451" s="22" t="n"/>
      <c r="J451" s="23" t="n"/>
      <c r="K451" s="22" t="inlineStr">
        <is>
          <t>Compra / armado</t>
        </is>
      </c>
      <c r="L451" s="23" t="n"/>
      <c r="M451" s="23" t="inlineStr">
        <is>
          <t>Manómetro IRAM 3533</t>
        </is>
      </c>
      <c r="N451" s="22" t="inlineStr">
        <is>
          <t>P</t>
        </is>
      </c>
      <c r="O451" s="22" t="inlineStr">
        <is>
          <t>FL_DES_CO2_2kg</t>
        </is>
      </c>
      <c r="P451" s="23" t="n"/>
    </row>
    <row r="452">
      <c r="A452" s="25" t="inlineStr">
        <is>
          <t>FL_MAT_CO2_2kg</t>
        </is>
      </c>
      <c r="B452" s="25" t="n">
        <v>2</v>
      </c>
      <c r="C452" s="25" t="inlineStr">
        <is>
          <t>CO22-02</t>
        </is>
      </c>
      <c r="D452" s="12" t="inlineStr">
        <is>
          <t xml:space="preserve">        Collarín de válvula</t>
        </is>
      </c>
      <c r="E452" s="25" t="n">
        <v>1</v>
      </c>
      <c r="F452" s="25" t="inlineStr">
        <is>
          <t>u</t>
        </is>
      </c>
      <c r="G452" s="26" t="n">
        <v>0.0809</v>
      </c>
      <c r="H452" s="26">
        <f>E452*G452</f>
        <v/>
      </c>
      <c r="I452" s="25" t="inlineStr">
        <is>
          <t>Latón forjado</t>
        </is>
      </c>
      <c r="J452" s="12" t="inlineStr">
        <is>
          <t>38 × 38 × 10</t>
        </is>
      </c>
      <c r="K452" s="25" t="inlineStr">
        <is>
          <t>Compra (en el conjunto)</t>
        </is>
      </c>
      <c r="L452" s="12" t="inlineStr">
        <is>
          <t>S4 - se compra terminado (tercerizado con sello IRAM)</t>
        </is>
      </c>
      <c r="M452" s="12" t="n"/>
      <c r="N452" s="25" t="inlineStr">
        <is>
          <t>P</t>
        </is>
      </c>
      <c r="O452" s="25" t="inlineStr">
        <is>
          <t>FL_DES_CO2_2kg</t>
        </is>
      </c>
      <c r="P452" s="12" t="n"/>
    </row>
    <row r="453">
      <c r="A453" s="25" t="inlineStr">
        <is>
          <t>FL_MAT_CO2_2kg</t>
        </is>
      </c>
      <c r="B453" s="25" t="n">
        <v>2</v>
      </c>
      <c r="C453" s="25" t="inlineStr">
        <is>
          <t>CO22-03</t>
        </is>
      </c>
      <c r="D453" s="12" t="inlineStr">
        <is>
          <t xml:space="preserve">        Espiga roscada</t>
        </is>
      </c>
      <c r="E453" s="25" t="n">
        <v>1</v>
      </c>
      <c r="F453" s="25" t="inlineStr">
        <is>
          <t>u</t>
        </is>
      </c>
      <c r="G453" s="26" t="n">
        <v>0.0153</v>
      </c>
      <c r="H453" s="26">
        <f>E453*G453</f>
        <v/>
      </c>
      <c r="I453" s="25" t="inlineStr">
        <is>
          <t>Latón forjado</t>
        </is>
      </c>
      <c r="J453" s="12" t="inlineStr">
        <is>
          <t>19 × 19 × 12</t>
        </is>
      </c>
      <c r="K453" s="25" t="inlineStr">
        <is>
          <t>Compra (en el conjunto)</t>
        </is>
      </c>
      <c r="L453" s="12" t="inlineStr">
        <is>
          <t>S4 - se compra terminado (tercerizado con sello IRAM)</t>
        </is>
      </c>
      <c r="M453" s="12" t="n"/>
      <c r="N453" s="25" t="inlineStr">
        <is>
          <t>P</t>
        </is>
      </c>
      <c r="O453" s="25" t="inlineStr">
        <is>
          <t>FL_DES_CO2_2kg</t>
        </is>
      </c>
      <c r="P453" s="12" t="n"/>
    </row>
    <row r="454">
      <c r="A454" s="25" t="inlineStr">
        <is>
          <t>FL_MAT_CO2_2kg</t>
        </is>
      </c>
      <c r="B454" s="25" t="n">
        <v>2</v>
      </c>
      <c r="C454" s="25" t="inlineStr">
        <is>
          <t>CO22-04</t>
        </is>
      </c>
      <c r="D454" s="12" t="inlineStr">
        <is>
          <t xml:space="preserve">        Cuerpo de válvula</t>
        </is>
      </c>
      <c r="E454" s="25" t="n">
        <v>1</v>
      </c>
      <c r="F454" s="25" t="inlineStr">
        <is>
          <t>u</t>
        </is>
      </c>
      <c r="G454" s="26" t="n">
        <v>0.4826</v>
      </c>
      <c r="H454" s="26">
        <f>E454*G454</f>
        <v/>
      </c>
      <c r="I454" s="25" t="inlineStr">
        <is>
          <t>Latón forjado</t>
        </is>
      </c>
      <c r="J454" s="12" t="inlineStr">
        <is>
          <t>66,2 × 43 × 34</t>
        </is>
      </c>
      <c r="K454" s="25" t="inlineStr">
        <is>
          <t>Compra (en el conjunto)</t>
        </is>
      </c>
      <c r="L454" s="12" t="inlineStr">
        <is>
          <t>S4 - se compra terminado (tercerizado con sello IRAM)</t>
        </is>
      </c>
      <c r="M454" s="12" t="n"/>
      <c r="N454" s="25" t="inlineStr">
        <is>
          <t>P</t>
        </is>
      </c>
      <c r="O454" s="25" t="inlineStr">
        <is>
          <t>FL_DES_CO2_2kg</t>
        </is>
      </c>
      <c r="P454" s="12" t="n"/>
    </row>
    <row r="455">
      <c r="A455" s="25" t="inlineStr">
        <is>
          <t>FL_MAT_CO2_2kg</t>
        </is>
      </c>
      <c r="B455" s="25" t="n">
        <v>2</v>
      </c>
      <c r="C455" s="25" t="inlineStr">
        <is>
          <t>CO22-05</t>
        </is>
      </c>
      <c r="D455" s="12" t="inlineStr">
        <is>
          <t xml:space="preserve">        Disco de seguridad</t>
        </is>
      </c>
      <c r="E455" s="25" t="n">
        <v>1</v>
      </c>
      <c r="F455" s="25" t="inlineStr">
        <is>
          <t>u</t>
        </is>
      </c>
      <c r="G455" s="26" t="n">
        <v>0.0097</v>
      </c>
      <c r="H455" s="26">
        <f>E455*G455</f>
        <v/>
      </c>
      <c r="I455" s="25" t="inlineStr">
        <is>
          <t>Latón / disco de cobre</t>
        </is>
      </c>
      <c r="J455" s="12" t="inlineStr">
        <is>
          <t>14 × 12,1 × 9</t>
        </is>
      </c>
      <c r="K455" s="25" t="inlineStr">
        <is>
          <t>Compra (en el conjunto)</t>
        </is>
      </c>
      <c r="L455" s="12" t="inlineStr">
        <is>
          <t>S4 - se compra terminado (tercerizado con sello IRAM)</t>
        </is>
      </c>
      <c r="M455" s="12" t="n"/>
      <c r="N455" s="25" t="inlineStr">
        <is>
          <t>P</t>
        </is>
      </c>
      <c r="O455" s="25" t="inlineStr">
        <is>
          <t>FL_DES_CO2_2kg</t>
        </is>
      </c>
      <c r="P455" s="12" t="inlineStr">
        <is>
          <t>rotura 18 a 21 MPa</t>
        </is>
      </c>
    </row>
    <row r="456">
      <c r="A456" s="25" t="inlineStr">
        <is>
          <t>FL_MAT_CO2_2kg</t>
        </is>
      </c>
      <c r="B456" s="25" t="n">
        <v>2</v>
      </c>
      <c r="C456" s="25" t="inlineStr">
        <is>
          <t>CO22-06</t>
        </is>
      </c>
      <c r="D456" s="12" t="inlineStr">
        <is>
          <t xml:space="preserve">        Manija de transporte</t>
        </is>
      </c>
      <c r="E456" s="25" t="n">
        <v>1</v>
      </c>
      <c r="F456" s="25" t="inlineStr">
        <is>
          <t>u</t>
        </is>
      </c>
      <c r="G456" s="26" t="n">
        <v>0.0635</v>
      </c>
      <c r="H456" s="26">
        <f>E456*G456</f>
        <v/>
      </c>
      <c r="I456" s="25" t="inlineStr">
        <is>
          <t>Chapa acero SAE 1010 pintada</t>
        </is>
      </c>
      <c r="J456" s="12" t="inlineStr">
        <is>
          <t>100,9 × 20 × 14,5</t>
        </is>
      </c>
      <c r="K456" s="25" t="inlineStr">
        <is>
          <t>Compra (en el conjunto)</t>
        </is>
      </c>
      <c r="L456" s="12" t="inlineStr">
        <is>
          <t>S4 - se compra terminado (tercerizado con sello IRAM)</t>
        </is>
      </c>
      <c r="M456" s="12" t="n"/>
      <c r="N456" s="25" t="inlineStr">
        <is>
          <t>P</t>
        </is>
      </c>
      <c r="O456" s="25" t="inlineStr">
        <is>
          <t>FL_DES_CO2_2kg</t>
        </is>
      </c>
      <c r="P456" s="12" t="n"/>
    </row>
    <row r="457">
      <c r="A457" s="25" t="inlineStr">
        <is>
          <t>FL_MAT_CO2_2kg</t>
        </is>
      </c>
      <c r="B457" s="25" t="n">
        <v>2</v>
      </c>
      <c r="C457" s="25" t="inlineStr">
        <is>
          <t>CO22-07</t>
        </is>
      </c>
      <c r="D457" s="12" t="inlineStr">
        <is>
          <t xml:space="preserve">        Manija de accionamiento</t>
        </is>
      </c>
      <c r="E457" s="25" t="n">
        <v>1</v>
      </c>
      <c r="F457" s="25" t="inlineStr">
        <is>
          <t>u</t>
        </is>
      </c>
      <c r="G457" s="26" t="n">
        <v>0.0905</v>
      </c>
      <c r="H457" s="26">
        <f>E457*G457</f>
        <v/>
      </c>
      <c r="I457" s="25" t="inlineStr">
        <is>
          <t>Chapa acero SAE 1010 pintada</t>
        </is>
      </c>
      <c r="J457" s="12" t="inlineStr">
        <is>
          <t>143,5 × 21,5 × 20</t>
        </is>
      </c>
      <c r="K457" s="25" t="inlineStr">
        <is>
          <t>Compra (en el conjunto)</t>
        </is>
      </c>
      <c r="L457" s="12" t="inlineStr">
        <is>
          <t>S4 - se compra terminado (tercerizado con sello IRAM)</t>
        </is>
      </c>
      <c r="M457" s="12" t="n"/>
      <c r="N457" s="25" t="inlineStr">
        <is>
          <t>P</t>
        </is>
      </c>
      <c r="O457" s="25" t="inlineStr">
        <is>
          <t>FL_DES_CO2_2kg</t>
        </is>
      </c>
      <c r="P457" s="12" t="n"/>
    </row>
    <row r="458">
      <c r="A458" s="25" t="inlineStr">
        <is>
          <t>FL_MAT_CO2_2kg</t>
        </is>
      </c>
      <c r="B458" s="25" t="n">
        <v>2</v>
      </c>
      <c r="C458" s="25" t="inlineStr">
        <is>
          <t>CO22-08</t>
        </is>
      </c>
      <c r="D458" s="12" t="inlineStr">
        <is>
          <t xml:space="preserve">        Eje de palanca</t>
        </is>
      </c>
      <c r="E458" s="25" t="n">
        <v>1</v>
      </c>
      <c r="F458" s="25" t="inlineStr">
        <is>
          <t>u</t>
        </is>
      </c>
      <c r="G458" s="26" t="n">
        <v>0.0081</v>
      </c>
      <c r="H458" s="26">
        <f>E458*G458</f>
        <v/>
      </c>
      <c r="I458" s="25" t="inlineStr">
        <is>
          <t>Acero inox. AISI 304</t>
        </is>
      </c>
      <c r="J458" s="12" t="inlineStr">
        <is>
          <t>36 × 6 × 6</t>
        </is>
      </c>
      <c r="K458" s="25" t="inlineStr">
        <is>
          <t>Compra (en el conjunto)</t>
        </is>
      </c>
      <c r="L458" s="12" t="inlineStr">
        <is>
          <t>S4 - se compra terminado (tercerizado con sello IRAM)</t>
        </is>
      </c>
      <c r="M458" s="12" t="n"/>
      <c r="N458" s="25" t="inlineStr">
        <is>
          <t>P</t>
        </is>
      </c>
      <c r="O458" s="25" t="inlineStr">
        <is>
          <t>FL_DES_CO2_2kg</t>
        </is>
      </c>
      <c r="P458" s="12" t="n"/>
    </row>
    <row r="459">
      <c r="A459" s="25" t="inlineStr">
        <is>
          <t>FL_MAT_CO2_2kg</t>
        </is>
      </c>
      <c r="B459" s="25" t="n">
        <v>2</v>
      </c>
      <c r="C459" s="25" t="inlineStr">
        <is>
          <t>CO22-09</t>
        </is>
      </c>
      <c r="D459" s="12" t="inlineStr">
        <is>
          <t xml:space="preserve">        Vástago</t>
        </is>
      </c>
      <c r="E459" s="25" t="n">
        <v>1</v>
      </c>
      <c r="F459" s="25" t="inlineStr">
        <is>
          <t>u</t>
        </is>
      </c>
      <c r="G459" s="26" t="n">
        <v>0.0017</v>
      </c>
      <c r="H459" s="26">
        <f>E459*G459</f>
        <v/>
      </c>
      <c r="I459" s="25" t="inlineStr">
        <is>
          <t>Latón</t>
        </is>
      </c>
      <c r="J459" s="12" t="inlineStr">
        <is>
          <t>8 × 8 × 4</t>
        </is>
      </c>
      <c r="K459" s="25" t="inlineStr">
        <is>
          <t>Compra (en el conjunto)</t>
        </is>
      </c>
      <c r="L459" s="12" t="inlineStr">
        <is>
          <t>S4 - se compra terminado (tercerizado con sello IRAM)</t>
        </is>
      </c>
      <c r="M459" s="12" t="n"/>
      <c r="N459" s="25" t="inlineStr">
        <is>
          <t>P</t>
        </is>
      </c>
      <c r="O459" s="25" t="inlineStr">
        <is>
          <t>FL_DES_CO2_2kg</t>
        </is>
      </c>
      <c r="P459" s="12" t="inlineStr">
        <is>
          <t>con junta tórica</t>
        </is>
      </c>
    </row>
    <row r="460">
      <c r="A460" s="25" t="inlineStr">
        <is>
          <t>FL_MAT_CO2_2kg</t>
        </is>
      </c>
      <c r="B460" s="25" t="n">
        <v>2</v>
      </c>
      <c r="C460" s="25" t="inlineStr">
        <is>
          <t>CO22-10</t>
        </is>
      </c>
      <c r="D460" s="12" t="inlineStr">
        <is>
          <t xml:space="preserve">        Pasador de seguridad</t>
        </is>
      </c>
      <c r="E460" s="25" t="n">
        <v>1</v>
      </c>
      <c r="F460" s="25" t="inlineStr">
        <is>
          <t>u</t>
        </is>
      </c>
      <c r="G460" s="26" t="n">
        <v>0.0055</v>
      </c>
      <c r="H460" s="26">
        <f>E460*G460</f>
        <v/>
      </c>
      <c r="I460" s="25" t="inlineStr">
        <is>
          <t>Alambre acero inox. AISI 304</t>
        </is>
      </c>
      <c r="J460" s="12" t="inlineStr">
        <is>
          <t>45,4 × 21 × 20,8</t>
        </is>
      </c>
      <c r="K460" s="25" t="inlineStr">
        <is>
          <t>Compra (en el conjunto)</t>
        </is>
      </c>
      <c r="L460" s="12" t="inlineStr">
        <is>
          <t>S4 - se compra terminado (tercerizado con sello IRAM)</t>
        </is>
      </c>
      <c r="M460" s="12" t="n"/>
      <c r="N460" s="25" t="inlineStr">
        <is>
          <t>P</t>
        </is>
      </c>
      <c r="O460" s="25" t="inlineStr">
        <is>
          <t>FL_DES_CO2_2kg</t>
        </is>
      </c>
      <c r="P460" s="12" t="inlineStr">
        <is>
          <t>con precinto</t>
        </is>
      </c>
    </row>
    <row r="461">
      <c r="A461" s="25" t="inlineStr">
        <is>
          <t>FL_MAT_CO2_2kg</t>
        </is>
      </c>
      <c r="B461" s="25" t="n">
        <v>2</v>
      </c>
      <c r="C461" s="25" t="inlineStr">
        <is>
          <t>CO22-11</t>
        </is>
      </c>
      <c r="D461" s="12" t="inlineStr">
        <is>
          <t xml:space="preserve">        Caño de pesca (sifón)</t>
        </is>
      </c>
      <c r="E461" s="25" t="n">
        <v>1</v>
      </c>
      <c r="F461" s="25" t="inlineStr">
        <is>
          <t>u</t>
        </is>
      </c>
      <c r="G461" s="26" t="n">
        <v>0.0406</v>
      </c>
      <c r="H461" s="26">
        <f>E461*G461</f>
        <v/>
      </c>
      <c r="I461" s="25" t="inlineStr">
        <is>
          <t>Tubo aluminio</t>
        </is>
      </c>
      <c r="J461" s="12" t="inlineStr">
        <is>
          <t>Ø10 × 375,8 de largo</t>
        </is>
      </c>
      <c r="K461" s="25" t="inlineStr">
        <is>
          <t>Compra (en el conjunto)</t>
        </is>
      </c>
      <c r="L461" s="12" t="inlineStr">
        <is>
          <t>S4 - se compra terminado (tercerizado con sello IRAM)</t>
        </is>
      </c>
      <c r="M461" s="12" t="n"/>
      <c r="N461" s="25" t="inlineStr">
        <is>
          <t>P</t>
        </is>
      </c>
      <c r="O461" s="25" t="inlineStr">
        <is>
          <t>FL_DES_CO2_2kg</t>
        </is>
      </c>
      <c r="P461" s="12" t="n"/>
    </row>
    <row r="462">
      <c r="A462" s="25" t="inlineStr">
        <is>
          <t>FL_MAT_CO2_2kg</t>
        </is>
      </c>
      <c r="B462" s="25" t="n">
        <v>2</v>
      </c>
      <c r="C462" s="25" t="inlineStr">
        <is>
          <t>CO22-19</t>
        </is>
      </c>
      <c r="D462" s="12" t="inlineStr">
        <is>
          <t xml:space="preserve">        Junta tórica de asiento</t>
        </is>
      </c>
      <c r="E462" s="25" t="n">
        <v>1</v>
      </c>
      <c r="F462" s="25" t="inlineStr">
        <is>
          <t>u</t>
        </is>
      </c>
      <c r="G462" s="26" t="n">
        <v>0.0005999999999999999</v>
      </c>
      <c r="H462" s="26">
        <f>E462*G462</f>
        <v/>
      </c>
      <c r="I462" s="25" t="inlineStr">
        <is>
          <t>NBR 70 Shore A</t>
        </is>
      </c>
      <c r="J462" s="12" t="inlineStr">
        <is>
          <t>Ø22 ext. × cordón 3</t>
        </is>
      </c>
      <c r="K462" s="25" t="inlineStr">
        <is>
          <t>Compra (en el conjunto)</t>
        </is>
      </c>
      <c r="L462" s="12" t="inlineStr">
        <is>
          <t>S4 - se compra terminado (tercerizado con sello IRAM)</t>
        </is>
      </c>
      <c r="M462" s="12" t="n"/>
      <c r="N462" s="25" t="inlineStr">
        <is>
          <t>P</t>
        </is>
      </c>
      <c r="O462" s="25" t="inlineStr">
        <is>
          <t>FL_DES_CO2_2kg</t>
        </is>
      </c>
      <c r="P462" s="12" t="inlineStr">
        <is>
          <t>cambio c/recarga</t>
        </is>
      </c>
    </row>
    <row r="463">
      <c r="A463" s="25" t="inlineStr">
        <is>
          <t>FL_MAT_CO2_2kg</t>
        </is>
      </c>
      <c r="B463" s="25" t="n">
        <v>2</v>
      </c>
      <c r="C463" s="25" t="inlineStr">
        <is>
          <t>CO22-V3</t>
        </is>
      </c>
      <c r="D463" s="12" t="inlineStr">
        <is>
          <t xml:space="preserve">        Junta tórica del vástago</t>
        </is>
      </c>
      <c r="E463" s="25" t="n">
        <v>1</v>
      </c>
      <c r="F463" s="25" t="inlineStr">
        <is>
          <t>u</t>
        </is>
      </c>
      <c r="G463" s="26" t="n">
        <v>0.001</v>
      </c>
      <c r="H463" s="26">
        <f>E463*G463</f>
        <v/>
      </c>
      <c r="I463" s="25" t="inlineStr">
        <is>
          <t>NBR 70 Shore A</t>
        </is>
      </c>
      <c r="J463" s="12" t="inlineStr">
        <is>
          <t>según válvula</t>
        </is>
      </c>
      <c r="K463" s="25" t="inlineStr">
        <is>
          <t>Compra</t>
        </is>
      </c>
      <c r="L463" s="12" t="inlineStr">
        <is>
          <t>19 Ensamblaje</t>
        </is>
      </c>
      <c r="M463" s="12" t="n"/>
      <c r="N463" s="25" t="inlineStr">
        <is>
          <t>P</t>
        </is>
      </c>
      <c r="O463" s="25" t="n"/>
      <c r="P463" s="12" t="inlineStr">
        <is>
          <t>Figura en el plano como «vástago con junta tórica»</t>
        </is>
      </c>
    </row>
    <row r="464">
      <c r="A464" s="22" t="inlineStr">
        <is>
          <t>FL_MAT_CO2_2kg</t>
        </is>
      </c>
      <c r="B464" s="22" t="n">
        <v>1</v>
      </c>
      <c r="C464" s="22" t="inlineStr">
        <is>
          <t>CO22-S3</t>
        </is>
      </c>
      <c r="D464" s="23" t="inlineStr">
        <is>
          <t xml:space="preserve">    Dispositivo de descarga</t>
        </is>
      </c>
      <c r="E464" s="22" t="n">
        <v>1</v>
      </c>
      <c r="F464" s="22" t="inlineStr">
        <is>
          <t>u</t>
        </is>
      </c>
      <c r="G464" s="24" t="n"/>
      <c r="H464" s="24">
        <f>H465+H466+H467</f>
        <v/>
      </c>
      <c r="I464" s="22" t="n"/>
      <c r="J464" s="23" t="n"/>
      <c r="K464" s="22" t="inlineStr">
        <is>
          <t>Compra / armado</t>
        </is>
      </c>
      <c r="L464" s="23" t="n"/>
      <c r="M464" s="23" t="n"/>
      <c r="N464" s="22" t="inlineStr">
        <is>
          <t>P</t>
        </is>
      </c>
      <c r="O464" s="22" t="inlineStr">
        <is>
          <t>FL_DES_CO2_2kg</t>
        </is>
      </c>
      <c r="P464" s="23" t="n"/>
    </row>
    <row r="465">
      <c r="A465" s="25" t="inlineStr">
        <is>
          <t>FL_MAT_CO2_2kg</t>
        </is>
      </c>
      <c r="B465" s="25" t="n">
        <v>2</v>
      </c>
      <c r="C465" s="25" t="inlineStr">
        <is>
          <t>CO22-13</t>
        </is>
      </c>
      <c r="D465" s="12" t="inlineStr">
        <is>
          <t xml:space="preserve">        Brazo giratorio</t>
        </is>
      </c>
      <c r="E465" s="25" t="n">
        <v>1</v>
      </c>
      <c r="F465" s="25" t="inlineStr">
        <is>
          <t>u</t>
        </is>
      </c>
      <c r="G465" s="26" t="n">
        <v>0.0471</v>
      </c>
      <c r="H465" s="26">
        <f>E465*G465</f>
        <v/>
      </c>
      <c r="I465" s="25" t="inlineStr">
        <is>
          <t>Tubo acero SAE 1010</t>
        </is>
      </c>
      <c r="J465" s="12" t="inlineStr">
        <is>
          <t>tubo Ø12 × 118 de largo desarrollado</t>
        </is>
      </c>
      <c r="K465" s="25" t="inlineStr">
        <is>
          <t>Compra (en el conjunto)</t>
        </is>
      </c>
      <c r="L465" s="12" t="inlineStr">
        <is>
          <t>S4 - se compra terminado (tercerizado con sello IRAM)</t>
        </is>
      </c>
      <c r="M465" s="12" t="n"/>
      <c r="N465" s="25" t="inlineStr">
        <is>
          <t>P</t>
        </is>
      </c>
      <c r="O465" s="25" t="inlineStr">
        <is>
          <t>FL_DES_CO2_2kg</t>
        </is>
      </c>
      <c r="P465" s="12" t="n"/>
    </row>
    <row r="466">
      <c r="A466" s="25" t="inlineStr">
        <is>
          <t>FL_MAT_CO2_2kg</t>
        </is>
      </c>
      <c r="B466" s="25" t="n">
        <v>2</v>
      </c>
      <c r="C466" s="25" t="inlineStr">
        <is>
          <t>CO22-14</t>
        </is>
      </c>
      <c r="D466" s="12" t="inlineStr">
        <is>
          <t xml:space="preserve">        Difusor (bocina)</t>
        </is>
      </c>
      <c r="E466" s="25" t="n">
        <v>1</v>
      </c>
      <c r="F466" s="25" t="inlineStr">
        <is>
          <t>u</t>
        </is>
      </c>
      <c r="G466" s="26" t="n">
        <v>0.0564</v>
      </c>
      <c r="H466" s="26">
        <f>E466*G466</f>
        <v/>
      </c>
      <c r="I466" s="25" t="inlineStr">
        <is>
          <t>Polietileno AD</t>
        </is>
      </c>
      <c r="J466" s="12" t="inlineStr">
        <is>
          <t>170 × 70 × 70</t>
        </is>
      </c>
      <c r="K466" s="25" t="inlineStr">
        <is>
          <t>Compra (en el conjunto)</t>
        </is>
      </c>
      <c r="L466" s="12" t="inlineStr">
        <is>
          <t>S4 - se compra terminado (tercerizado con sello IRAM)</t>
        </is>
      </c>
      <c r="M466" s="12" t="n"/>
      <c r="N466" s="25" t="inlineStr">
        <is>
          <t>P</t>
        </is>
      </c>
      <c r="O466" s="25" t="inlineStr">
        <is>
          <t>FL_DES_CO2_2kg</t>
        </is>
      </c>
      <c r="P466" s="12" t="inlineStr">
        <is>
          <t>aislante térmico y eléctrico</t>
        </is>
      </c>
    </row>
    <row r="467">
      <c r="A467" s="25" t="inlineStr">
        <is>
          <t>FL_MAT_CO2_2kg</t>
        </is>
      </c>
      <c r="B467" s="25" t="n">
        <v>2</v>
      </c>
      <c r="C467" s="25" t="inlineStr">
        <is>
          <t>CO22-15</t>
        </is>
      </c>
      <c r="D467" s="12" t="inlineStr">
        <is>
          <t xml:space="preserve">        Empuñadura</t>
        </is>
      </c>
      <c r="E467" s="25" t="n">
        <v>1</v>
      </c>
      <c r="F467" s="25" t="inlineStr">
        <is>
          <t>u</t>
        </is>
      </c>
      <c r="G467" s="26" t="n">
        <v>0.0121</v>
      </c>
      <c r="H467" s="26">
        <f>E467*G467</f>
        <v/>
      </c>
      <c r="I467" s="25" t="inlineStr">
        <is>
          <t>Polipropileno</t>
        </is>
      </c>
      <c r="J467" s="12" t="inlineStr">
        <is>
          <t>34 × 34 × 30</t>
        </is>
      </c>
      <c r="K467" s="25" t="inlineStr">
        <is>
          <t>Compra (en el conjunto)</t>
        </is>
      </c>
      <c r="L467" s="12" t="inlineStr">
        <is>
          <t>S4 - se compra terminado (tercerizado con sello IRAM)</t>
        </is>
      </c>
      <c r="M467" s="12" t="n"/>
      <c r="N467" s="25" t="inlineStr">
        <is>
          <t>P</t>
        </is>
      </c>
      <c r="O467" s="25" t="inlineStr">
        <is>
          <t>FL_DES_CO2_2kg</t>
        </is>
      </c>
      <c r="P467" s="12" t="n"/>
    </row>
    <row r="468">
      <c r="A468" s="22" t="inlineStr">
        <is>
          <t>FL_MAT_CO2_2kg</t>
        </is>
      </c>
      <c r="B468" s="22" t="n">
        <v>1</v>
      </c>
      <c r="C468" s="22" t="inlineStr">
        <is>
          <t>CO22-S5</t>
        </is>
      </c>
      <c r="D468" s="23" t="inlineStr">
        <is>
          <t xml:space="preserve">    Carga: agente extintor y gas impulsor</t>
        </is>
      </c>
      <c r="E468" s="22" t="n">
        <v>1</v>
      </c>
      <c r="F468" s="22" t="inlineStr">
        <is>
          <t>u</t>
        </is>
      </c>
      <c r="G468" s="24" t="n"/>
      <c r="H468" s="24">
        <f>H469</f>
        <v/>
      </c>
      <c r="I468" s="22" t="n"/>
      <c r="J468" s="23" t="n"/>
      <c r="K468" s="22" t="inlineStr">
        <is>
          <t>Compra</t>
        </is>
      </c>
      <c r="L468" s="23" t="n"/>
      <c r="M468" s="23" t="n"/>
      <c r="N468" s="22" t="n"/>
      <c r="O468" s="22" t="n"/>
      <c r="P468" s="23" t="n"/>
    </row>
    <row r="469">
      <c r="A469" s="25" t="inlineStr">
        <is>
          <t>FL_MAT_CO2_2kg</t>
        </is>
      </c>
      <c r="B469" s="25" t="n">
        <v>2</v>
      </c>
      <c r="C469" s="25" t="inlineStr">
        <is>
          <t>CO22-A1</t>
        </is>
      </c>
      <c r="D469" s="12" t="inlineStr">
        <is>
          <t xml:space="preserve">        Dióxido de carbono (IRAM 41170)</t>
        </is>
      </c>
      <c r="E469" s="25" t="n">
        <v>2</v>
      </c>
      <c r="F469" s="25" t="inlineStr">
        <is>
          <t>kg</t>
        </is>
      </c>
      <c r="G469" s="26" t="n">
        <v>1</v>
      </c>
      <c r="H469" s="26">
        <f>E469*G469</f>
        <v/>
      </c>
      <c r="I469" s="25" t="inlineStr">
        <is>
          <t>Dióxido de carbono (IRAM 41170)</t>
        </is>
      </c>
      <c r="J469" s="12" t="inlineStr">
        <is>
          <t>nominal 2 kg; tolerancia 0 / -5 % (IRAM 3517-2:2020 tabla 3)</t>
        </is>
      </c>
      <c r="K469" s="25" t="inlineStr">
        <is>
          <t>Compra</t>
        </is>
      </c>
      <c r="L469" s="12" t="inlineStr">
        <is>
          <t>SP-1 almacén previo a la carga</t>
        </is>
      </c>
      <c r="M469" s="12" t="inlineStr">
        <is>
          <t>IRAM 41170</t>
        </is>
      </c>
      <c r="N469" s="25" t="inlineStr">
        <is>
          <t>N</t>
        </is>
      </c>
      <c r="O469" s="25" t="n"/>
      <c r="P469" s="12" t="n"/>
    </row>
    <row r="470">
      <c r="A470" s="22" t="inlineStr">
        <is>
          <t>FL_MAT_CO2_2kg</t>
        </is>
      </c>
      <c r="B470" s="22" t="n">
        <v>1</v>
      </c>
      <c r="C470" s="22" t="inlineStr">
        <is>
          <t>CO22-S6</t>
        </is>
      </c>
      <c r="D470" s="23" t="inlineStr">
        <is>
          <t xml:space="preserve">    Identificación y precinto</t>
        </is>
      </c>
      <c r="E470" s="22" t="n">
        <v>1</v>
      </c>
      <c r="F470" s="22" t="inlineStr">
        <is>
          <t>u</t>
        </is>
      </c>
      <c r="G470" s="24" t="n"/>
      <c r="H470" s="24">
        <f>H471+H472+H473+H474+H475</f>
        <v/>
      </c>
      <c r="I470" s="22" t="n"/>
      <c r="J470" s="23" t="n"/>
      <c r="K470" s="22" t="inlineStr">
        <is>
          <t>Compra</t>
        </is>
      </c>
      <c r="L470" s="23" t="inlineStr">
        <is>
          <t>22 Etiquetado (T07)</t>
        </is>
      </c>
      <c r="M470" s="23" t="n"/>
      <c r="N470" s="22" t="n"/>
      <c r="O470" s="22" t="n"/>
      <c r="P470" s="23" t="n"/>
    </row>
    <row r="471">
      <c r="A471" s="25" t="inlineStr">
        <is>
          <t>FL_MAT_CO2_2kg</t>
        </is>
      </c>
      <c r="B471" s="25" t="n">
        <v>2</v>
      </c>
      <c r="C471" s="25" t="inlineStr">
        <is>
          <t>CO22-16</t>
        </is>
      </c>
      <c r="D471" s="12" t="inlineStr">
        <is>
          <t xml:space="preserve">        Placa de características</t>
        </is>
      </c>
      <c r="E471" s="25" t="n">
        <v>1</v>
      </c>
      <c r="F471" s="25" t="inlineStr">
        <is>
          <t>u</t>
        </is>
      </c>
      <c r="G471" s="26" t="n">
        <v>0.008399999999999999</v>
      </c>
      <c r="H471" s="26">
        <f>E471*G471</f>
        <v/>
      </c>
      <c r="I471" s="25" t="inlineStr">
        <is>
          <t>Vinilo autoadhesivo laminado</t>
        </is>
      </c>
      <c r="J471" s="12" t="inlineStr">
        <is>
          <t>108 × 186 (desarrollo × alto), e ≈ 0,3</t>
        </is>
      </c>
      <c r="K471" s="25" t="inlineStr">
        <is>
          <t>Compra</t>
        </is>
      </c>
      <c r="L471" s="12" t="inlineStr">
        <is>
          <t>22 Etiquetado (T07)</t>
        </is>
      </c>
      <c r="M471" s="12" t="inlineStr">
        <is>
          <t>IRAM 3534 · IRAM 3509 cap. 5</t>
        </is>
      </c>
      <c r="N471" s="25" t="inlineStr">
        <is>
          <t>P</t>
        </is>
      </c>
      <c r="O471" s="25" t="inlineStr">
        <is>
          <t>FL_DES_CO2_2kg</t>
        </is>
      </c>
      <c r="P471" s="12" t="inlineStr">
        <is>
          <t>IRAM 3534</t>
        </is>
      </c>
    </row>
    <row r="472">
      <c r="A472" s="25" t="inlineStr">
        <is>
          <t>FL_MAT_CO2_2kg</t>
        </is>
      </c>
      <c r="B472" s="25" t="n">
        <v>2</v>
      </c>
      <c r="C472" s="25" t="inlineStr">
        <is>
          <t>CO22-17</t>
        </is>
      </c>
      <c r="D472" s="12" t="inlineStr">
        <is>
          <t xml:space="preserve">        Oblea de fabricación (PBA)</t>
        </is>
      </c>
      <c r="E472" s="25" t="n">
        <v>1</v>
      </c>
      <c r="F472" s="25" t="inlineStr">
        <is>
          <t>u</t>
        </is>
      </c>
      <c r="G472" s="26" t="n">
        <v>0.0009</v>
      </c>
      <c r="H472" s="26">
        <f>E472*G472</f>
        <v/>
      </c>
      <c r="I472" s="25" t="inlineStr">
        <is>
          <t>Papel de seguridad autodestructible</t>
        </is>
      </c>
      <c r="J472" s="12" t="inlineStr">
        <is>
          <t>Ø46 (Res. OPDS 522/07), numerada, autodestructible</t>
        </is>
      </c>
      <c r="K472" s="25" t="inlineStr">
        <is>
          <t>Compra</t>
        </is>
      </c>
      <c r="L472" s="12" t="inlineStr">
        <is>
          <t>22 Etiquetado (T07)</t>
        </is>
      </c>
      <c r="M472" s="12" t="inlineStr">
        <is>
          <t>Res. OPDS 522/07 anexos 1, 2 y 6</t>
        </is>
      </c>
      <c r="N472" s="25" t="inlineStr">
        <is>
          <t>P</t>
        </is>
      </c>
      <c r="O472" s="25" t="inlineStr">
        <is>
          <t>FL_DES_CO2_2kg</t>
        </is>
      </c>
      <c r="P472" s="12" t="inlineStr">
        <is>
          <t>Res. 522/07</t>
        </is>
      </c>
    </row>
    <row r="473">
      <c r="A473" s="25" t="inlineStr">
        <is>
          <t>FL_MAT_CO2_2kg</t>
        </is>
      </c>
      <c r="B473" s="25" t="n">
        <v>2</v>
      </c>
      <c r="C473" s="25" t="inlineStr">
        <is>
          <t>CO22-18</t>
        </is>
      </c>
      <c r="D473" s="12" t="inlineStr">
        <is>
          <t xml:space="preserve">        Estampilla IRAM de conformidad</t>
        </is>
      </c>
      <c r="E473" s="25" t="n">
        <v>1</v>
      </c>
      <c r="F473" s="25" t="inlineStr">
        <is>
          <t>u</t>
        </is>
      </c>
      <c r="G473" s="26" t="n">
        <v>0.001</v>
      </c>
      <c r="H473" s="26">
        <f>E473*G473</f>
        <v/>
      </c>
      <c r="I473" s="25" t="inlineStr">
        <is>
          <t>Provista por IRAM (Anexo R)</t>
        </is>
      </c>
      <c r="J473" s="12" t="inlineStr">
        <is>
          <t>60 × 40</t>
        </is>
      </c>
      <c r="K473" s="25" t="inlineStr">
        <is>
          <t>Compra</t>
        </is>
      </c>
      <c r="L473" s="12" t="inlineStr">
        <is>
          <t>22 Etiquetado (T07)</t>
        </is>
      </c>
      <c r="M473" s="12" t="inlineStr">
        <is>
          <t>IRAM Anexo R (DC-PG-129)</t>
        </is>
      </c>
      <c r="N473" s="25" t="inlineStr">
        <is>
          <t>P</t>
        </is>
      </c>
      <c r="O473" s="25" t="inlineStr">
        <is>
          <t>FL_DES_CO2_2kg</t>
        </is>
      </c>
      <c r="P473" s="12" t="inlineStr">
        <is>
          <t>numerada</t>
        </is>
      </c>
    </row>
    <row r="474">
      <c r="A474" s="25" t="inlineStr">
        <is>
          <t>FL_MAT_CO2_2kg</t>
        </is>
      </c>
      <c r="B474" s="25" t="n">
        <v>2</v>
      </c>
      <c r="C474" s="25" t="inlineStr">
        <is>
          <t>CO22-20</t>
        </is>
      </c>
      <c r="D474" s="12" t="inlineStr">
        <is>
          <t xml:space="preserve">        Precinto de fábrica</t>
        </is>
      </c>
      <c r="E474" s="25" t="n">
        <v>1</v>
      </c>
      <c r="F474" s="25" t="inlineStr">
        <is>
          <t>u</t>
        </is>
      </c>
      <c r="G474" s="26" t="n">
        <v>0.0002</v>
      </c>
      <c r="H474" s="26">
        <f>E474*G474</f>
        <v/>
      </c>
      <c r="I474" s="25" t="inlineStr">
        <is>
          <t>Polipropileno</t>
        </is>
      </c>
      <c r="J474" s="12" t="inlineStr">
        <is>
          <t>Ø5 × 10, numerado, rotura 30-50 N</t>
        </is>
      </c>
      <c r="K474" s="25" t="inlineStr">
        <is>
          <t>Compra</t>
        </is>
      </c>
      <c r="L474" s="12" t="inlineStr">
        <is>
          <t>20 Presurización (T05)</t>
        </is>
      </c>
      <c r="M474" s="12" t="inlineStr">
        <is>
          <t>IRAM 3523 3.3.2 · IRAM 3517-2:2020 9.4.13</t>
        </is>
      </c>
      <c r="N474" s="25" t="inlineStr">
        <is>
          <t>P</t>
        </is>
      </c>
      <c r="O474" s="25" t="inlineStr">
        <is>
          <t>FL_DES_CO2_2kg</t>
        </is>
      </c>
      <c r="P474" s="12" t="inlineStr">
        <is>
          <t>id. FLAMA y lote</t>
        </is>
      </c>
    </row>
    <row r="475">
      <c r="A475" s="25" t="inlineStr">
        <is>
          <t>FL_MAT_CO2_2kg</t>
        </is>
      </c>
      <c r="B475" s="25" t="n">
        <v>2</v>
      </c>
      <c r="C475" s="25" t="inlineStr">
        <is>
          <t>CO22-I3</t>
        </is>
      </c>
      <c r="D475" s="12" t="inlineStr">
        <is>
          <t xml:space="preserve">        Tarjeta oficial de vigencia (CABA)</t>
        </is>
      </c>
      <c r="E475" s="25" t="n">
        <v>1</v>
      </c>
      <c r="F475" s="25" t="inlineStr">
        <is>
          <t>u</t>
        </is>
      </c>
      <c r="G475" s="26" t="n">
        <v>0.002</v>
      </c>
      <c r="H475" s="26">
        <f>E475*G475</f>
        <v/>
      </c>
      <c r="I475" s="25" t="inlineStr">
        <is>
          <t>Formulario oficial</t>
        </is>
      </c>
      <c r="J475" s="12" t="inlineStr">
        <is>
          <t>provista por DG Rentas GCBA</t>
        </is>
      </c>
      <c r="K475" s="25" t="inlineStr">
        <is>
          <t>Compra</t>
        </is>
      </c>
      <c r="L475" s="12" t="inlineStr">
        <is>
          <t>22 Etiquetado</t>
        </is>
      </c>
      <c r="M475" s="12" t="inlineStr">
        <is>
          <t>Ordenanza 40.473 art. 6</t>
        </is>
      </c>
      <c r="N475" s="25" t="inlineStr">
        <is>
          <t>N</t>
        </is>
      </c>
      <c r="O475" s="25" t="n"/>
      <c r="P475" s="12" t="inlineStr">
        <is>
          <t>Clase, capacidad, fecha de carga y vencimiento, garantía; se anexa al matafuego (no se dibuja)</t>
        </is>
      </c>
    </row>
    <row r="476">
      <c r="A476" s="22" t="inlineStr">
        <is>
          <t>FL_MAT_CO2_2kg</t>
        </is>
      </c>
      <c r="B476" s="22" t="n">
        <v>1</v>
      </c>
      <c r="C476" s="22" t="inlineStr">
        <is>
          <t>CO22-S8</t>
        </is>
      </c>
      <c r="D476" s="23" t="inlineStr">
        <is>
          <t xml:space="preserve">    Soporte (accesorio de montaje)</t>
        </is>
      </c>
      <c r="E476" s="22" t="n">
        <v>1</v>
      </c>
      <c r="F476" s="22" t="inlineStr">
        <is>
          <t>u</t>
        </is>
      </c>
      <c r="G476" s="24" t="n"/>
      <c r="H476" s="24">
        <f>H477+H478</f>
        <v/>
      </c>
      <c r="I476" s="22" t="n"/>
      <c r="J476" s="23" t="n"/>
      <c r="K476" s="22" t="inlineStr">
        <is>
          <t>Compra</t>
        </is>
      </c>
      <c r="L476" s="23" t="inlineStr">
        <is>
          <t>23 Embalaje (va dentro de la caja)</t>
        </is>
      </c>
      <c r="M476" s="23" t="inlineStr">
        <is>
          <t>IRAM 3517-2 7.4</t>
        </is>
      </c>
      <c r="N476" s="22" t="n"/>
      <c r="O476" s="22" t="n"/>
      <c r="P476" s="23" t="n"/>
    </row>
    <row r="477">
      <c r="A477" s="25" t="inlineStr">
        <is>
          <t>FL_MAT_CO2_2kg</t>
        </is>
      </c>
      <c r="B477" s="25" t="n">
        <v>2</v>
      </c>
      <c r="C477" s="25" t="inlineStr">
        <is>
          <t>CO22-I5</t>
        </is>
      </c>
      <c r="D477" s="12" t="inlineStr">
        <is>
          <t xml:space="preserve">        Soporte de pared (FL_ACC_01)</t>
        </is>
      </c>
      <c r="E477" s="25" t="n">
        <v>1</v>
      </c>
      <c r="F477" s="25" t="inlineStr">
        <is>
          <t>u</t>
        </is>
      </c>
      <c r="G477" s="26" t="n">
        <v>0.26</v>
      </c>
      <c r="H477" s="26">
        <f>E477*G477</f>
        <v/>
      </c>
      <c r="I477" s="25" t="inlineStr">
        <is>
          <t>Chapa acero SAE 1010 e=2 pintada</t>
        </is>
      </c>
      <c r="J477" s="12" t="inlineStr">
        <is>
          <t>placa 60 × 180, ala con ranura Ø cuello + 3</t>
        </is>
      </c>
      <c r="K477" s="25" t="inlineStr">
        <is>
          <t>Compra</t>
        </is>
      </c>
      <c r="L477" s="12" t="inlineStr">
        <is>
          <t>23 Embalaje</t>
        </is>
      </c>
      <c r="M477" s="12" t="inlineStr">
        <is>
          <t>IRAM 3517-2 7.4</t>
        </is>
      </c>
      <c r="N477" s="25" t="inlineStr">
        <is>
          <t>P</t>
        </is>
      </c>
      <c r="O477" s="25" t="inlineStr">
        <is>
          <t>FL_ACC_01</t>
        </is>
      </c>
      <c r="P477" s="12" t="n"/>
    </row>
    <row r="478">
      <c r="A478" s="25" t="inlineStr">
        <is>
          <t>FL_MAT_CO2_2kg</t>
        </is>
      </c>
      <c r="B478" s="25" t="n">
        <v>2</v>
      </c>
      <c r="C478" s="25" t="inlineStr">
        <is>
          <t>CO22-I6</t>
        </is>
      </c>
      <c r="D478" s="12" t="inlineStr">
        <is>
          <t xml:space="preserve">        Tornillo y tarugo de fijación</t>
        </is>
      </c>
      <c r="E478" s="25" t="n">
        <v>2</v>
      </c>
      <c r="F478" s="25" t="inlineStr">
        <is>
          <t>u</t>
        </is>
      </c>
      <c r="G478" s="26" t="n">
        <v>0.01</v>
      </c>
      <c r="H478" s="26">
        <f>E478*G478</f>
        <v/>
      </c>
      <c r="I478" s="25" t="inlineStr">
        <is>
          <t>Acero cincado / nylon</t>
        </is>
      </c>
      <c r="J478" s="12" t="inlineStr">
        <is>
          <t>M6 × 50 + tarugo 8</t>
        </is>
      </c>
      <c r="K478" s="25" t="inlineStr">
        <is>
          <t>Compra</t>
        </is>
      </c>
      <c r="L478" s="12" t="inlineStr">
        <is>
          <t>23 Embalaje</t>
        </is>
      </c>
      <c r="M478" s="12" t="n"/>
      <c r="N478" s="25" t="inlineStr">
        <is>
          <t>R</t>
        </is>
      </c>
      <c r="O478" s="25" t="n"/>
      <c r="P478" s="12" t="n"/>
    </row>
    <row r="479">
      <c r="A479" s="22" t="inlineStr">
        <is>
          <t>FL_MAT_CO2_2kg</t>
        </is>
      </c>
      <c r="B479" s="22" t="n">
        <v>1</v>
      </c>
      <c r="C479" s="22" t="inlineStr">
        <is>
          <t>CO22-S7</t>
        </is>
      </c>
      <c r="D479" s="23" t="inlineStr">
        <is>
          <t xml:space="preserve">    Embalaje</t>
        </is>
      </c>
      <c r="E479" s="22" t="n">
        <v>1</v>
      </c>
      <c r="F479" s="22" t="inlineStr">
        <is>
          <t>u</t>
        </is>
      </c>
      <c r="G479" s="24" t="n"/>
      <c r="H479" s="24">
        <f>H480+H481+H482+H483+H484</f>
        <v/>
      </c>
      <c r="I479" s="22" t="n"/>
      <c r="J479" s="23" t="n"/>
      <c r="K479" s="22" t="inlineStr">
        <is>
          <t>Compra</t>
        </is>
      </c>
      <c r="L479" s="23" t="inlineStr">
        <is>
          <t>23 Embalaje -&gt; 24 envolvedora (T11)</t>
        </is>
      </c>
      <c r="M479" s="23" t="n"/>
      <c r="N479" s="22" t="n"/>
      <c r="O479" s="22" t="n"/>
      <c r="P479" s="23" t="n"/>
    </row>
    <row r="480">
      <c r="A480" s="25" t="inlineStr">
        <is>
          <t>FL_MAT_CO2_2kg</t>
        </is>
      </c>
      <c r="B480" s="25" t="n">
        <v>2</v>
      </c>
      <c r="C480" s="25" t="inlineStr">
        <is>
          <t>CO22-E1</t>
        </is>
      </c>
      <c r="D480" s="12" t="inlineStr">
        <is>
          <t xml:space="preserve">        Caja de cartón corrugado doble</t>
        </is>
      </c>
      <c r="E480" s="25" t="n">
        <v>1</v>
      </c>
      <c r="F480" s="25" t="inlineStr">
        <is>
          <t>u</t>
        </is>
      </c>
      <c r="G480" s="26" t="n">
        <v>0.5</v>
      </c>
      <c r="H480" s="26">
        <f>E480*G480</f>
        <v/>
      </c>
      <c r="I480" s="25" t="inlineStr">
        <is>
          <t>Cartón corrugado</t>
        </is>
      </c>
      <c r="J480" s="12" t="inlineStr">
        <is>
          <t>284 × 144 × 540 interior</t>
        </is>
      </c>
      <c r="K480" s="25" t="inlineStr">
        <is>
          <t>Compra</t>
        </is>
      </c>
      <c r="L480" s="12" t="inlineStr">
        <is>
          <t>23 Embalaje</t>
        </is>
      </c>
      <c r="M480" s="12" t="n"/>
      <c r="N480" s="25" t="inlineStr">
        <is>
          <t>R</t>
        </is>
      </c>
      <c r="O480" s="25" t="n"/>
      <c r="P480" s="12" t="n"/>
    </row>
    <row r="481">
      <c r="A481" s="25" t="inlineStr">
        <is>
          <t>FL_MAT_CO2_2kg</t>
        </is>
      </c>
      <c r="B481" s="25" t="n">
        <v>2</v>
      </c>
      <c r="C481" s="25" t="inlineStr">
        <is>
          <t>CO22-E2</t>
        </is>
      </c>
      <c r="D481" s="12" t="inlineStr">
        <is>
          <t xml:space="preserve">        Instructivo de uso y mantenimiento</t>
        </is>
      </c>
      <c r="E481" s="25" t="n">
        <v>1</v>
      </c>
      <c r="F481" s="25" t="inlineStr">
        <is>
          <t>u</t>
        </is>
      </c>
      <c r="G481" s="26" t="n">
        <v>0.01</v>
      </c>
      <c r="H481" s="26">
        <f>E481*G481</f>
        <v/>
      </c>
      <c r="I481" s="25" t="inlineStr">
        <is>
          <t>Papel</t>
        </is>
      </c>
      <c r="J481" s="12" t="inlineStr">
        <is>
          <t>A5</t>
        </is>
      </c>
      <c r="K481" s="25" t="inlineStr">
        <is>
          <t>Compra</t>
        </is>
      </c>
      <c r="L481" s="12" t="inlineStr">
        <is>
          <t>23 Embalaje</t>
        </is>
      </c>
      <c r="M481" s="12" t="inlineStr">
        <is>
          <t>IRAM 3517-2 (información al usuario)</t>
        </is>
      </c>
      <c r="N481" s="25" t="inlineStr">
        <is>
          <t>R</t>
        </is>
      </c>
      <c r="O481" s="25" t="n"/>
      <c r="P481" s="12" t="n"/>
    </row>
    <row r="482">
      <c r="A482" s="25" t="inlineStr">
        <is>
          <t>FL_MAT_CO2_2kg</t>
        </is>
      </c>
      <c r="B482" s="25" t="n">
        <v>2</v>
      </c>
      <c r="C482" s="25" t="inlineStr">
        <is>
          <t>CO22-E3</t>
        </is>
      </c>
      <c r="D482" s="12" t="inlineStr">
        <is>
          <t xml:space="preserve">        Pallet 1200 × 1000 (fracción)</t>
        </is>
      </c>
      <c r="E482" s="25" t="n">
        <v>0.0208</v>
      </c>
      <c r="F482" s="25" t="inlineStr">
        <is>
          <t>u</t>
        </is>
      </c>
      <c r="G482" s="26" t="n">
        <v>0.458</v>
      </c>
      <c r="H482" s="26">
        <f>E482*G482</f>
        <v/>
      </c>
      <c r="I482" s="25" t="inlineStr">
        <is>
          <t>Madera</t>
        </is>
      </c>
      <c r="J482" s="12" t="inlineStr">
        <is>
          <t>48 u por pallet</t>
        </is>
      </c>
      <c r="K482" s="25" t="inlineStr">
        <is>
          <t>Compra</t>
        </is>
      </c>
      <c r="L482" s="12" t="inlineStr">
        <is>
          <t>23 Embalaje</t>
        </is>
      </c>
      <c r="M482" s="12" t="n"/>
      <c r="N482" s="25" t="inlineStr">
        <is>
          <t>R</t>
        </is>
      </c>
      <c r="O482" s="25" t="n"/>
      <c r="P482" s="12" t="n"/>
    </row>
    <row r="483">
      <c r="A483" s="25" t="inlineStr">
        <is>
          <t>FL_MAT_CO2_2kg</t>
        </is>
      </c>
      <c r="B483" s="25" t="n">
        <v>2</v>
      </c>
      <c r="C483" s="25" t="inlineStr">
        <is>
          <t>CO22-E4</t>
        </is>
      </c>
      <c r="D483" s="12" t="inlineStr">
        <is>
          <t xml:space="preserve">        Film stretch (fracción del pallet)</t>
        </is>
      </c>
      <c r="E483" s="25" t="n">
        <v>0.0073</v>
      </c>
      <c r="F483" s="25" t="inlineStr">
        <is>
          <t>kg</t>
        </is>
      </c>
      <c r="G483" s="26" t="n">
        <v>1</v>
      </c>
      <c r="H483" s="26">
        <f>E483*G483</f>
        <v/>
      </c>
      <c r="I483" s="25" t="inlineStr">
        <is>
          <t>PE lineal 23 µm</t>
        </is>
      </c>
      <c r="J483" s="12" t="inlineStr">
        <is>
          <t>envolvedora EDOS PS5</t>
        </is>
      </c>
      <c r="K483" s="25" t="inlineStr">
        <is>
          <t>Compra</t>
        </is>
      </c>
      <c r="L483" s="12" t="inlineStr">
        <is>
          <t>24 Envolvedora (T11)</t>
        </is>
      </c>
      <c r="M483" s="12" t="n"/>
      <c r="N483" s="25" t="inlineStr">
        <is>
          <t>R</t>
        </is>
      </c>
      <c r="O483" s="25" t="n"/>
      <c r="P483" s="12" t="n"/>
    </row>
    <row r="484">
      <c r="A484" s="25" t="inlineStr">
        <is>
          <t>FL_MAT_CO2_2kg</t>
        </is>
      </c>
      <c r="B484" s="25" t="n">
        <v>2</v>
      </c>
      <c r="C484" s="25" t="inlineStr">
        <is>
          <t>CO22-E5</t>
        </is>
      </c>
      <c r="D484" s="12" t="inlineStr">
        <is>
          <t xml:space="preserve">        Etiqueta de pallet (lote y destino, fracción)</t>
        </is>
      </c>
      <c r="E484" s="25" t="n">
        <v>0.0208</v>
      </c>
      <c r="F484" s="25" t="inlineStr">
        <is>
          <t>u</t>
        </is>
      </c>
      <c r="G484" s="26" t="n">
        <v>0</v>
      </c>
      <c r="H484" s="26">
        <f>E484*G484</f>
        <v/>
      </c>
      <c r="I484" s="25" t="inlineStr">
        <is>
          <t>Papel térmico</t>
        </is>
      </c>
      <c r="J484" s="12" t="inlineStr">
        <is>
          <t>100 × 150</t>
        </is>
      </c>
      <c r="K484" s="25" t="inlineStr">
        <is>
          <t>Compra</t>
        </is>
      </c>
      <c r="L484" s="12" t="inlineStr">
        <is>
          <t>24 Envolvedora</t>
        </is>
      </c>
      <c r="M484" s="12" t="n"/>
      <c r="N484" s="25" t="inlineStr">
        <is>
          <t>R</t>
        </is>
      </c>
      <c r="O484" s="25" t="n"/>
      <c r="P484" s="12" t="n"/>
    </row>
    <row r="485">
      <c r="A485" s="19" t="inlineStr">
        <is>
          <t>FL_MAT_CO2_5kg</t>
        </is>
      </c>
      <c r="B485" s="19" t="n">
        <v>0</v>
      </c>
      <c r="C485" s="19" t="inlineStr">
        <is>
          <t>FL_MAT_CO2_5kg</t>
        </is>
      </c>
      <c r="D485" s="20" t="inlineStr">
        <is>
          <t>Extintor CO₂ 5 kg</t>
        </is>
      </c>
      <c r="E485" s="19" t="n">
        <v>1</v>
      </c>
      <c r="F485" s="19" t="inlineStr">
        <is>
          <t>u</t>
        </is>
      </c>
      <c r="G485" s="21" t="n"/>
      <c r="H485" s="21" t="n"/>
      <c r="I485" s="19" t="n"/>
      <c r="J485" s="20" t="n"/>
      <c r="K485" s="19" t="n"/>
      <c r="L485" s="20" t="n"/>
      <c r="M485" s="20" t="inlineStr">
        <is>
          <t>IRAM 3509</t>
        </is>
      </c>
      <c r="N485" s="19" t="inlineStr">
        <is>
          <t>P</t>
        </is>
      </c>
      <c r="O485" s="19" t="inlineStr">
        <is>
          <t>FL_MAT_CO2_5kg</t>
        </is>
      </c>
      <c r="P485" s="20" t="inlineStr">
        <is>
          <t>Tercerizado revendido (S4)</t>
        </is>
      </c>
    </row>
    <row r="486">
      <c r="A486" s="22" t="inlineStr">
        <is>
          <t>FL_MAT_CO2_5kg</t>
        </is>
      </c>
      <c r="B486" s="22" t="n">
        <v>1</v>
      </c>
      <c r="C486" s="22" t="inlineStr">
        <is>
          <t>CO25-S1</t>
        </is>
      </c>
      <c r="D486" s="23" t="inlineStr">
        <is>
          <t xml:space="preserve">    Recipiente (cilindro)</t>
        </is>
      </c>
      <c r="E486" s="22" t="n">
        <v>1</v>
      </c>
      <c r="F486" s="22" t="inlineStr">
        <is>
          <t>u</t>
        </is>
      </c>
      <c r="G486" s="24" t="n"/>
      <c r="H486" s="24">
        <f>H487+H488+H489</f>
        <v/>
      </c>
      <c r="I486" s="22" t="n"/>
      <c r="J486" s="23" t="n"/>
      <c r="K486" s="22" t="inlineStr">
        <is>
          <t>Compra / armado</t>
        </is>
      </c>
      <c r="L486" s="23" t="n"/>
      <c r="M486" s="23" t="inlineStr">
        <is>
          <t>IRAM 3523 / 3550 (recipiente)</t>
        </is>
      </c>
      <c r="N486" s="22" t="inlineStr">
        <is>
          <t>P</t>
        </is>
      </c>
      <c r="O486" s="22" t="inlineStr">
        <is>
          <t>FL_DES_CO2_5kg</t>
        </is>
      </c>
      <c r="P486" s="23" t="n"/>
    </row>
    <row r="487">
      <c r="A487" s="25" t="inlineStr">
        <is>
          <t>FL_MAT_CO2_5kg</t>
        </is>
      </c>
      <c r="B487" s="25" t="n">
        <v>2</v>
      </c>
      <c r="C487" s="25" t="inlineStr">
        <is>
          <t>CO25-01</t>
        </is>
      </c>
      <c r="D487" s="12" t="inlineStr">
        <is>
          <t xml:space="preserve">        Cilindro sin costura</t>
        </is>
      </c>
      <c r="E487" s="25" t="n">
        <v>1</v>
      </c>
      <c r="F487" s="25" t="inlineStr">
        <is>
          <t>u</t>
        </is>
      </c>
      <c r="G487" s="26" t="n">
        <v>13.2591</v>
      </c>
      <c r="H487" s="26">
        <f>E487*G487</f>
        <v/>
      </c>
      <c r="I487" s="25" t="inlineStr">
        <is>
          <t>Tubo acero 34CrMo4 sin costura e=6</t>
        </is>
      </c>
      <c r="J487" s="12" t="inlineStr">
        <is>
          <t>Cilindro sin costura Ø140 × e6 × 681,4 de alto (cuello integral)</t>
        </is>
      </c>
      <c r="K487" s="25" t="inlineStr">
        <is>
          <t>Compra (en el conjunto)</t>
        </is>
      </c>
      <c r="L487" s="12" t="inlineStr">
        <is>
          <t>S4 - se compra terminado (tercerizado con sello IRAM)</t>
        </is>
      </c>
      <c r="M487" s="12" t="n"/>
      <c r="N487" s="25" t="inlineStr">
        <is>
          <t>P</t>
        </is>
      </c>
      <c r="O487" s="25" t="inlineStr">
        <is>
          <t>FL_DES_CO2_5kg</t>
        </is>
      </c>
      <c r="P487" s="12" t="inlineStr">
        <is>
          <t>cuello integral</t>
        </is>
      </c>
    </row>
    <row r="488">
      <c r="A488" s="25" t="inlineStr">
        <is>
          <t>FL_MAT_CO2_5kg</t>
        </is>
      </c>
      <c r="B488" s="25" t="n">
        <v>2</v>
      </c>
      <c r="C488" s="25" t="inlineStr">
        <is>
          <t>CO25-12</t>
        </is>
      </c>
      <c r="D488" s="12" t="inlineStr">
        <is>
          <t xml:space="preserve">        Pie de apoyo</t>
        </is>
      </c>
      <c r="E488" s="25" t="n">
        <v>1</v>
      </c>
      <c r="F488" s="25" t="inlineStr">
        <is>
          <t>u</t>
        </is>
      </c>
      <c r="G488" s="26" t="n">
        <v>0.1008</v>
      </c>
      <c r="H488" s="26">
        <f>E488*G488</f>
        <v/>
      </c>
      <c r="I488" s="25" t="inlineStr">
        <is>
          <t>Polietileno AD</t>
        </is>
      </c>
      <c r="J488" s="12" t="inlineStr">
        <is>
          <t>140 × 140 × 38,5</t>
        </is>
      </c>
      <c r="K488" s="25" t="inlineStr">
        <is>
          <t>Compra (en el conjunto)</t>
        </is>
      </c>
      <c r="L488" s="12" t="inlineStr">
        <is>
          <t>S4 - se compra terminado (tercerizado con sello IRAM)</t>
        </is>
      </c>
      <c r="M488" s="12" t="n"/>
      <c r="N488" s="25" t="inlineStr">
        <is>
          <t>P</t>
        </is>
      </c>
      <c r="O488" s="25" t="inlineStr">
        <is>
          <t>FL_DES_CO2_5kg</t>
        </is>
      </c>
      <c r="P488" s="12" t="n"/>
    </row>
    <row r="489">
      <c r="A489" s="25" t="inlineStr">
        <is>
          <t>FL_MAT_CO2_5kg</t>
        </is>
      </c>
      <c r="B489" s="25" t="n">
        <v>2</v>
      </c>
      <c r="C489" s="25" t="inlineStr">
        <is>
          <t>CO25-C3</t>
        </is>
      </c>
      <c r="D489" s="12" t="inlineStr">
        <is>
          <t xml:space="preserve">        Pintura en polvo poliéster rojo (recipiente)</t>
        </is>
      </c>
      <c r="E489" s="25" t="n">
        <v>0.052</v>
      </c>
      <c r="F489" s="25" t="inlineStr">
        <is>
          <t>kg</t>
        </is>
      </c>
      <c r="G489" s="26" t="n">
        <v>0.65</v>
      </c>
      <c r="H489" s="26">
        <f>E489*G489</f>
        <v/>
      </c>
      <c r="I489" s="25" t="inlineStr">
        <is>
          <t>Poliéster RAL 3000 / rojo 03-1-050</t>
        </is>
      </c>
      <c r="J489" s="12" t="inlineStr">
        <is>
          <t>0,282 m² × 80 µm, rendimiento 65 %</t>
        </is>
      </c>
      <c r="K489" s="25" t="inlineStr">
        <is>
          <t>Compra</t>
        </is>
      </c>
      <c r="L489" s="12" t="inlineStr">
        <is>
          <t>17 Pintura (S-P)</t>
        </is>
      </c>
      <c r="M489" s="12" t="inlineStr">
        <is>
          <t>DOC-01</t>
        </is>
      </c>
      <c r="N489" s="25" t="inlineStr">
        <is>
          <t>R</t>
        </is>
      </c>
      <c r="O489" s="25" t="n"/>
      <c r="P489" s="12" t="n"/>
    </row>
    <row r="490">
      <c r="A490" s="22" t="inlineStr">
        <is>
          <t>FL_MAT_CO2_5kg</t>
        </is>
      </c>
      <c r="B490" s="22" t="n">
        <v>1</v>
      </c>
      <c r="C490" s="22" t="inlineStr">
        <is>
          <t>CO25-S2</t>
        </is>
      </c>
      <c r="D490" s="23" t="inlineStr">
        <is>
          <t xml:space="preserve">    Conjunto de válvula</t>
        </is>
      </c>
      <c r="E490" s="22" t="n">
        <v>1</v>
      </c>
      <c r="F490" s="22" t="inlineStr">
        <is>
          <t>u</t>
        </is>
      </c>
      <c r="G490" s="24" t="n"/>
      <c r="H490" s="24">
        <f>H491+H492+H493+H494+H495+H496+H497+H498+H499+H500+H501+H502</f>
        <v/>
      </c>
      <c r="I490" s="22" t="n"/>
      <c r="J490" s="23" t="n"/>
      <c r="K490" s="22" t="inlineStr">
        <is>
          <t>Compra / armado</t>
        </is>
      </c>
      <c r="L490" s="23" t="n"/>
      <c r="M490" s="23" t="inlineStr">
        <is>
          <t>Manómetro IRAM 3533</t>
        </is>
      </c>
      <c r="N490" s="22" t="inlineStr">
        <is>
          <t>P</t>
        </is>
      </c>
      <c r="O490" s="22" t="inlineStr">
        <is>
          <t>FL_DES_CO2_5kg</t>
        </is>
      </c>
      <c r="P490" s="23" t="n"/>
    </row>
    <row r="491">
      <c r="A491" s="25" t="inlineStr">
        <is>
          <t>FL_MAT_CO2_5kg</t>
        </is>
      </c>
      <c r="B491" s="25" t="n">
        <v>2</v>
      </c>
      <c r="C491" s="25" t="inlineStr">
        <is>
          <t>CO25-02</t>
        </is>
      </c>
      <c r="D491" s="12" t="inlineStr">
        <is>
          <t xml:space="preserve">        Collarín de válvula</t>
        </is>
      </c>
      <c r="E491" s="25" t="n">
        <v>1</v>
      </c>
      <c r="F491" s="25" t="inlineStr">
        <is>
          <t>u</t>
        </is>
      </c>
      <c r="G491" s="26" t="n">
        <v>0.0809</v>
      </c>
      <c r="H491" s="26">
        <f>E491*G491</f>
        <v/>
      </c>
      <c r="I491" s="25" t="inlineStr">
        <is>
          <t>Latón forjado</t>
        </is>
      </c>
      <c r="J491" s="12" t="inlineStr">
        <is>
          <t>38 × 38 × 10</t>
        </is>
      </c>
      <c r="K491" s="25" t="inlineStr">
        <is>
          <t>Compra (en el conjunto)</t>
        </is>
      </c>
      <c r="L491" s="12" t="inlineStr">
        <is>
          <t>S4 - se compra terminado (tercerizado con sello IRAM)</t>
        </is>
      </c>
      <c r="M491" s="12" t="n"/>
      <c r="N491" s="25" t="inlineStr">
        <is>
          <t>P</t>
        </is>
      </c>
      <c r="O491" s="25" t="inlineStr">
        <is>
          <t>FL_DES_CO2_5kg</t>
        </is>
      </c>
      <c r="P491" s="12" t="n"/>
    </row>
    <row r="492">
      <c r="A492" s="25" t="inlineStr">
        <is>
          <t>FL_MAT_CO2_5kg</t>
        </is>
      </c>
      <c r="B492" s="25" t="n">
        <v>2</v>
      </c>
      <c r="C492" s="25" t="inlineStr">
        <is>
          <t>CO25-03</t>
        </is>
      </c>
      <c r="D492" s="12" t="inlineStr">
        <is>
          <t xml:space="preserve">        Espiga roscada</t>
        </is>
      </c>
      <c r="E492" s="25" t="n">
        <v>1</v>
      </c>
      <c r="F492" s="25" t="inlineStr">
        <is>
          <t>u</t>
        </is>
      </c>
      <c r="G492" s="26" t="n">
        <v>0.0153</v>
      </c>
      <c r="H492" s="26">
        <f>E492*G492</f>
        <v/>
      </c>
      <c r="I492" s="25" t="inlineStr">
        <is>
          <t>Latón forjado</t>
        </is>
      </c>
      <c r="J492" s="12" t="inlineStr">
        <is>
          <t>19 × 19 × 12</t>
        </is>
      </c>
      <c r="K492" s="25" t="inlineStr">
        <is>
          <t>Compra (en el conjunto)</t>
        </is>
      </c>
      <c r="L492" s="12" t="inlineStr">
        <is>
          <t>S4 - se compra terminado (tercerizado con sello IRAM)</t>
        </is>
      </c>
      <c r="M492" s="12" t="n"/>
      <c r="N492" s="25" t="inlineStr">
        <is>
          <t>P</t>
        </is>
      </c>
      <c r="O492" s="25" t="inlineStr">
        <is>
          <t>FL_DES_CO2_5kg</t>
        </is>
      </c>
      <c r="P492" s="12" t="n"/>
    </row>
    <row r="493">
      <c r="A493" s="25" t="inlineStr">
        <is>
          <t>FL_MAT_CO2_5kg</t>
        </is>
      </c>
      <c r="B493" s="25" t="n">
        <v>2</v>
      </c>
      <c r="C493" s="25" t="inlineStr">
        <is>
          <t>CO25-04</t>
        </is>
      </c>
      <c r="D493" s="12" t="inlineStr">
        <is>
          <t xml:space="preserve">        Cuerpo de válvula</t>
        </is>
      </c>
      <c r="E493" s="25" t="n">
        <v>1</v>
      </c>
      <c r="F493" s="25" t="inlineStr">
        <is>
          <t>u</t>
        </is>
      </c>
      <c r="G493" s="26" t="n">
        <v>0.4619</v>
      </c>
      <c r="H493" s="26">
        <f>E493*G493</f>
        <v/>
      </c>
      <c r="I493" s="25" t="inlineStr">
        <is>
          <t>Latón forjado</t>
        </is>
      </c>
      <c r="J493" s="12" t="inlineStr">
        <is>
          <t>63,3 × 43 × 34</t>
        </is>
      </c>
      <c r="K493" s="25" t="inlineStr">
        <is>
          <t>Compra (en el conjunto)</t>
        </is>
      </c>
      <c r="L493" s="12" t="inlineStr">
        <is>
          <t>S4 - se compra terminado (tercerizado con sello IRAM)</t>
        </is>
      </c>
      <c r="M493" s="12" t="n"/>
      <c r="N493" s="25" t="inlineStr">
        <is>
          <t>P</t>
        </is>
      </c>
      <c r="O493" s="25" t="inlineStr">
        <is>
          <t>FL_DES_CO2_5kg</t>
        </is>
      </c>
      <c r="P493" s="12" t="n"/>
    </row>
    <row r="494">
      <c r="A494" s="25" t="inlineStr">
        <is>
          <t>FL_MAT_CO2_5kg</t>
        </is>
      </c>
      <c r="B494" s="25" t="n">
        <v>2</v>
      </c>
      <c r="C494" s="25" t="inlineStr">
        <is>
          <t>CO25-05</t>
        </is>
      </c>
      <c r="D494" s="12" t="inlineStr">
        <is>
          <t xml:space="preserve">        Disco de seguridad</t>
        </is>
      </c>
      <c r="E494" s="25" t="n">
        <v>1</v>
      </c>
      <c r="F494" s="25" t="inlineStr">
        <is>
          <t>u</t>
        </is>
      </c>
      <c r="G494" s="26" t="n">
        <v>0.0097</v>
      </c>
      <c r="H494" s="26">
        <f>E494*G494</f>
        <v/>
      </c>
      <c r="I494" s="25" t="inlineStr">
        <is>
          <t>Latón / disco de cobre</t>
        </is>
      </c>
      <c r="J494" s="12" t="inlineStr">
        <is>
          <t>14 × 12,1 × 9</t>
        </is>
      </c>
      <c r="K494" s="25" t="inlineStr">
        <is>
          <t>Compra (en el conjunto)</t>
        </is>
      </c>
      <c r="L494" s="12" t="inlineStr">
        <is>
          <t>S4 - se compra terminado (tercerizado con sello IRAM)</t>
        </is>
      </c>
      <c r="M494" s="12" t="n"/>
      <c r="N494" s="25" t="inlineStr">
        <is>
          <t>P</t>
        </is>
      </c>
      <c r="O494" s="25" t="inlineStr">
        <is>
          <t>FL_DES_CO2_5kg</t>
        </is>
      </c>
      <c r="P494" s="12" t="inlineStr">
        <is>
          <t>rotura 18 a 21 MPa</t>
        </is>
      </c>
    </row>
    <row r="495">
      <c r="A495" s="25" t="inlineStr">
        <is>
          <t>FL_MAT_CO2_5kg</t>
        </is>
      </c>
      <c r="B495" s="25" t="n">
        <v>2</v>
      </c>
      <c r="C495" s="25" t="inlineStr">
        <is>
          <t>CO25-06</t>
        </is>
      </c>
      <c r="D495" s="12" t="inlineStr">
        <is>
          <t xml:space="preserve">        Manija de transporte</t>
        </is>
      </c>
      <c r="E495" s="25" t="n">
        <v>1</v>
      </c>
      <c r="F495" s="25" t="inlineStr">
        <is>
          <t>u</t>
        </is>
      </c>
      <c r="G495" s="26" t="n">
        <v>0.078</v>
      </c>
      <c r="H495" s="26">
        <f>E495*G495</f>
        <v/>
      </c>
      <c r="I495" s="25" t="inlineStr">
        <is>
          <t>Chapa acero SAE 1010 pintada</t>
        </is>
      </c>
      <c r="J495" s="12" t="inlineStr">
        <is>
          <t>124 × 20 × 17</t>
        </is>
      </c>
      <c r="K495" s="25" t="inlineStr">
        <is>
          <t>Compra (en el conjunto)</t>
        </is>
      </c>
      <c r="L495" s="12" t="inlineStr">
        <is>
          <t>S4 - se compra terminado (tercerizado con sello IRAM)</t>
        </is>
      </c>
      <c r="M495" s="12" t="n"/>
      <c r="N495" s="25" t="inlineStr">
        <is>
          <t>P</t>
        </is>
      </c>
      <c r="O495" s="25" t="inlineStr">
        <is>
          <t>FL_DES_CO2_5kg</t>
        </is>
      </c>
      <c r="P495" s="12" t="n"/>
    </row>
    <row r="496">
      <c r="A496" s="25" t="inlineStr">
        <is>
          <t>FL_MAT_CO2_5kg</t>
        </is>
      </c>
      <c r="B496" s="25" t="n">
        <v>2</v>
      </c>
      <c r="C496" s="25" t="inlineStr">
        <is>
          <t>CO25-07</t>
        </is>
      </c>
      <c r="D496" s="12" t="inlineStr">
        <is>
          <t xml:space="preserve">        Manija de accionamiento</t>
        </is>
      </c>
      <c r="E496" s="25" t="n">
        <v>1</v>
      </c>
      <c r="F496" s="25" t="inlineStr">
        <is>
          <t>u</t>
        </is>
      </c>
      <c r="G496" s="26" t="n">
        <v>0.105</v>
      </c>
      <c r="H496" s="26">
        <f>E496*G496</f>
        <v/>
      </c>
      <c r="I496" s="25" t="inlineStr">
        <is>
          <t>Chapa acero SAE 1010 pintada</t>
        </is>
      </c>
      <c r="J496" s="12" t="inlineStr">
        <is>
          <t>166,5 × 24,4 × 20</t>
        </is>
      </c>
      <c r="K496" s="25" t="inlineStr">
        <is>
          <t>Compra (en el conjunto)</t>
        </is>
      </c>
      <c r="L496" s="12" t="inlineStr">
        <is>
          <t>S4 - se compra terminado (tercerizado con sello IRAM)</t>
        </is>
      </c>
      <c r="M496" s="12" t="n"/>
      <c r="N496" s="25" t="inlineStr">
        <is>
          <t>P</t>
        </is>
      </c>
      <c r="O496" s="25" t="inlineStr">
        <is>
          <t>FL_DES_CO2_5kg</t>
        </is>
      </c>
      <c r="P496" s="12" t="n"/>
    </row>
    <row r="497">
      <c r="A497" s="25" t="inlineStr">
        <is>
          <t>FL_MAT_CO2_5kg</t>
        </is>
      </c>
      <c r="B497" s="25" t="n">
        <v>2</v>
      </c>
      <c r="C497" s="25" t="inlineStr">
        <is>
          <t>CO25-08</t>
        </is>
      </c>
      <c r="D497" s="12" t="inlineStr">
        <is>
          <t xml:space="preserve">        Eje de palanca</t>
        </is>
      </c>
      <c r="E497" s="25" t="n">
        <v>1</v>
      </c>
      <c r="F497" s="25" t="inlineStr">
        <is>
          <t>u</t>
        </is>
      </c>
      <c r="G497" s="26" t="n">
        <v>0.0081</v>
      </c>
      <c r="H497" s="26">
        <f>E497*G497</f>
        <v/>
      </c>
      <c r="I497" s="25" t="inlineStr">
        <is>
          <t>Acero inox. AISI 304</t>
        </is>
      </c>
      <c r="J497" s="12" t="inlineStr">
        <is>
          <t>36 × 6 × 6</t>
        </is>
      </c>
      <c r="K497" s="25" t="inlineStr">
        <is>
          <t>Compra (en el conjunto)</t>
        </is>
      </c>
      <c r="L497" s="12" t="inlineStr">
        <is>
          <t>S4 - se compra terminado (tercerizado con sello IRAM)</t>
        </is>
      </c>
      <c r="M497" s="12" t="n"/>
      <c r="N497" s="25" t="inlineStr">
        <is>
          <t>P</t>
        </is>
      </c>
      <c r="O497" s="25" t="inlineStr">
        <is>
          <t>FL_DES_CO2_5kg</t>
        </is>
      </c>
      <c r="P497" s="12" t="n"/>
    </row>
    <row r="498">
      <c r="A498" s="25" t="inlineStr">
        <is>
          <t>FL_MAT_CO2_5kg</t>
        </is>
      </c>
      <c r="B498" s="25" t="n">
        <v>2</v>
      </c>
      <c r="C498" s="25" t="inlineStr">
        <is>
          <t>CO25-09</t>
        </is>
      </c>
      <c r="D498" s="12" t="inlineStr">
        <is>
          <t xml:space="preserve">        Vástago</t>
        </is>
      </c>
      <c r="E498" s="25" t="n">
        <v>1</v>
      </c>
      <c r="F498" s="25" t="inlineStr">
        <is>
          <t>u</t>
        </is>
      </c>
      <c r="G498" s="26" t="n">
        <v>0.0017</v>
      </c>
      <c r="H498" s="26">
        <f>E498*G498</f>
        <v/>
      </c>
      <c r="I498" s="25" t="inlineStr">
        <is>
          <t>Latón</t>
        </is>
      </c>
      <c r="J498" s="12" t="inlineStr">
        <is>
          <t>8 × 8 × 4</t>
        </is>
      </c>
      <c r="K498" s="25" t="inlineStr">
        <is>
          <t>Compra (en el conjunto)</t>
        </is>
      </c>
      <c r="L498" s="12" t="inlineStr">
        <is>
          <t>S4 - se compra terminado (tercerizado con sello IRAM)</t>
        </is>
      </c>
      <c r="M498" s="12" t="n"/>
      <c r="N498" s="25" t="inlineStr">
        <is>
          <t>P</t>
        </is>
      </c>
      <c r="O498" s="25" t="inlineStr">
        <is>
          <t>FL_DES_CO2_5kg</t>
        </is>
      </c>
      <c r="P498" s="12" t="inlineStr">
        <is>
          <t>con junta tórica</t>
        </is>
      </c>
    </row>
    <row r="499">
      <c r="A499" s="25" t="inlineStr">
        <is>
          <t>FL_MAT_CO2_5kg</t>
        </is>
      </c>
      <c r="B499" s="25" t="n">
        <v>2</v>
      </c>
      <c r="C499" s="25" t="inlineStr">
        <is>
          <t>CO25-10</t>
        </is>
      </c>
      <c r="D499" s="12" t="inlineStr">
        <is>
          <t xml:space="preserve">        Pasador de seguridad</t>
        </is>
      </c>
      <c r="E499" s="25" t="n">
        <v>1</v>
      </c>
      <c r="F499" s="25" t="inlineStr">
        <is>
          <t>u</t>
        </is>
      </c>
      <c r="G499" s="26" t="n">
        <v>0.0055</v>
      </c>
      <c r="H499" s="26">
        <f>E499*G499</f>
        <v/>
      </c>
      <c r="I499" s="25" t="inlineStr">
        <is>
          <t>Alambre acero inox. AISI 304</t>
        </is>
      </c>
      <c r="J499" s="12" t="inlineStr">
        <is>
          <t>45,4 × 21 × 20,8</t>
        </is>
      </c>
      <c r="K499" s="25" t="inlineStr">
        <is>
          <t>Compra (en el conjunto)</t>
        </is>
      </c>
      <c r="L499" s="12" t="inlineStr">
        <is>
          <t>S4 - se compra terminado (tercerizado con sello IRAM)</t>
        </is>
      </c>
      <c r="M499" s="12" t="n"/>
      <c r="N499" s="25" t="inlineStr">
        <is>
          <t>P</t>
        </is>
      </c>
      <c r="O499" s="25" t="inlineStr">
        <is>
          <t>FL_DES_CO2_5kg</t>
        </is>
      </c>
      <c r="P499" s="12" t="inlineStr">
        <is>
          <t>con precinto</t>
        </is>
      </c>
    </row>
    <row r="500">
      <c r="A500" s="25" t="inlineStr">
        <is>
          <t>FL_MAT_CO2_5kg</t>
        </is>
      </c>
      <c r="B500" s="25" t="n">
        <v>2</v>
      </c>
      <c r="C500" s="25" t="inlineStr">
        <is>
          <t>CO25-11</t>
        </is>
      </c>
      <c r="D500" s="12" t="inlineStr">
        <is>
          <t xml:space="preserve">        Caño de pesca (sifón)</t>
        </is>
      </c>
      <c r="E500" s="25" t="n">
        <v>1</v>
      </c>
      <c r="F500" s="25" t="inlineStr">
        <is>
          <t>u</t>
        </is>
      </c>
      <c r="G500" s="26" t="n">
        <v>0.0698</v>
      </c>
      <c r="H500" s="26">
        <f>E500*G500</f>
        <v/>
      </c>
      <c r="I500" s="25" t="inlineStr">
        <is>
          <t>Tubo aluminio</t>
        </is>
      </c>
      <c r="J500" s="12" t="inlineStr">
        <is>
          <t>Ø10 × 645,4 de largo</t>
        </is>
      </c>
      <c r="K500" s="25" t="inlineStr">
        <is>
          <t>Compra (en el conjunto)</t>
        </is>
      </c>
      <c r="L500" s="12" t="inlineStr">
        <is>
          <t>S4 - se compra terminado (tercerizado con sello IRAM)</t>
        </is>
      </c>
      <c r="M500" s="12" t="n"/>
      <c r="N500" s="25" t="inlineStr">
        <is>
          <t>P</t>
        </is>
      </c>
      <c r="O500" s="25" t="inlineStr">
        <is>
          <t>FL_DES_CO2_5kg</t>
        </is>
      </c>
      <c r="P500" s="12" t="n"/>
    </row>
    <row r="501">
      <c r="A501" s="25" t="inlineStr">
        <is>
          <t>FL_MAT_CO2_5kg</t>
        </is>
      </c>
      <c r="B501" s="25" t="n">
        <v>2</v>
      </c>
      <c r="C501" s="25" t="inlineStr">
        <is>
          <t>CO25-21</t>
        </is>
      </c>
      <c r="D501" s="12" t="inlineStr">
        <is>
          <t xml:space="preserve">        Junta tórica de asiento</t>
        </is>
      </c>
      <c r="E501" s="25" t="n">
        <v>1</v>
      </c>
      <c r="F501" s="25" t="inlineStr">
        <is>
          <t>u</t>
        </is>
      </c>
      <c r="G501" s="26" t="n">
        <v>0.0005999999999999999</v>
      </c>
      <c r="H501" s="26">
        <f>E501*G501</f>
        <v/>
      </c>
      <c r="I501" s="25" t="inlineStr">
        <is>
          <t>NBR 70 Shore A</t>
        </is>
      </c>
      <c r="J501" s="12" t="inlineStr">
        <is>
          <t>Ø22 ext. × cordón 3</t>
        </is>
      </c>
      <c r="K501" s="25" t="inlineStr">
        <is>
          <t>Compra (en el conjunto)</t>
        </is>
      </c>
      <c r="L501" s="12" t="inlineStr">
        <is>
          <t>S4 - se compra terminado (tercerizado con sello IRAM)</t>
        </is>
      </c>
      <c r="M501" s="12" t="n"/>
      <c r="N501" s="25" t="inlineStr">
        <is>
          <t>P</t>
        </is>
      </c>
      <c r="O501" s="25" t="inlineStr">
        <is>
          <t>FL_DES_CO2_5kg</t>
        </is>
      </c>
      <c r="P501" s="12" t="inlineStr">
        <is>
          <t>cambio c/recarga</t>
        </is>
      </c>
    </row>
    <row r="502">
      <c r="A502" s="25" t="inlineStr">
        <is>
          <t>FL_MAT_CO2_5kg</t>
        </is>
      </c>
      <c r="B502" s="25" t="n">
        <v>2</v>
      </c>
      <c r="C502" s="25" t="inlineStr">
        <is>
          <t>CO25-V3</t>
        </is>
      </c>
      <c r="D502" s="12" t="inlineStr">
        <is>
          <t xml:space="preserve">        Junta tórica del vástago</t>
        </is>
      </c>
      <c r="E502" s="25" t="n">
        <v>1</v>
      </c>
      <c r="F502" s="25" t="inlineStr">
        <is>
          <t>u</t>
        </is>
      </c>
      <c r="G502" s="26" t="n">
        <v>0.001</v>
      </c>
      <c r="H502" s="26">
        <f>E502*G502</f>
        <v/>
      </c>
      <c r="I502" s="25" t="inlineStr">
        <is>
          <t>NBR 70 Shore A</t>
        </is>
      </c>
      <c r="J502" s="12" t="inlineStr">
        <is>
          <t>según válvula</t>
        </is>
      </c>
      <c r="K502" s="25" t="inlineStr">
        <is>
          <t>Compra</t>
        </is>
      </c>
      <c r="L502" s="12" t="inlineStr">
        <is>
          <t>19 Ensamblaje</t>
        </is>
      </c>
      <c r="M502" s="12" t="n"/>
      <c r="N502" s="25" t="inlineStr">
        <is>
          <t>P</t>
        </is>
      </c>
      <c r="O502" s="25" t="n"/>
      <c r="P502" s="12" t="inlineStr">
        <is>
          <t>Figura en el plano como «vástago con junta tórica»</t>
        </is>
      </c>
    </row>
    <row r="503">
      <c r="A503" s="22" t="inlineStr">
        <is>
          <t>FL_MAT_CO2_5kg</t>
        </is>
      </c>
      <c r="B503" s="22" t="n">
        <v>1</v>
      </c>
      <c r="C503" s="22" t="inlineStr">
        <is>
          <t>CO25-S3</t>
        </is>
      </c>
      <c r="D503" s="23" t="inlineStr">
        <is>
          <t xml:space="preserve">    Dispositivo de descarga</t>
        </is>
      </c>
      <c r="E503" s="22" t="n">
        <v>1</v>
      </c>
      <c r="F503" s="22" t="inlineStr">
        <is>
          <t>u</t>
        </is>
      </c>
      <c r="G503" s="24" t="n"/>
      <c r="H503" s="24">
        <f>H504+H505+H506+H507+H508</f>
        <v/>
      </c>
      <c r="I503" s="22" t="n"/>
      <c r="J503" s="23" t="n"/>
      <c r="K503" s="22" t="inlineStr">
        <is>
          <t>Compra / armado</t>
        </is>
      </c>
      <c r="L503" s="23" t="n"/>
      <c r="M503" s="23" t="n"/>
      <c r="N503" s="22" t="inlineStr">
        <is>
          <t>P</t>
        </is>
      </c>
      <c r="O503" s="22" t="inlineStr">
        <is>
          <t>FL_DES_CO2_5kg</t>
        </is>
      </c>
      <c r="P503" s="23" t="n"/>
    </row>
    <row r="504">
      <c r="A504" s="25" t="inlineStr">
        <is>
          <t>FL_MAT_CO2_5kg</t>
        </is>
      </c>
      <c r="B504" s="25" t="n">
        <v>2</v>
      </c>
      <c r="C504" s="25" t="inlineStr">
        <is>
          <t>CO25-13</t>
        </is>
      </c>
      <c r="D504" s="12" t="inlineStr">
        <is>
          <t xml:space="preserve">        Racor de manguera</t>
        </is>
      </c>
      <c r="E504" s="25" t="n">
        <v>1</v>
      </c>
      <c r="F504" s="25" t="inlineStr">
        <is>
          <t>u</t>
        </is>
      </c>
      <c r="G504" s="26" t="n">
        <v>0.0258</v>
      </c>
      <c r="H504" s="26">
        <f>E504*G504</f>
        <v/>
      </c>
      <c r="I504" s="25" t="inlineStr">
        <is>
          <t>Latón</t>
        </is>
      </c>
      <c r="J504" s="12" t="inlineStr">
        <is>
          <t>18 × 18 × 12</t>
        </is>
      </c>
      <c r="K504" s="25" t="inlineStr">
        <is>
          <t>Compra (en el conjunto)</t>
        </is>
      </c>
      <c r="L504" s="12" t="inlineStr">
        <is>
          <t>S4 - se compra terminado (tercerizado con sello IRAM)</t>
        </is>
      </c>
      <c r="M504" s="12" t="n"/>
      <c r="N504" s="25" t="inlineStr">
        <is>
          <t>P</t>
        </is>
      </c>
      <c r="O504" s="25" t="inlineStr">
        <is>
          <t>FL_DES_CO2_5kg</t>
        </is>
      </c>
      <c r="P504" s="12" t="n"/>
    </row>
    <row r="505">
      <c r="A505" s="25" t="inlineStr">
        <is>
          <t>FL_MAT_CO2_5kg</t>
        </is>
      </c>
      <c r="B505" s="25" t="n">
        <v>2</v>
      </c>
      <c r="C505" s="25" t="inlineStr">
        <is>
          <t>CO25-14</t>
        </is>
      </c>
      <c r="D505" s="12" t="inlineStr">
        <is>
          <t xml:space="preserve">        Manguera</t>
        </is>
      </c>
      <c r="E505" s="25" t="n">
        <v>1</v>
      </c>
      <c r="F505" s="25" t="inlineStr">
        <is>
          <t>u</t>
        </is>
      </c>
      <c r="G505" s="26" t="n">
        <v>0.0463</v>
      </c>
      <c r="H505" s="26">
        <f>E505*G505</f>
        <v/>
      </c>
      <c r="I505" s="25" t="inlineStr">
        <is>
          <t>Manga alta presión c/malla acero</t>
        </is>
      </c>
      <c r="J505" s="12" t="inlineStr">
        <is>
          <t>Ø16 × 300 de largo desarrollado</t>
        </is>
      </c>
      <c r="K505" s="25" t="inlineStr">
        <is>
          <t>Compra (en el conjunto)</t>
        </is>
      </c>
      <c r="L505" s="12" t="inlineStr">
        <is>
          <t>S4 - se compra terminado (tercerizado con sello IRAM)</t>
        </is>
      </c>
      <c r="M505" s="12" t="n"/>
      <c r="N505" s="25" t="inlineStr">
        <is>
          <t>P</t>
        </is>
      </c>
      <c r="O505" s="25" t="inlineStr">
        <is>
          <t>FL_DES_CO2_5kg</t>
        </is>
      </c>
      <c r="P505" s="12" t="n"/>
    </row>
    <row r="506">
      <c r="A506" s="25" t="inlineStr">
        <is>
          <t>FL_MAT_CO2_5kg</t>
        </is>
      </c>
      <c r="B506" s="25" t="n">
        <v>2</v>
      </c>
      <c r="C506" s="25" t="inlineStr">
        <is>
          <t>CO25-15</t>
        </is>
      </c>
      <c r="D506" s="12" t="inlineStr">
        <is>
          <t xml:space="preserve">        Difusor (bocina)</t>
        </is>
      </c>
      <c r="E506" s="25" t="n">
        <v>1</v>
      </c>
      <c r="F506" s="25" t="inlineStr">
        <is>
          <t>u</t>
        </is>
      </c>
      <c r="G506" s="26" t="n">
        <v>0.09429999999999999</v>
      </c>
      <c r="H506" s="26">
        <f>E506*G506</f>
        <v/>
      </c>
      <c r="I506" s="25" t="inlineStr">
        <is>
          <t>Polietileno AD</t>
        </is>
      </c>
      <c r="J506" s="12" t="inlineStr">
        <is>
          <t>260 × 90 × 90</t>
        </is>
      </c>
      <c r="K506" s="25" t="inlineStr">
        <is>
          <t>Compra (en el conjunto)</t>
        </is>
      </c>
      <c r="L506" s="12" t="inlineStr">
        <is>
          <t>S4 - se compra terminado (tercerizado con sello IRAM)</t>
        </is>
      </c>
      <c r="M506" s="12" t="n"/>
      <c r="N506" s="25" t="inlineStr">
        <is>
          <t>P</t>
        </is>
      </c>
      <c r="O506" s="25" t="inlineStr">
        <is>
          <t>FL_DES_CO2_5kg</t>
        </is>
      </c>
      <c r="P506" s="12" t="inlineStr">
        <is>
          <t>aislante térmico y eléctrico</t>
        </is>
      </c>
    </row>
    <row r="507">
      <c r="A507" s="25" t="inlineStr">
        <is>
          <t>FL_MAT_CO2_5kg</t>
        </is>
      </c>
      <c r="B507" s="25" t="n">
        <v>2</v>
      </c>
      <c r="C507" s="25" t="inlineStr">
        <is>
          <t>CO25-16</t>
        </is>
      </c>
      <c r="D507" s="12" t="inlineStr">
        <is>
          <t xml:space="preserve">        Empuñadura</t>
        </is>
      </c>
      <c r="E507" s="25" t="n">
        <v>1</v>
      </c>
      <c r="F507" s="25" t="inlineStr">
        <is>
          <t>u</t>
        </is>
      </c>
      <c r="G507" s="26" t="n">
        <v>0.0201</v>
      </c>
      <c r="H507" s="26">
        <f>E507*G507</f>
        <v/>
      </c>
      <c r="I507" s="25" t="inlineStr">
        <is>
          <t>Polipropileno</t>
        </is>
      </c>
      <c r="J507" s="12" t="inlineStr">
        <is>
          <t>40 × 36 × 36</t>
        </is>
      </c>
      <c r="K507" s="25" t="inlineStr">
        <is>
          <t>Compra (en el conjunto)</t>
        </is>
      </c>
      <c r="L507" s="12" t="inlineStr">
        <is>
          <t>S4 - se compra terminado (tercerizado con sello IRAM)</t>
        </is>
      </c>
      <c r="M507" s="12" t="n"/>
      <c r="N507" s="25" t="inlineStr">
        <is>
          <t>P</t>
        </is>
      </c>
      <c r="O507" s="25" t="inlineStr">
        <is>
          <t>FL_DES_CO2_5kg</t>
        </is>
      </c>
      <c r="P507" s="12" t="n"/>
    </row>
    <row r="508">
      <c r="A508" s="25" t="inlineStr">
        <is>
          <t>FL_MAT_CO2_5kg</t>
        </is>
      </c>
      <c r="B508" s="25" t="n">
        <v>2</v>
      </c>
      <c r="C508" s="25" t="inlineStr">
        <is>
          <t>CO25-17</t>
        </is>
      </c>
      <c r="D508" s="12" t="inlineStr">
        <is>
          <t xml:space="preserve">        Suncho soporte de difusor</t>
        </is>
      </c>
      <c r="E508" s="25" t="n">
        <v>1</v>
      </c>
      <c r="F508" s="25" t="inlineStr">
        <is>
          <t>u</t>
        </is>
      </c>
      <c r="G508" s="26" t="n">
        <v>0.1762</v>
      </c>
      <c r="H508" s="26">
        <f>E508*G508</f>
        <v/>
      </c>
      <c r="I508" s="25" t="inlineStr">
        <is>
          <t>Fleje acero SAE 1010 pintado</t>
        </is>
      </c>
      <c r="J508" s="12" t="inlineStr">
        <is>
          <t>161,7 × 143 × 18</t>
        </is>
      </c>
      <c r="K508" s="25" t="inlineStr">
        <is>
          <t>Compra (en el conjunto)</t>
        </is>
      </c>
      <c r="L508" s="12" t="inlineStr">
        <is>
          <t>S4 - se compra terminado (tercerizado con sello IRAM)</t>
        </is>
      </c>
      <c r="M508" s="12" t="n"/>
      <c r="N508" s="25" t="inlineStr">
        <is>
          <t>P</t>
        </is>
      </c>
      <c r="O508" s="25" t="inlineStr">
        <is>
          <t>FL_DES_CO2_5kg</t>
        </is>
      </c>
      <c r="P508" s="12" t="n"/>
    </row>
    <row r="509">
      <c r="A509" s="22" t="inlineStr">
        <is>
          <t>FL_MAT_CO2_5kg</t>
        </is>
      </c>
      <c r="B509" s="22" t="n">
        <v>1</v>
      </c>
      <c r="C509" s="22" t="inlineStr">
        <is>
          <t>CO25-S5</t>
        </is>
      </c>
      <c r="D509" s="23" t="inlineStr">
        <is>
          <t xml:space="preserve">    Carga: agente extintor y gas impulsor</t>
        </is>
      </c>
      <c r="E509" s="22" t="n">
        <v>1</v>
      </c>
      <c r="F509" s="22" t="inlineStr">
        <is>
          <t>u</t>
        </is>
      </c>
      <c r="G509" s="24" t="n"/>
      <c r="H509" s="24">
        <f>H510</f>
        <v/>
      </c>
      <c r="I509" s="22" t="n"/>
      <c r="J509" s="23" t="n"/>
      <c r="K509" s="22" t="inlineStr">
        <is>
          <t>Compra</t>
        </is>
      </c>
      <c r="L509" s="23" t="n"/>
      <c r="M509" s="23" t="n"/>
      <c r="N509" s="22" t="n"/>
      <c r="O509" s="22" t="n"/>
      <c r="P509" s="23" t="n"/>
    </row>
    <row r="510">
      <c r="A510" s="25" t="inlineStr">
        <is>
          <t>FL_MAT_CO2_5kg</t>
        </is>
      </c>
      <c r="B510" s="25" t="n">
        <v>2</v>
      </c>
      <c r="C510" s="25" t="inlineStr">
        <is>
          <t>CO25-A1</t>
        </is>
      </c>
      <c r="D510" s="12" t="inlineStr">
        <is>
          <t xml:space="preserve">        Dióxido de carbono (IRAM 41170)</t>
        </is>
      </c>
      <c r="E510" s="25" t="n">
        <v>5</v>
      </c>
      <c r="F510" s="25" t="inlineStr">
        <is>
          <t>kg</t>
        </is>
      </c>
      <c r="G510" s="26" t="n">
        <v>1</v>
      </c>
      <c r="H510" s="26">
        <f>E510*G510</f>
        <v/>
      </c>
      <c r="I510" s="25" t="inlineStr">
        <is>
          <t>Dióxido de carbono (IRAM 41170)</t>
        </is>
      </c>
      <c r="J510" s="12" t="inlineStr">
        <is>
          <t>nominal 5 kg; tolerancia 0 / -5 % (IRAM 3517-2:2020 tabla 3)</t>
        </is>
      </c>
      <c r="K510" s="25" t="inlineStr">
        <is>
          <t>Compra</t>
        </is>
      </c>
      <c r="L510" s="12" t="inlineStr">
        <is>
          <t>SP-1 almacén previo a la carga</t>
        </is>
      </c>
      <c r="M510" s="12" t="inlineStr">
        <is>
          <t>IRAM 41170</t>
        </is>
      </c>
      <c r="N510" s="25" t="inlineStr">
        <is>
          <t>N</t>
        </is>
      </c>
      <c r="O510" s="25" t="n"/>
      <c r="P510" s="12" t="n"/>
    </row>
    <row r="511">
      <c r="A511" s="22" t="inlineStr">
        <is>
          <t>FL_MAT_CO2_5kg</t>
        </is>
      </c>
      <c r="B511" s="22" t="n">
        <v>1</v>
      </c>
      <c r="C511" s="22" t="inlineStr">
        <is>
          <t>CO25-S6</t>
        </is>
      </c>
      <c r="D511" s="23" t="inlineStr">
        <is>
          <t xml:space="preserve">    Identificación y precinto</t>
        </is>
      </c>
      <c r="E511" s="22" t="n">
        <v>1</v>
      </c>
      <c r="F511" s="22" t="inlineStr">
        <is>
          <t>u</t>
        </is>
      </c>
      <c r="G511" s="24" t="n"/>
      <c r="H511" s="24">
        <f>H512+H513+H514+H515+H516</f>
        <v/>
      </c>
      <c r="I511" s="22" t="n"/>
      <c r="J511" s="23" t="n"/>
      <c r="K511" s="22" t="inlineStr">
        <is>
          <t>Compra</t>
        </is>
      </c>
      <c r="L511" s="23" t="inlineStr">
        <is>
          <t>22 Etiquetado (T07)</t>
        </is>
      </c>
      <c r="M511" s="23" t="n"/>
      <c r="N511" s="22" t="n"/>
      <c r="O511" s="22" t="n"/>
      <c r="P511" s="23" t="n"/>
    </row>
    <row r="512">
      <c r="A512" s="25" t="inlineStr">
        <is>
          <t>FL_MAT_CO2_5kg</t>
        </is>
      </c>
      <c r="B512" s="25" t="n">
        <v>2</v>
      </c>
      <c r="C512" s="25" t="inlineStr">
        <is>
          <t>CO25-18</t>
        </is>
      </c>
      <c r="D512" s="12" t="inlineStr">
        <is>
          <t xml:space="preserve">        Placa de características</t>
        </is>
      </c>
      <c r="E512" s="25" t="n">
        <v>1</v>
      </c>
      <c r="F512" s="25" t="inlineStr">
        <is>
          <t>u</t>
        </is>
      </c>
      <c r="G512" s="26" t="n">
        <v>0.009299999999999999</v>
      </c>
      <c r="H512" s="26">
        <f>E512*G512</f>
        <v/>
      </c>
      <c r="I512" s="25" t="inlineStr">
        <is>
          <t>Vinilo autoadhesivo laminado</t>
        </is>
      </c>
      <c r="J512" s="12" t="inlineStr">
        <is>
          <t>132 × 167 (desarrollo × alto), e ≈ 0,3</t>
        </is>
      </c>
      <c r="K512" s="25" t="inlineStr">
        <is>
          <t>Compra</t>
        </is>
      </c>
      <c r="L512" s="12" t="inlineStr">
        <is>
          <t>22 Etiquetado (T07)</t>
        </is>
      </c>
      <c r="M512" s="12" t="inlineStr">
        <is>
          <t>IRAM 3534 · IRAM 3509 cap. 5</t>
        </is>
      </c>
      <c r="N512" s="25" t="inlineStr">
        <is>
          <t>P</t>
        </is>
      </c>
      <c r="O512" s="25" t="inlineStr">
        <is>
          <t>FL_DES_CO2_5kg</t>
        </is>
      </c>
      <c r="P512" s="12" t="inlineStr">
        <is>
          <t>IRAM 3534</t>
        </is>
      </c>
    </row>
    <row r="513">
      <c r="A513" s="25" t="inlineStr">
        <is>
          <t>FL_MAT_CO2_5kg</t>
        </is>
      </c>
      <c r="B513" s="25" t="n">
        <v>2</v>
      </c>
      <c r="C513" s="25" t="inlineStr">
        <is>
          <t>CO25-19</t>
        </is>
      </c>
      <c r="D513" s="12" t="inlineStr">
        <is>
          <t xml:space="preserve">        Oblea de fabricación (PBA)</t>
        </is>
      </c>
      <c r="E513" s="25" t="n">
        <v>1</v>
      </c>
      <c r="F513" s="25" t="inlineStr">
        <is>
          <t>u</t>
        </is>
      </c>
      <c r="G513" s="26" t="n">
        <v>0.0009</v>
      </c>
      <c r="H513" s="26">
        <f>E513*G513</f>
        <v/>
      </c>
      <c r="I513" s="25" t="inlineStr">
        <is>
          <t>Papel de seguridad autodestructible</t>
        </is>
      </c>
      <c r="J513" s="12" t="inlineStr">
        <is>
          <t>Ø46 (Res. OPDS 522/07), numerada, autodestructible</t>
        </is>
      </c>
      <c r="K513" s="25" t="inlineStr">
        <is>
          <t>Compra</t>
        </is>
      </c>
      <c r="L513" s="12" t="inlineStr">
        <is>
          <t>22 Etiquetado (T07)</t>
        </is>
      </c>
      <c r="M513" s="12" t="inlineStr">
        <is>
          <t>Res. OPDS 522/07 anexos 1, 2 y 6</t>
        </is>
      </c>
      <c r="N513" s="25" t="inlineStr">
        <is>
          <t>P</t>
        </is>
      </c>
      <c r="O513" s="25" t="inlineStr">
        <is>
          <t>FL_DES_CO2_5kg</t>
        </is>
      </c>
      <c r="P513" s="12" t="inlineStr">
        <is>
          <t>Res. 522/07</t>
        </is>
      </c>
    </row>
    <row r="514">
      <c r="A514" s="25" t="inlineStr">
        <is>
          <t>FL_MAT_CO2_5kg</t>
        </is>
      </c>
      <c r="B514" s="25" t="n">
        <v>2</v>
      </c>
      <c r="C514" s="25" t="inlineStr">
        <is>
          <t>CO25-20</t>
        </is>
      </c>
      <c r="D514" s="12" t="inlineStr">
        <is>
          <t xml:space="preserve">        Estampilla IRAM de conformidad</t>
        </is>
      </c>
      <c r="E514" s="25" t="n">
        <v>1</v>
      </c>
      <c r="F514" s="25" t="inlineStr">
        <is>
          <t>u</t>
        </is>
      </c>
      <c r="G514" s="26" t="n">
        <v>0.001</v>
      </c>
      <c r="H514" s="26">
        <f>E514*G514</f>
        <v/>
      </c>
      <c r="I514" s="25" t="inlineStr">
        <is>
          <t>Provista por IRAM (Anexo R)</t>
        </is>
      </c>
      <c r="J514" s="12" t="inlineStr">
        <is>
          <t>60 × 40</t>
        </is>
      </c>
      <c r="K514" s="25" t="inlineStr">
        <is>
          <t>Compra</t>
        </is>
      </c>
      <c r="L514" s="12" t="inlineStr">
        <is>
          <t>22 Etiquetado (T07)</t>
        </is>
      </c>
      <c r="M514" s="12" t="inlineStr">
        <is>
          <t>IRAM Anexo R (DC-PG-129)</t>
        </is>
      </c>
      <c r="N514" s="25" t="inlineStr">
        <is>
          <t>P</t>
        </is>
      </c>
      <c r="O514" s="25" t="inlineStr">
        <is>
          <t>FL_DES_CO2_5kg</t>
        </is>
      </c>
      <c r="P514" s="12" t="inlineStr">
        <is>
          <t>numerada</t>
        </is>
      </c>
    </row>
    <row r="515">
      <c r="A515" s="25" t="inlineStr">
        <is>
          <t>FL_MAT_CO2_5kg</t>
        </is>
      </c>
      <c r="B515" s="25" t="n">
        <v>2</v>
      </c>
      <c r="C515" s="25" t="inlineStr">
        <is>
          <t>CO25-22</t>
        </is>
      </c>
      <c r="D515" s="12" t="inlineStr">
        <is>
          <t xml:space="preserve">        Precinto de fábrica</t>
        </is>
      </c>
      <c r="E515" s="25" t="n">
        <v>1</v>
      </c>
      <c r="F515" s="25" t="inlineStr">
        <is>
          <t>u</t>
        </is>
      </c>
      <c r="G515" s="26" t="n">
        <v>0.0002</v>
      </c>
      <c r="H515" s="26">
        <f>E515*G515</f>
        <v/>
      </c>
      <c r="I515" s="25" t="inlineStr">
        <is>
          <t>Polipropileno</t>
        </is>
      </c>
      <c r="J515" s="12" t="inlineStr">
        <is>
          <t>Ø5 × 10, numerado, rotura 30-50 N</t>
        </is>
      </c>
      <c r="K515" s="25" t="inlineStr">
        <is>
          <t>Compra</t>
        </is>
      </c>
      <c r="L515" s="12" t="inlineStr">
        <is>
          <t>20 Presurización (T05)</t>
        </is>
      </c>
      <c r="M515" s="12" t="inlineStr">
        <is>
          <t>IRAM 3523 3.3.2 · IRAM 3517-2:2020 9.4.13</t>
        </is>
      </c>
      <c r="N515" s="25" t="inlineStr">
        <is>
          <t>P</t>
        </is>
      </c>
      <c r="O515" s="25" t="inlineStr">
        <is>
          <t>FL_DES_CO2_5kg</t>
        </is>
      </c>
      <c r="P515" s="12" t="inlineStr">
        <is>
          <t>id. FLAMA y lote</t>
        </is>
      </c>
    </row>
    <row r="516">
      <c r="A516" s="25" t="inlineStr">
        <is>
          <t>FL_MAT_CO2_5kg</t>
        </is>
      </c>
      <c r="B516" s="25" t="n">
        <v>2</v>
      </c>
      <c r="C516" s="25" t="inlineStr">
        <is>
          <t>CO25-I3</t>
        </is>
      </c>
      <c r="D516" s="12" t="inlineStr">
        <is>
          <t xml:space="preserve">        Tarjeta oficial de vigencia (CABA)</t>
        </is>
      </c>
      <c r="E516" s="25" t="n">
        <v>1</v>
      </c>
      <c r="F516" s="25" t="inlineStr">
        <is>
          <t>u</t>
        </is>
      </c>
      <c r="G516" s="26" t="n">
        <v>0.002</v>
      </c>
      <c r="H516" s="26">
        <f>E516*G516</f>
        <v/>
      </c>
      <c r="I516" s="25" t="inlineStr">
        <is>
          <t>Formulario oficial</t>
        </is>
      </c>
      <c r="J516" s="12" t="inlineStr">
        <is>
          <t>provista por DG Rentas GCBA</t>
        </is>
      </c>
      <c r="K516" s="25" t="inlineStr">
        <is>
          <t>Compra</t>
        </is>
      </c>
      <c r="L516" s="12" t="inlineStr">
        <is>
          <t>22 Etiquetado</t>
        </is>
      </c>
      <c r="M516" s="12" t="inlineStr">
        <is>
          <t>Ordenanza 40.473 art. 6</t>
        </is>
      </c>
      <c r="N516" s="25" t="inlineStr">
        <is>
          <t>N</t>
        </is>
      </c>
      <c r="O516" s="25" t="n"/>
      <c r="P516" s="12" t="inlineStr">
        <is>
          <t>Clase, capacidad, fecha de carga y vencimiento, garantía; se anexa al matafuego (no se dibuja)</t>
        </is>
      </c>
    </row>
    <row r="517">
      <c r="A517" s="22" t="inlineStr">
        <is>
          <t>FL_MAT_CO2_5kg</t>
        </is>
      </c>
      <c r="B517" s="22" t="n">
        <v>1</v>
      </c>
      <c r="C517" s="22" t="inlineStr">
        <is>
          <t>CO25-S8</t>
        </is>
      </c>
      <c r="D517" s="23" t="inlineStr">
        <is>
          <t xml:space="preserve">    Soporte (accesorio de montaje)</t>
        </is>
      </c>
      <c r="E517" s="22" t="n">
        <v>1</v>
      </c>
      <c r="F517" s="22" t="inlineStr">
        <is>
          <t>u</t>
        </is>
      </c>
      <c r="G517" s="24" t="n"/>
      <c r="H517" s="24">
        <f>H518+H519</f>
        <v/>
      </c>
      <c r="I517" s="22" t="n"/>
      <c r="J517" s="23" t="n"/>
      <c r="K517" s="22" t="inlineStr">
        <is>
          <t>Compra</t>
        </is>
      </c>
      <c r="L517" s="23" t="inlineStr">
        <is>
          <t>23 Embalaje (va dentro de la caja)</t>
        </is>
      </c>
      <c r="M517" s="23" t="inlineStr">
        <is>
          <t>IRAM 3517-2 7.4</t>
        </is>
      </c>
      <c r="N517" s="22" t="n"/>
      <c r="O517" s="22" t="n"/>
      <c r="P517" s="23" t="n"/>
    </row>
    <row r="518">
      <c r="A518" s="25" t="inlineStr">
        <is>
          <t>FL_MAT_CO2_5kg</t>
        </is>
      </c>
      <c r="B518" s="25" t="n">
        <v>2</v>
      </c>
      <c r="C518" s="25" t="inlineStr">
        <is>
          <t>CO25-I5</t>
        </is>
      </c>
      <c r="D518" s="12" t="inlineStr">
        <is>
          <t xml:space="preserve">        Soporte de pared (FL_ACC_01)</t>
        </is>
      </c>
      <c r="E518" s="25" t="n">
        <v>1</v>
      </c>
      <c r="F518" s="25" t="inlineStr">
        <is>
          <t>u</t>
        </is>
      </c>
      <c r="G518" s="26" t="n">
        <v>0.283</v>
      </c>
      <c r="H518" s="26">
        <f>E518*G518</f>
        <v/>
      </c>
      <c r="I518" s="25" t="inlineStr">
        <is>
          <t>Chapa acero SAE 1010 e=2 pintada</t>
        </is>
      </c>
      <c r="J518" s="12" t="inlineStr">
        <is>
          <t>placa 60 × 180, ala con ranura Ø cuello + 3</t>
        </is>
      </c>
      <c r="K518" s="25" t="inlineStr">
        <is>
          <t>Compra</t>
        </is>
      </c>
      <c r="L518" s="12" t="inlineStr">
        <is>
          <t>23 Embalaje</t>
        </is>
      </c>
      <c r="M518" s="12" t="inlineStr">
        <is>
          <t>IRAM 3517-2 7.4</t>
        </is>
      </c>
      <c r="N518" s="25" t="inlineStr">
        <is>
          <t>P</t>
        </is>
      </c>
      <c r="O518" s="25" t="inlineStr">
        <is>
          <t>FL_ACC_01</t>
        </is>
      </c>
      <c r="P518" s="12" t="n"/>
    </row>
    <row r="519">
      <c r="A519" s="25" t="inlineStr">
        <is>
          <t>FL_MAT_CO2_5kg</t>
        </is>
      </c>
      <c r="B519" s="25" t="n">
        <v>2</v>
      </c>
      <c r="C519" s="25" t="inlineStr">
        <is>
          <t>CO25-I6</t>
        </is>
      </c>
      <c r="D519" s="12" t="inlineStr">
        <is>
          <t xml:space="preserve">        Tornillo y tarugo de fijación</t>
        </is>
      </c>
      <c r="E519" s="25" t="n">
        <v>2</v>
      </c>
      <c r="F519" s="25" t="inlineStr">
        <is>
          <t>u</t>
        </is>
      </c>
      <c r="G519" s="26" t="n">
        <v>0.01</v>
      </c>
      <c r="H519" s="26">
        <f>E519*G519</f>
        <v/>
      </c>
      <c r="I519" s="25" t="inlineStr">
        <is>
          <t>Acero cincado / nylon</t>
        </is>
      </c>
      <c r="J519" s="12" t="inlineStr">
        <is>
          <t>M6 × 50 + tarugo 8</t>
        </is>
      </c>
      <c r="K519" s="25" t="inlineStr">
        <is>
          <t>Compra</t>
        </is>
      </c>
      <c r="L519" s="12" t="inlineStr">
        <is>
          <t>23 Embalaje</t>
        </is>
      </c>
      <c r="M519" s="12" t="n"/>
      <c r="N519" s="25" t="inlineStr">
        <is>
          <t>R</t>
        </is>
      </c>
      <c r="O519" s="25" t="n"/>
      <c r="P519" s="12" t="n"/>
    </row>
    <row r="520">
      <c r="A520" s="22" t="inlineStr">
        <is>
          <t>FL_MAT_CO2_5kg</t>
        </is>
      </c>
      <c r="B520" s="22" t="n">
        <v>1</v>
      </c>
      <c r="C520" s="22" t="inlineStr">
        <is>
          <t>CO25-S7</t>
        </is>
      </c>
      <c r="D520" s="23" t="inlineStr">
        <is>
          <t xml:space="preserve">    Embalaje</t>
        </is>
      </c>
      <c r="E520" s="22" t="n">
        <v>1</v>
      </c>
      <c r="F520" s="22" t="inlineStr">
        <is>
          <t>u</t>
        </is>
      </c>
      <c r="G520" s="24" t="n"/>
      <c r="H520" s="24">
        <f>H521+H522+H523+H524+H525</f>
        <v/>
      </c>
      <c r="I520" s="22" t="n"/>
      <c r="J520" s="23" t="n"/>
      <c r="K520" s="22" t="inlineStr">
        <is>
          <t>Compra</t>
        </is>
      </c>
      <c r="L520" s="23" t="inlineStr">
        <is>
          <t>23 Embalaje -&gt; 24 envolvedora (T11)</t>
        </is>
      </c>
      <c r="M520" s="23" t="n"/>
      <c r="N520" s="22" t="n"/>
      <c r="O520" s="22" t="n"/>
      <c r="P520" s="23" t="n"/>
    </row>
    <row r="521">
      <c r="A521" s="25" t="inlineStr">
        <is>
          <t>FL_MAT_CO2_5kg</t>
        </is>
      </c>
      <c r="B521" s="25" t="n">
        <v>2</v>
      </c>
      <c r="C521" s="25" t="inlineStr">
        <is>
          <t>CO25-E1</t>
        </is>
      </c>
      <c r="D521" s="12" t="inlineStr">
        <is>
          <t xml:space="preserve">        Caja de cartón corrugado doble</t>
        </is>
      </c>
      <c r="E521" s="25" t="n">
        <v>1</v>
      </c>
      <c r="F521" s="25" t="inlineStr">
        <is>
          <t>u</t>
        </is>
      </c>
      <c r="G521" s="26" t="n">
        <v>0.5</v>
      </c>
      <c r="H521" s="26">
        <f>E521*G521</f>
        <v/>
      </c>
      <c r="I521" s="25" t="inlineStr">
        <is>
          <t>Cartón corrugado</t>
        </is>
      </c>
      <c r="J521" s="12" t="inlineStr">
        <is>
          <t>340 × 173 × 810 interior</t>
        </is>
      </c>
      <c r="K521" s="25" t="inlineStr">
        <is>
          <t>Compra</t>
        </is>
      </c>
      <c r="L521" s="12" t="inlineStr">
        <is>
          <t>23 Embalaje</t>
        </is>
      </c>
      <c r="M521" s="12" t="n"/>
      <c r="N521" s="25" t="inlineStr">
        <is>
          <t>R</t>
        </is>
      </c>
      <c r="O521" s="25" t="n"/>
      <c r="P521" s="12" t="n"/>
    </row>
    <row r="522">
      <c r="A522" s="25" t="inlineStr">
        <is>
          <t>FL_MAT_CO2_5kg</t>
        </is>
      </c>
      <c r="B522" s="25" t="n">
        <v>2</v>
      </c>
      <c r="C522" s="25" t="inlineStr">
        <is>
          <t>CO25-E2</t>
        </is>
      </c>
      <c r="D522" s="12" t="inlineStr">
        <is>
          <t xml:space="preserve">        Instructivo de uso y mantenimiento</t>
        </is>
      </c>
      <c r="E522" s="25" t="n">
        <v>1</v>
      </c>
      <c r="F522" s="25" t="inlineStr">
        <is>
          <t>u</t>
        </is>
      </c>
      <c r="G522" s="26" t="n">
        <v>0.01</v>
      </c>
      <c r="H522" s="26">
        <f>E522*G522</f>
        <v/>
      </c>
      <c r="I522" s="25" t="inlineStr">
        <is>
          <t>Papel</t>
        </is>
      </c>
      <c r="J522" s="12" t="inlineStr">
        <is>
          <t>A5</t>
        </is>
      </c>
      <c r="K522" s="25" t="inlineStr">
        <is>
          <t>Compra</t>
        </is>
      </c>
      <c r="L522" s="12" t="inlineStr">
        <is>
          <t>23 Embalaje</t>
        </is>
      </c>
      <c r="M522" s="12" t="inlineStr">
        <is>
          <t>IRAM 3517-2 (información al usuario)</t>
        </is>
      </c>
      <c r="N522" s="25" t="inlineStr">
        <is>
          <t>R</t>
        </is>
      </c>
      <c r="O522" s="25" t="n"/>
      <c r="P522" s="12" t="n"/>
    </row>
    <row r="523">
      <c r="A523" s="25" t="inlineStr">
        <is>
          <t>FL_MAT_CO2_5kg</t>
        </is>
      </c>
      <c r="B523" s="25" t="n">
        <v>2</v>
      </c>
      <c r="C523" s="25" t="inlineStr">
        <is>
          <t>CO25-E3</t>
        </is>
      </c>
      <c r="D523" s="12" t="inlineStr">
        <is>
          <t xml:space="preserve">        Pallet 1200 × 1000 (fracción)</t>
        </is>
      </c>
      <c r="E523" s="25" t="n">
        <v>0.0667</v>
      </c>
      <c r="F523" s="25" t="inlineStr">
        <is>
          <t>u</t>
        </is>
      </c>
      <c r="G523" s="26" t="n">
        <v>1.467</v>
      </c>
      <c r="H523" s="26">
        <f>E523*G523</f>
        <v/>
      </c>
      <c r="I523" s="25" t="inlineStr">
        <is>
          <t>Madera</t>
        </is>
      </c>
      <c r="J523" s="12" t="inlineStr">
        <is>
          <t>15 u por pallet</t>
        </is>
      </c>
      <c r="K523" s="25" t="inlineStr">
        <is>
          <t>Compra</t>
        </is>
      </c>
      <c r="L523" s="12" t="inlineStr">
        <is>
          <t>23 Embalaje</t>
        </is>
      </c>
      <c r="M523" s="12" t="n"/>
      <c r="N523" s="25" t="inlineStr">
        <is>
          <t>R</t>
        </is>
      </c>
      <c r="O523" s="25" t="n"/>
      <c r="P523" s="12" t="n"/>
    </row>
    <row r="524">
      <c r="A524" s="25" t="inlineStr">
        <is>
          <t>FL_MAT_CO2_5kg</t>
        </is>
      </c>
      <c r="B524" s="25" t="n">
        <v>2</v>
      </c>
      <c r="C524" s="25" t="inlineStr">
        <is>
          <t>CO25-E4</t>
        </is>
      </c>
      <c r="D524" s="12" t="inlineStr">
        <is>
          <t xml:space="preserve">        Film stretch (fracción del pallet)</t>
        </is>
      </c>
      <c r="E524" s="25" t="n">
        <v>0.0233</v>
      </c>
      <c r="F524" s="25" t="inlineStr">
        <is>
          <t>kg</t>
        </is>
      </c>
      <c r="G524" s="26" t="n">
        <v>1</v>
      </c>
      <c r="H524" s="26">
        <f>E524*G524</f>
        <v/>
      </c>
      <c r="I524" s="25" t="inlineStr">
        <is>
          <t>PE lineal 23 µm</t>
        </is>
      </c>
      <c r="J524" s="12" t="inlineStr">
        <is>
          <t>envolvedora EDOS PS5</t>
        </is>
      </c>
      <c r="K524" s="25" t="inlineStr">
        <is>
          <t>Compra</t>
        </is>
      </c>
      <c r="L524" s="12" t="inlineStr">
        <is>
          <t>24 Envolvedora (T11)</t>
        </is>
      </c>
      <c r="M524" s="12" t="n"/>
      <c r="N524" s="25" t="inlineStr">
        <is>
          <t>R</t>
        </is>
      </c>
      <c r="O524" s="25" t="n"/>
      <c r="P524" s="12" t="n"/>
    </row>
    <row r="525">
      <c r="A525" s="25" t="inlineStr">
        <is>
          <t>FL_MAT_CO2_5kg</t>
        </is>
      </c>
      <c r="B525" s="25" t="n">
        <v>2</v>
      </c>
      <c r="C525" s="25" t="inlineStr">
        <is>
          <t>CO25-E5</t>
        </is>
      </c>
      <c r="D525" s="12" t="inlineStr">
        <is>
          <t xml:space="preserve">        Etiqueta de pallet (lote y destino, fracción)</t>
        </is>
      </c>
      <c r="E525" s="25" t="n">
        <v>0.0667</v>
      </c>
      <c r="F525" s="25" t="inlineStr">
        <is>
          <t>u</t>
        </is>
      </c>
      <c r="G525" s="26" t="n">
        <v>0</v>
      </c>
      <c r="H525" s="26">
        <f>E525*G525</f>
        <v/>
      </c>
      <c r="I525" s="25" t="inlineStr">
        <is>
          <t>Papel térmico</t>
        </is>
      </c>
      <c r="J525" s="12" t="inlineStr">
        <is>
          <t>100 × 150</t>
        </is>
      </c>
      <c r="K525" s="25" t="inlineStr">
        <is>
          <t>Compra</t>
        </is>
      </c>
      <c r="L525" s="12" t="inlineStr">
        <is>
          <t>24 Envolvedora</t>
        </is>
      </c>
      <c r="M525" s="12" t="n"/>
      <c r="N525" s="25" t="inlineStr">
        <is>
          <t>R</t>
        </is>
      </c>
      <c r="O525" s="25" t="n"/>
      <c r="P525" s="12" t="n"/>
    </row>
    <row r="526">
      <c r="A526" s="19" t="inlineStr">
        <is>
          <t>FL_MAT_HCFC-HFC_5kg</t>
        </is>
      </c>
      <c r="B526" s="19" t="n">
        <v>0</v>
      </c>
      <c r="C526" s="19" t="inlineStr">
        <is>
          <t>FL_MAT_HCFC-HFC_5kg</t>
        </is>
      </c>
      <c r="D526" s="20" t="inlineStr">
        <is>
          <t>Extintor HCFC/HFC 5 kg</t>
        </is>
      </c>
      <c r="E526" s="19" t="n">
        <v>1</v>
      </c>
      <c r="F526" s="19" t="inlineStr">
        <is>
          <t>u</t>
        </is>
      </c>
      <c r="G526" s="21" t="n"/>
      <c r="H526" s="21" t="n"/>
      <c r="I526" s="19" t="n"/>
      <c r="J526" s="20" t="n"/>
      <c r="K526" s="19" t="n"/>
      <c r="L526" s="20" t="n"/>
      <c r="M526" s="20" t="inlineStr">
        <is>
          <t>IRAM 3504</t>
        </is>
      </c>
      <c r="N526" s="19" t="inlineStr">
        <is>
          <t>P</t>
        </is>
      </c>
      <c r="O526" s="19" t="inlineStr">
        <is>
          <t>FL_MAT_HCFC-HFC_5kg</t>
        </is>
      </c>
      <c r="P526" s="20" t="inlineStr">
        <is>
          <t>Tercerizado revendido (S4)</t>
        </is>
      </c>
    </row>
    <row r="527">
      <c r="A527" s="22" t="inlineStr">
        <is>
          <t>FL_MAT_HCFC-HFC_5kg</t>
        </is>
      </c>
      <c r="B527" s="22" t="n">
        <v>1</v>
      </c>
      <c r="C527" s="22" t="inlineStr">
        <is>
          <t>HCFCHFC5-S1</t>
        </is>
      </c>
      <c r="D527" s="23" t="inlineStr">
        <is>
          <t xml:space="preserve">    Recipiente (cilindro)</t>
        </is>
      </c>
      <c r="E527" s="22" t="n">
        <v>1</v>
      </c>
      <c r="F527" s="22" t="inlineStr">
        <is>
          <t>u</t>
        </is>
      </c>
      <c r="G527" s="24" t="n"/>
      <c r="H527" s="24">
        <f>H528+H529+H530+H531+H532+H535</f>
        <v/>
      </c>
      <c r="I527" s="22" t="n"/>
      <c r="J527" s="23" t="n"/>
      <c r="K527" s="22" t="inlineStr">
        <is>
          <t>Compra / armado</t>
        </is>
      </c>
      <c r="L527" s="23" t="n"/>
      <c r="M527" s="23" t="inlineStr">
        <is>
          <t>IRAM 3523 / 3550 (recipiente)</t>
        </is>
      </c>
      <c r="N527" s="22" t="inlineStr">
        <is>
          <t>P</t>
        </is>
      </c>
      <c r="O527" s="22" t="inlineStr">
        <is>
          <t>FL_DES_HCFC-HFC_5kg</t>
        </is>
      </c>
      <c r="P527" s="23" t="n"/>
    </row>
    <row r="528">
      <c r="A528" s="25" t="inlineStr">
        <is>
          <t>FL_MAT_HCFC-HFC_5kg</t>
        </is>
      </c>
      <c r="B528" s="25" t="n">
        <v>2</v>
      </c>
      <c r="C528" s="25" t="inlineStr">
        <is>
          <t>HCFCHFC5-01</t>
        </is>
      </c>
      <c r="D528" s="12" t="inlineStr">
        <is>
          <t xml:space="preserve">        Cuerpo (virola)</t>
        </is>
      </c>
      <c r="E528" s="25" t="n">
        <v>1</v>
      </c>
      <c r="F528" s="25" t="inlineStr">
        <is>
          <t>u</t>
        </is>
      </c>
      <c r="G528" s="26" t="n">
        <v>1.9203</v>
      </c>
      <c r="H528" s="26">
        <f>E528*G528</f>
        <v/>
      </c>
      <c r="I528" s="25" t="inlineStr">
        <is>
          <t>Chapa acero SAE 1010 e=1,6</t>
        </is>
      </c>
      <c r="J528" s="12" t="inlineStr">
        <is>
          <t>Ø153 × e1,6 × 321,4 de alto; desarrollo 475,6 × 321,4</t>
        </is>
      </c>
      <c r="K528" s="25" t="inlineStr">
        <is>
          <t>Compra (en el conjunto)</t>
        </is>
      </c>
      <c r="L528" s="12" t="inlineStr">
        <is>
          <t>S4 - se compra terminado (tercerizado con sello IRAM)</t>
        </is>
      </c>
      <c r="M528" s="12" t="n"/>
      <c r="N528" s="25" t="inlineStr">
        <is>
          <t>P</t>
        </is>
      </c>
      <c r="O528" s="25" t="inlineStr">
        <is>
          <t>FL_DES_HCFC-HFC_5kg</t>
        </is>
      </c>
      <c r="P528" s="12" t="inlineStr">
        <is>
          <t>costura long. MIG</t>
        </is>
      </c>
    </row>
    <row r="529">
      <c r="A529" s="25" t="inlineStr">
        <is>
          <t>FL_MAT_HCFC-HFC_5kg</t>
        </is>
      </c>
      <c r="B529" s="25" t="n">
        <v>2</v>
      </c>
      <c r="C529" s="25" t="inlineStr">
        <is>
          <t>HCFCHFC5-02</t>
        </is>
      </c>
      <c r="D529" s="12" t="inlineStr">
        <is>
          <t xml:space="preserve">        Cúpula</t>
        </is>
      </c>
      <c r="E529" s="25" t="n">
        <v>1</v>
      </c>
      <c r="F529" s="25" t="inlineStr">
        <is>
          <t>u</t>
        </is>
      </c>
      <c r="G529" s="26" t="n">
        <v>0.3505</v>
      </c>
      <c r="H529" s="26">
        <f>E529*G529</f>
        <v/>
      </c>
      <c r="I529" s="25" t="inlineStr">
        <is>
          <t>Chapa acero SAE 1010 e=1,6</t>
        </is>
      </c>
      <c r="J529" s="12" t="inlineStr">
        <is>
          <t>Ø153 × e1,6 × 53,1 de alto; disco Ø221</t>
        </is>
      </c>
      <c r="K529" s="25" t="inlineStr">
        <is>
          <t>Compra (en el conjunto)</t>
        </is>
      </c>
      <c r="L529" s="12" t="inlineStr">
        <is>
          <t>S4 - se compra terminado (tercerizado con sello IRAM)</t>
        </is>
      </c>
      <c r="M529" s="12" t="n"/>
      <c r="N529" s="25" t="inlineStr">
        <is>
          <t>P</t>
        </is>
      </c>
      <c r="O529" s="25" t="inlineStr">
        <is>
          <t>FL_DES_HCFC-HFC_5kg</t>
        </is>
      </c>
      <c r="P529" s="12" t="inlineStr">
        <is>
          <t>embutida</t>
        </is>
      </c>
    </row>
    <row r="530">
      <c r="A530" s="25" t="inlineStr">
        <is>
          <t>FL_MAT_HCFC-HFC_5kg</t>
        </is>
      </c>
      <c r="B530" s="25" t="n">
        <v>2</v>
      </c>
      <c r="C530" s="25" t="inlineStr">
        <is>
          <t>HCFCHFC5-03</t>
        </is>
      </c>
      <c r="D530" s="12" t="inlineStr">
        <is>
          <t xml:space="preserve">        Fondo</t>
        </is>
      </c>
      <c r="E530" s="25" t="n">
        <v>1</v>
      </c>
      <c r="F530" s="25" t="inlineStr">
        <is>
          <t>u</t>
        </is>
      </c>
      <c r="G530" s="26" t="n">
        <v>0.2214</v>
      </c>
      <c r="H530" s="26">
        <f>E530*G530</f>
        <v/>
      </c>
      <c r="I530" s="25" t="inlineStr">
        <is>
          <t>Chapa acero SAE 1010 e=1,6</t>
        </is>
      </c>
      <c r="J530" s="12" t="inlineStr">
        <is>
          <t>Ø153 × e1,6 × 17,6 de alto; disco Ø177</t>
        </is>
      </c>
      <c r="K530" s="25" t="inlineStr">
        <is>
          <t>Compra (en el conjunto)</t>
        </is>
      </c>
      <c r="L530" s="12" t="inlineStr">
        <is>
          <t>S4 - se compra terminado (tercerizado con sello IRAM)</t>
        </is>
      </c>
      <c r="M530" s="12" t="n"/>
      <c r="N530" s="25" t="inlineStr">
        <is>
          <t>P</t>
        </is>
      </c>
      <c r="O530" s="25" t="inlineStr">
        <is>
          <t>FL_DES_HCFC-HFC_5kg</t>
        </is>
      </c>
      <c r="P530" s="12" t="inlineStr">
        <is>
          <t>embutido</t>
        </is>
      </c>
    </row>
    <row r="531">
      <c r="A531" s="25" t="inlineStr">
        <is>
          <t>FL_MAT_HCFC-HFC_5kg</t>
        </is>
      </c>
      <c r="B531" s="25" t="n">
        <v>2</v>
      </c>
      <c r="C531" s="25" t="inlineStr">
        <is>
          <t>HCFCHFC5-04</t>
        </is>
      </c>
      <c r="D531" s="12" t="inlineStr">
        <is>
          <t xml:space="preserve">        Cuello roscado</t>
        </is>
      </c>
      <c r="E531" s="25" t="n">
        <v>1</v>
      </c>
      <c r="F531" s="25" t="inlineStr">
        <is>
          <t>u</t>
        </is>
      </c>
      <c r="G531" s="26" t="n">
        <v>0.0589</v>
      </c>
      <c r="H531" s="26">
        <f>E531*G531</f>
        <v/>
      </c>
      <c r="I531" s="25" t="inlineStr">
        <is>
          <t>Acero SAE 1010</t>
        </is>
      </c>
      <c r="J531" s="12" t="inlineStr">
        <is>
          <t>Ø37 × 15 de alto, rosca M30x1,5, asiento Ø35</t>
        </is>
      </c>
      <c r="K531" s="25" t="inlineStr">
        <is>
          <t>Compra (en el conjunto)</t>
        </is>
      </c>
      <c r="L531" s="12" t="inlineStr">
        <is>
          <t>S4 - se compra terminado (tercerizado con sello IRAM)</t>
        </is>
      </c>
      <c r="M531" s="12" t="n"/>
      <c r="N531" s="25" t="inlineStr">
        <is>
          <t>P</t>
        </is>
      </c>
      <c r="O531" s="25" t="inlineStr">
        <is>
          <t>FL_DES_HCFC-HFC_5kg</t>
        </is>
      </c>
      <c r="P531" s="12" t="inlineStr">
        <is>
          <t>M30x1,5</t>
        </is>
      </c>
    </row>
    <row r="532">
      <c r="A532" s="25" t="inlineStr">
        <is>
          <t>FL_MAT_HCFC-HFC_5kg</t>
        </is>
      </c>
      <c r="B532" s="25" t="n">
        <v>2</v>
      </c>
      <c r="C532" s="25" t="inlineStr">
        <is>
          <t>HCFCHFC5-C1</t>
        </is>
      </c>
      <c r="D532" s="12" t="inlineStr">
        <is>
          <t xml:space="preserve">        Aporte de soldadura: Alambre MAG ER70S-6 Ø0,9/1,2</t>
        </is>
      </c>
      <c r="E532" s="25" t="n">
        <v>0.0571</v>
      </c>
      <c r="F532" s="25" t="inlineStr">
        <is>
          <t>kg</t>
        </is>
      </c>
      <c r="G532" s="26" t="n">
        <v>0.92</v>
      </c>
      <c r="H532" s="26">
        <f>E532*G532</f>
        <v/>
      </c>
      <c r="I532" s="25" t="inlineStr">
        <is>
          <t>Alambre MAG ER70S-6 Ø0,9/1,2</t>
        </is>
      </c>
      <c r="J532" s="12" t="inlineStr">
        <is>
          <t>cordones del plano: 53 g depositados (rend. 92 %)</t>
        </is>
      </c>
      <c r="K532" s="25" t="inlineStr">
        <is>
          <t>Compra</t>
        </is>
      </c>
      <c r="L532" s="12" t="inlineStr">
        <is>
          <t>4 sold. long. / 8 cuello / 11 circunferencial</t>
        </is>
      </c>
      <c r="M532" s="12" t="inlineStr">
        <is>
          <t>ISO 4063 131 / 141</t>
        </is>
      </c>
      <c r="N532" s="25" t="inlineStr">
        <is>
          <t>P</t>
        </is>
      </c>
      <c r="O532" s="25" t="n"/>
      <c r="P532" s="12" t="n"/>
    </row>
    <row r="533">
      <c r="A533" s="25" t="inlineStr">
        <is>
          <t>FL_MAT_HCFC-HFC_5kg</t>
        </is>
      </c>
      <c r="B533" s="25" t="n">
        <v>2</v>
      </c>
      <c r="C533" s="25" t="inlineStr">
        <is>
          <t>HCFCHFC5-C2</t>
        </is>
      </c>
      <c r="D533" s="12" t="inlineStr">
        <is>
          <t xml:space="preserve">        Gas de protección: Arcal 21 (Ar + 18 % CO₂)</t>
        </is>
      </c>
      <c r="E533" s="25" t="n">
        <v>25.7</v>
      </c>
      <c r="F533" s="25" t="inlineStr">
        <is>
          <t>L</t>
        </is>
      </c>
      <c r="G533" s="26" t="n"/>
      <c r="H533" s="26" t="n"/>
      <c r="I533" s="25" t="inlineStr">
        <is>
          <t>Arcal 21 (Ar + 18 % CO₂)</t>
        </is>
      </c>
      <c r="J533" s="12" t="inlineStr">
        <is>
          <t>1,7 min de arco × 15 L/min</t>
        </is>
      </c>
      <c r="K533" s="25" t="inlineStr">
        <is>
          <t>Compra</t>
        </is>
      </c>
      <c r="L533" s="12" t="inlineStr">
        <is>
          <t>Colector SC</t>
        </is>
      </c>
      <c r="M533" s="12" t="n"/>
      <c r="N533" s="25" t="inlineStr">
        <is>
          <t>R</t>
        </is>
      </c>
      <c r="O533" s="25" t="n"/>
      <c r="P533" s="12" t="n"/>
    </row>
    <row r="534">
      <c r="A534" s="25" t="inlineStr">
        <is>
          <t>FL_MAT_HCFC-HFC_5kg</t>
        </is>
      </c>
      <c r="B534" s="25" t="n">
        <v>2</v>
      </c>
      <c r="C534" s="25" t="inlineStr">
        <is>
          <t>HCFCHFC5-C3</t>
        </is>
      </c>
      <c r="D534" s="12" t="inlineStr">
        <is>
          <t xml:space="preserve">        Granalla de acero (consumo)</t>
        </is>
      </c>
      <c r="E534" s="25" t="n">
        <v>0.016</v>
      </c>
      <c r="F534" s="25" t="inlineStr">
        <is>
          <t>kg</t>
        </is>
      </c>
      <c r="G534" s="26" t="n"/>
      <c r="H534" s="26" t="n"/>
      <c r="I534" s="25" t="inlineStr">
        <is>
          <t>Granalla S-230</t>
        </is>
      </c>
      <c r="J534" s="12" t="inlineStr">
        <is>
          <t>0,198 m² a Sa 2½</t>
        </is>
      </c>
      <c r="K534" s="25" t="inlineStr">
        <is>
          <t>Compra</t>
        </is>
      </c>
      <c r="L534" s="12" t="inlineStr">
        <is>
          <t>14 Granallado (B08)</t>
        </is>
      </c>
      <c r="M534" s="12" t="inlineStr">
        <is>
          <t>ISO 8501-1</t>
        </is>
      </c>
      <c r="N534" s="25" t="inlineStr">
        <is>
          <t>R</t>
        </is>
      </c>
      <c r="O534" s="25" t="n"/>
      <c r="P534" s="12" t="n"/>
    </row>
    <row r="535">
      <c r="A535" s="25" t="inlineStr">
        <is>
          <t>FL_MAT_HCFC-HFC_5kg</t>
        </is>
      </c>
      <c r="B535" s="25" t="n">
        <v>2</v>
      </c>
      <c r="C535" s="25" t="inlineStr">
        <is>
          <t>HCFCHFC5-C4</t>
        </is>
      </c>
      <c r="D535" s="12" t="inlineStr">
        <is>
          <t xml:space="preserve">        Pintura en polvo poliéster rojo</t>
        </is>
      </c>
      <c r="E535" s="25" t="n">
        <v>0.037</v>
      </c>
      <c r="F535" s="25" t="inlineStr">
        <is>
          <t>kg</t>
        </is>
      </c>
      <c r="G535" s="26" t="n">
        <v>0.65</v>
      </c>
      <c r="H535" s="26">
        <f>E535*G535</f>
        <v/>
      </c>
      <c r="I535" s="25" t="inlineStr">
        <is>
          <t>Poliéster rojo 03-1-050</t>
        </is>
      </c>
      <c r="J535" s="12" t="inlineStr">
        <is>
          <t>0,198 m² × 80 µm (60-100 µm), rendimiento 65 %</t>
        </is>
      </c>
      <c r="K535" s="25" t="inlineStr">
        <is>
          <t>Compra</t>
        </is>
      </c>
      <c r="L535" s="12" t="inlineStr">
        <is>
          <t>17 Pintura (S-P) / tercerizada en carros</t>
        </is>
      </c>
      <c r="M535" s="12" t="inlineStr">
        <is>
          <t>DOC-01 · IRAM 3517-2 9.10</t>
        </is>
      </c>
      <c r="N535" s="25" t="inlineStr">
        <is>
          <t>R</t>
        </is>
      </c>
      <c r="O535" s="25" t="n"/>
      <c r="P535" s="12" t="n"/>
    </row>
    <row r="536">
      <c r="A536" s="22" t="inlineStr">
        <is>
          <t>FL_MAT_HCFC-HFC_5kg</t>
        </is>
      </c>
      <c r="B536" s="22" t="n">
        <v>1</v>
      </c>
      <c r="C536" s="22" t="inlineStr">
        <is>
          <t>HCFCHFC5-S2</t>
        </is>
      </c>
      <c r="D536" s="23" t="inlineStr">
        <is>
          <t xml:space="preserve">    Conjunto de válvula</t>
        </is>
      </c>
      <c r="E536" s="22" t="n">
        <v>1</v>
      </c>
      <c r="F536" s="22" t="inlineStr">
        <is>
          <t>u</t>
        </is>
      </c>
      <c r="G536" s="24" t="n"/>
      <c r="H536" s="24">
        <f>H537+H538+H539+H540+H541+H542+H543+H544+H545+H546+H547+H548+H549</f>
        <v/>
      </c>
      <c r="I536" s="22" t="n"/>
      <c r="J536" s="23" t="n"/>
      <c r="K536" s="22" t="inlineStr">
        <is>
          <t>Compra / armado</t>
        </is>
      </c>
      <c r="L536" s="23" t="n"/>
      <c r="M536" s="23" t="inlineStr">
        <is>
          <t>Manómetro IRAM 3533</t>
        </is>
      </c>
      <c r="N536" s="22" t="inlineStr">
        <is>
          <t>P</t>
        </is>
      </c>
      <c r="O536" s="22" t="inlineStr">
        <is>
          <t>FL_DES_HCFC-HFC_5kg</t>
        </is>
      </c>
      <c r="P536" s="23" t="n"/>
    </row>
    <row r="537">
      <c r="A537" s="25" t="inlineStr">
        <is>
          <t>FL_MAT_HCFC-HFC_5kg</t>
        </is>
      </c>
      <c r="B537" s="25" t="n">
        <v>2</v>
      </c>
      <c r="C537" s="25" t="inlineStr">
        <is>
          <t>HCFCHFC5-05</t>
        </is>
      </c>
      <c r="D537" s="12" t="inlineStr">
        <is>
          <t xml:space="preserve">        Collarín de válvula</t>
        </is>
      </c>
      <c r="E537" s="25" t="n">
        <v>1</v>
      </c>
      <c r="F537" s="25" t="inlineStr">
        <is>
          <t>u</t>
        </is>
      </c>
      <c r="G537" s="26" t="n">
        <v>0.0833</v>
      </c>
      <c r="H537" s="26">
        <f>E537*G537</f>
        <v/>
      </c>
      <c r="I537" s="25" t="inlineStr">
        <is>
          <t>Latón forjado</t>
        </is>
      </c>
      <c r="J537" s="12" t="inlineStr">
        <is>
          <t>43 × 43 × 10</t>
        </is>
      </c>
      <c r="K537" s="25" t="inlineStr">
        <is>
          <t>Compra (en el conjunto)</t>
        </is>
      </c>
      <c r="L537" s="12" t="inlineStr">
        <is>
          <t>S4 - se compra terminado (tercerizado con sello IRAM)</t>
        </is>
      </c>
      <c r="M537" s="12" t="n"/>
      <c r="N537" s="25" t="inlineStr">
        <is>
          <t>P</t>
        </is>
      </c>
      <c r="O537" s="25" t="inlineStr">
        <is>
          <t>FL_DES_HCFC-HFC_5kg</t>
        </is>
      </c>
      <c r="P537" s="12" t="n"/>
    </row>
    <row r="538">
      <c r="A538" s="25" t="inlineStr">
        <is>
          <t>FL_MAT_HCFC-HFC_5kg</t>
        </is>
      </c>
      <c r="B538" s="25" t="n">
        <v>2</v>
      </c>
      <c r="C538" s="25" t="inlineStr">
        <is>
          <t>HCFCHFC5-06</t>
        </is>
      </c>
      <c r="D538" s="12" t="inlineStr">
        <is>
          <t xml:space="preserve">        Espiga roscada</t>
        </is>
      </c>
      <c r="E538" s="25" t="n">
        <v>1</v>
      </c>
      <c r="F538" s="25" t="inlineStr">
        <is>
          <t>u</t>
        </is>
      </c>
      <c r="G538" s="26" t="n">
        <v>0.0243</v>
      </c>
      <c r="H538" s="26">
        <f>E538*G538</f>
        <v/>
      </c>
      <c r="I538" s="25" t="inlineStr">
        <is>
          <t>Latón forjado</t>
        </is>
      </c>
      <c r="J538" s="12" t="inlineStr">
        <is>
          <t>28,4 × 28,4 × 12</t>
        </is>
      </c>
      <c r="K538" s="25" t="inlineStr">
        <is>
          <t>Compra (en el conjunto)</t>
        </is>
      </c>
      <c r="L538" s="12" t="inlineStr">
        <is>
          <t>S4 - se compra terminado (tercerizado con sello IRAM)</t>
        </is>
      </c>
      <c r="M538" s="12" t="n"/>
      <c r="N538" s="25" t="inlineStr">
        <is>
          <t>P</t>
        </is>
      </c>
      <c r="O538" s="25" t="inlineStr">
        <is>
          <t>FL_DES_HCFC-HFC_5kg</t>
        </is>
      </c>
      <c r="P538" s="12" t="n"/>
    </row>
    <row r="539">
      <c r="A539" s="25" t="inlineStr">
        <is>
          <t>FL_MAT_HCFC-HFC_5kg</t>
        </is>
      </c>
      <c r="B539" s="25" t="n">
        <v>2</v>
      </c>
      <c r="C539" s="25" t="inlineStr">
        <is>
          <t>HCFCHFC5-07</t>
        </is>
      </c>
      <c r="D539" s="12" t="inlineStr">
        <is>
          <t xml:space="preserve">        Cuerpo de válvula</t>
        </is>
      </c>
      <c r="E539" s="25" t="n">
        <v>1</v>
      </c>
      <c r="F539" s="25" t="inlineStr">
        <is>
          <t>u</t>
        </is>
      </c>
      <c r="G539" s="26" t="n">
        <v>0.4131</v>
      </c>
      <c r="H539" s="26">
        <f>E539*G539</f>
        <v/>
      </c>
      <c r="I539" s="25" t="inlineStr">
        <is>
          <t>Latón forjado</t>
        </is>
      </c>
      <c r="J539" s="12" t="inlineStr">
        <is>
          <t>56,3 × 43 × 34</t>
        </is>
      </c>
      <c r="K539" s="25" t="inlineStr">
        <is>
          <t>Compra (en el conjunto)</t>
        </is>
      </c>
      <c r="L539" s="12" t="inlineStr">
        <is>
          <t>S4 - se compra terminado (tercerizado con sello IRAM)</t>
        </is>
      </c>
      <c r="M539" s="12" t="n"/>
      <c r="N539" s="25" t="inlineStr">
        <is>
          <t>P</t>
        </is>
      </c>
      <c r="O539" s="25" t="inlineStr">
        <is>
          <t>FL_DES_HCFC-HFC_5kg</t>
        </is>
      </c>
      <c r="P539" s="12" t="n"/>
    </row>
    <row r="540">
      <c r="A540" s="25" t="inlineStr">
        <is>
          <t>FL_MAT_HCFC-HFC_5kg</t>
        </is>
      </c>
      <c r="B540" s="25" t="n">
        <v>2</v>
      </c>
      <c r="C540" s="25" t="inlineStr">
        <is>
          <t>HCFCHFC5-08</t>
        </is>
      </c>
      <c r="D540" s="12" t="inlineStr">
        <is>
          <t xml:space="preserve">        Manómetro</t>
        </is>
      </c>
      <c r="E540" s="25" t="n">
        <v>1</v>
      </c>
      <c r="F540" s="25" t="inlineStr">
        <is>
          <t>u</t>
        </is>
      </c>
      <c r="G540" s="26" t="n">
        <v>0.06</v>
      </c>
      <c r="H540" s="26">
        <f>E540*G540</f>
        <v/>
      </c>
      <c r="I540" s="25" t="inlineStr">
        <is>
          <t>Comercial</t>
        </is>
      </c>
      <c r="J540" s="12" t="inlineStr">
        <is>
          <t>Ø38 esfera, rango 0-2 MPa, sector verde en 0,8</t>
        </is>
      </c>
      <c r="K540" s="25" t="inlineStr">
        <is>
          <t>Compra (en el conjunto)</t>
        </is>
      </c>
      <c r="L540" s="12" t="inlineStr">
        <is>
          <t>S4 - se compra terminado (tercerizado con sello IRAM)</t>
        </is>
      </c>
      <c r="M540" s="12" t="inlineStr">
        <is>
          <t>IRAM 3533</t>
        </is>
      </c>
      <c r="N540" s="25" t="inlineStr">
        <is>
          <t>R</t>
        </is>
      </c>
      <c r="O540" s="25" t="inlineStr">
        <is>
          <t>FL_DES_HCFC-HFC_5kg</t>
        </is>
      </c>
      <c r="P540" s="12" t="inlineStr">
        <is>
          <t>Pieza comercial; sello IRAM 3533</t>
        </is>
      </c>
    </row>
    <row r="541">
      <c r="A541" s="25" t="inlineStr">
        <is>
          <t>FL_MAT_HCFC-HFC_5kg</t>
        </is>
      </c>
      <c r="B541" s="25" t="n">
        <v>2</v>
      </c>
      <c r="C541" s="25" t="inlineStr">
        <is>
          <t>HCFCHFC5-09</t>
        </is>
      </c>
      <c r="D541" s="12" t="inlineStr">
        <is>
          <t xml:space="preserve">        Manija de transporte</t>
        </is>
      </c>
      <c r="E541" s="25" t="n">
        <v>1</v>
      </c>
      <c r="F541" s="25" t="inlineStr">
        <is>
          <t>u</t>
        </is>
      </c>
      <c r="G541" s="26" t="n">
        <v>0.0619</v>
      </c>
      <c r="H541" s="26">
        <f>E541*G541</f>
        <v/>
      </c>
      <c r="I541" s="25" t="inlineStr">
        <is>
          <t>Chapa acero SAE 1010 pintada</t>
        </is>
      </c>
      <c r="J541" s="12" t="inlineStr">
        <is>
          <t>98,4 × 20 × 14,3</t>
        </is>
      </c>
      <c r="K541" s="25" t="inlineStr">
        <is>
          <t>Compra (en el conjunto)</t>
        </is>
      </c>
      <c r="L541" s="12" t="inlineStr">
        <is>
          <t>S4 - se compra terminado (tercerizado con sello IRAM)</t>
        </is>
      </c>
      <c r="M541" s="12" t="n"/>
      <c r="N541" s="25" t="inlineStr">
        <is>
          <t>P</t>
        </is>
      </c>
      <c r="O541" s="25" t="inlineStr">
        <is>
          <t>FL_DES_HCFC-HFC_5kg</t>
        </is>
      </c>
      <c r="P541" s="12" t="n"/>
    </row>
    <row r="542">
      <c r="A542" s="25" t="inlineStr">
        <is>
          <t>FL_MAT_HCFC-HFC_5kg</t>
        </is>
      </c>
      <c r="B542" s="25" t="n">
        <v>2</v>
      </c>
      <c r="C542" s="25" t="inlineStr">
        <is>
          <t>HCFCHFC5-10</t>
        </is>
      </c>
      <c r="D542" s="12" t="inlineStr">
        <is>
          <t xml:space="preserve">        Manija de accionamiento</t>
        </is>
      </c>
      <c r="E542" s="25" t="n">
        <v>1</v>
      </c>
      <c r="F542" s="25" t="inlineStr">
        <is>
          <t>u</t>
        </is>
      </c>
      <c r="G542" s="26" t="n">
        <v>0.08890000000000001</v>
      </c>
      <c r="H542" s="26">
        <f>E542*G542</f>
        <v/>
      </c>
      <c r="I542" s="25" t="inlineStr">
        <is>
          <t>Chapa acero SAE 1010 pintada</t>
        </is>
      </c>
      <c r="J542" s="12" t="inlineStr">
        <is>
          <t>141 × 21,2 × 20</t>
        </is>
      </c>
      <c r="K542" s="25" t="inlineStr">
        <is>
          <t>Compra (en el conjunto)</t>
        </is>
      </c>
      <c r="L542" s="12" t="inlineStr">
        <is>
          <t>S4 - se compra terminado (tercerizado con sello IRAM)</t>
        </is>
      </c>
      <c r="M542" s="12" t="n"/>
      <c r="N542" s="25" t="inlineStr">
        <is>
          <t>P</t>
        </is>
      </c>
      <c r="O542" s="25" t="inlineStr">
        <is>
          <t>FL_DES_HCFC-HFC_5kg</t>
        </is>
      </c>
      <c r="P542" s="12" t="n"/>
    </row>
    <row r="543">
      <c r="A543" s="25" t="inlineStr">
        <is>
          <t>FL_MAT_HCFC-HFC_5kg</t>
        </is>
      </c>
      <c r="B543" s="25" t="n">
        <v>2</v>
      </c>
      <c r="C543" s="25" t="inlineStr">
        <is>
          <t>HCFCHFC5-11</t>
        </is>
      </c>
      <c r="D543" s="12" t="inlineStr">
        <is>
          <t xml:space="preserve">        Eje de palanca</t>
        </is>
      </c>
      <c r="E543" s="25" t="n">
        <v>1</v>
      </c>
      <c r="F543" s="25" t="inlineStr">
        <is>
          <t>u</t>
        </is>
      </c>
      <c r="G543" s="26" t="n">
        <v>0.0081</v>
      </c>
      <c r="H543" s="26">
        <f>E543*G543</f>
        <v/>
      </c>
      <c r="I543" s="25" t="inlineStr">
        <is>
          <t>Acero inox. AISI 304</t>
        </is>
      </c>
      <c r="J543" s="12" t="inlineStr">
        <is>
          <t>36 × 6 × 6</t>
        </is>
      </c>
      <c r="K543" s="25" t="inlineStr">
        <is>
          <t>Compra (en el conjunto)</t>
        </is>
      </c>
      <c r="L543" s="12" t="inlineStr">
        <is>
          <t>S4 - se compra terminado (tercerizado con sello IRAM)</t>
        </is>
      </c>
      <c r="M543" s="12" t="n"/>
      <c r="N543" s="25" t="inlineStr">
        <is>
          <t>P</t>
        </is>
      </c>
      <c r="O543" s="25" t="inlineStr">
        <is>
          <t>FL_DES_HCFC-HFC_5kg</t>
        </is>
      </c>
      <c r="P543" s="12" t="n"/>
    </row>
    <row r="544">
      <c r="A544" s="25" t="inlineStr">
        <is>
          <t>FL_MAT_HCFC-HFC_5kg</t>
        </is>
      </c>
      <c r="B544" s="25" t="n">
        <v>2</v>
      </c>
      <c r="C544" s="25" t="inlineStr">
        <is>
          <t>HCFCHFC5-12</t>
        </is>
      </c>
      <c r="D544" s="12" t="inlineStr">
        <is>
          <t xml:space="preserve">        Vástago</t>
        </is>
      </c>
      <c r="E544" s="25" t="n">
        <v>1</v>
      </c>
      <c r="F544" s="25" t="inlineStr">
        <is>
          <t>u</t>
        </is>
      </c>
      <c r="G544" s="26" t="n">
        <v>0.0017</v>
      </c>
      <c r="H544" s="26">
        <f>E544*G544</f>
        <v/>
      </c>
      <c r="I544" s="25" t="inlineStr">
        <is>
          <t>Latón</t>
        </is>
      </c>
      <c r="J544" s="12" t="inlineStr">
        <is>
          <t>8 × 8 × 4</t>
        </is>
      </c>
      <c r="K544" s="25" t="inlineStr">
        <is>
          <t>Compra (en el conjunto)</t>
        </is>
      </c>
      <c r="L544" s="12" t="inlineStr">
        <is>
          <t>S4 - se compra terminado (tercerizado con sello IRAM)</t>
        </is>
      </c>
      <c r="M544" s="12" t="n"/>
      <c r="N544" s="25" t="inlineStr">
        <is>
          <t>P</t>
        </is>
      </c>
      <c r="O544" s="25" t="inlineStr">
        <is>
          <t>FL_DES_HCFC-HFC_5kg</t>
        </is>
      </c>
      <c r="P544" s="12" t="inlineStr">
        <is>
          <t>con junta tórica</t>
        </is>
      </c>
    </row>
    <row r="545">
      <c r="A545" s="25" t="inlineStr">
        <is>
          <t>FL_MAT_HCFC-HFC_5kg</t>
        </is>
      </c>
      <c r="B545" s="25" t="n">
        <v>2</v>
      </c>
      <c r="C545" s="25" t="inlineStr">
        <is>
          <t>HCFCHFC5-13</t>
        </is>
      </c>
      <c r="D545" s="12" t="inlineStr">
        <is>
          <t xml:space="preserve">        Pasador de seguridad</t>
        </is>
      </c>
      <c r="E545" s="25" t="n">
        <v>1</v>
      </c>
      <c r="F545" s="25" t="inlineStr">
        <is>
          <t>u</t>
        </is>
      </c>
      <c r="G545" s="26" t="n">
        <v>0.0055</v>
      </c>
      <c r="H545" s="26">
        <f>E545*G545</f>
        <v/>
      </c>
      <c r="I545" s="25" t="inlineStr">
        <is>
          <t>Alambre acero inox. AISI 304</t>
        </is>
      </c>
      <c r="J545" s="12" t="inlineStr">
        <is>
          <t>45,4 × 21 × 20,8</t>
        </is>
      </c>
      <c r="K545" s="25" t="inlineStr">
        <is>
          <t>Compra (en el conjunto)</t>
        </is>
      </c>
      <c r="L545" s="12" t="inlineStr">
        <is>
          <t>S4 - se compra terminado (tercerizado con sello IRAM)</t>
        </is>
      </c>
      <c r="M545" s="12" t="n"/>
      <c r="N545" s="25" t="inlineStr">
        <is>
          <t>P</t>
        </is>
      </c>
      <c r="O545" s="25" t="inlineStr">
        <is>
          <t>FL_DES_HCFC-HFC_5kg</t>
        </is>
      </c>
      <c r="P545" s="12" t="inlineStr">
        <is>
          <t>con precinto</t>
        </is>
      </c>
    </row>
    <row r="546">
      <c r="A546" s="25" t="inlineStr">
        <is>
          <t>FL_MAT_HCFC-HFC_5kg</t>
        </is>
      </c>
      <c r="B546" s="25" t="n">
        <v>2</v>
      </c>
      <c r="C546" s="25" t="inlineStr">
        <is>
          <t>HCFCHFC5-14</t>
        </is>
      </c>
      <c r="D546" s="12" t="inlineStr">
        <is>
          <t xml:space="preserve">        Caño de pesca (sifón)</t>
        </is>
      </c>
      <c r="E546" s="25" t="n">
        <v>1</v>
      </c>
      <c r="F546" s="25" t="inlineStr">
        <is>
          <t>u</t>
        </is>
      </c>
      <c r="G546" s="26" t="n">
        <v>0.0244</v>
      </c>
      <c r="H546" s="26">
        <f>E546*G546</f>
        <v/>
      </c>
      <c r="I546" s="25" t="inlineStr">
        <is>
          <t>Tubo PVC rígido</t>
        </is>
      </c>
      <c r="J546" s="12" t="inlineStr">
        <is>
          <t>Ø12 × 352,4 de largo</t>
        </is>
      </c>
      <c r="K546" s="25" t="inlineStr">
        <is>
          <t>Compra (en el conjunto)</t>
        </is>
      </c>
      <c r="L546" s="12" t="inlineStr">
        <is>
          <t>S4 - se compra terminado (tercerizado con sello IRAM)</t>
        </is>
      </c>
      <c r="M546" s="12" t="n"/>
      <c r="N546" s="25" t="inlineStr">
        <is>
          <t>P</t>
        </is>
      </c>
      <c r="O546" s="25" t="inlineStr">
        <is>
          <t>FL_DES_HCFC-HFC_5kg</t>
        </is>
      </c>
      <c r="P546" s="12" t="n"/>
    </row>
    <row r="547">
      <c r="A547" s="25" t="inlineStr">
        <is>
          <t>FL_MAT_HCFC-HFC_5kg</t>
        </is>
      </c>
      <c r="B547" s="25" t="n">
        <v>2</v>
      </c>
      <c r="C547" s="25" t="inlineStr">
        <is>
          <t>HCFCHFC5-22</t>
        </is>
      </c>
      <c r="D547" s="12" t="inlineStr">
        <is>
          <t xml:space="preserve">        Junta tórica de asiento</t>
        </is>
      </c>
      <c r="E547" s="25" t="n">
        <v>1</v>
      </c>
      <c r="F547" s="25" t="inlineStr">
        <is>
          <t>u</t>
        </is>
      </c>
      <c r="G547" s="26" t="n">
        <v>0.001</v>
      </c>
      <c r="H547" s="26">
        <f>E547*G547</f>
        <v/>
      </c>
      <c r="I547" s="25" t="inlineStr">
        <is>
          <t>EPDM (compatible con HCFC/HFC)</t>
        </is>
      </c>
      <c r="J547" s="12" t="inlineStr">
        <is>
          <t>Ø31,4 ext. × cordón 3</t>
        </is>
      </c>
      <c r="K547" s="25" t="inlineStr">
        <is>
          <t>Compra (en el conjunto)</t>
        </is>
      </c>
      <c r="L547" s="12" t="inlineStr">
        <is>
          <t>S4 - se compra terminado (tercerizado con sello IRAM)</t>
        </is>
      </c>
      <c r="M547" s="12" t="n"/>
      <c r="N547" s="25" t="inlineStr">
        <is>
          <t>P</t>
        </is>
      </c>
      <c r="O547" s="25" t="inlineStr">
        <is>
          <t>FL_DES_HCFC-HFC_5kg</t>
        </is>
      </c>
      <c r="P547" s="12" t="inlineStr">
        <is>
          <t>cambio c/recarga</t>
        </is>
      </c>
    </row>
    <row r="548">
      <c r="A548" s="25" t="inlineStr">
        <is>
          <t>FL_MAT_HCFC-HFC_5kg</t>
        </is>
      </c>
      <c r="B548" s="25" t="n">
        <v>2</v>
      </c>
      <c r="C548" s="25" t="inlineStr">
        <is>
          <t>HCFCHFC5-V2</t>
        </is>
      </c>
      <c r="D548" s="12" t="inlineStr">
        <is>
          <t xml:space="preserve">        Resorte de retorno del vástago</t>
        </is>
      </c>
      <c r="E548" s="25" t="n">
        <v>1</v>
      </c>
      <c r="F548" s="25" t="inlineStr">
        <is>
          <t>u</t>
        </is>
      </c>
      <c r="G548" s="26" t="n">
        <v>0.003</v>
      </c>
      <c r="H548" s="26">
        <f>E548*G548</f>
        <v/>
      </c>
      <c r="I548" s="25" t="inlineStr">
        <is>
          <t>Alambre acero inox. AISI 302</t>
        </is>
      </c>
      <c r="J548" s="12" t="inlineStr">
        <is>
          <t>según válvula</t>
        </is>
      </c>
      <c r="K548" s="25" t="inlineStr">
        <is>
          <t>Compra</t>
        </is>
      </c>
      <c r="L548" s="12" t="inlineStr">
        <is>
          <t>19 Ensamblaje</t>
        </is>
      </c>
      <c r="M548" s="12" t="n"/>
      <c r="N548" s="25" t="inlineStr">
        <is>
          <t>R</t>
        </is>
      </c>
      <c r="O548" s="25" t="n"/>
      <c r="P548" s="12" t="n"/>
    </row>
    <row r="549">
      <c r="A549" s="25" t="inlineStr">
        <is>
          <t>FL_MAT_HCFC-HFC_5kg</t>
        </is>
      </c>
      <c r="B549" s="25" t="n">
        <v>2</v>
      </c>
      <c r="C549" s="25" t="inlineStr">
        <is>
          <t>HCFCHFC5-V3</t>
        </is>
      </c>
      <c r="D549" s="12" t="inlineStr">
        <is>
          <t xml:space="preserve">        Junta tórica del vástago</t>
        </is>
      </c>
      <c r="E549" s="25" t="n">
        <v>1</v>
      </c>
      <c r="F549" s="25" t="inlineStr">
        <is>
          <t>u</t>
        </is>
      </c>
      <c r="G549" s="26" t="n">
        <v>0.001</v>
      </c>
      <c r="H549" s="26">
        <f>E549*G549</f>
        <v/>
      </c>
      <c r="I549" s="25" t="inlineStr">
        <is>
          <t>NBR 70 Shore A</t>
        </is>
      </c>
      <c r="J549" s="12" t="inlineStr">
        <is>
          <t>según válvula</t>
        </is>
      </c>
      <c r="K549" s="25" t="inlineStr">
        <is>
          <t>Compra</t>
        </is>
      </c>
      <c r="L549" s="12" t="inlineStr">
        <is>
          <t>19 Ensamblaje</t>
        </is>
      </c>
      <c r="M549" s="12" t="n"/>
      <c r="N549" s="25" t="inlineStr">
        <is>
          <t>P</t>
        </is>
      </c>
      <c r="O549" s="25" t="n"/>
      <c r="P549" s="12" t="inlineStr">
        <is>
          <t>Figura en el plano como «vástago con junta tórica»</t>
        </is>
      </c>
    </row>
    <row r="550">
      <c r="A550" s="22" t="inlineStr">
        <is>
          <t>FL_MAT_HCFC-HFC_5kg</t>
        </is>
      </c>
      <c r="B550" s="22" t="n">
        <v>1</v>
      </c>
      <c r="C550" s="22" t="inlineStr">
        <is>
          <t>HCFCHFC5-S3</t>
        </is>
      </c>
      <c r="D550" s="23" t="inlineStr">
        <is>
          <t xml:space="preserve">    Dispositivo de descarga</t>
        </is>
      </c>
      <c r="E550" s="22" t="n">
        <v>1</v>
      </c>
      <c r="F550" s="22" t="inlineStr">
        <is>
          <t>u</t>
        </is>
      </c>
      <c r="G550" s="24" t="n"/>
      <c r="H550" s="24">
        <f>H551+H552+H553+H554</f>
        <v/>
      </c>
      <c r="I550" s="22" t="n"/>
      <c r="J550" s="23" t="n"/>
      <c r="K550" s="22" t="inlineStr">
        <is>
          <t>Compra / armado</t>
        </is>
      </c>
      <c r="L550" s="23" t="n"/>
      <c r="M550" s="23" t="n"/>
      <c r="N550" s="22" t="inlineStr">
        <is>
          <t>P</t>
        </is>
      </c>
      <c r="O550" s="22" t="inlineStr">
        <is>
          <t>FL_DES_HCFC-HFC_5kg</t>
        </is>
      </c>
      <c r="P550" s="23" t="n"/>
    </row>
    <row r="551">
      <c r="A551" s="25" t="inlineStr">
        <is>
          <t>FL_MAT_HCFC-HFC_5kg</t>
        </is>
      </c>
      <c r="B551" s="25" t="n">
        <v>2</v>
      </c>
      <c r="C551" s="25" t="inlineStr">
        <is>
          <t>HCFCHFC5-15</t>
        </is>
      </c>
      <c r="D551" s="12" t="inlineStr">
        <is>
          <t xml:space="preserve">        Racor de manguera</t>
        </is>
      </c>
      <c r="E551" s="25" t="n">
        <v>1</v>
      </c>
      <c r="F551" s="25" t="inlineStr">
        <is>
          <t>u</t>
        </is>
      </c>
      <c r="G551" s="26" t="n">
        <v>0.0258</v>
      </c>
      <c r="H551" s="26">
        <f>E551*G551</f>
        <v/>
      </c>
      <c r="I551" s="25" t="inlineStr">
        <is>
          <t>Latón</t>
        </is>
      </c>
      <c r="J551" s="12" t="inlineStr">
        <is>
          <t>18 × 18 × 12</t>
        </is>
      </c>
      <c r="K551" s="25" t="inlineStr">
        <is>
          <t>Compra (en el conjunto)</t>
        </is>
      </c>
      <c r="L551" s="12" t="inlineStr">
        <is>
          <t>S4 - se compra terminado (tercerizado con sello IRAM)</t>
        </is>
      </c>
      <c r="M551" s="12" t="n"/>
      <c r="N551" s="25" t="inlineStr">
        <is>
          <t>P</t>
        </is>
      </c>
      <c r="O551" s="25" t="inlineStr">
        <is>
          <t>FL_DES_HCFC-HFC_5kg</t>
        </is>
      </c>
      <c r="P551" s="12" t="n"/>
    </row>
    <row r="552">
      <c r="A552" s="25" t="inlineStr">
        <is>
          <t>FL_MAT_HCFC-HFC_5kg</t>
        </is>
      </c>
      <c r="B552" s="25" t="n">
        <v>2</v>
      </c>
      <c r="C552" s="25" t="inlineStr">
        <is>
          <t>HCFCHFC5-16</t>
        </is>
      </c>
      <c r="D552" s="12" t="inlineStr">
        <is>
          <t xml:space="preserve">        Manguera</t>
        </is>
      </c>
      <c r="E552" s="25" t="n">
        <v>1</v>
      </c>
      <c r="F552" s="25" t="inlineStr">
        <is>
          <t>u</t>
        </is>
      </c>
      <c r="G552" s="26" t="n">
        <v>0.046</v>
      </c>
      <c r="H552" s="26">
        <f>E552*G552</f>
        <v/>
      </c>
      <c r="I552" s="25" t="inlineStr">
        <is>
          <t>Caucho sintético</t>
        </is>
      </c>
      <c r="J552" s="12" t="inlineStr">
        <is>
          <t>Ø16 × 298 de largo desarrollado</t>
        </is>
      </c>
      <c r="K552" s="25" t="inlineStr">
        <is>
          <t>Compra (en el conjunto)</t>
        </is>
      </c>
      <c r="L552" s="12" t="inlineStr">
        <is>
          <t>S4 - se compra terminado (tercerizado con sello IRAM)</t>
        </is>
      </c>
      <c r="M552" s="12" t="n"/>
      <c r="N552" s="25" t="inlineStr">
        <is>
          <t>P</t>
        </is>
      </c>
      <c r="O552" s="25" t="inlineStr">
        <is>
          <t>FL_DES_HCFC-HFC_5kg</t>
        </is>
      </c>
      <c r="P552" s="12" t="n"/>
    </row>
    <row r="553">
      <c r="A553" s="25" t="inlineStr">
        <is>
          <t>FL_MAT_HCFC-HFC_5kg</t>
        </is>
      </c>
      <c r="B553" s="25" t="n">
        <v>2</v>
      </c>
      <c r="C553" s="25" t="inlineStr">
        <is>
          <t>HCFCHFC5-17</t>
        </is>
      </c>
      <c r="D553" s="12" t="inlineStr">
        <is>
          <t xml:space="preserve">        Tobera con portatobera</t>
        </is>
      </c>
      <c r="E553" s="25" t="n">
        <v>1</v>
      </c>
      <c r="F553" s="25" t="inlineStr">
        <is>
          <t>u</t>
        </is>
      </c>
      <c r="G553" s="26" t="n">
        <v>0.0166</v>
      </c>
      <c r="H553" s="26">
        <f>E553*G553</f>
        <v/>
      </c>
      <c r="I553" s="25" t="inlineStr">
        <is>
          <t>Polipropileno</t>
        </is>
      </c>
      <c r="J553" s="12" t="inlineStr">
        <is>
          <t>75 × 24 × 24</t>
        </is>
      </c>
      <c r="K553" s="25" t="inlineStr">
        <is>
          <t>Compra (en el conjunto)</t>
        </is>
      </c>
      <c r="L553" s="12" t="inlineStr">
        <is>
          <t>S4 - se compra terminado (tercerizado con sello IRAM)</t>
        </is>
      </c>
      <c r="M553" s="12" t="n"/>
      <c r="N553" s="25" t="inlineStr">
        <is>
          <t>P</t>
        </is>
      </c>
      <c r="O553" s="25" t="inlineStr">
        <is>
          <t>FL_DES_HCFC-HFC_5kg</t>
        </is>
      </c>
      <c r="P553" s="12" t="n"/>
    </row>
    <row r="554">
      <c r="A554" s="25" t="inlineStr">
        <is>
          <t>FL_MAT_HCFC-HFC_5kg</t>
        </is>
      </c>
      <c r="B554" s="25" t="n">
        <v>2</v>
      </c>
      <c r="C554" s="25" t="inlineStr">
        <is>
          <t>HCFCHFC5-18</t>
        </is>
      </c>
      <c r="D554" s="12" t="inlineStr">
        <is>
          <t xml:space="preserve">        Suncho portatobera</t>
        </is>
      </c>
      <c r="E554" s="25" t="n">
        <v>1</v>
      </c>
      <c r="F554" s="25" t="inlineStr">
        <is>
          <t>u</t>
        </is>
      </c>
      <c r="G554" s="26" t="n">
        <v>0.1319</v>
      </c>
      <c r="H554" s="26">
        <f>E554*G554</f>
        <v/>
      </c>
      <c r="I554" s="25" t="inlineStr">
        <is>
          <t>Fleje acero SAE 1010 pintado</t>
        </is>
      </c>
      <c r="J554" s="12" t="inlineStr">
        <is>
          <t>159,9 × 156 × 18</t>
        </is>
      </c>
      <c r="K554" s="25" t="inlineStr">
        <is>
          <t>Compra (en el conjunto)</t>
        </is>
      </c>
      <c r="L554" s="12" t="inlineStr">
        <is>
          <t>S4 - se compra terminado (tercerizado con sello IRAM)</t>
        </is>
      </c>
      <c r="M554" s="12" t="n"/>
      <c r="N554" s="25" t="inlineStr">
        <is>
          <t>P</t>
        </is>
      </c>
      <c r="O554" s="25" t="inlineStr">
        <is>
          <t>FL_DES_HCFC-HFC_5kg</t>
        </is>
      </c>
      <c r="P554" s="12" t="n"/>
    </row>
    <row r="555">
      <c r="A555" s="22" t="inlineStr">
        <is>
          <t>FL_MAT_HCFC-HFC_5kg</t>
        </is>
      </c>
      <c r="B555" s="22" t="n">
        <v>1</v>
      </c>
      <c r="C555" s="22" t="inlineStr">
        <is>
          <t>HCFCHFC5-S5</t>
        </is>
      </c>
      <c r="D555" s="23" t="inlineStr">
        <is>
          <t xml:space="preserve">    Carga: agente extintor y gas impulsor</t>
        </is>
      </c>
      <c r="E555" s="22" t="n">
        <v>1</v>
      </c>
      <c r="F555" s="22" t="inlineStr">
        <is>
          <t>u</t>
        </is>
      </c>
      <c r="G555" s="24" t="n"/>
      <c r="H555" s="24">
        <f>H556+H557</f>
        <v/>
      </c>
      <c r="I555" s="22" t="n"/>
      <c r="J555" s="23" t="n"/>
      <c r="K555" s="22" t="inlineStr">
        <is>
          <t>Compra</t>
        </is>
      </c>
      <c r="L555" s="23" t="n"/>
      <c r="M555" s="23" t="n"/>
      <c r="N555" s="22" t="n"/>
      <c r="O555" s="22" t="n"/>
      <c r="P555" s="23" t="n"/>
    </row>
    <row r="556">
      <c r="A556" s="25" t="inlineStr">
        <is>
          <t>FL_MAT_HCFC-HFC_5kg</t>
        </is>
      </c>
      <c r="B556" s="25" t="n">
        <v>2</v>
      </c>
      <c r="C556" s="25" t="inlineStr">
        <is>
          <t>HCFCHFC5-A1</t>
        </is>
      </c>
      <c r="D556" s="12" t="inlineStr">
        <is>
          <t xml:space="preserve">        HCFC 123 / HFC 236fa - HCFC-123 (Mezcla B) &gt; 93 %</t>
        </is>
      </c>
      <c r="E556" s="25" t="n">
        <v>5</v>
      </c>
      <c r="F556" s="25" t="inlineStr">
        <is>
          <t>kg</t>
        </is>
      </c>
      <c r="G556" s="26" t="n">
        <v>1</v>
      </c>
      <c r="H556" s="26">
        <f>E556*G556</f>
        <v/>
      </c>
      <c r="I556" s="25" t="inlineStr">
        <is>
          <t>HCFC 123 / HFC 236fa - HCFC-123 (Mezcla B) &gt; 93 %</t>
        </is>
      </c>
      <c r="J556" s="12" t="inlineStr">
        <is>
          <t>nominal 5 kg; tolerancia 0 / -3 % (IRAM 3517-2:2020 tabla 3)</t>
        </is>
      </c>
      <c r="K556" s="25" t="inlineStr">
        <is>
          <t>Compra</t>
        </is>
      </c>
      <c r="L556" s="12" t="inlineStr">
        <is>
          <t>SP-1 almacén previo a la carga</t>
        </is>
      </c>
      <c r="M556" s="12" t="inlineStr">
        <is>
          <t>IRAM 3526-1</t>
        </is>
      </c>
      <c r="N556" s="25" t="inlineStr">
        <is>
          <t>N</t>
        </is>
      </c>
      <c r="O556" s="25" t="n"/>
      <c r="P556" s="12" t="inlineStr">
        <is>
          <t>potencial -</t>
        </is>
      </c>
    </row>
    <row r="557">
      <c r="A557" s="25" t="inlineStr">
        <is>
          <t>FL_MAT_HCFC-HFC_5kg</t>
        </is>
      </c>
      <c r="B557" s="25" t="n">
        <v>2</v>
      </c>
      <c r="C557" s="25" t="inlineStr">
        <is>
          <t>HCFCHFC5-A2</t>
        </is>
      </c>
      <c r="D557" s="12" t="inlineStr">
        <is>
          <t xml:space="preserve">        Gas impulsor: Argón</t>
        </is>
      </c>
      <c r="E557" s="25" t="n">
        <v>0.0388</v>
      </c>
      <c r="F557" s="25" t="inlineStr">
        <is>
          <t>kg</t>
        </is>
      </c>
      <c r="G557" s="26" t="n">
        <v>1</v>
      </c>
      <c r="H557" s="26">
        <f>E557*G557</f>
        <v/>
      </c>
      <c r="I557" s="25" t="inlineStr">
        <is>
          <t>Argón</t>
        </is>
      </c>
      <c r="J557" s="12" t="inlineStr">
        <is>
          <t>21,7 L normales para 0,8 MPa a 20 °C en 2,62 dm³ libres</t>
        </is>
      </c>
      <c r="K557" s="25" t="inlineStr">
        <is>
          <t>Compra</t>
        </is>
      </c>
      <c r="L557" s="12" t="inlineStr">
        <is>
          <t>20 Presurización (T05) / C10</t>
        </is>
      </c>
      <c r="M557" s="12" t="inlineStr">
        <is>
          <t>IRAM 3517-2 9.4.9 (tabla 2) · IRAM 3523 2.3 y 3.10</t>
        </is>
      </c>
      <c r="N557" s="25" t="inlineStr">
        <is>
          <t>C</t>
        </is>
      </c>
      <c r="O557" s="25" t="n"/>
      <c r="P557" s="12" t="inlineStr">
        <is>
          <t>Batería en SP-1; punto de rocío ≤ -56,7 °C para gases limpios</t>
        </is>
      </c>
    </row>
    <row r="558">
      <c r="A558" s="22" t="inlineStr">
        <is>
          <t>FL_MAT_HCFC-HFC_5kg</t>
        </is>
      </c>
      <c r="B558" s="22" t="n">
        <v>1</v>
      </c>
      <c r="C558" s="22" t="inlineStr">
        <is>
          <t>HCFCHFC5-S6</t>
        </is>
      </c>
      <c r="D558" s="23" t="inlineStr">
        <is>
          <t xml:space="preserve">    Identificación y precinto</t>
        </is>
      </c>
      <c r="E558" s="22" t="n">
        <v>1</v>
      </c>
      <c r="F558" s="22" t="inlineStr">
        <is>
          <t>u</t>
        </is>
      </c>
      <c r="G558" s="24" t="n"/>
      <c r="H558" s="24">
        <f>H559+H560+H561+H562+H563</f>
        <v/>
      </c>
      <c r="I558" s="22" t="n"/>
      <c r="J558" s="23" t="n"/>
      <c r="K558" s="22" t="inlineStr">
        <is>
          <t>Compra</t>
        </is>
      </c>
      <c r="L558" s="23" t="inlineStr">
        <is>
          <t>22 Etiquetado (T07)</t>
        </is>
      </c>
      <c r="M558" s="23" t="n"/>
      <c r="N558" s="22" t="n"/>
      <c r="O558" s="22" t="n"/>
      <c r="P558" s="23" t="n"/>
    </row>
    <row r="559">
      <c r="A559" s="25" t="inlineStr">
        <is>
          <t>FL_MAT_HCFC-HFC_5kg</t>
        </is>
      </c>
      <c r="B559" s="25" t="n">
        <v>2</v>
      </c>
      <c r="C559" s="25" t="inlineStr">
        <is>
          <t>HCFCHFC5-19</t>
        </is>
      </c>
      <c r="D559" s="12" t="inlineStr">
        <is>
          <t xml:space="preserve">        Placa de características</t>
        </is>
      </c>
      <c r="E559" s="25" t="n">
        <v>1</v>
      </c>
      <c r="F559" s="25" t="inlineStr">
        <is>
          <t>u</t>
        </is>
      </c>
      <c r="G559" s="26" t="n">
        <v>0.008399999999999999</v>
      </c>
      <c r="H559" s="26">
        <f>E559*G559</f>
        <v/>
      </c>
      <c r="I559" s="25" t="inlineStr">
        <is>
          <t>Vinilo autoadhesivo laminado</t>
        </is>
      </c>
      <c r="J559" s="12" t="inlineStr">
        <is>
          <t>144 × 139 (desarrollo × alto), e ≈ 0,3</t>
        </is>
      </c>
      <c r="K559" s="25" t="inlineStr">
        <is>
          <t>Compra</t>
        </is>
      </c>
      <c r="L559" s="12" t="inlineStr">
        <is>
          <t>22 Etiquetado (T07)</t>
        </is>
      </c>
      <c r="M559" s="12" t="inlineStr">
        <is>
          <t>IRAM 3534 · IRAM 3504 cap. 5</t>
        </is>
      </c>
      <c r="N559" s="25" t="inlineStr">
        <is>
          <t>P</t>
        </is>
      </c>
      <c r="O559" s="25" t="inlineStr">
        <is>
          <t>FL_DES_HCFC-HFC_5kg</t>
        </is>
      </c>
      <c r="P559" s="12" t="inlineStr">
        <is>
          <t>IRAM 3534</t>
        </is>
      </c>
    </row>
    <row r="560">
      <c r="A560" s="25" t="inlineStr">
        <is>
          <t>FL_MAT_HCFC-HFC_5kg</t>
        </is>
      </c>
      <c r="B560" s="25" t="n">
        <v>2</v>
      </c>
      <c r="C560" s="25" t="inlineStr">
        <is>
          <t>HCFCHFC5-20</t>
        </is>
      </c>
      <c r="D560" s="12" t="inlineStr">
        <is>
          <t xml:space="preserve">        Oblea de fabricación (PBA)</t>
        </is>
      </c>
      <c r="E560" s="25" t="n">
        <v>1</v>
      </c>
      <c r="F560" s="25" t="inlineStr">
        <is>
          <t>u</t>
        </is>
      </c>
      <c r="G560" s="26" t="n">
        <v>0.0009</v>
      </c>
      <c r="H560" s="26">
        <f>E560*G560</f>
        <v/>
      </c>
      <c r="I560" s="25" t="inlineStr">
        <is>
          <t>Papel de seguridad autodestructible</t>
        </is>
      </c>
      <c r="J560" s="12" t="inlineStr">
        <is>
          <t>Ø46 (Res. OPDS 522/07), numerada, autodestructible</t>
        </is>
      </c>
      <c r="K560" s="25" t="inlineStr">
        <is>
          <t>Compra</t>
        </is>
      </c>
      <c r="L560" s="12" t="inlineStr">
        <is>
          <t>22 Etiquetado (T07)</t>
        </is>
      </c>
      <c r="M560" s="12" t="inlineStr">
        <is>
          <t>Res. OPDS 522/07 anexos 1, 2 y 6</t>
        </is>
      </c>
      <c r="N560" s="25" t="inlineStr">
        <is>
          <t>P</t>
        </is>
      </c>
      <c r="O560" s="25" t="inlineStr">
        <is>
          <t>FL_DES_HCFC-HFC_5kg</t>
        </is>
      </c>
      <c r="P560" s="12" t="inlineStr">
        <is>
          <t>Res. 522/07</t>
        </is>
      </c>
    </row>
    <row r="561">
      <c r="A561" s="25" t="inlineStr">
        <is>
          <t>FL_MAT_HCFC-HFC_5kg</t>
        </is>
      </c>
      <c r="B561" s="25" t="n">
        <v>2</v>
      </c>
      <c r="C561" s="25" t="inlineStr">
        <is>
          <t>HCFCHFC5-21</t>
        </is>
      </c>
      <c r="D561" s="12" t="inlineStr">
        <is>
          <t xml:space="preserve">        Estampilla IRAM de conformidad</t>
        </is>
      </c>
      <c r="E561" s="25" t="n">
        <v>1</v>
      </c>
      <c r="F561" s="25" t="inlineStr">
        <is>
          <t>u</t>
        </is>
      </c>
      <c r="G561" s="26" t="n">
        <v>0.001</v>
      </c>
      <c r="H561" s="26">
        <f>E561*G561</f>
        <v/>
      </c>
      <c r="I561" s="25" t="inlineStr">
        <is>
          <t>Provista por IRAM (Anexo R)</t>
        </is>
      </c>
      <c r="J561" s="12" t="inlineStr">
        <is>
          <t>60 × 40</t>
        </is>
      </c>
      <c r="K561" s="25" t="inlineStr">
        <is>
          <t>Compra</t>
        </is>
      </c>
      <c r="L561" s="12" t="inlineStr">
        <is>
          <t>22 Etiquetado (T07)</t>
        </is>
      </c>
      <c r="M561" s="12" t="inlineStr">
        <is>
          <t>IRAM Anexo R (DC-PG-129)</t>
        </is>
      </c>
      <c r="N561" s="25" t="inlineStr">
        <is>
          <t>P</t>
        </is>
      </c>
      <c r="O561" s="25" t="inlineStr">
        <is>
          <t>FL_DES_HCFC-HFC_5kg</t>
        </is>
      </c>
      <c r="P561" s="12" t="inlineStr">
        <is>
          <t>numerada</t>
        </is>
      </c>
    </row>
    <row r="562">
      <c r="A562" s="25" t="inlineStr">
        <is>
          <t>FL_MAT_HCFC-HFC_5kg</t>
        </is>
      </c>
      <c r="B562" s="25" t="n">
        <v>2</v>
      </c>
      <c r="C562" s="25" t="inlineStr">
        <is>
          <t>HCFCHFC5-23</t>
        </is>
      </c>
      <c r="D562" s="12" t="inlineStr">
        <is>
          <t xml:space="preserve">        Precinto de fábrica</t>
        </is>
      </c>
      <c r="E562" s="25" t="n">
        <v>1</v>
      </c>
      <c r="F562" s="25" t="inlineStr">
        <is>
          <t>u</t>
        </is>
      </c>
      <c r="G562" s="26" t="n">
        <v>0.0002</v>
      </c>
      <c r="H562" s="26">
        <f>E562*G562</f>
        <v/>
      </c>
      <c r="I562" s="25" t="inlineStr">
        <is>
          <t>Polipropileno</t>
        </is>
      </c>
      <c r="J562" s="12" t="inlineStr">
        <is>
          <t>Ø5 × 10, numerado, rotura 30-50 N</t>
        </is>
      </c>
      <c r="K562" s="25" t="inlineStr">
        <is>
          <t>Compra</t>
        </is>
      </c>
      <c r="L562" s="12" t="inlineStr">
        <is>
          <t>20 Presurización (T05)</t>
        </is>
      </c>
      <c r="M562" s="12" t="inlineStr">
        <is>
          <t>IRAM 3523 3.3.2 · IRAM 3517-2:2020 9.4.13</t>
        </is>
      </c>
      <c r="N562" s="25" t="inlineStr">
        <is>
          <t>P</t>
        </is>
      </c>
      <c r="O562" s="25" t="inlineStr">
        <is>
          <t>FL_DES_HCFC-HFC_5kg</t>
        </is>
      </c>
      <c r="P562" s="12" t="inlineStr">
        <is>
          <t>id. FLAMA y lote</t>
        </is>
      </c>
    </row>
    <row r="563">
      <c r="A563" s="25" t="inlineStr">
        <is>
          <t>FL_MAT_HCFC-HFC_5kg</t>
        </is>
      </c>
      <c r="B563" s="25" t="n">
        <v>2</v>
      </c>
      <c r="C563" s="25" t="inlineStr">
        <is>
          <t>HCFCHFC5-I3</t>
        </is>
      </c>
      <c r="D563" s="12" t="inlineStr">
        <is>
          <t xml:space="preserve">        Tarjeta oficial de vigencia (CABA)</t>
        </is>
      </c>
      <c r="E563" s="25" t="n">
        <v>1</v>
      </c>
      <c r="F563" s="25" t="inlineStr">
        <is>
          <t>u</t>
        </is>
      </c>
      <c r="G563" s="26" t="n">
        <v>0.002</v>
      </c>
      <c r="H563" s="26">
        <f>E563*G563</f>
        <v/>
      </c>
      <c r="I563" s="25" t="inlineStr">
        <is>
          <t>Formulario oficial</t>
        </is>
      </c>
      <c r="J563" s="12" t="inlineStr">
        <is>
          <t>provista por DG Rentas GCBA</t>
        </is>
      </c>
      <c r="K563" s="25" t="inlineStr">
        <is>
          <t>Compra</t>
        </is>
      </c>
      <c r="L563" s="12" t="inlineStr">
        <is>
          <t>22 Etiquetado</t>
        </is>
      </c>
      <c r="M563" s="12" t="inlineStr">
        <is>
          <t>Ordenanza 40.473 art. 6</t>
        </is>
      </c>
      <c r="N563" s="25" t="inlineStr">
        <is>
          <t>N</t>
        </is>
      </c>
      <c r="O563" s="25" t="n"/>
      <c r="P563" s="12" t="inlineStr">
        <is>
          <t>Clase, capacidad, fecha de carga y vencimiento, garantía; se anexa al matafuego (no se dibuja)</t>
        </is>
      </c>
    </row>
    <row r="564">
      <c r="A564" s="22" t="inlineStr">
        <is>
          <t>FL_MAT_HCFC-HFC_5kg</t>
        </is>
      </c>
      <c r="B564" s="22" t="n">
        <v>1</v>
      </c>
      <c r="C564" s="22" t="inlineStr">
        <is>
          <t>HCFCHFC5-S8</t>
        </is>
      </c>
      <c r="D564" s="23" t="inlineStr">
        <is>
          <t xml:space="preserve">    Soporte (accesorio de montaje)</t>
        </is>
      </c>
      <c r="E564" s="22" t="n">
        <v>1</v>
      </c>
      <c r="F564" s="22" t="inlineStr">
        <is>
          <t>u</t>
        </is>
      </c>
      <c r="G564" s="24" t="n"/>
      <c r="H564" s="24">
        <f>H565+H566</f>
        <v/>
      </c>
      <c r="I564" s="22" t="n"/>
      <c r="J564" s="23" t="n"/>
      <c r="K564" s="22" t="inlineStr">
        <is>
          <t>Compra</t>
        </is>
      </c>
      <c r="L564" s="23" t="inlineStr">
        <is>
          <t>23 Embalaje (va dentro de la caja)</t>
        </is>
      </c>
      <c r="M564" s="23" t="inlineStr">
        <is>
          <t>IRAM 3517-2 7.4</t>
        </is>
      </c>
      <c r="N564" s="22" t="n"/>
      <c r="O564" s="22" t="n"/>
      <c r="P564" s="23" t="n"/>
    </row>
    <row r="565">
      <c r="A565" s="25" t="inlineStr">
        <is>
          <t>FL_MAT_HCFC-HFC_5kg</t>
        </is>
      </c>
      <c r="B565" s="25" t="n">
        <v>2</v>
      </c>
      <c r="C565" s="25" t="inlineStr">
        <is>
          <t>HCFCHFC5-I5</t>
        </is>
      </c>
      <c r="D565" s="12" t="inlineStr">
        <is>
          <t xml:space="preserve">        Soporte de pared (FL_ACC_01)</t>
        </is>
      </c>
      <c r="E565" s="25" t="n">
        <v>1</v>
      </c>
      <c r="F565" s="25" t="inlineStr">
        <is>
          <t>u</t>
        </is>
      </c>
      <c r="G565" s="26" t="n">
        <v>0.29</v>
      </c>
      <c r="H565" s="26">
        <f>E565*G565</f>
        <v/>
      </c>
      <c r="I565" s="25" t="inlineStr">
        <is>
          <t>Chapa acero SAE 1010 e=2 pintada</t>
        </is>
      </c>
      <c r="J565" s="12" t="inlineStr">
        <is>
          <t>placa 60 × 180, ala con ranura Ø cuello + 3</t>
        </is>
      </c>
      <c r="K565" s="25" t="inlineStr">
        <is>
          <t>Compra</t>
        </is>
      </c>
      <c r="L565" s="12" t="inlineStr">
        <is>
          <t>23 Embalaje</t>
        </is>
      </c>
      <c r="M565" s="12" t="inlineStr">
        <is>
          <t>IRAM 3517-2 7.4</t>
        </is>
      </c>
      <c r="N565" s="25" t="inlineStr">
        <is>
          <t>P</t>
        </is>
      </c>
      <c r="O565" s="25" t="inlineStr">
        <is>
          <t>FL_ACC_01</t>
        </is>
      </c>
      <c r="P565" s="12" t="n"/>
    </row>
    <row r="566">
      <c r="A566" s="25" t="inlineStr">
        <is>
          <t>FL_MAT_HCFC-HFC_5kg</t>
        </is>
      </c>
      <c r="B566" s="25" t="n">
        <v>2</v>
      </c>
      <c r="C566" s="25" t="inlineStr">
        <is>
          <t>HCFCHFC5-I6</t>
        </is>
      </c>
      <c r="D566" s="12" t="inlineStr">
        <is>
          <t xml:space="preserve">        Tornillo y tarugo de fijación</t>
        </is>
      </c>
      <c r="E566" s="25" t="n">
        <v>2</v>
      </c>
      <c r="F566" s="25" t="inlineStr">
        <is>
          <t>u</t>
        </is>
      </c>
      <c r="G566" s="26" t="n">
        <v>0.01</v>
      </c>
      <c r="H566" s="26">
        <f>E566*G566</f>
        <v/>
      </c>
      <c r="I566" s="25" t="inlineStr">
        <is>
          <t>Acero cincado / nylon</t>
        </is>
      </c>
      <c r="J566" s="12" t="inlineStr">
        <is>
          <t>M6 × 50 + tarugo 8</t>
        </is>
      </c>
      <c r="K566" s="25" t="inlineStr">
        <is>
          <t>Compra</t>
        </is>
      </c>
      <c r="L566" s="12" t="inlineStr">
        <is>
          <t>23 Embalaje</t>
        </is>
      </c>
      <c r="M566" s="12" t="n"/>
      <c r="N566" s="25" t="inlineStr">
        <is>
          <t>R</t>
        </is>
      </c>
      <c r="O566" s="25" t="n"/>
      <c r="P566" s="12" t="n"/>
    </row>
    <row r="567">
      <c r="A567" s="25" t="inlineStr">
        <is>
          <t>FL_MAT_HCFC-HFC_5kg</t>
        </is>
      </c>
      <c r="B567" s="25" t="n">
        <v>2</v>
      </c>
      <c r="C567" s="25" t="inlineStr">
        <is>
          <t>HCFCHFC5-I8</t>
        </is>
      </c>
      <c r="D567" s="12" t="inlineStr">
        <is>
          <t xml:space="preserve">        Soporte opcional (pared o vehicular, según pedido)</t>
        </is>
      </c>
      <c r="E567" s="25" t="n">
        <v>0</v>
      </c>
      <c r="F567" s="25" t="inlineStr">
        <is>
          <t>u</t>
        </is>
      </c>
      <c r="G567" s="26" t="n"/>
      <c r="H567" s="26" t="n"/>
      <c r="I567" s="25" t="inlineStr">
        <is>
          <t>-</t>
        </is>
      </c>
      <c r="J567" s="12" t="inlineStr">
        <is>
          <t>-</t>
        </is>
      </c>
      <c r="K567" s="25" t="inlineStr">
        <is>
          <t>Compra</t>
        </is>
      </c>
      <c r="L567" s="12" t="n"/>
      <c r="M567" s="12" t="n"/>
      <c r="N567" s="25" t="inlineStr">
        <is>
          <t>C</t>
        </is>
      </c>
      <c r="O567" s="25" t="n"/>
      <c r="P567" s="12" t="inlineStr">
        <is>
          <t>Sólo si el pedido lo incluye</t>
        </is>
      </c>
    </row>
    <row r="568">
      <c r="A568" s="22" t="inlineStr">
        <is>
          <t>FL_MAT_HCFC-HFC_5kg</t>
        </is>
      </c>
      <c r="B568" s="22" t="n">
        <v>1</v>
      </c>
      <c r="C568" s="22" t="inlineStr">
        <is>
          <t>HCFCHFC5-S7</t>
        </is>
      </c>
      <c r="D568" s="23" t="inlineStr">
        <is>
          <t xml:space="preserve">    Embalaje</t>
        </is>
      </c>
      <c r="E568" s="22" t="n">
        <v>1</v>
      </c>
      <c r="F568" s="22" t="inlineStr">
        <is>
          <t>u</t>
        </is>
      </c>
      <c r="G568" s="24" t="n"/>
      <c r="H568" s="24">
        <f>H569+H570+H571+H572+H573</f>
        <v/>
      </c>
      <c r="I568" s="22" t="n"/>
      <c r="J568" s="23" t="n"/>
      <c r="K568" s="22" t="inlineStr">
        <is>
          <t>Compra</t>
        </is>
      </c>
      <c r="L568" s="23" t="inlineStr">
        <is>
          <t>23 Embalaje -&gt; 24 envolvedora (T11)</t>
        </is>
      </c>
      <c r="M568" s="23" t="n"/>
      <c r="N568" s="22" t="n"/>
      <c r="O568" s="22" t="n"/>
      <c r="P568" s="23" t="n"/>
    </row>
    <row r="569">
      <c r="A569" s="25" t="inlineStr">
        <is>
          <t>FL_MAT_HCFC-HFC_5kg</t>
        </is>
      </c>
      <c r="B569" s="25" t="n">
        <v>2</v>
      </c>
      <c r="C569" s="25" t="inlineStr">
        <is>
          <t>HCFCHFC5-E1</t>
        </is>
      </c>
      <c r="D569" s="12" t="inlineStr">
        <is>
          <t xml:space="preserve">        Caja de cartón corrugado simple</t>
        </is>
      </c>
      <c r="E569" s="25" t="n">
        <v>1</v>
      </c>
      <c r="F569" s="25" t="inlineStr">
        <is>
          <t>u</t>
        </is>
      </c>
      <c r="G569" s="26" t="n">
        <v>0.25</v>
      </c>
      <c r="H569" s="26">
        <f>E569*G569</f>
        <v/>
      </c>
      <c r="I569" s="25" t="inlineStr">
        <is>
          <t>Cartón corrugado</t>
        </is>
      </c>
      <c r="J569" s="12" t="inlineStr">
        <is>
          <t>255 × 186 × 500 interior</t>
        </is>
      </c>
      <c r="K569" s="25" t="inlineStr">
        <is>
          <t>Compra</t>
        </is>
      </c>
      <c r="L569" s="12" t="inlineStr">
        <is>
          <t>23 Embalaje</t>
        </is>
      </c>
      <c r="M569" s="12" t="n"/>
      <c r="N569" s="25" t="inlineStr">
        <is>
          <t>R</t>
        </is>
      </c>
      <c r="O569" s="25" t="n"/>
      <c r="P569" s="12" t="n"/>
    </row>
    <row r="570">
      <c r="A570" s="25" t="inlineStr">
        <is>
          <t>FL_MAT_HCFC-HFC_5kg</t>
        </is>
      </c>
      <c r="B570" s="25" t="n">
        <v>2</v>
      </c>
      <c r="C570" s="25" t="inlineStr">
        <is>
          <t>HCFCHFC5-E2</t>
        </is>
      </c>
      <c r="D570" s="12" t="inlineStr">
        <is>
          <t xml:space="preserve">        Instructivo de uso y mantenimiento</t>
        </is>
      </c>
      <c r="E570" s="25" t="n">
        <v>1</v>
      </c>
      <c r="F570" s="25" t="inlineStr">
        <is>
          <t>u</t>
        </is>
      </c>
      <c r="G570" s="26" t="n">
        <v>0.01</v>
      </c>
      <c r="H570" s="26">
        <f>E570*G570</f>
        <v/>
      </c>
      <c r="I570" s="25" t="inlineStr">
        <is>
          <t>Papel</t>
        </is>
      </c>
      <c r="J570" s="12" t="inlineStr">
        <is>
          <t>A5</t>
        </is>
      </c>
      <c r="K570" s="25" t="inlineStr">
        <is>
          <t>Compra</t>
        </is>
      </c>
      <c r="L570" s="12" t="inlineStr">
        <is>
          <t>23 Embalaje</t>
        </is>
      </c>
      <c r="M570" s="12" t="inlineStr">
        <is>
          <t>IRAM 3517-2 (información al usuario)</t>
        </is>
      </c>
      <c r="N570" s="25" t="inlineStr">
        <is>
          <t>R</t>
        </is>
      </c>
      <c r="O570" s="25" t="n"/>
      <c r="P570" s="12" t="n"/>
    </row>
    <row r="571">
      <c r="A571" s="25" t="inlineStr">
        <is>
          <t>FL_MAT_HCFC-HFC_5kg</t>
        </is>
      </c>
      <c r="B571" s="25" t="n">
        <v>2</v>
      </c>
      <c r="C571" s="25" t="inlineStr">
        <is>
          <t>HCFCHFC5-E3</t>
        </is>
      </c>
      <c r="D571" s="12" t="inlineStr">
        <is>
          <t xml:space="preserve">        Pallet 1200 × 1000 (fracción)</t>
        </is>
      </c>
      <c r="E571" s="25" t="n">
        <v>0.025</v>
      </c>
      <c r="F571" s="25" t="inlineStr">
        <is>
          <t>u</t>
        </is>
      </c>
      <c r="G571" s="26" t="n">
        <v>0.55</v>
      </c>
      <c r="H571" s="26">
        <f>E571*G571</f>
        <v/>
      </c>
      <c r="I571" s="25" t="inlineStr">
        <is>
          <t>Madera</t>
        </is>
      </c>
      <c r="J571" s="12" t="inlineStr">
        <is>
          <t>40 u por pallet</t>
        </is>
      </c>
      <c r="K571" s="25" t="inlineStr">
        <is>
          <t>Compra</t>
        </is>
      </c>
      <c r="L571" s="12" t="inlineStr">
        <is>
          <t>23 Embalaje</t>
        </is>
      </c>
      <c r="M571" s="12" t="n"/>
      <c r="N571" s="25" t="inlineStr">
        <is>
          <t>R</t>
        </is>
      </c>
      <c r="O571" s="25" t="n"/>
      <c r="P571" s="12" t="n"/>
    </row>
    <row r="572">
      <c r="A572" s="25" t="inlineStr">
        <is>
          <t>FL_MAT_HCFC-HFC_5kg</t>
        </is>
      </c>
      <c r="B572" s="25" t="n">
        <v>2</v>
      </c>
      <c r="C572" s="25" t="inlineStr">
        <is>
          <t>HCFCHFC5-E4</t>
        </is>
      </c>
      <c r="D572" s="12" t="inlineStr">
        <is>
          <t xml:space="preserve">        Film stretch (fracción del pallet)</t>
        </is>
      </c>
      <c r="E572" s="25" t="n">
        <v>0.008699999999999999</v>
      </c>
      <c r="F572" s="25" t="inlineStr">
        <is>
          <t>kg</t>
        </is>
      </c>
      <c r="G572" s="26" t="n">
        <v>1</v>
      </c>
      <c r="H572" s="26">
        <f>E572*G572</f>
        <v/>
      </c>
      <c r="I572" s="25" t="inlineStr">
        <is>
          <t>PE lineal 23 µm</t>
        </is>
      </c>
      <c r="J572" s="12" t="inlineStr">
        <is>
          <t>envolvedora EDOS PS5</t>
        </is>
      </c>
      <c r="K572" s="25" t="inlineStr">
        <is>
          <t>Compra</t>
        </is>
      </c>
      <c r="L572" s="12" t="inlineStr">
        <is>
          <t>24 Envolvedora (T11)</t>
        </is>
      </c>
      <c r="M572" s="12" t="n"/>
      <c r="N572" s="25" t="inlineStr">
        <is>
          <t>R</t>
        </is>
      </c>
      <c r="O572" s="25" t="n"/>
      <c r="P572" s="12" t="n"/>
    </row>
    <row r="573">
      <c r="A573" s="25" t="inlineStr">
        <is>
          <t>FL_MAT_HCFC-HFC_5kg</t>
        </is>
      </c>
      <c r="B573" s="25" t="n">
        <v>2</v>
      </c>
      <c r="C573" s="25" t="inlineStr">
        <is>
          <t>HCFCHFC5-E5</t>
        </is>
      </c>
      <c r="D573" s="12" t="inlineStr">
        <is>
          <t xml:space="preserve">        Etiqueta de pallet (lote y destino, fracción)</t>
        </is>
      </c>
      <c r="E573" s="25" t="n">
        <v>0.025</v>
      </c>
      <c r="F573" s="25" t="inlineStr">
        <is>
          <t>u</t>
        </is>
      </c>
      <c r="G573" s="26" t="n">
        <v>0</v>
      </c>
      <c r="H573" s="26">
        <f>E573*G573</f>
        <v/>
      </c>
      <c r="I573" s="25" t="inlineStr">
        <is>
          <t>Papel térmico</t>
        </is>
      </c>
      <c r="J573" s="12" t="inlineStr">
        <is>
          <t>100 × 150</t>
        </is>
      </c>
      <c r="K573" s="25" t="inlineStr">
        <is>
          <t>Compra</t>
        </is>
      </c>
      <c r="L573" s="12" t="inlineStr">
        <is>
          <t>24 Envolvedora</t>
        </is>
      </c>
      <c r="M573" s="12" t="n"/>
      <c r="N573" s="25" t="inlineStr">
        <is>
          <t>R</t>
        </is>
      </c>
      <c r="O573" s="25" t="n"/>
      <c r="P573" s="12" t="n"/>
    </row>
    <row r="574">
      <c r="A574" s="19" t="inlineStr">
        <is>
          <t>FL_MAT_CLASED_9l</t>
        </is>
      </c>
      <c r="B574" s="19" t="n">
        <v>0</v>
      </c>
      <c r="C574" s="19" t="inlineStr">
        <is>
          <t>FL_MAT_CLASED_9l</t>
        </is>
      </c>
      <c r="D574" s="20" t="inlineStr">
        <is>
          <t>Extintor Clase D 9 l</t>
        </is>
      </c>
      <c r="E574" s="19" t="n">
        <v>1</v>
      </c>
      <c r="F574" s="19" t="inlineStr">
        <is>
          <t>u</t>
        </is>
      </c>
      <c r="G574" s="21" t="n"/>
      <c r="H574" s="21" t="n"/>
      <c r="I574" s="19" t="n"/>
      <c r="J574" s="20" t="n"/>
      <c r="K574" s="19" t="n"/>
      <c r="L574" s="20" t="n"/>
      <c r="M574" s="20" t="inlineStr">
        <is>
          <t>IRAM 3523</t>
        </is>
      </c>
      <c r="N574" s="19" t="inlineStr">
        <is>
          <t>P</t>
        </is>
      </c>
      <c r="O574" s="19" t="inlineStr">
        <is>
          <t>FL_MAT_CLASED_9l</t>
        </is>
      </c>
      <c r="P574" s="20" t="inlineStr">
        <is>
          <t>Fabricación propia</t>
        </is>
      </c>
    </row>
    <row r="575">
      <c r="A575" s="22" t="inlineStr">
        <is>
          <t>FL_MAT_CLASED_9l</t>
        </is>
      </c>
      <c r="B575" s="22" t="n">
        <v>1</v>
      </c>
      <c r="C575" s="22" t="inlineStr">
        <is>
          <t>CLASED9-S1</t>
        </is>
      </c>
      <c r="D575" s="23" t="inlineStr">
        <is>
          <t xml:space="preserve">    Recipiente (cilindro)</t>
        </is>
      </c>
      <c r="E575" s="22" t="n">
        <v>1</v>
      </c>
      <c r="F575" s="22" t="inlineStr">
        <is>
          <t>u</t>
        </is>
      </c>
      <c r="G575" s="24" t="n"/>
      <c r="H575" s="24">
        <f>H576+H577+H578+H579+H581+H584</f>
        <v/>
      </c>
      <c r="I575" s="22" t="n"/>
      <c r="J575" s="23" t="n"/>
      <c r="K575" s="22" t="inlineStr">
        <is>
          <t>Fabricación</t>
        </is>
      </c>
      <c r="L575" s="23" t="n"/>
      <c r="M575" s="23" t="inlineStr">
        <is>
          <t>IRAM 3523 / 3550 (recipiente)</t>
        </is>
      </c>
      <c r="N575" s="22" t="inlineStr">
        <is>
          <t>P</t>
        </is>
      </c>
      <c r="O575" s="22" t="inlineStr">
        <is>
          <t>FL_DES_CLASED_9l</t>
        </is>
      </c>
      <c r="P575" s="23" t="n"/>
    </row>
    <row r="576">
      <c r="A576" s="25" t="inlineStr">
        <is>
          <t>FL_MAT_CLASED_9l</t>
        </is>
      </c>
      <c r="B576" s="25" t="n">
        <v>2</v>
      </c>
      <c r="C576" s="25" t="inlineStr">
        <is>
          <t>CLASED9-01</t>
        </is>
      </c>
      <c r="D576" s="12" t="inlineStr">
        <is>
          <t xml:space="preserve">        Cuerpo (virola)</t>
        </is>
      </c>
      <c r="E576" s="25" t="n">
        <v>1</v>
      </c>
      <c r="F576" s="25" t="inlineStr">
        <is>
          <t>u</t>
        </is>
      </c>
      <c r="G576" s="26" t="n">
        <v>4.3132</v>
      </c>
      <c r="H576" s="26">
        <f>E576*G576</f>
        <v/>
      </c>
      <c r="I576" s="25" t="inlineStr">
        <is>
          <t>Chapa acero SAE 1010 e=2</t>
        </is>
      </c>
      <c r="J576" s="12" t="inlineStr">
        <is>
          <t>Ø181,5 × e2 × 487,2 de alto; desarrollo 563,9 × 487,2</t>
        </is>
      </c>
      <c r="K576" s="25" t="inlineStr">
        <is>
          <t>Fabricación</t>
        </is>
      </c>
      <c r="L576" s="12" t="inlineStr">
        <is>
          <t>1 Guillotina -&gt; 2 numerado -&gt; 3 cilindrado -&gt; 4 soldadura longitudinal</t>
        </is>
      </c>
      <c r="M576" s="12" t="n"/>
      <c r="N576" s="25" t="inlineStr">
        <is>
          <t>P</t>
        </is>
      </c>
      <c r="O576" s="25" t="inlineStr">
        <is>
          <t>FL_DES_CLASED_9l</t>
        </is>
      </c>
      <c r="P576" s="12" t="inlineStr">
        <is>
          <t>costura long. MIG</t>
        </is>
      </c>
    </row>
    <row r="577">
      <c r="A577" s="25" t="inlineStr">
        <is>
          <t>FL_MAT_CLASED_9l</t>
        </is>
      </c>
      <c r="B577" s="25" t="n">
        <v>2</v>
      </c>
      <c r="C577" s="25" t="inlineStr">
        <is>
          <t>CLASED9-02</t>
        </is>
      </c>
      <c r="D577" s="12" t="inlineStr">
        <is>
          <t xml:space="preserve">        Cúpula</t>
        </is>
      </c>
      <c r="E577" s="25" t="n">
        <v>1</v>
      </c>
      <c r="F577" s="25" t="inlineStr">
        <is>
          <t>u</t>
        </is>
      </c>
      <c r="G577" s="26" t="n">
        <v>0.4871</v>
      </c>
      <c r="H577" s="26">
        <f>E577*G577</f>
        <v/>
      </c>
      <c r="I577" s="25" t="inlineStr">
        <is>
          <t>Chapa acero SAE 1010 e=1,6</t>
        </is>
      </c>
      <c r="J577" s="12" t="inlineStr">
        <is>
          <t>Ø181,5 × e1,6 × 61,3 de alto; disco Ø228,9</t>
        </is>
      </c>
      <c r="K577" s="25" t="inlineStr">
        <is>
          <t>Fabricación</t>
        </is>
      </c>
      <c r="L577" s="12" t="inlineStr">
        <is>
          <t>6 Desbobinado + embutido (M06-M08)</t>
        </is>
      </c>
      <c r="M577" s="12" t="n"/>
      <c r="N577" s="25" t="inlineStr">
        <is>
          <t>P</t>
        </is>
      </c>
      <c r="O577" s="25" t="inlineStr">
        <is>
          <t>FL_DES_CLASED_9l</t>
        </is>
      </c>
      <c r="P577" s="12" t="inlineStr">
        <is>
          <t>embutida</t>
        </is>
      </c>
    </row>
    <row r="578">
      <c r="A578" s="25" t="inlineStr">
        <is>
          <t>FL_MAT_CLASED_9l</t>
        </is>
      </c>
      <c r="B578" s="25" t="n">
        <v>2</v>
      </c>
      <c r="C578" s="25" t="inlineStr">
        <is>
          <t>CLASED9-03</t>
        </is>
      </c>
      <c r="D578" s="12" t="inlineStr">
        <is>
          <t xml:space="preserve">        Fondo</t>
        </is>
      </c>
      <c r="E578" s="25" t="n">
        <v>1</v>
      </c>
      <c r="F578" s="25" t="inlineStr">
        <is>
          <t>u</t>
        </is>
      </c>
      <c r="G578" s="26" t="n">
        <v>0.3885</v>
      </c>
      <c r="H578" s="26">
        <f>E578*G578</f>
        <v/>
      </c>
      <c r="I578" s="25" t="inlineStr">
        <is>
          <t>Chapa acero SAE 1010 e=2</t>
        </is>
      </c>
      <c r="J578" s="12" t="inlineStr">
        <is>
          <t>Ø181,5 × e2 × 13,7 de alto; disco Ø182,8</t>
        </is>
      </c>
      <c r="K578" s="25" t="inlineStr">
        <is>
          <t>Fabricación</t>
        </is>
      </c>
      <c r="L578" s="12" t="inlineStr">
        <is>
          <t>6 Desbobinado + embutido (M06-M08)</t>
        </is>
      </c>
      <c r="M578" s="12" t="n"/>
      <c r="N578" s="25" t="inlineStr">
        <is>
          <t>P</t>
        </is>
      </c>
      <c r="O578" s="25" t="inlineStr">
        <is>
          <t>FL_DES_CLASED_9l</t>
        </is>
      </c>
      <c r="P578" s="12" t="inlineStr">
        <is>
          <t>embutido</t>
        </is>
      </c>
    </row>
    <row r="579">
      <c r="A579" s="25" t="inlineStr">
        <is>
          <t>FL_MAT_CLASED_9l</t>
        </is>
      </c>
      <c r="B579" s="25" t="n">
        <v>2</v>
      </c>
      <c r="C579" s="25" t="inlineStr">
        <is>
          <t>CLASED9-04</t>
        </is>
      </c>
      <c r="D579" s="12" t="inlineStr">
        <is>
          <t xml:space="preserve">        Cuello roscado</t>
        </is>
      </c>
      <c r="E579" s="25" t="n">
        <v>1</v>
      </c>
      <c r="F579" s="25" t="inlineStr">
        <is>
          <t>u</t>
        </is>
      </c>
      <c r="G579" s="26" t="n">
        <v>0.0542</v>
      </c>
      <c r="H579" s="26">
        <f>E579*G579</f>
        <v/>
      </c>
      <c r="I579" s="25" t="inlineStr">
        <is>
          <t>Acero SAE 1010</t>
        </is>
      </c>
      <c r="J579" s="12" t="inlineStr">
        <is>
          <t>Ø36,8 × 14 de alto, rosca M30x1,5, asiento Ø35</t>
        </is>
      </c>
      <c r="K579" s="25" t="inlineStr">
        <is>
          <t>Fabricación</t>
        </is>
      </c>
      <c r="L579" s="12" t="inlineStr">
        <is>
          <t>7 Preparación de cuello -&gt; 8 soldadura de cuello</t>
        </is>
      </c>
      <c r="M579" s="12" t="n"/>
      <c r="N579" s="25" t="inlineStr">
        <is>
          <t>P</t>
        </is>
      </c>
      <c r="O579" s="25" t="inlineStr">
        <is>
          <t>FL_DES_CLASED_9l</t>
        </is>
      </c>
      <c r="P579" s="12" t="inlineStr">
        <is>
          <t>M30x1,5</t>
        </is>
      </c>
    </row>
    <row r="580">
      <c r="A580" s="27" t="inlineStr">
        <is>
          <t>FL_MAT_CLASED_9l</t>
        </is>
      </c>
      <c r="B580" s="27" t="n">
        <v>3</v>
      </c>
      <c r="C580" s="27" t="inlineStr">
        <is>
          <t>MP-CUELLO</t>
        </is>
      </c>
      <c r="D580" s="28" t="inlineStr">
        <is>
          <t xml:space="preserve">            Cuello roscado mecanizado (pieza comprada lista para soldar)</t>
        </is>
      </c>
      <c r="E580" s="27" t="n">
        <v>1</v>
      </c>
      <c r="F580" s="27" t="inlineStr">
        <is>
          <t>u</t>
        </is>
      </c>
      <c r="G580" s="29" t="n">
        <v>0.054</v>
      </c>
      <c r="H580" s="29">
        <f>E580*G580</f>
        <v/>
      </c>
      <c r="I580" s="27" t="inlineStr">
        <is>
          <t>Acero SAE 1010 / 1020</t>
        </is>
      </c>
      <c r="J580" s="28" t="inlineStr">
        <is>
          <t>rosca M30x1,5</t>
        </is>
      </c>
      <c r="K580" s="27" t="inlineStr">
        <is>
          <t>Compra (Eli-Met)</t>
        </is>
      </c>
      <c r="L580" s="28" t="inlineStr">
        <is>
          <t>AL-1C cuellos y roscas</t>
        </is>
      </c>
      <c r="M580" s="28" t="n"/>
      <c r="N580" s="27" t="inlineStr">
        <is>
          <t>L</t>
        </is>
      </c>
      <c r="O580" s="27" t="n"/>
      <c r="P580" s="28" t="n"/>
    </row>
    <row r="581">
      <c r="A581" s="25" t="inlineStr">
        <is>
          <t>FL_MAT_CLASED_9l</t>
        </is>
      </c>
      <c r="B581" s="25" t="n">
        <v>2</v>
      </c>
      <c r="C581" s="25" t="inlineStr">
        <is>
          <t>CLASED9-C1</t>
        </is>
      </c>
      <c r="D581" s="12" t="inlineStr">
        <is>
          <t xml:space="preserve">        Aporte de soldadura: Alambre MAG ER70S-6 Ø0,9/1,2</t>
        </is>
      </c>
      <c r="E581" s="25" t="n">
        <v>0.1019</v>
      </c>
      <c r="F581" s="25" t="inlineStr">
        <is>
          <t>kg</t>
        </is>
      </c>
      <c r="G581" s="26" t="n">
        <v>0.92</v>
      </c>
      <c r="H581" s="26">
        <f>E581*G581</f>
        <v/>
      </c>
      <c r="I581" s="25" t="inlineStr">
        <is>
          <t>Alambre MAG ER70S-6 Ø0,9/1,2</t>
        </is>
      </c>
      <c r="J581" s="12" t="inlineStr">
        <is>
          <t>cordones del plano: 94 g depositados (rend. 92 %)</t>
        </is>
      </c>
      <c r="K581" s="25" t="inlineStr">
        <is>
          <t>Compra</t>
        </is>
      </c>
      <c r="L581" s="12" t="inlineStr">
        <is>
          <t>4 sold. long. / 8 cuello / 11 circunferencial</t>
        </is>
      </c>
      <c r="M581" s="12" t="inlineStr">
        <is>
          <t>ISO 4063 131 / 141</t>
        </is>
      </c>
      <c r="N581" s="25" t="inlineStr">
        <is>
          <t>P</t>
        </is>
      </c>
      <c r="O581" s="25" t="n"/>
      <c r="P581" s="12" t="n"/>
    </row>
    <row r="582">
      <c r="A582" s="25" t="inlineStr">
        <is>
          <t>FL_MAT_CLASED_9l</t>
        </is>
      </c>
      <c r="B582" s="25" t="n">
        <v>2</v>
      </c>
      <c r="C582" s="25" t="inlineStr">
        <is>
          <t>CLASED9-C2</t>
        </is>
      </c>
      <c r="D582" s="12" t="inlineStr">
        <is>
          <t xml:space="preserve">        Gas de protección: Arcal 21 (Ar + 18 % CO₂)</t>
        </is>
      </c>
      <c r="E582" s="25" t="n">
        <v>45.8</v>
      </c>
      <c r="F582" s="25" t="inlineStr">
        <is>
          <t>L</t>
        </is>
      </c>
      <c r="G582" s="26" t="n"/>
      <c r="H582" s="26" t="n"/>
      <c r="I582" s="25" t="inlineStr">
        <is>
          <t>Arcal 21 (Ar + 18 % CO₂)</t>
        </is>
      </c>
      <c r="J582" s="12" t="inlineStr">
        <is>
          <t>3,1 min de arco × 15 L/min</t>
        </is>
      </c>
      <c r="K582" s="25" t="inlineStr">
        <is>
          <t>Compra</t>
        </is>
      </c>
      <c r="L582" s="12" t="inlineStr">
        <is>
          <t>Colector SC</t>
        </is>
      </c>
      <c r="M582" s="12" t="n"/>
      <c r="N582" s="25" t="inlineStr">
        <is>
          <t>R</t>
        </is>
      </c>
      <c r="O582" s="25" t="n"/>
      <c r="P582" s="12" t="n"/>
    </row>
    <row r="583">
      <c r="A583" s="25" t="inlineStr">
        <is>
          <t>FL_MAT_CLASED_9l</t>
        </is>
      </c>
      <c r="B583" s="25" t="n">
        <v>2</v>
      </c>
      <c r="C583" s="25" t="inlineStr">
        <is>
          <t>CLASED9-C3</t>
        </is>
      </c>
      <c r="D583" s="12" t="inlineStr">
        <is>
          <t xml:space="preserve">        Granalla de acero (consumo)</t>
        </is>
      </c>
      <c r="E583" s="25" t="n">
        <v>0.027</v>
      </c>
      <c r="F583" s="25" t="inlineStr">
        <is>
          <t>kg</t>
        </is>
      </c>
      <c r="G583" s="26" t="n"/>
      <c r="H583" s="26" t="n"/>
      <c r="I583" s="25" t="inlineStr">
        <is>
          <t>Granalla S-230</t>
        </is>
      </c>
      <c r="J583" s="12" t="inlineStr">
        <is>
          <t>0,338 m² a Sa 2½</t>
        </is>
      </c>
      <c r="K583" s="25" t="inlineStr">
        <is>
          <t>Compra</t>
        </is>
      </c>
      <c r="L583" s="12" t="inlineStr">
        <is>
          <t>14 Granallado (B08)</t>
        </is>
      </c>
      <c r="M583" s="12" t="inlineStr">
        <is>
          <t>ISO 8501-1</t>
        </is>
      </c>
      <c r="N583" s="25" t="inlineStr">
        <is>
          <t>R</t>
        </is>
      </c>
      <c r="O583" s="25" t="n"/>
      <c r="P583" s="12" t="n"/>
    </row>
    <row r="584">
      <c r="A584" s="25" t="inlineStr">
        <is>
          <t>FL_MAT_CLASED_9l</t>
        </is>
      </c>
      <c r="B584" s="25" t="n">
        <v>2</v>
      </c>
      <c r="C584" s="25" t="inlineStr">
        <is>
          <t>CLASED9-C4</t>
        </is>
      </c>
      <c r="D584" s="12" t="inlineStr">
        <is>
          <t xml:space="preserve">        Pintura en polvo poliéster rojo</t>
        </is>
      </c>
      <c r="E584" s="25" t="n">
        <v>0.063</v>
      </c>
      <c r="F584" s="25" t="inlineStr">
        <is>
          <t>kg</t>
        </is>
      </c>
      <c r="G584" s="26" t="n">
        <v>0.65</v>
      </c>
      <c r="H584" s="26">
        <f>E584*G584</f>
        <v/>
      </c>
      <c r="I584" s="25" t="inlineStr">
        <is>
          <t>Poliéster rojo 03-1-050</t>
        </is>
      </c>
      <c r="J584" s="12" t="inlineStr">
        <is>
          <t>0,338 m² × 80 µm (60-100 µm), rendimiento 65 %</t>
        </is>
      </c>
      <c r="K584" s="25" t="inlineStr">
        <is>
          <t>Compra</t>
        </is>
      </c>
      <c r="L584" s="12" t="inlineStr">
        <is>
          <t>17 Pintura (S-P) / tercerizada en carros</t>
        </is>
      </c>
      <c r="M584" s="12" t="inlineStr">
        <is>
          <t>DOC-01 · IRAM 3517-2 9.10</t>
        </is>
      </c>
      <c r="N584" s="25" t="inlineStr">
        <is>
          <t>R</t>
        </is>
      </c>
      <c r="O584" s="25" t="n"/>
      <c r="P584" s="12" t="n"/>
    </row>
    <row r="585">
      <c r="A585" s="22" t="inlineStr">
        <is>
          <t>FL_MAT_CLASED_9l</t>
        </is>
      </c>
      <c r="B585" s="22" t="n">
        <v>1</v>
      </c>
      <c r="C585" s="22" t="inlineStr">
        <is>
          <t>CLASED9-S2</t>
        </is>
      </c>
      <c r="D585" s="23" t="inlineStr">
        <is>
          <t xml:space="preserve">    Conjunto de válvula</t>
        </is>
      </c>
      <c r="E585" s="22" t="n">
        <v>1</v>
      </c>
      <c r="F585" s="22" t="inlineStr">
        <is>
          <t>u</t>
        </is>
      </c>
      <c r="G585" s="24" t="n"/>
      <c r="H585" s="24">
        <f>H586+H587+H588+H589+H590+H591+H592+H593+H594+H595+H596+H597+H598</f>
        <v/>
      </c>
      <c r="I585" s="22" t="n"/>
      <c r="J585" s="23" t="n"/>
      <c r="K585" s="22" t="inlineStr">
        <is>
          <t>Compra / armado</t>
        </is>
      </c>
      <c r="L585" s="23" t="n"/>
      <c r="M585" s="23" t="inlineStr">
        <is>
          <t>Manómetro IRAM 3533</t>
        </is>
      </c>
      <c r="N585" s="22" t="inlineStr">
        <is>
          <t>P</t>
        </is>
      </c>
      <c r="O585" s="22" t="inlineStr">
        <is>
          <t>FL_DES_CLASED_9l</t>
        </is>
      </c>
      <c r="P585" s="23" t="n"/>
    </row>
    <row r="586">
      <c r="A586" s="25" t="inlineStr">
        <is>
          <t>FL_MAT_CLASED_9l</t>
        </is>
      </c>
      <c r="B586" s="25" t="n">
        <v>2</v>
      </c>
      <c r="C586" s="25" t="inlineStr">
        <is>
          <t>CLASED9-05</t>
        </is>
      </c>
      <c r="D586" s="12" t="inlineStr">
        <is>
          <t xml:space="preserve">        Collarín de válvula</t>
        </is>
      </c>
      <c r="E586" s="25" t="n">
        <v>1</v>
      </c>
      <c r="F586" s="25" t="inlineStr">
        <is>
          <t>u</t>
        </is>
      </c>
      <c r="G586" s="26" t="n">
        <v>0.08210000000000001</v>
      </c>
      <c r="H586" s="26">
        <f>E586*G586</f>
        <v/>
      </c>
      <c r="I586" s="25" t="inlineStr">
        <is>
          <t>Latón forjado</t>
        </is>
      </c>
      <c r="J586" s="12" t="inlineStr">
        <is>
          <t>42,8 × 42,8 × 10</t>
        </is>
      </c>
      <c r="K586" s="25" t="inlineStr">
        <is>
          <t>Compra</t>
        </is>
      </c>
      <c r="L586" s="12" t="inlineStr">
        <is>
          <t>19 Ensamblaje de válvula (T03/T04)</t>
        </is>
      </c>
      <c r="M586" s="12" t="n"/>
      <c r="N586" s="25" t="inlineStr">
        <is>
          <t>P</t>
        </is>
      </c>
      <c r="O586" s="25" t="inlineStr">
        <is>
          <t>FL_DES_CLASED_9l</t>
        </is>
      </c>
      <c r="P586" s="12" t="n"/>
    </row>
    <row r="587">
      <c r="A587" s="25" t="inlineStr">
        <is>
          <t>FL_MAT_CLASED_9l</t>
        </is>
      </c>
      <c r="B587" s="25" t="n">
        <v>2</v>
      </c>
      <c r="C587" s="25" t="inlineStr">
        <is>
          <t>CLASED9-06</t>
        </is>
      </c>
      <c r="D587" s="12" t="inlineStr">
        <is>
          <t xml:space="preserve">        Espiga roscada</t>
        </is>
      </c>
      <c r="E587" s="25" t="n">
        <v>1</v>
      </c>
      <c r="F587" s="25" t="inlineStr">
        <is>
          <t>u</t>
        </is>
      </c>
      <c r="G587" s="26" t="n">
        <v>0.0243</v>
      </c>
      <c r="H587" s="26">
        <f>E587*G587</f>
        <v/>
      </c>
      <c r="I587" s="25" t="inlineStr">
        <is>
          <t>Latón forjado</t>
        </is>
      </c>
      <c r="J587" s="12" t="inlineStr">
        <is>
          <t>28,4 × 28,4 × 12</t>
        </is>
      </c>
      <c r="K587" s="25" t="inlineStr">
        <is>
          <t>Compra</t>
        </is>
      </c>
      <c r="L587" s="12" t="inlineStr">
        <is>
          <t>19 Ensamblaje de válvula (T03/T04)</t>
        </is>
      </c>
      <c r="M587" s="12" t="n"/>
      <c r="N587" s="25" t="inlineStr">
        <is>
          <t>P</t>
        </is>
      </c>
      <c r="O587" s="25" t="inlineStr">
        <is>
          <t>FL_DES_CLASED_9l</t>
        </is>
      </c>
      <c r="P587" s="12" t="n"/>
    </row>
    <row r="588">
      <c r="A588" s="25" t="inlineStr">
        <is>
          <t>FL_MAT_CLASED_9l</t>
        </is>
      </c>
      <c r="B588" s="25" t="n">
        <v>2</v>
      </c>
      <c r="C588" s="25" t="inlineStr">
        <is>
          <t>CLASED9-07</t>
        </is>
      </c>
      <c r="D588" s="12" t="inlineStr">
        <is>
          <t xml:space="preserve">        Cuerpo de válvula</t>
        </is>
      </c>
      <c r="E588" s="25" t="n">
        <v>1</v>
      </c>
      <c r="F588" s="25" t="inlineStr">
        <is>
          <t>u</t>
        </is>
      </c>
      <c r="G588" s="26" t="n">
        <v>0.4487</v>
      </c>
      <c r="H588" s="26">
        <f>E588*G588</f>
        <v/>
      </c>
      <c r="I588" s="25" t="inlineStr">
        <is>
          <t>Latón forjado</t>
        </is>
      </c>
      <c r="J588" s="12" t="inlineStr">
        <is>
          <t>61,4 × 43 × 34</t>
        </is>
      </c>
      <c r="K588" s="25" t="inlineStr">
        <is>
          <t>Compra</t>
        </is>
      </c>
      <c r="L588" s="12" t="inlineStr">
        <is>
          <t>19 Ensamblaje de válvula (T03/T04)</t>
        </is>
      </c>
      <c r="M588" s="12" t="n"/>
      <c r="N588" s="25" t="inlineStr">
        <is>
          <t>P</t>
        </is>
      </c>
      <c r="O588" s="25" t="inlineStr">
        <is>
          <t>FL_DES_CLASED_9l</t>
        </is>
      </c>
      <c r="P588" s="12" t="n"/>
    </row>
    <row r="589">
      <c r="A589" s="25" t="inlineStr">
        <is>
          <t>FL_MAT_CLASED_9l</t>
        </is>
      </c>
      <c r="B589" s="25" t="n">
        <v>2</v>
      </c>
      <c r="C589" s="25" t="inlineStr">
        <is>
          <t>CLASED9-08</t>
        </is>
      </c>
      <c r="D589" s="12" t="inlineStr">
        <is>
          <t xml:space="preserve">        Manómetro</t>
        </is>
      </c>
      <c r="E589" s="25" t="n">
        <v>1</v>
      </c>
      <c r="F589" s="25" t="inlineStr">
        <is>
          <t>u</t>
        </is>
      </c>
      <c r="G589" s="26" t="n">
        <v>0.06</v>
      </c>
      <c r="H589" s="26">
        <f>E589*G589</f>
        <v/>
      </c>
      <c r="I589" s="25" t="inlineStr">
        <is>
          <t>Comercial</t>
        </is>
      </c>
      <c r="J589" s="12" t="inlineStr">
        <is>
          <t>Ø38 esfera, rango 0-3,5 MPa, sector verde en 1,4</t>
        </is>
      </c>
      <c r="K589" s="25" t="inlineStr">
        <is>
          <t>Compra</t>
        </is>
      </c>
      <c r="L589" s="12" t="inlineStr">
        <is>
          <t>19 Ensamblaje de válvula (T03/T04)</t>
        </is>
      </c>
      <c r="M589" s="12" t="inlineStr">
        <is>
          <t>IRAM 3533</t>
        </is>
      </c>
      <c r="N589" s="25" t="inlineStr">
        <is>
          <t>R</t>
        </is>
      </c>
      <c r="O589" s="25" t="inlineStr">
        <is>
          <t>FL_DES_CLASED_9l</t>
        </is>
      </c>
      <c r="P589" s="12" t="inlineStr">
        <is>
          <t>Pieza comercial; sello IRAM 3533</t>
        </is>
      </c>
    </row>
    <row r="590">
      <c r="A590" s="25" t="inlineStr">
        <is>
          <t>FL_MAT_CLASED_9l</t>
        </is>
      </c>
      <c r="B590" s="25" t="n">
        <v>2</v>
      </c>
      <c r="C590" s="25" t="inlineStr">
        <is>
          <t>CLASED9-09</t>
        </is>
      </c>
      <c r="D590" s="12" t="inlineStr">
        <is>
          <t xml:space="preserve">        Manija de transporte</t>
        </is>
      </c>
      <c r="E590" s="25" t="n">
        <v>1</v>
      </c>
      <c r="F590" s="25" t="inlineStr">
        <is>
          <t>u</t>
        </is>
      </c>
      <c r="G590" s="26" t="n">
        <v>0.0459</v>
      </c>
      <c r="H590" s="26">
        <f>E590*G590</f>
        <v/>
      </c>
      <c r="I590" s="25" t="inlineStr">
        <is>
          <t>Chapa acero SAE 1010 pintada</t>
        </is>
      </c>
      <c r="J590" s="12" t="inlineStr">
        <is>
          <t>73,1 × 20 × 11,6</t>
        </is>
      </c>
      <c r="K590" s="25" t="inlineStr">
        <is>
          <t>Compra</t>
        </is>
      </c>
      <c r="L590" s="12" t="inlineStr">
        <is>
          <t>19 Ensamblaje de válvula (T03/T04)</t>
        </is>
      </c>
      <c r="M590" s="12" t="n"/>
      <c r="N590" s="25" t="inlineStr">
        <is>
          <t>P</t>
        </is>
      </c>
      <c r="O590" s="25" t="inlineStr">
        <is>
          <t>FL_DES_CLASED_9l</t>
        </is>
      </c>
      <c r="P590" s="12" t="n"/>
    </row>
    <row r="591">
      <c r="A591" s="25" t="inlineStr">
        <is>
          <t>FL_MAT_CLASED_9l</t>
        </is>
      </c>
      <c r="B591" s="25" t="n">
        <v>2</v>
      </c>
      <c r="C591" s="25" t="inlineStr">
        <is>
          <t>CLASED9-10</t>
        </is>
      </c>
      <c r="D591" s="12" t="inlineStr">
        <is>
          <t xml:space="preserve">        Manija de accionamiento</t>
        </is>
      </c>
      <c r="E591" s="25" t="n">
        <v>1</v>
      </c>
      <c r="F591" s="25" t="inlineStr">
        <is>
          <t>u</t>
        </is>
      </c>
      <c r="G591" s="26" t="n">
        <v>0.07290000000000001</v>
      </c>
      <c r="H591" s="26">
        <f>E591*G591</f>
        <v/>
      </c>
      <c r="I591" s="25" t="inlineStr">
        <is>
          <t>Chapa acero SAE 1010 pintada</t>
        </is>
      </c>
      <c r="J591" s="12" t="inlineStr">
        <is>
          <t>115,7 × 20 × 18,1</t>
        </is>
      </c>
      <c r="K591" s="25" t="inlineStr">
        <is>
          <t>Compra</t>
        </is>
      </c>
      <c r="L591" s="12" t="inlineStr">
        <is>
          <t>19 Ensamblaje de válvula (T03/T04)</t>
        </is>
      </c>
      <c r="M591" s="12" t="n"/>
      <c r="N591" s="25" t="inlineStr">
        <is>
          <t>P</t>
        </is>
      </c>
      <c r="O591" s="25" t="inlineStr">
        <is>
          <t>FL_DES_CLASED_9l</t>
        </is>
      </c>
      <c r="P591" s="12" t="n"/>
    </row>
    <row r="592">
      <c r="A592" s="25" t="inlineStr">
        <is>
          <t>FL_MAT_CLASED_9l</t>
        </is>
      </c>
      <c r="B592" s="25" t="n">
        <v>2</v>
      </c>
      <c r="C592" s="25" t="inlineStr">
        <is>
          <t>CLASED9-11</t>
        </is>
      </c>
      <c r="D592" s="12" t="inlineStr">
        <is>
          <t xml:space="preserve">        Eje de palanca</t>
        </is>
      </c>
      <c r="E592" s="25" t="n">
        <v>1</v>
      </c>
      <c r="F592" s="25" t="inlineStr">
        <is>
          <t>u</t>
        </is>
      </c>
      <c r="G592" s="26" t="n">
        <v>0.0081</v>
      </c>
      <c r="H592" s="26">
        <f>E592*G592</f>
        <v/>
      </c>
      <c r="I592" s="25" t="inlineStr">
        <is>
          <t>Acero inox. AISI 304</t>
        </is>
      </c>
      <c r="J592" s="12" t="inlineStr">
        <is>
          <t>36 × 6 × 6</t>
        </is>
      </c>
      <c r="K592" s="25" t="inlineStr">
        <is>
          <t>Compra</t>
        </is>
      </c>
      <c r="L592" s="12" t="inlineStr">
        <is>
          <t>19 Ensamblaje de válvula (T03/T04)</t>
        </is>
      </c>
      <c r="M592" s="12" t="n"/>
      <c r="N592" s="25" t="inlineStr">
        <is>
          <t>P</t>
        </is>
      </c>
      <c r="O592" s="25" t="inlineStr">
        <is>
          <t>FL_DES_CLASED_9l</t>
        </is>
      </c>
      <c r="P592" s="12" t="n"/>
    </row>
    <row r="593">
      <c r="A593" s="25" t="inlineStr">
        <is>
          <t>FL_MAT_CLASED_9l</t>
        </is>
      </c>
      <c r="B593" s="25" t="n">
        <v>2</v>
      </c>
      <c r="C593" s="25" t="inlineStr">
        <is>
          <t>CLASED9-12</t>
        </is>
      </c>
      <c r="D593" s="12" t="inlineStr">
        <is>
          <t xml:space="preserve">        Vástago</t>
        </is>
      </c>
      <c r="E593" s="25" t="n">
        <v>1</v>
      </c>
      <c r="F593" s="25" t="inlineStr">
        <is>
          <t>u</t>
        </is>
      </c>
      <c r="G593" s="26" t="n">
        <v>0.0017</v>
      </c>
      <c r="H593" s="26">
        <f>E593*G593</f>
        <v/>
      </c>
      <c r="I593" s="25" t="inlineStr">
        <is>
          <t>Latón</t>
        </is>
      </c>
      <c r="J593" s="12" t="inlineStr">
        <is>
          <t>8 × 8 × 4</t>
        </is>
      </c>
      <c r="K593" s="25" t="inlineStr">
        <is>
          <t>Compra</t>
        </is>
      </c>
      <c r="L593" s="12" t="inlineStr">
        <is>
          <t>19 Ensamblaje de válvula (T03/T04)</t>
        </is>
      </c>
      <c r="M593" s="12" t="n"/>
      <c r="N593" s="25" t="inlineStr">
        <is>
          <t>P</t>
        </is>
      </c>
      <c r="O593" s="25" t="inlineStr">
        <is>
          <t>FL_DES_CLASED_9l</t>
        </is>
      </c>
      <c r="P593" s="12" t="inlineStr">
        <is>
          <t>con junta tórica</t>
        </is>
      </c>
    </row>
    <row r="594">
      <c r="A594" s="25" t="inlineStr">
        <is>
          <t>FL_MAT_CLASED_9l</t>
        </is>
      </c>
      <c r="B594" s="25" t="n">
        <v>2</v>
      </c>
      <c r="C594" s="25" t="inlineStr">
        <is>
          <t>CLASED9-13</t>
        </is>
      </c>
      <c r="D594" s="12" t="inlineStr">
        <is>
          <t xml:space="preserve">        Pasador de seguridad</t>
        </is>
      </c>
      <c r="E594" s="25" t="n">
        <v>1</v>
      </c>
      <c r="F594" s="25" t="inlineStr">
        <is>
          <t>u</t>
        </is>
      </c>
      <c r="G594" s="26" t="n">
        <v>0.0055</v>
      </c>
      <c r="H594" s="26">
        <f>E594*G594</f>
        <v/>
      </c>
      <c r="I594" s="25" t="inlineStr">
        <is>
          <t>Alambre acero inox. AISI 304</t>
        </is>
      </c>
      <c r="J594" s="12" t="inlineStr">
        <is>
          <t>45,4 × 21 × 20,8</t>
        </is>
      </c>
      <c r="K594" s="25" t="inlineStr">
        <is>
          <t>Compra</t>
        </is>
      </c>
      <c r="L594" s="12" t="inlineStr">
        <is>
          <t>19 Ensamblaje de válvula (T03/T04)</t>
        </is>
      </c>
      <c r="M594" s="12" t="n"/>
      <c r="N594" s="25" t="inlineStr">
        <is>
          <t>P</t>
        </is>
      </c>
      <c r="O594" s="25" t="inlineStr">
        <is>
          <t>FL_DES_CLASED_9l</t>
        </is>
      </c>
      <c r="P594" s="12" t="inlineStr">
        <is>
          <t>con precinto</t>
        </is>
      </c>
    </row>
    <row r="595">
      <c r="A595" s="25" t="inlineStr">
        <is>
          <t>FL_MAT_CLASED_9l</t>
        </is>
      </c>
      <c r="B595" s="25" t="n">
        <v>2</v>
      </c>
      <c r="C595" s="25" t="inlineStr">
        <is>
          <t>CLASED9-14</t>
        </is>
      </c>
      <c r="D595" s="12" t="inlineStr">
        <is>
          <t xml:space="preserve">        Caño de pesca (sifón)</t>
        </is>
      </c>
      <c r="E595" s="25" t="n">
        <v>1</v>
      </c>
      <c r="F595" s="25" t="inlineStr">
        <is>
          <t>u</t>
        </is>
      </c>
      <c r="G595" s="26" t="n">
        <v>0.0364</v>
      </c>
      <c r="H595" s="26">
        <f>E595*G595</f>
        <v/>
      </c>
      <c r="I595" s="25" t="inlineStr">
        <is>
          <t>Tubo PVC rígido</t>
        </is>
      </c>
      <c r="J595" s="12" t="inlineStr">
        <is>
          <t>Ø12 × 525,7 de largo</t>
        </is>
      </c>
      <c r="K595" s="25" t="inlineStr">
        <is>
          <t>Compra</t>
        </is>
      </c>
      <c r="L595" s="12" t="inlineStr">
        <is>
          <t>19 Ensamblaje de válvula (T03/T04)</t>
        </is>
      </c>
      <c r="M595" s="12" t="n"/>
      <c r="N595" s="25" t="inlineStr">
        <is>
          <t>P</t>
        </is>
      </c>
      <c r="O595" s="25" t="inlineStr">
        <is>
          <t>FL_DES_CLASED_9l</t>
        </is>
      </c>
      <c r="P595" s="12" t="n"/>
    </row>
    <row r="596">
      <c r="A596" s="25" t="inlineStr">
        <is>
          <t>FL_MAT_CLASED_9l</t>
        </is>
      </c>
      <c r="B596" s="25" t="n">
        <v>2</v>
      </c>
      <c r="C596" s="25" t="inlineStr">
        <is>
          <t>CLASED9-23</t>
        </is>
      </c>
      <c r="D596" s="12" t="inlineStr">
        <is>
          <t xml:space="preserve">        Junta tórica de asiento</t>
        </is>
      </c>
      <c r="E596" s="25" t="n">
        <v>1</v>
      </c>
      <c r="F596" s="25" t="inlineStr">
        <is>
          <t>u</t>
        </is>
      </c>
      <c r="G596" s="26" t="n">
        <v>0.001</v>
      </c>
      <c r="H596" s="26">
        <f>E596*G596</f>
        <v/>
      </c>
      <c r="I596" s="25" t="inlineStr">
        <is>
          <t>NBR 70 Shore A</t>
        </is>
      </c>
      <c r="J596" s="12" t="inlineStr">
        <is>
          <t>Ø31,4 ext. × cordón 3</t>
        </is>
      </c>
      <c r="K596" s="25" t="inlineStr">
        <is>
          <t>Compra</t>
        </is>
      </c>
      <c r="L596" s="12" t="inlineStr">
        <is>
          <t>19 Ensamblaje de válvula (T03/T04)</t>
        </is>
      </c>
      <c r="M596" s="12" t="n"/>
      <c r="N596" s="25" t="inlineStr">
        <is>
          <t>P</t>
        </is>
      </c>
      <c r="O596" s="25" t="inlineStr">
        <is>
          <t>FL_DES_CLASED_9l</t>
        </is>
      </c>
      <c r="P596" s="12" t="inlineStr">
        <is>
          <t>cambio c/recarga</t>
        </is>
      </c>
    </row>
    <row r="597">
      <c r="A597" s="25" t="inlineStr">
        <is>
          <t>FL_MAT_CLASED_9l</t>
        </is>
      </c>
      <c r="B597" s="25" t="n">
        <v>2</v>
      </c>
      <c r="C597" s="25" t="inlineStr">
        <is>
          <t>CLASED9-V2</t>
        </is>
      </c>
      <c r="D597" s="12" t="inlineStr">
        <is>
          <t xml:space="preserve">        Resorte de retorno del vástago</t>
        </is>
      </c>
      <c r="E597" s="25" t="n">
        <v>1</v>
      </c>
      <c r="F597" s="25" t="inlineStr">
        <is>
          <t>u</t>
        </is>
      </c>
      <c r="G597" s="26" t="n">
        <v>0.003</v>
      </c>
      <c r="H597" s="26">
        <f>E597*G597</f>
        <v/>
      </c>
      <c r="I597" s="25" t="inlineStr">
        <is>
          <t>Alambre acero inox. AISI 302</t>
        </is>
      </c>
      <c r="J597" s="12" t="inlineStr">
        <is>
          <t>según válvula</t>
        </is>
      </c>
      <c r="K597" s="25" t="inlineStr">
        <is>
          <t>Compra</t>
        </is>
      </c>
      <c r="L597" s="12" t="inlineStr">
        <is>
          <t>19 Ensamblaje</t>
        </is>
      </c>
      <c r="M597" s="12" t="n"/>
      <c r="N597" s="25" t="inlineStr">
        <is>
          <t>R</t>
        </is>
      </c>
      <c r="O597" s="25" t="n"/>
      <c r="P597" s="12" t="n"/>
    </row>
    <row r="598">
      <c r="A598" s="25" t="inlineStr">
        <is>
          <t>FL_MAT_CLASED_9l</t>
        </is>
      </c>
      <c r="B598" s="25" t="n">
        <v>2</v>
      </c>
      <c r="C598" s="25" t="inlineStr">
        <is>
          <t>CLASED9-V3</t>
        </is>
      </c>
      <c r="D598" s="12" t="inlineStr">
        <is>
          <t xml:space="preserve">        Junta tórica del vástago</t>
        </is>
      </c>
      <c r="E598" s="25" t="n">
        <v>1</v>
      </c>
      <c r="F598" s="25" t="inlineStr">
        <is>
          <t>u</t>
        </is>
      </c>
      <c r="G598" s="26" t="n">
        <v>0.001</v>
      </c>
      <c r="H598" s="26">
        <f>E598*G598</f>
        <v/>
      </c>
      <c r="I598" s="25" t="inlineStr">
        <is>
          <t>NBR 70 Shore A</t>
        </is>
      </c>
      <c r="J598" s="12" t="inlineStr">
        <is>
          <t>según válvula</t>
        </is>
      </c>
      <c r="K598" s="25" t="inlineStr">
        <is>
          <t>Compra</t>
        </is>
      </c>
      <c r="L598" s="12" t="inlineStr">
        <is>
          <t>19 Ensamblaje</t>
        </is>
      </c>
      <c r="M598" s="12" t="n"/>
      <c r="N598" s="25" t="inlineStr">
        <is>
          <t>P</t>
        </is>
      </c>
      <c r="O598" s="25" t="n"/>
      <c r="P598" s="12" t="inlineStr">
        <is>
          <t>Figura en el plano como «vástago con junta tórica»</t>
        </is>
      </c>
    </row>
    <row r="599">
      <c r="A599" s="22" t="inlineStr">
        <is>
          <t>FL_MAT_CLASED_9l</t>
        </is>
      </c>
      <c r="B599" s="22" t="n">
        <v>1</v>
      </c>
      <c r="C599" s="22" t="inlineStr">
        <is>
          <t>CLASED9-S3</t>
        </is>
      </c>
      <c r="D599" s="23" t="inlineStr">
        <is>
          <t xml:space="preserve">    Dispositivo de descarga</t>
        </is>
      </c>
      <c r="E599" s="22" t="n">
        <v>1</v>
      </c>
      <c r="F599" s="22" t="inlineStr">
        <is>
          <t>u</t>
        </is>
      </c>
      <c r="G599" s="24" t="n"/>
      <c r="H599" s="24">
        <f>H600+H601+H602+H603+H604</f>
        <v/>
      </c>
      <c r="I599" s="22" t="n"/>
      <c r="J599" s="23" t="n"/>
      <c r="K599" s="22" t="inlineStr">
        <is>
          <t>Compra / armado</t>
        </is>
      </c>
      <c r="L599" s="23" t="n"/>
      <c r="M599" s="23" t="n"/>
      <c r="N599" s="22" t="inlineStr">
        <is>
          <t>P</t>
        </is>
      </c>
      <c r="O599" s="22" t="inlineStr">
        <is>
          <t>FL_DES_CLASED_9l</t>
        </is>
      </c>
      <c r="P599" s="23" t="n"/>
    </row>
    <row r="600">
      <c r="A600" s="25" t="inlineStr">
        <is>
          <t>FL_MAT_CLASED_9l</t>
        </is>
      </c>
      <c r="B600" s="25" t="n">
        <v>2</v>
      </c>
      <c r="C600" s="25" t="inlineStr">
        <is>
          <t>CLASED9-15</t>
        </is>
      </c>
      <c r="D600" s="12" t="inlineStr">
        <is>
          <t xml:space="preserve">        Racor de manguera</t>
        </is>
      </c>
      <c r="E600" s="25" t="n">
        <v>1</v>
      </c>
      <c r="F600" s="25" t="inlineStr">
        <is>
          <t>u</t>
        </is>
      </c>
      <c r="G600" s="26" t="n">
        <v>0.0258</v>
      </c>
      <c r="H600" s="26">
        <f>E600*G600</f>
        <v/>
      </c>
      <c r="I600" s="25" t="inlineStr">
        <is>
          <t>Latón</t>
        </is>
      </c>
      <c r="J600" s="12" t="inlineStr">
        <is>
          <t>18 × 18 × 12</t>
        </is>
      </c>
      <c r="K600" s="25" t="inlineStr">
        <is>
          <t>Compra</t>
        </is>
      </c>
      <c r="L600" s="12" t="inlineStr">
        <is>
          <t>19 Ensamblaje (T03/T04)</t>
        </is>
      </c>
      <c r="M600" s="12" t="n"/>
      <c r="N600" s="25" t="inlineStr">
        <is>
          <t>P</t>
        </is>
      </c>
      <c r="O600" s="25" t="inlineStr">
        <is>
          <t>FL_DES_CLASED_9l</t>
        </is>
      </c>
      <c r="P600" s="12" t="n"/>
    </row>
    <row r="601">
      <c r="A601" s="25" t="inlineStr">
        <is>
          <t>FL_MAT_CLASED_9l</t>
        </is>
      </c>
      <c r="B601" s="25" t="n">
        <v>2</v>
      </c>
      <c r="C601" s="25" t="inlineStr">
        <is>
          <t>CLASED9-16</t>
        </is>
      </c>
      <c r="D601" s="12" t="inlineStr">
        <is>
          <t xml:space="preserve">        Manguera</t>
        </is>
      </c>
      <c r="E601" s="25" t="n">
        <v>1</v>
      </c>
      <c r="F601" s="25" t="inlineStr">
        <is>
          <t>u</t>
        </is>
      </c>
      <c r="G601" s="26" t="n">
        <v>0.0281</v>
      </c>
      <c r="H601" s="26">
        <f>E601*G601</f>
        <v/>
      </c>
      <c r="I601" s="25" t="inlineStr">
        <is>
          <t>Caucho sintético</t>
        </is>
      </c>
      <c r="J601" s="12" t="inlineStr">
        <is>
          <t>Ø16 × 182 de largo desarrollado</t>
        </is>
      </c>
      <c r="K601" s="25" t="inlineStr">
        <is>
          <t>Compra</t>
        </is>
      </c>
      <c r="L601" s="12" t="inlineStr">
        <is>
          <t>19 Ensamblaje (T03/T04)</t>
        </is>
      </c>
      <c r="M601" s="12" t="n"/>
      <c r="N601" s="25" t="inlineStr">
        <is>
          <t>P</t>
        </is>
      </c>
      <c r="O601" s="25" t="inlineStr">
        <is>
          <t>FL_DES_CLASED_9l</t>
        </is>
      </c>
      <c r="P601" s="12" t="n"/>
    </row>
    <row r="602">
      <c r="A602" s="25" t="inlineStr">
        <is>
          <t>FL_MAT_CLASED_9l</t>
        </is>
      </c>
      <c r="B602" s="25" t="n">
        <v>2</v>
      </c>
      <c r="C602" s="25" t="inlineStr">
        <is>
          <t>CLASED9-17</t>
        </is>
      </c>
      <c r="D602" s="12" t="inlineStr">
        <is>
          <t xml:space="preserve">        Lanza aplicadora flujo suave</t>
        </is>
      </c>
      <c r="E602" s="25" t="n">
        <v>1</v>
      </c>
      <c r="F602" s="25" t="inlineStr">
        <is>
          <t>u</t>
        </is>
      </c>
      <c r="G602" s="26" t="n">
        <v>0.1201</v>
      </c>
      <c r="H602" s="26">
        <f>E602*G602</f>
        <v/>
      </c>
      <c r="I602" s="25" t="inlineStr">
        <is>
          <t>Tubo aluminio</t>
        </is>
      </c>
      <c r="J602" s="12" t="inlineStr">
        <is>
          <t>360 × 40 × 40</t>
        </is>
      </c>
      <c r="K602" s="25" t="inlineStr">
        <is>
          <t>Compra</t>
        </is>
      </c>
      <c r="L602" s="12" t="inlineStr">
        <is>
          <t>19 Ensamblaje (T03/T04)</t>
        </is>
      </c>
      <c r="M602" s="12" t="n"/>
      <c r="N602" s="25" t="inlineStr">
        <is>
          <t>P</t>
        </is>
      </c>
      <c r="O602" s="25" t="inlineStr">
        <is>
          <t>FL_DES_CLASED_9l</t>
        </is>
      </c>
      <c r="P602" s="12" t="n"/>
    </row>
    <row r="603">
      <c r="A603" s="25" t="inlineStr">
        <is>
          <t>FL_MAT_CLASED_9l</t>
        </is>
      </c>
      <c r="B603" s="25" t="n">
        <v>2</v>
      </c>
      <c r="C603" s="25" t="inlineStr">
        <is>
          <t>CLASED9-18</t>
        </is>
      </c>
      <c r="D603" s="12" t="inlineStr">
        <is>
          <t xml:space="preserve">        Empuñadura</t>
        </is>
      </c>
      <c r="E603" s="25" t="n">
        <v>1</v>
      </c>
      <c r="F603" s="25" t="inlineStr">
        <is>
          <t>u</t>
        </is>
      </c>
      <c r="G603" s="26" t="n">
        <v>0.0239</v>
      </c>
      <c r="H603" s="26">
        <f>E603*G603</f>
        <v/>
      </c>
      <c r="I603" s="25" t="inlineStr">
        <is>
          <t>Polipropileno</t>
        </is>
      </c>
      <c r="J603" s="12" t="inlineStr">
        <is>
          <t>90 × 28 × 28</t>
        </is>
      </c>
      <c r="K603" s="25" t="inlineStr">
        <is>
          <t>Compra</t>
        </is>
      </c>
      <c r="L603" s="12" t="inlineStr">
        <is>
          <t>19 Ensamblaje (T03/T04)</t>
        </is>
      </c>
      <c r="M603" s="12" t="n"/>
      <c r="N603" s="25" t="inlineStr">
        <is>
          <t>P</t>
        </is>
      </c>
      <c r="O603" s="25" t="inlineStr">
        <is>
          <t>FL_DES_CLASED_9l</t>
        </is>
      </c>
      <c r="P603" s="12" t="n"/>
    </row>
    <row r="604">
      <c r="A604" s="25" t="inlineStr">
        <is>
          <t>FL_MAT_CLASED_9l</t>
        </is>
      </c>
      <c r="B604" s="25" t="n">
        <v>2</v>
      </c>
      <c r="C604" s="25" t="inlineStr">
        <is>
          <t>CLASED9-19</t>
        </is>
      </c>
      <c r="D604" s="12" t="inlineStr">
        <is>
          <t xml:space="preserve">        Suncho portatobera</t>
        </is>
      </c>
      <c r="E604" s="25" t="n">
        <v>1</v>
      </c>
      <c r="F604" s="25" t="inlineStr">
        <is>
          <t>u</t>
        </is>
      </c>
      <c r="G604" s="26" t="n">
        <v>0.1773</v>
      </c>
      <c r="H604" s="26">
        <f>E604*G604</f>
        <v/>
      </c>
      <c r="I604" s="25" t="inlineStr">
        <is>
          <t>Fleje acero SAE 1010 pintado</t>
        </is>
      </c>
      <c r="J604" s="12" t="inlineStr">
        <is>
          <t>198,8 × 184,5 × 18</t>
        </is>
      </c>
      <c r="K604" s="25" t="inlineStr">
        <is>
          <t>Compra (estructura)</t>
        </is>
      </c>
      <c r="L604" s="12" t="inlineStr">
        <is>
          <t>19 Ensamblaje (T03/T04)</t>
        </is>
      </c>
      <c r="M604" s="12" t="n"/>
      <c r="N604" s="25" t="inlineStr">
        <is>
          <t>P</t>
        </is>
      </c>
      <c r="O604" s="25" t="inlineStr">
        <is>
          <t>FL_DES_CLASED_9l</t>
        </is>
      </c>
      <c r="P604" s="12" t="n"/>
    </row>
    <row r="605">
      <c r="A605" s="22" t="inlineStr">
        <is>
          <t>FL_MAT_CLASED_9l</t>
        </is>
      </c>
      <c r="B605" s="22" t="n">
        <v>1</v>
      </c>
      <c r="C605" s="22" t="inlineStr">
        <is>
          <t>CLASED9-S5</t>
        </is>
      </c>
      <c r="D605" s="23" t="inlineStr">
        <is>
          <t xml:space="preserve">    Carga: agente extintor y gas impulsor</t>
        </is>
      </c>
      <c r="E605" s="22" t="n">
        <v>1</v>
      </c>
      <c r="F605" s="22" t="inlineStr">
        <is>
          <t>u</t>
        </is>
      </c>
      <c r="G605" s="24" t="n"/>
      <c r="H605" s="24">
        <f>H606+H607</f>
        <v/>
      </c>
      <c r="I605" s="22" t="n"/>
      <c r="J605" s="23" t="n"/>
      <c r="K605" s="22" t="inlineStr">
        <is>
          <t>Carga en planta</t>
        </is>
      </c>
      <c r="L605" s="23" t="inlineStr">
        <is>
          <t>18 Carga de polvo (T01) / C8 (T02)</t>
        </is>
      </c>
      <c r="M605" s="23" t="n"/>
      <c r="N605" s="22" t="n"/>
      <c r="O605" s="22" t="n"/>
      <c r="P605" s="23" t="n"/>
    </row>
    <row r="606">
      <c r="A606" s="25" t="inlineStr">
        <is>
          <t>FL_MAT_CLASED_9l</t>
        </is>
      </c>
      <c r="B606" s="25" t="n">
        <v>2</v>
      </c>
      <c r="C606" s="25" t="inlineStr">
        <is>
          <t>CLASED9-A1</t>
        </is>
      </c>
      <c r="D606" s="12" t="inlineStr">
        <is>
          <t xml:space="preserve">        Polvo para metales combustibles clase D - Clase D (NaCl &gt; 90 %)</t>
        </is>
      </c>
      <c r="E606" s="25" t="n">
        <v>9.15</v>
      </c>
      <c r="F606" s="25" t="inlineStr">
        <is>
          <t>kg</t>
        </is>
      </c>
      <c r="G606" s="26" t="n">
        <v>1</v>
      </c>
      <c r="H606" s="26">
        <f>E606*G606</f>
        <v/>
      </c>
      <c r="I606" s="25" t="inlineStr">
        <is>
          <t>Polvo para metales combustibles clase D - Clase D (NaCl &gt; 90 %)</t>
        </is>
      </c>
      <c r="J606" s="12" t="inlineStr">
        <is>
          <t>nominal 9 kg; tolerancia 0 / +300 g (IRAM 3517-2:2020 tabla 3 · IRAM 3523 tabla II)</t>
        </is>
      </c>
      <c r="K606" s="25" t="inlineStr">
        <is>
          <t>Compra</t>
        </is>
      </c>
      <c r="L606" s="12" t="inlineStr">
        <is>
          <t>SP-1 almacén previo a la carga</t>
        </is>
      </c>
      <c r="M606" s="12" t="inlineStr">
        <is>
          <t>sin norma IRAM de agente (DEMSA ISO 9001)</t>
        </is>
      </c>
      <c r="N606" s="25" t="inlineStr">
        <is>
          <t>N</t>
        </is>
      </c>
      <c r="O606" s="25" t="n"/>
      <c r="P606" s="12" t="inlineStr">
        <is>
          <t>potencial -</t>
        </is>
      </c>
    </row>
    <row r="607">
      <c r="A607" s="25" t="inlineStr">
        <is>
          <t>FL_MAT_CLASED_9l</t>
        </is>
      </c>
      <c r="B607" s="25" t="n">
        <v>2</v>
      </c>
      <c r="C607" s="25" t="inlineStr">
        <is>
          <t>CLASED9-A2</t>
        </is>
      </c>
      <c r="D607" s="12" t="inlineStr">
        <is>
          <t xml:space="preserve">        Gas impulsor: N₂</t>
        </is>
      </c>
      <c r="E607" s="25" t="n">
        <v>0.0604</v>
      </c>
      <c r="F607" s="25" t="inlineStr">
        <is>
          <t>kg</t>
        </is>
      </c>
      <c r="G607" s="26" t="n">
        <v>1</v>
      </c>
      <c r="H607" s="26">
        <f>E607*G607</f>
        <v/>
      </c>
      <c r="I607" s="25" t="inlineStr">
        <is>
          <t>N₂</t>
        </is>
      </c>
      <c r="J607" s="12" t="inlineStr">
        <is>
          <t>48,3 L normales para 1,4 MPa a 20 °C en 3,5 dm³ libres</t>
        </is>
      </c>
      <c r="K607" s="25" t="inlineStr">
        <is>
          <t>Compra</t>
        </is>
      </c>
      <c r="L607" s="12" t="inlineStr">
        <is>
          <t>20 Presurización (T05) / C10</t>
        </is>
      </c>
      <c r="M607" s="12" t="inlineStr">
        <is>
          <t>IRAM 3517-2 9.4.9 (tabla 2) · IRAM 3523 2.3 y 3.10</t>
        </is>
      </c>
      <c r="N607" s="25" t="inlineStr">
        <is>
          <t>C</t>
        </is>
      </c>
      <c r="O607" s="25" t="n"/>
      <c r="P607" s="12" t="inlineStr">
        <is>
          <t>Batería en SP-1; punto de rocío ≤ -56,7 °C para gases limpios</t>
        </is>
      </c>
    </row>
    <row r="608">
      <c r="A608" s="22" t="inlineStr">
        <is>
          <t>FL_MAT_CLASED_9l</t>
        </is>
      </c>
      <c r="B608" s="22" t="n">
        <v>1</v>
      </c>
      <c r="C608" s="22" t="inlineStr">
        <is>
          <t>CLASED9-S6</t>
        </is>
      </c>
      <c r="D608" s="23" t="inlineStr">
        <is>
          <t xml:space="preserve">    Identificación y precinto</t>
        </is>
      </c>
      <c r="E608" s="22" t="n">
        <v>1</v>
      </c>
      <c r="F608" s="22" t="inlineStr">
        <is>
          <t>u</t>
        </is>
      </c>
      <c r="G608" s="24" t="n"/>
      <c r="H608" s="24">
        <f>H609+H610+H611+H612+H613</f>
        <v/>
      </c>
      <c r="I608" s="22" t="n"/>
      <c r="J608" s="23" t="n"/>
      <c r="K608" s="22" t="inlineStr">
        <is>
          <t>Compra</t>
        </is>
      </c>
      <c r="L608" s="23" t="inlineStr">
        <is>
          <t>22 Etiquetado (T07)</t>
        </is>
      </c>
      <c r="M608" s="23" t="n"/>
      <c r="N608" s="22" t="n"/>
      <c r="O608" s="22" t="n"/>
      <c r="P608" s="23" t="n"/>
    </row>
    <row r="609">
      <c r="A609" s="25" t="inlineStr">
        <is>
          <t>FL_MAT_CLASED_9l</t>
        </is>
      </c>
      <c r="B609" s="25" t="n">
        <v>2</v>
      </c>
      <c r="C609" s="25" t="inlineStr">
        <is>
          <t>CLASED9-20</t>
        </is>
      </c>
      <c r="D609" s="12" t="inlineStr">
        <is>
          <t xml:space="preserve">        Placa de características</t>
        </is>
      </c>
      <c r="E609" s="25" t="n">
        <v>1</v>
      </c>
      <c r="F609" s="25" t="inlineStr">
        <is>
          <t>u</t>
        </is>
      </c>
      <c r="G609" s="26" t="n">
        <v>0.0109</v>
      </c>
      <c r="H609" s="26">
        <f>E609*G609</f>
        <v/>
      </c>
      <c r="I609" s="25" t="inlineStr">
        <is>
          <t>Vinilo autoadhesivo laminado</t>
        </is>
      </c>
      <c r="J609" s="12" t="inlineStr">
        <is>
          <t>171 × 151 (desarrollo × alto), e ≈ 0,3</t>
        </is>
      </c>
      <c r="K609" s="25" t="inlineStr">
        <is>
          <t>Compra</t>
        </is>
      </c>
      <c r="L609" s="12" t="inlineStr">
        <is>
          <t>22 Etiquetado (T07)</t>
        </is>
      </c>
      <c r="M609" s="12" t="inlineStr">
        <is>
          <t>IRAM 3534 · IRAM 3523 cap. 5</t>
        </is>
      </c>
      <c r="N609" s="25" t="inlineStr">
        <is>
          <t>P</t>
        </is>
      </c>
      <c r="O609" s="25" t="inlineStr">
        <is>
          <t>FL_DES_CLASED_9l</t>
        </is>
      </c>
      <c r="P609" s="12" t="inlineStr">
        <is>
          <t>IRAM 3534</t>
        </is>
      </c>
    </row>
    <row r="610">
      <c r="A610" s="25" t="inlineStr">
        <is>
          <t>FL_MAT_CLASED_9l</t>
        </is>
      </c>
      <c r="B610" s="25" t="n">
        <v>2</v>
      </c>
      <c r="C610" s="25" t="inlineStr">
        <is>
          <t>CLASED9-21</t>
        </is>
      </c>
      <c r="D610" s="12" t="inlineStr">
        <is>
          <t xml:space="preserve">        Oblea de fabricación (PBA)</t>
        </is>
      </c>
      <c r="E610" s="25" t="n">
        <v>1</v>
      </c>
      <c r="F610" s="25" t="inlineStr">
        <is>
          <t>u</t>
        </is>
      </c>
      <c r="G610" s="26" t="n">
        <v>0.0009</v>
      </c>
      <c r="H610" s="26">
        <f>E610*G610</f>
        <v/>
      </c>
      <c r="I610" s="25" t="inlineStr">
        <is>
          <t>Papel de seguridad autodestructible</t>
        </is>
      </c>
      <c r="J610" s="12" t="inlineStr">
        <is>
          <t>Ø46 (Res. OPDS 522/07), numerada, autodestructible</t>
        </is>
      </c>
      <c r="K610" s="25" t="inlineStr">
        <is>
          <t>Compra</t>
        </is>
      </c>
      <c r="L610" s="12" t="inlineStr">
        <is>
          <t>22 Etiquetado (T07)</t>
        </is>
      </c>
      <c r="M610" s="12" t="inlineStr">
        <is>
          <t>Res. OPDS 522/07 anexos 1, 2 y 6</t>
        </is>
      </c>
      <c r="N610" s="25" t="inlineStr">
        <is>
          <t>P</t>
        </is>
      </c>
      <c r="O610" s="25" t="inlineStr">
        <is>
          <t>FL_DES_CLASED_9l</t>
        </is>
      </c>
      <c r="P610" s="12" t="inlineStr">
        <is>
          <t>Res. 522/07</t>
        </is>
      </c>
    </row>
    <row r="611">
      <c r="A611" s="25" t="inlineStr">
        <is>
          <t>FL_MAT_CLASED_9l</t>
        </is>
      </c>
      <c r="B611" s="25" t="n">
        <v>2</v>
      </c>
      <c r="C611" s="25" t="inlineStr">
        <is>
          <t>CLASED9-22</t>
        </is>
      </c>
      <c r="D611" s="12" t="inlineStr">
        <is>
          <t xml:space="preserve">        Estampilla IRAM de conformidad</t>
        </is>
      </c>
      <c r="E611" s="25" t="n">
        <v>1</v>
      </c>
      <c r="F611" s="25" t="inlineStr">
        <is>
          <t>u</t>
        </is>
      </c>
      <c r="G611" s="26" t="n">
        <v>0.001</v>
      </c>
      <c r="H611" s="26">
        <f>E611*G611</f>
        <v/>
      </c>
      <c r="I611" s="25" t="inlineStr">
        <is>
          <t>Provista por IRAM (Anexo R)</t>
        </is>
      </c>
      <c r="J611" s="12" t="inlineStr">
        <is>
          <t>60 × 40</t>
        </is>
      </c>
      <c r="K611" s="25" t="inlineStr">
        <is>
          <t>Compra</t>
        </is>
      </c>
      <c r="L611" s="12" t="inlineStr">
        <is>
          <t>22 Etiquetado (T07)</t>
        </is>
      </c>
      <c r="M611" s="12" t="inlineStr">
        <is>
          <t>IRAM Anexo R (DC-PG-129)</t>
        </is>
      </c>
      <c r="N611" s="25" t="inlineStr">
        <is>
          <t>P</t>
        </is>
      </c>
      <c r="O611" s="25" t="inlineStr">
        <is>
          <t>FL_DES_CLASED_9l</t>
        </is>
      </c>
      <c r="P611" s="12" t="inlineStr">
        <is>
          <t>numerada</t>
        </is>
      </c>
    </row>
    <row r="612">
      <c r="A612" s="25" t="inlineStr">
        <is>
          <t>FL_MAT_CLASED_9l</t>
        </is>
      </c>
      <c r="B612" s="25" t="n">
        <v>2</v>
      </c>
      <c r="C612" s="25" t="inlineStr">
        <is>
          <t>CLASED9-24</t>
        </is>
      </c>
      <c r="D612" s="12" t="inlineStr">
        <is>
          <t xml:space="preserve">        Precinto de fábrica</t>
        </is>
      </c>
      <c r="E612" s="25" t="n">
        <v>1</v>
      </c>
      <c r="F612" s="25" t="inlineStr">
        <is>
          <t>u</t>
        </is>
      </c>
      <c r="G612" s="26" t="n">
        <v>0.0002</v>
      </c>
      <c r="H612" s="26">
        <f>E612*G612</f>
        <v/>
      </c>
      <c r="I612" s="25" t="inlineStr">
        <is>
          <t>Polipropileno</t>
        </is>
      </c>
      <c r="J612" s="12" t="inlineStr">
        <is>
          <t>Ø5 × 10, numerado, rotura 30-50 N</t>
        </is>
      </c>
      <c r="K612" s="25" t="inlineStr">
        <is>
          <t>Compra</t>
        </is>
      </c>
      <c r="L612" s="12" t="inlineStr">
        <is>
          <t>20 Presurización (T05)</t>
        </is>
      </c>
      <c r="M612" s="12" t="inlineStr">
        <is>
          <t>IRAM 3523 3.3.2 · IRAM 3517-2:2020 9.4.13</t>
        </is>
      </c>
      <c r="N612" s="25" t="inlineStr">
        <is>
          <t>P</t>
        </is>
      </c>
      <c r="O612" s="25" t="inlineStr">
        <is>
          <t>FL_DES_CLASED_9l</t>
        </is>
      </c>
      <c r="P612" s="12" t="inlineStr">
        <is>
          <t>id. FLAMA y lote</t>
        </is>
      </c>
    </row>
    <row r="613">
      <c r="A613" s="25" t="inlineStr">
        <is>
          <t>FL_MAT_CLASED_9l</t>
        </is>
      </c>
      <c r="B613" s="25" t="n">
        <v>2</v>
      </c>
      <c r="C613" s="25" t="inlineStr">
        <is>
          <t>CLASED9-I3</t>
        </is>
      </c>
      <c r="D613" s="12" t="inlineStr">
        <is>
          <t xml:space="preserve">        Tarjeta oficial de vigencia (CABA)</t>
        </is>
      </c>
      <c r="E613" s="25" t="n">
        <v>1</v>
      </c>
      <c r="F613" s="25" t="inlineStr">
        <is>
          <t>u</t>
        </is>
      </c>
      <c r="G613" s="26" t="n">
        <v>0.002</v>
      </c>
      <c r="H613" s="26">
        <f>E613*G613</f>
        <v/>
      </c>
      <c r="I613" s="25" t="inlineStr">
        <is>
          <t>Formulario oficial</t>
        </is>
      </c>
      <c r="J613" s="12" t="inlineStr">
        <is>
          <t>provista por DG Rentas GCBA</t>
        </is>
      </c>
      <c r="K613" s="25" t="inlineStr">
        <is>
          <t>Compra</t>
        </is>
      </c>
      <c r="L613" s="12" t="inlineStr">
        <is>
          <t>22 Etiquetado</t>
        </is>
      </c>
      <c r="M613" s="12" t="inlineStr">
        <is>
          <t>Ordenanza 40.473 art. 6</t>
        </is>
      </c>
      <c r="N613" s="25" t="inlineStr">
        <is>
          <t>N</t>
        </is>
      </c>
      <c r="O613" s="25" t="n"/>
      <c r="P613" s="12" t="inlineStr">
        <is>
          <t>Clase, capacidad, fecha de carga y vencimiento, garantía; se anexa al matafuego (no se dibuja)</t>
        </is>
      </c>
    </row>
    <row r="614">
      <c r="A614" s="22" t="inlineStr">
        <is>
          <t>FL_MAT_CLASED_9l</t>
        </is>
      </c>
      <c r="B614" s="22" t="n">
        <v>1</v>
      </c>
      <c r="C614" s="22" t="inlineStr">
        <is>
          <t>CLASED9-S8</t>
        </is>
      </c>
      <c r="D614" s="23" t="inlineStr">
        <is>
          <t xml:space="preserve">    Soporte (accesorio de montaje)</t>
        </is>
      </c>
      <c r="E614" s="22" t="n">
        <v>1</v>
      </c>
      <c r="F614" s="22" t="inlineStr">
        <is>
          <t>u</t>
        </is>
      </c>
      <c r="G614" s="24" t="n"/>
      <c r="H614" s="24">
        <f>H615+H616</f>
        <v/>
      </c>
      <c r="I614" s="22" t="n"/>
      <c r="J614" s="23" t="n"/>
      <c r="K614" s="22" t="inlineStr">
        <is>
          <t>Compra</t>
        </is>
      </c>
      <c r="L614" s="23" t="inlineStr">
        <is>
          <t>23 Embalaje (va dentro de la caja)</t>
        </is>
      </c>
      <c r="M614" s="23" t="inlineStr">
        <is>
          <t>IRAM 3517-2 7.4</t>
        </is>
      </c>
      <c r="N614" s="22" t="n"/>
      <c r="O614" s="22" t="n"/>
      <c r="P614" s="23" t="n"/>
    </row>
    <row r="615">
      <c r="A615" s="25" t="inlineStr">
        <is>
          <t>FL_MAT_CLASED_9l</t>
        </is>
      </c>
      <c r="B615" s="25" t="n">
        <v>2</v>
      </c>
      <c r="C615" s="25" t="inlineStr">
        <is>
          <t>CLASED9-I5</t>
        </is>
      </c>
      <c r="D615" s="12" t="inlineStr">
        <is>
          <t xml:space="preserve">        Soporte de pared (FL_ACC_01)</t>
        </is>
      </c>
      <c r="E615" s="25" t="n">
        <v>1</v>
      </c>
      <c r="F615" s="25" t="inlineStr">
        <is>
          <t>u</t>
        </is>
      </c>
      <c r="G615" s="26" t="n">
        <v>0.319</v>
      </c>
      <c r="H615" s="26">
        <f>E615*G615</f>
        <v/>
      </c>
      <c r="I615" s="25" t="inlineStr">
        <is>
          <t>Chapa acero SAE 1010 e=2 pintada</t>
        </is>
      </c>
      <c r="J615" s="12" t="inlineStr">
        <is>
          <t>placa 60 × 180, ala con ranura Ø cuello + 3</t>
        </is>
      </c>
      <c r="K615" s="25" t="inlineStr">
        <is>
          <t>Compra</t>
        </is>
      </c>
      <c r="L615" s="12" t="inlineStr">
        <is>
          <t>23 Embalaje</t>
        </is>
      </c>
      <c r="M615" s="12" t="inlineStr">
        <is>
          <t>IRAM 3517-2 7.4</t>
        </is>
      </c>
      <c r="N615" s="25" t="inlineStr">
        <is>
          <t>P</t>
        </is>
      </c>
      <c r="O615" s="25" t="inlineStr">
        <is>
          <t>FL_ACC_01</t>
        </is>
      </c>
      <c r="P615" s="12" t="n"/>
    </row>
    <row r="616">
      <c r="A616" s="25" t="inlineStr">
        <is>
          <t>FL_MAT_CLASED_9l</t>
        </is>
      </c>
      <c r="B616" s="25" t="n">
        <v>2</v>
      </c>
      <c r="C616" s="25" t="inlineStr">
        <is>
          <t>CLASED9-I6</t>
        </is>
      </c>
      <c r="D616" s="12" t="inlineStr">
        <is>
          <t xml:space="preserve">        Tornillo y tarugo de fijación</t>
        </is>
      </c>
      <c r="E616" s="25" t="n">
        <v>2</v>
      </c>
      <c r="F616" s="25" t="inlineStr">
        <is>
          <t>u</t>
        </is>
      </c>
      <c r="G616" s="26" t="n">
        <v>0.01</v>
      </c>
      <c r="H616" s="26">
        <f>E616*G616</f>
        <v/>
      </c>
      <c r="I616" s="25" t="inlineStr">
        <is>
          <t>Acero cincado / nylon</t>
        </is>
      </c>
      <c r="J616" s="12" t="inlineStr">
        <is>
          <t>M6 × 50 + tarugo 8</t>
        </is>
      </c>
      <c r="K616" s="25" t="inlineStr">
        <is>
          <t>Compra</t>
        </is>
      </c>
      <c r="L616" s="12" t="inlineStr">
        <is>
          <t>23 Embalaje</t>
        </is>
      </c>
      <c r="M616" s="12" t="n"/>
      <c r="N616" s="25" t="inlineStr">
        <is>
          <t>R</t>
        </is>
      </c>
      <c r="O616" s="25" t="n"/>
      <c r="P616" s="12" t="n"/>
    </row>
    <row r="617">
      <c r="A617" s="22" t="inlineStr">
        <is>
          <t>FL_MAT_CLASED_9l</t>
        </is>
      </c>
      <c r="B617" s="22" t="n">
        <v>1</v>
      </c>
      <c r="C617" s="22" t="inlineStr">
        <is>
          <t>CLASED9-S7</t>
        </is>
      </c>
      <c r="D617" s="23" t="inlineStr">
        <is>
          <t xml:space="preserve">    Embalaje</t>
        </is>
      </c>
      <c r="E617" s="22" t="n">
        <v>1</v>
      </c>
      <c r="F617" s="22" t="inlineStr">
        <is>
          <t>u</t>
        </is>
      </c>
      <c r="G617" s="24" t="n"/>
      <c r="H617" s="24">
        <f>H618+H619+H620+H621+H622</f>
        <v/>
      </c>
      <c r="I617" s="22" t="n"/>
      <c r="J617" s="23" t="n"/>
      <c r="K617" s="22" t="inlineStr">
        <is>
          <t>Compra</t>
        </is>
      </c>
      <c r="L617" s="23" t="inlineStr">
        <is>
          <t>23 Embalaje -&gt; 24 envolvedora (T11)</t>
        </is>
      </c>
      <c r="M617" s="23" t="n"/>
      <c r="N617" s="22" t="n"/>
      <c r="O617" s="22" t="n"/>
      <c r="P617" s="23" t="n"/>
    </row>
    <row r="618">
      <c r="A618" s="25" t="inlineStr">
        <is>
          <t>FL_MAT_CLASED_9l</t>
        </is>
      </c>
      <c r="B618" s="25" t="n">
        <v>2</v>
      </c>
      <c r="C618" s="25" t="inlineStr">
        <is>
          <t>CLASED9-E1</t>
        </is>
      </c>
      <c r="D618" s="12" t="inlineStr">
        <is>
          <t xml:space="preserve">        Caja de cartón corrugado doble</t>
        </is>
      </c>
      <c r="E618" s="25" t="n">
        <v>1</v>
      </c>
      <c r="F618" s="25" t="inlineStr">
        <is>
          <t>u</t>
        </is>
      </c>
      <c r="G618" s="26" t="n">
        <v>0.5</v>
      </c>
      <c r="H618" s="26">
        <f>E618*G618</f>
        <v/>
      </c>
      <c r="I618" s="25" t="inlineStr">
        <is>
          <t>Cartón corrugado</t>
        </is>
      </c>
      <c r="J618" s="12" t="inlineStr">
        <is>
          <t>260 × 214 × 675 interior</t>
        </is>
      </c>
      <c r="K618" s="25" t="inlineStr">
        <is>
          <t>Compra</t>
        </is>
      </c>
      <c r="L618" s="12" t="inlineStr">
        <is>
          <t>23 Embalaje</t>
        </is>
      </c>
      <c r="M618" s="12" t="n"/>
      <c r="N618" s="25" t="inlineStr">
        <is>
          <t>R</t>
        </is>
      </c>
      <c r="O618" s="25" t="n"/>
      <c r="P618" s="12" t="n"/>
    </row>
    <row r="619">
      <c r="A619" s="25" t="inlineStr">
        <is>
          <t>FL_MAT_CLASED_9l</t>
        </is>
      </c>
      <c r="B619" s="25" t="n">
        <v>2</v>
      </c>
      <c r="C619" s="25" t="inlineStr">
        <is>
          <t>CLASED9-E2</t>
        </is>
      </c>
      <c r="D619" s="12" t="inlineStr">
        <is>
          <t xml:space="preserve">        Instructivo de uso y mantenimiento</t>
        </is>
      </c>
      <c r="E619" s="25" t="n">
        <v>1</v>
      </c>
      <c r="F619" s="25" t="inlineStr">
        <is>
          <t>u</t>
        </is>
      </c>
      <c r="G619" s="26" t="n">
        <v>0.01</v>
      </c>
      <c r="H619" s="26">
        <f>E619*G619</f>
        <v/>
      </c>
      <c r="I619" s="25" t="inlineStr">
        <is>
          <t>Papel</t>
        </is>
      </c>
      <c r="J619" s="12" t="inlineStr">
        <is>
          <t>A5</t>
        </is>
      </c>
      <c r="K619" s="25" t="inlineStr">
        <is>
          <t>Compra</t>
        </is>
      </c>
      <c r="L619" s="12" t="inlineStr">
        <is>
          <t>23 Embalaje</t>
        </is>
      </c>
      <c r="M619" s="12" t="inlineStr">
        <is>
          <t>IRAM 3517-2 (información al usuario)</t>
        </is>
      </c>
      <c r="N619" s="25" t="inlineStr">
        <is>
          <t>R</t>
        </is>
      </c>
      <c r="O619" s="25" t="n"/>
      <c r="P619" s="12" t="n"/>
    </row>
    <row r="620">
      <c r="A620" s="25" t="inlineStr">
        <is>
          <t>FL_MAT_CLASED_9l</t>
        </is>
      </c>
      <c r="B620" s="25" t="n">
        <v>2</v>
      </c>
      <c r="C620" s="25" t="inlineStr">
        <is>
          <t>CLASED9-E3</t>
        </is>
      </c>
      <c r="D620" s="12" t="inlineStr">
        <is>
          <t xml:space="preserve">        Pallet 1200 × 1000 (fracción)</t>
        </is>
      </c>
      <c r="E620" s="25" t="n">
        <v>0.0312</v>
      </c>
      <c r="F620" s="25" t="inlineStr">
        <is>
          <t>u</t>
        </is>
      </c>
      <c r="G620" s="26" t="n">
        <v>0.6879999999999999</v>
      </c>
      <c r="H620" s="26">
        <f>E620*G620</f>
        <v/>
      </c>
      <c r="I620" s="25" t="inlineStr">
        <is>
          <t>Madera</t>
        </is>
      </c>
      <c r="J620" s="12" t="inlineStr">
        <is>
          <t>32 u por pallet</t>
        </is>
      </c>
      <c r="K620" s="25" t="inlineStr">
        <is>
          <t>Compra</t>
        </is>
      </c>
      <c r="L620" s="12" t="inlineStr">
        <is>
          <t>23 Embalaje</t>
        </is>
      </c>
      <c r="M620" s="12" t="n"/>
      <c r="N620" s="25" t="inlineStr">
        <is>
          <t>R</t>
        </is>
      </c>
      <c r="O620" s="25" t="n"/>
      <c r="P620" s="12" t="n"/>
    </row>
    <row r="621">
      <c r="A621" s="25" t="inlineStr">
        <is>
          <t>FL_MAT_CLASED_9l</t>
        </is>
      </c>
      <c r="B621" s="25" t="n">
        <v>2</v>
      </c>
      <c r="C621" s="25" t="inlineStr">
        <is>
          <t>CLASED9-E4</t>
        </is>
      </c>
      <c r="D621" s="12" t="inlineStr">
        <is>
          <t xml:space="preserve">        Film stretch (fracción del pallet)</t>
        </is>
      </c>
      <c r="E621" s="25" t="n">
        <v>0.0109</v>
      </c>
      <c r="F621" s="25" t="inlineStr">
        <is>
          <t>kg</t>
        </is>
      </c>
      <c r="G621" s="26" t="n">
        <v>1</v>
      </c>
      <c r="H621" s="26">
        <f>E621*G621</f>
        <v/>
      </c>
      <c r="I621" s="25" t="inlineStr">
        <is>
          <t>PE lineal 23 µm</t>
        </is>
      </c>
      <c r="J621" s="12" t="inlineStr">
        <is>
          <t>envolvedora EDOS PS5</t>
        </is>
      </c>
      <c r="K621" s="25" t="inlineStr">
        <is>
          <t>Compra</t>
        </is>
      </c>
      <c r="L621" s="12" t="inlineStr">
        <is>
          <t>24 Envolvedora (T11)</t>
        </is>
      </c>
      <c r="M621" s="12" t="n"/>
      <c r="N621" s="25" t="inlineStr">
        <is>
          <t>R</t>
        </is>
      </c>
      <c r="O621" s="25" t="n"/>
      <c r="P621" s="12" t="n"/>
    </row>
    <row r="622">
      <c r="A622" s="25" t="inlineStr">
        <is>
          <t>FL_MAT_CLASED_9l</t>
        </is>
      </c>
      <c r="B622" s="25" t="n">
        <v>2</v>
      </c>
      <c r="C622" s="25" t="inlineStr">
        <is>
          <t>CLASED9-E5</t>
        </is>
      </c>
      <c r="D622" s="12" t="inlineStr">
        <is>
          <t xml:space="preserve">        Etiqueta de pallet (lote y destino, fracción)</t>
        </is>
      </c>
      <c r="E622" s="25" t="n">
        <v>0.0312</v>
      </c>
      <c r="F622" s="25" t="inlineStr">
        <is>
          <t>u</t>
        </is>
      </c>
      <c r="G622" s="26" t="n">
        <v>0</v>
      </c>
      <c r="H622" s="26">
        <f>E622*G622</f>
        <v/>
      </c>
      <c r="I622" s="25" t="inlineStr">
        <is>
          <t>Papel térmico</t>
        </is>
      </c>
      <c r="J622" s="12" t="inlineStr">
        <is>
          <t>100 × 150</t>
        </is>
      </c>
      <c r="K622" s="25" t="inlineStr">
        <is>
          <t>Compra</t>
        </is>
      </c>
      <c r="L622" s="12" t="inlineStr">
        <is>
          <t>24 Envolvedora</t>
        </is>
      </c>
      <c r="M622" s="12" t="n"/>
      <c r="N622" s="25" t="inlineStr">
        <is>
          <t>R</t>
        </is>
      </c>
      <c r="O622" s="25" t="n"/>
      <c r="P622" s="12" t="n"/>
    </row>
    <row r="623">
      <c r="A623" s="19" t="inlineStr">
        <is>
          <t>FL_MAT_ABC_25kg</t>
        </is>
      </c>
      <c r="B623" s="19" t="n">
        <v>0</v>
      </c>
      <c r="C623" s="19" t="inlineStr">
        <is>
          <t>FL_MAT_ABC_25kg</t>
        </is>
      </c>
      <c r="D623" s="20" t="inlineStr">
        <is>
          <t>Extintor ABC 25 kg sobre ruedas</t>
        </is>
      </c>
      <c r="E623" s="19" t="n">
        <v>1</v>
      </c>
      <c r="F623" s="19" t="inlineStr">
        <is>
          <t>u</t>
        </is>
      </c>
      <c r="G623" s="21" t="n"/>
      <c r="H623" s="21" t="n"/>
      <c r="I623" s="19" t="n"/>
      <c r="J623" s="20" t="n"/>
      <c r="K623" s="19" t="n"/>
      <c r="L623" s="20" t="n"/>
      <c r="M623" s="20" t="inlineStr">
        <is>
          <t>IRAM 3550</t>
        </is>
      </c>
      <c r="N623" s="19" t="inlineStr">
        <is>
          <t>P</t>
        </is>
      </c>
      <c r="O623" s="19" t="inlineStr">
        <is>
          <t>FL_MAT_ABC_25kg</t>
        </is>
      </c>
      <c r="P623" s="20" t="inlineStr">
        <is>
          <t>Fabricación propia</t>
        </is>
      </c>
    </row>
    <row r="624">
      <c r="A624" s="22" t="inlineStr">
        <is>
          <t>FL_MAT_ABC_25kg</t>
        </is>
      </c>
      <c r="B624" s="22" t="n">
        <v>1</v>
      </c>
      <c r="C624" s="22" t="inlineStr">
        <is>
          <t>FL_REC_ABC_25kg</t>
        </is>
      </c>
      <c r="D624" s="23" t="inlineStr">
        <is>
          <t xml:space="preserve">    Recipiente (cilindro)</t>
        </is>
      </c>
      <c r="E624" s="22" t="n">
        <v>1</v>
      </c>
      <c r="F624" s="22" t="inlineStr">
        <is>
          <t>u</t>
        </is>
      </c>
      <c r="G624" s="24" t="n"/>
      <c r="H624" s="24">
        <f>H625+H627+H628+H629+H631+H634</f>
        <v/>
      </c>
      <c r="I624" s="22" t="n"/>
      <c r="J624" s="23" t="n"/>
      <c r="K624" s="22" t="inlineStr">
        <is>
          <t>Fabricación</t>
        </is>
      </c>
      <c r="L624" s="23" t="n"/>
      <c r="M624" s="23" t="inlineStr">
        <is>
          <t>IRAM 3523 / 3550 (recipiente)</t>
        </is>
      </c>
      <c r="N624" s="22" t="inlineStr">
        <is>
          <t>P</t>
        </is>
      </c>
      <c r="O624" s="22" t="inlineStr">
        <is>
          <t>FL_REC_ABC_25kg</t>
        </is>
      </c>
      <c r="P624" s="23" t="n"/>
    </row>
    <row r="625">
      <c r="A625" s="25" t="inlineStr">
        <is>
          <t>FL_MAT_ABC_25kg</t>
        </is>
      </c>
      <c r="B625" s="25" t="n">
        <v>2</v>
      </c>
      <c r="C625" s="25" t="inlineStr">
        <is>
          <t>ABC25-01</t>
        </is>
      </c>
      <c r="D625" s="12" t="inlineStr">
        <is>
          <t xml:space="preserve">        Cuerpo (virola)</t>
        </is>
      </c>
      <c r="E625" s="25" t="n">
        <v>1</v>
      </c>
      <c r="F625" s="25" t="inlineStr">
        <is>
          <t>u</t>
        </is>
      </c>
      <c r="G625" s="26" t="n">
        <v>8.756600000000001</v>
      </c>
      <c r="H625" s="26">
        <f>E625*G625</f>
        <v/>
      </c>
      <c r="I625" s="25" t="inlineStr">
        <is>
          <t>Chapa acero SAE 1010 e=3,2</t>
        </is>
      </c>
      <c r="J625" s="12" t="inlineStr">
        <is>
          <t>Ø276,5 × e3,2 × 406 de alto; desarrollo 858,6 × 406</t>
        </is>
      </c>
      <c r="K625" s="25" t="inlineStr">
        <is>
          <t>Fabricación</t>
        </is>
      </c>
      <c r="L625" s="12" t="inlineStr">
        <is>
          <t>1 Guillotina -&gt; C1 cilindrado -&gt; C2 punteo -&gt; C3 sold. long.</t>
        </is>
      </c>
      <c r="M625" s="12" t="n"/>
      <c r="N625" s="25" t="inlineStr">
        <is>
          <t>P</t>
        </is>
      </c>
      <c r="O625" s="25" t="inlineStr">
        <is>
          <t>FL_DES_ABC_25kg</t>
        </is>
      </c>
      <c r="P625" s="12" t="inlineStr">
        <is>
          <t>costura long. MIG</t>
        </is>
      </c>
    </row>
    <row r="626">
      <c r="A626" s="27" t="inlineStr">
        <is>
          <t>FL_MAT_ABC_25kg</t>
        </is>
      </c>
      <c r="B626" s="27" t="n">
        <v>3</v>
      </c>
      <c r="C626" s="27" t="inlineStr">
        <is>
          <t>MP-HOJA</t>
        </is>
      </c>
      <c r="D626" s="28" t="inlineStr">
        <is>
          <t xml:space="preserve">            Recorte de hoja LAC 1500 × 3000 e=3,2</t>
        </is>
      </c>
      <c r="E626" s="27" t="n">
        <v>1</v>
      </c>
      <c r="F626" s="27" t="inlineStr">
        <is>
          <t>u</t>
        </is>
      </c>
      <c r="G626" s="29" t="n">
        <v>12.558</v>
      </c>
      <c r="H626" s="29">
        <f>E626*G626</f>
        <v/>
      </c>
      <c r="I626" s="27" t="inlineStr">
        <is>
          <t>Chapa SAE 1010 LAC</t>
        </is>
      </c>
      <c r="J626" s="28" t="inlineStr">
        <is>
          <t>490 × 858 (aprovech. 84,1 %)</t>
        </is>
      </c>
      <c r="K626" s="27" t="inlineStr">
        <is>
          <t>Compra (Pradecon)</t>
        </is>
      </c>
      <c r="L626" s="28" t="inlineStr">
        <is>
          <t>AL-1H paquetes de hojas</t>
        </is>
      </c>
      <c r="M626" s="28" t="n"/>
      <c r="N626" s="27" t="inlineStr">
        <is>
          <t>L</t>
        </is>
      </c>
      <c r="O626" s="27" t="inlineStr">
        <is>
          <t>FL_PI_04 h2</t>
        </is>
      </c>
      <c r="P626" s="28" t="n"/>
    </row>
    <row r="627">
      <c r="A627" s="25" t="inlineStr">
        <is>
          <t>FL_MAT_ABC_25kg</t>
        </is>
      </c>
      <c r="B627" s="25" t="n">
        <v>2</v>
      </c>
      <c r="C627" s="25" t="inlineStr">
        <is>
          <t>ABC25-02</t>
        </is>
      </c>
      <c r="D627" s="12" t="inlineStr">
        <is>
          <t xml:space="preserve">        Cúpula</t>
        </is>
      </c>
      <c r="E627" s="25" t="n">
        <v>1</v>
      </c>
      <c r="F627" s="25" t="inlineStr">
        <is>
          <t>u</t>
        </is>
      </c>
      <c r="G627" s="26" t="n">
        <v>2.162</v>
      </c>
      <c r="H627" s="26">
        <f>E627*G627</f>
        <v/>
      </c>
      <c r="I627" s="25" t="inlineStr">
        <is>
          <t>Chapa acero SAE 1010 e=3,2</t>
        </is>
      </c>
      <c r="J627" s="12" t="inlineStr">
        <is>
          <t>Ø276,5 × e3,2 × 86,3 de alto; disco Ø341</t>
        </is>
      </c>
      <c r="K627" s="25" t="inlineStr">
        <is>
          <t>Compra</t>
        </is>
      </c>
      <c r="L627" s="12" t="inlineStr">
        <is>
          <t>Compra (casquetes de carros, rack RK1)</t>
        </is>
      </c>
      <c r="M627" s="12" t="n"/>
      <c r="N627" s="25" t="inlineStr">
        <is>
          <t>P</t>
        </is>
      </c>
      <c r="O627" s="25" t="inlineStr">
        <is>
          <t>FL_DES_ABC_25kg</t>
        </is>
      </c>
      <c r="P627" s="12" t="inlineStr">
        <is>
          <t>embutida</t>
        </is>
      </c>
    </row>
    <row r="628">
      <c r="A628" s="25" t="inlineStr">
        <is>
          <t>FL_MAT_ABC_25kg</t>
        </is>
      </c>
      <c r="B628" s="25" t="n">
        <v>2</v>
      </c>
      <c r="C628" s="25" t="inlineStr">
        <is>
          <t>ABC25-03</t>
        </is>
      </c>
      <c r="D628" s="12" t="inlineStr">
        <is>
          <t xml:space="preserve">        Fondo</t>
        </is>
      </c>
      <c r="E628" s="25" t="n">
        <v>1</v>
      </c>
      <c r="F628" s="25" t="inlineStr">
        <is>
          <t>u</t>
        </is>
      </c>
      <c r="G628" s="26" t="n">
        <v>2.2425</v>
      </c>
      <c r="H628" s="26">
        <f>E628*G628</f>
        <v/>
      </c>
      <c r="I628" s="25" t="inlineStr">
        <is>
          <t>Chapa acero SAE 1010 e=3,2</t>
        </is>
      </c>
      <c r="J628" s="12" t="inlineStr">
        <is>
          <t>Ø276,5 × e3,2 × 87 de alto; disco Ø347,3</t>
        </is>
      </c>
      <c r="K628" s="25" t="inlineStr">
        <is>
          <t>Compra</t>
        </is>
      </c>
      <c r="L628" s="12" t="inlineStr">
        <is>
          <t>Compra (casquetes de carros, rack RK1)</t>
        </is>
      </c>
      <c r="M628" s="12" t="n"/>
      <c r="N628" s="25" t="inlineStr">
        <is>
          <t>P</t>
        </is>
      </c>
      <c r="O628" s="25" t="inlineStr">
        <is>
          <t>FL_DES_ABC_25kg</t>
        </is>
      </c>
      <c r="P628" s="12" t="inlineStr">
        <is>
          <t>embutido</t>
        </is>
      </c>
    </row>
    <row r="629">
      <c r="A629" s="25" t="inlineStr">
        <is>
          <t>FL_MAT_ABC_25kg</t>
        </is>
      </c>
      <c r="B629" s="25" t="n">
        <v>2</v>
      </c>
      <c r="C629" s="25" t="inlineStr">
        <is>
          <t>ABC25-04</t>
        </is>
      </c>
      <c r="D629" s="12" t="inlineStr">
        <is>
          <t xml:space="preserve">        Cuello roscado</t>
        </is>
      </c>
      <c r="E629" s="25" t="n">
        <v>1</v>
      </c>
      <c r="F629" s="25" t="inlineStr">
        <is>
          <t>u</t>
        </is>
      </c>
      <c r="G629" s="26" t="n">
        <v>0.1326</v>
      </c>
      <c r="H629" s="26">
        <f>E629*G629</f>
        <v/>
      </c>
      <c r="I629" s="25" t="inlineStr">
        <is>
          <t>Acero SAE 1010</t>
        </is>
      </c>
      <c r="J629" s="12" t="inlineStr">
        <is>
          <t>Ø37 × 35 de alto, rosca M30x1,5, asiento Ø35</t>
        </is>
      </c>
      <c r="K629" s="25" t="inlineStr">
        <is>
          <t>Fabricación</t>
        </is>
      </c>
      <c r="L629" s="12" t="inlineStr">
        <is>
          <t>C2 punteo</t>
        </is>
      </c>
      <c r="M629" s="12" t="n"/>
      <c r="N629" s="25" t="inlineStr">
        <is>
          <t>P</t>
        </is>
      </c>
      <c r="O629" s="25" t="inlineStr">
        <is>
          <t>FL_DES_ABC_25kg</t>
        </is>
      </c>
      <c r="P629" s="12" t="inlineStr">
        <is>
          <t>M30x1,5</t>
        </is>
      </c>
    </row>
    <row r="630">
      <c r="A630" s="27" t="inlineStr">
        <is>
          <t>FL_MAT_ABC_25kg</t>
        </is>
      </c>
      <c r="B630" s="27" t="n">
        <v>3</v>
      </c>
      <c r="C630" s="27" t="inlineStr">
        <is>
          <t>MP-CUELLO</t>
        </is>
      </c>
      <c r="D630" s="28" t="inlineStr">
        <is>
          <t xml:space="preserve">            Cuello roscado mecanizado (pieza comprada lista para soldar)</t>
        </is>
      </c>
      <c r="E630" s="27" t="n">
        <v>1</v>
      </c>
      <c r="F630" s="27" t="inlineStr">
        <is>
          <t>u</t>
        </is>
      </c>
      <c r="G630" s="29" t="n">
        <v>0.133</v>
      </c>
      <c r="H630" s="29">
        <f>E630*G630</f>
        <v/>
      </c>
      <c r="I630" s="27" t="inlineStr">
        <is>
          <t>Acero SAE 1010 / 1020</t>
        </is>
      </c>
      <c r="J630" s="28" t="inlineStr">
        <is>
          <t>rosca M30x1,5</t>
        </is>
      </c>
      <c r="K630" s="27" t="inlineStr">
        <is>
          <t>Compra (Eli-Met)</t>
        </is>
      </c>
      <c r="L630" s="28" t="inlineStr">
        <is>
          <t>AL-1C cuellos y roscas</t>
        </is>
      </c>
      <c r="M630" s="28" t="n"/>
      <c r="N630" s="27" t="inlineStr">
        <is>
          <t>L</t>
        </is>
      </c>
      <c r="O630" s="27" t="n"/>
      <c r="P630" s="28" t="n"/>
    </row>
    <row r="631">
      <c r="A631" s="25" t="inlineStr">
        <is>
          <t>FL_MAT_ABC_25kg</t>
        </is>
      </c>
      <c r="B631" s="25" t="n">
        <v>2</v>
      </c>
      <c r="C631" s="25" t="inlineStr">
        <is>
          <t>ABC25-C1</t>
        </is>
      </c>
      <c r="D631" s="12" t="inlineStr">
        <is>
          <t xml:space="preserve">        Aporte de soldadura: Alambre MAG ER70S-6 Ø0,9/1,2</t>
        </is>
      </c>
      <c r="E631" s="25" t="n">
        <v>0.3484</v>
      </c>
      <c r="F631" s="25" t="inlineStr">
        <is>
          <t>kg</t>
        </is>
      </c>
      <c r="G631" s="26" t="n">
        <v>0.92</v>
      </c>
      <c r="H631" s="26">
        <f>E631*G631</f>
        <v/>
      </c>
      <c r="I631" s="25" t="inlineStr">
        <is>
          <t>Alambre MAG ER70S-6 Ø0,9/1,2</t>
        </is>
      </c>
      <c r="J631" s="12" t="inlineStr">
        <is>
          <t>cordones del plano: 321 g depositados (rend. 92 %)</t>
        </is>
      </c>
      <c r="K631" s="25" t="inlineStr">
        <is>
          <t>Compra</t>
        </is>
      </c>
      <c r="L631" s="12" t="inlineStr">
        <is>
          <t>4 sold. long. / 8 cuello / 11 circunferencial</t>
        </is>
      </c>
      <c r="M631" s="12" t="inlineStr">
        <is>
          <t>ISO 4063 131 / 141</t>
        </is>
      </c>
      <c r="N631" s="25" t="inlineStr">
        <is>
          <t>P</t>
        </is>
      </c>
      <c r="O631" s="25" t="n"/>
      <c r="P631" s="12" t="n"/>
    </row>
    <row r="632">
      <c r="A632" s="25" t="inlineStr">
        <is>
          <t>FL_MAT_ABC_25kg</t>
        </is>
      </c>
      <c r="B632" s="25" t="n">
        <v>2</v>
      </c>
      <c r="C632" s="25" t="inlineStr">
        <is>
          <t>ABC25-C2</t>
        </is>
      </c>
      <c r="D632" s="12" t="inlineStr">
        <is>
          <t xml:space="preserve">        Gas de protección: Arcal 21 (Ar + 18 % CO₂)</t>
        </is>
      </c>
      <c r="E632" s="25" t="n">
        <v>156.8</v>
      </c>
      <c r="F632" s="25" t="inlineStr">
        <is>
          <t>L</t>
        </is>
      </c>
      <c r="G632" s="26" t="n"/>
      <c r="H632" s="26" t="n"/>
      <c r="I632" s="25" t="inlineStr">
        <is>
          <t>Arcal 21 (Ar + 18 % CO₂)</t>
        </is>
      </c>
      <c r="J632" s="12" t="inlineStr">
        <is>
          <t>10,5 min de arco × 15 L/min</t>
        </is>
      </c>
      <c r="K632" s="25" t="inlineStr">
        <is>
          <t>Compra</t>
        </is>
      </c>
      <c r="L632" s="12" t="inlineStr">
        <is>
          <t>Colector SC</t>
        </is>
      </c>
      <c r="M632" s="12" t="n"/>
      <c r="N632" s="25" t="inlineStr">
        <is>
          <t>R</t>
        </is>
      </c>
      <c r="O632" s="25" t="n"/>
      <c r="P632" s="12" t="n"/>
    </row>
    <row r="633">
      <c r="A633" s="25" t="inlineStr">
        <is>
          <t>FL_MAT_ABC_25kg</t>
        </is>
      </c>
      <c r="B633" s="25" t="n">
        <v>2</v>
      </c>
      <c r="C633" s="25" t="inlineStr">
        <is>
          <t>ABC25-C3</t>
        </is>
      </c>
      <c r="D633" s="12" t="inlineStr">
        <is>
          <t xml:space="preserve">        Granalla de acero (consumo)</t>
        </is>
      </c>
      <c r="E633" s="25" t="n">
        <v>0.042</v>
      </c>
      <c r="F633" s="25" t="inlineStr">
        <is>
          <t>kg</t>
        </is>
      </c>
      <c r="G633" s="26" t="n"/>
      <c r="H633" s="26" t="n"/>
      <c r="I633" s="25" t="inlineStr">
        <is>
          <t>Granalla S-230</t>
        </is>
      </c>
      <c r="J633" s="12" t="inlineStr">
        <is>
          <t>0,524 m² a Sa 2½</t>
        </is>
      </c>
      <c r="K633" s="25" t="inlineStr">
        <is>
          <t>Compra</t>
        </is>
      </c>
      <c r="L633" s="12" t="inlineStr">
        <is>
          <t>14 Granallado (B08)</t>
        </is>
      </c>
      <c r="M633" s="12" t="inlineStr">
        <is>
          <t>ISO 8501-1</t>
        </is>
      </c>
      <c r="N633" s="25" t="inlineStr">
        <is>
          <t>R</t>
        </is>
      </c>
      <c r="O633" s="25" t="n"/>
      <c r="P633" s="12" t="n"/>
    </row>
    <row r="634">
      <c r="A634" s="25" t="inlineStr">
        <is>
          <t>FL_MAT_ABC_25kg</t>
        </is>
      </c>
      <c r="B634" s="25" t="n">
        <v>2</v>
      </c>
      <c r="C634" s="25" t="inlineStr">
        <is>
          <t>ABC25-C4</t>
        </is>
      </c>
      <c r="D634" s="12" t="inlineStr">
        <is>
          <t xml:space="preserve">        Pintura en polvo poliéster rojo</t>
        </is>
      </c>
      <c r="E634" s="25" t="n">
        <v>0.097</v>
      </c>
      <c r="F634" s="25" t="inlineStr">
        <is>
          <t>kg</t>
        </is>
      </c>
      <c r="G634" s="26" t="n">
        <v>0.65</v>
      </c>
      <c r="H634" s="26">
        <f>E634*G634</f>
        <v/>
      </c>
      <c r="I634" s="25" t="inlineStr">
        <is>
          <t>Poliéster rojo 03-1-050</t>
        </is>
      </c>
      <c r="J634" s="12" t="inlineStr">
        <is>
          <t>0,524 m² × 80 µm (60-100 µm), rendimiento 65 %</t>
        </is>
      </c>
      <c r="K634" s="25" t="inlineStr">
        <is>
          <t>Compra</t>
        </is>
      </c>
      <c r="L634" s="12" t="inlineStr">
        <is>
          <t>17 Pintura (S-P) / tercerizada en carros</t>
        </is>
      </c>
      <c r="M634" s="12" t="inlineStr">
        <is>
          <t>DOC-01 · IRAM 3517-2 9.10</t>
        </is>
      </c>
      <c r="N634" s="25" t="inlineStr">
        <is>
          <t>R</t>
        </is>
      </c>
      <c r="O634" s="25" t="n"/>
      <c r="P634" s="12" t="n"/>
    </row>
    <row r="635">
      <c r="A635" s="22" t="inlineStr">
        <is>
          <t>FL_MAT_ABC_25kg</t>
        </is>
      </c>
      <c r="B635" s="22" t="n">
        <v>1</v>
      </c>
      <c r="C635" s="22" t="inlineStr">
        <is>
          <t>ABC25-S2</t>
        </is>
      </c>
      <c r="D635" s="23" t="inlineStr">
        <is>
          <t xml:space="preserve">    Conjunto de válvula</t>
        </is>
      </c>
      <c r="E635" s="22" t="n">
        <v>1</v>
      </c>
      <c r="F635" s="22" t="inlineStr">
        <is>
          <t>u</t>
        </is>
      </c>
      <c r="G635" s="24" t="n"/>
      <c r="H635" s="24">
        <f>H636+H637+H638+H639+H640+H641+H642+H643+H644+H645+H646+H647+H648</f>
        <v/>
      </c>
      <c r="I635" s="22" t="n"/>
      <c r="J635" s="23" t="n"/>
      <c r="K635" s="22" t="inlineStr">
        <is>
          <t>Compra / armado</t>
        </is>
      </c>
      <c r="L635" s="23" t="n"/>
      <c r="M635" s="23" t="inlineStr">
        <is>
          <t>Manómetro IRAM 3533</t>
        </is>
      </c>
      <c r="N635" s="22" t="inlineStr">
        <is>
          <t>P</t>
        </is>
      </c>
      <c r="O635" s="22" t="inlineStr">
        <is>
          <t>FL_DES_ABC_25kg</t>
        </is>
      </c>
      <c r="P635" s="23" t="n"/>
    </row>
    <row r="636">
      <c r="A636" s="25" t="inlineStr">
        <is>
          <t>FL_MAT_ABC_25kg</t>
        </is>
      </c>
      <c r="B636" s="25" t="n">
        <v>2</v>
      </c>
      <c r="C636" s="25" t="inlineStr">
        <is>
          <t>ABC25-11</t>
        </is>
      </c>
      <c r="D636" s="12" t="inlineStr">
        <is>
          <t xml:space="preserve">        Collarín de válvula</t>
        </is>
      </c>
      <c r="E636" s="25" t="n">
        <v>1</v>
      </c>
      <c r="F636" s="25" t="inlineStr">
        <is>
          <t>u</t>
        </is>
      </c>
      <c r="G636" s="26" t="n">
        <v>0.129</v>
      </c>
      <c r="H636" s="26">
        <f>E636*G636</f>
        <v/>
      </c>
      <c r="I636" s="25" t="inlineStr">
        <is>
          <t>Latón forjado</t>
        </is>
      </c>
      <c r="J636" s="12" t="inlineStr">
        <is>
          <t>45,1 × 45,1 × 13,5</t>
        </is>
      </c>
      <c r="K636" s="25" t="inlineStr">
        <is>
          <t>Compra</t>
        </is>
      </c>
      <c r="L636" s="12" t="inlineStr">
        <is>
          <t>C9 armado</t>
        </is>
      </c>
      <c r="M636" s="12" t="n"/>
      <c r="N636" s="25" t="inlineStr">
        <is>
          <t>P</t>
        </is>
      </c>
      <c r="O636" s="25" t="inlineStr">
        <is>
          <t>FL_DES_ABC_25kg</t>
        </is>
      </c>
      <c r="P636" s="12" t="n"/>
    </row>
    <row r="637">
      <c r="A637" s="25" t="inlineStr">
        <is>
          <t>FL_MAT_ABC_25kg</t>
        </is>
      </c>
      <c r="B637" s="25" t="n">
        <v>2</v>
      </c>
      <c r="C637" s="25" t="inlineStr">
        <is>
          <t>ABC25-12</t>
        </is>
      </c>
      <c r="D637" s="12" t="inlineStr">
        <is>
          <t xml:space="preserve">        Espiga roscada</t>
        </is>
      </c>
      <c r="E637" s="25" t="n">
        <v>1</v>
      </c>
      <c r="F637" s="25" t="inlineStr">
        <is>
          <t>u</t>
        </is>
      </c>
      <c r="G637" s="26" t="n">
        <v>0.0424</v>
      </c>
      <c r="H637" s="26">
        <f>E637*G637</f>
        <v/>
      </c>
      <c r="I637" s="25" t="inlineStr">
        <is>
          <t>Latón forjado</t>
        </is>
      </c>
      <c r="J637" s="12" t="inlineStr">
        <is>
          <t>28,4 × 28,4 × 16,2</t>
        </is>
      </c>
      <c r="K637" s="25" t="inlineStr">
        <is>
          <t>Compra</t>
        </is>
      </c>
      <c r="L637" s="12" t="inlineStr">
        <is>
          <t>C9 armado</t>
        </is>
      </c>
      <c r="M637" s="12" t="n"/>
      <c r="N637" s="25" t="inlineStr">
        <is>
          <t>P</t>
        </is>
      </c>
      <c r="O637" s="25" t="inlineStr">
        <is>
          <t>FL_DES_ABC_25kg</t>
        </is>
      </c>
      <c r="P637" s="12" t="n"/>
    </row>
    <row r="638">
      <c r="A638" s="25" t="inlineStr">
        <is>
          <t>FL_MAT_ABC_25kg</t>
        </is>
      </c>
      <c r="B638" s="25" t="n">
        <v>2</v>
      </c>
      <c r="C638" s="25" t="inlineStr">
        <is>
          <t>ABC25-13</t>
        </is>
      </c>
      <c r="D638" s="12" t="inlineStr">
        <is>
          <t xml:space="preserve">        Cuerpo de válvula</t>
        </is>
      </c>
      <c r="E638" s="25" t="n">
        <v>1</v>
      </c>
      <c r="F638" s="25" t="inlineStr">
        <is>
          <t>u</t>
        </is>
      </c>
      <c r="G638" s="26" t="n">
        <v>0.7378</v>
      </c>
      <c r="H638" s="26">
        <f>E638*G638</f>
        <v/>
      </c>
      <c r="I638" s="25" t="inlineStr">
        <is>
          <t>Latón forjado</t>
        </is>
      </c>
      <c r="J638" s="12" t="inlineStr">
        <is>
          <t>58,4 × 54 × 46,3</t>
        </is>
      </c>
      <c r="K638" s="25" t="inlineStr">
        <is>
          <t>Compra</t>
        </is>
      </c>
      <c r="L638" s="12" t="inlineStr">
        <is>
          <t>C9 armado</t>
        </is>
      </c>
      <c r="M638" s="12" t="n"/>
      <c r="N638" s="25" t="inlineStr">
        <is>
          <t>P</t>
        </is>
      </c>
      <c r="O638" s="25" t="inlineStr">
        <is>
          <t>FL_DES_ABC_25kg</t>
        </is>
      </c>
      <c r="P638" s="12" t="n"/>
    </row>
    <row r="639">
      <c r="A639" s="25" t="inlineStr">
        <is>
          <t>FL_MAT_ABC_25kg</t>
        </is>
      </c>
      <c r="B639" s="25" t="n">
        <v>2</v>
      </c>
      <c r="C639" s="25" t="inlineStr">
        <is>
          <t>ABC25-14</t>
        </is>
      </c>
      <c r="D639" s="12" t="inlineStr">
        <is>
          <t xml:space="preserve">        Manómetro</t>
        </is>
      </c>
      <c r="E639" s="25" t="n">
        <v>1</v>
      </c>
      <c r="F639" s="25" t="inlineStr">
        <is>
          <t>u</t>
        </is>
      </c>
      <c r="G639" s="26" t="n">
        <v>0.12</v>
      </c>
      <c r="H639" s="26">
        <f>E639*G639</f>
        <v/>
      </c>
      <c r="I639" s="25" t="inlineStr">
        <is>
          <t>Comercial</t>
        </is>
      </c>
      <c r="J639" s="12" t="inlineStr">
        <is>
          <t>Ø50 esfera, rango 0-3,5 MPa, sector verde en 1,4</t>
        </is>
      </c>
      <c r="K639" s="25" t="inlineStr">
        <is>
          <t>Compra</t>
        </is>
      </c>
      <c r="L639" s="12" t="inlineStr">
        <is>
          <t>C9 armado</t>
        </is>
      </c>
      <c r="M639" s="12" t="inlineStr">
        <is>
          <t>IRAM 3533</t>
        </is>
      </c>
      <c r="N639" s="25" t="inlineStr">
        <is>
          <t>R</t>
        </is>
      </c>
      <c r="O639" s="25" t="inlineStr">
        <is>
          <t>FL_DES_ABC_25kg</t>
        </is>
      </c>
      <c r="P639" s="12" t="inlineStr">
        <is>
          <t>Pieza comercial; sello IRAM 3533</t>
        </is>
      </c>
    </row>
    <row r="640">
      <c r="A640" s="25" t="inlineStr">
        <is>
          <t>FL_MAT_ABC_25kg</t>
        </is>
      </c>
      <c r="B640" s="25" t="n">
        <v>2</v>
      </c>
      <c r="C640" s="25" t="inlineStr">
        <is>
          <t>ABC25-15</t>
        </is>
      </c>
      <c r="D640" s="12" t="inlineStr">
        <is>
          <t xml:space="preserve">        Manija de transporte</t>
        </is>
      </c>
      <c r="E640" s="25" t="n">
        <v>1</v>
      </c>
      <c r="F640" s="25" t="inlineStr">
        <is>
          <t>u</t>
        </is>
      </c>
      <c r="G640" s="26" t="n">
        <v>0.0815</v>
      </c>
      <c r="H640" s="26">
        <f>E640*G640</f>
        <v/>
      </c>
      <c r="I640" s="25" t="inlineStr">
        <is>
          <t>Chapa acero SAE 1010 pintada</t>
        </is>
      </c>
      <c r="J640" s="12" t="inlineStr">
        <is>
          <t>71,4 × 27 × 12,8</t>
        </is>
      </c>
      <c r="K640" s="25" t="inlineStr">
        <is>
          <t>Compra</t>
        </is>
      </c>
      <c r="L640" s="12" t="inlineStr">
        <is>
          <t>C9 armado</t>
        </is>
      </c>
      <c r="M640" s="12" t="n"/>
      <c r="N640" s="25" t="inlineStr">
        <is>
          <t>P</t>
        </is>
      </c>
      <c r="O640" s="25" t="inlineStr">
        <is>
          <t>FL_DES_ABC_25kg</t>
        </is>
      </c>
      <c r="P640" s="12" t="n"/>
    </row>
    <row r="641">
      <c r="A641" s="25" t="inlineStr">
        <is>
          <t>FL_MAT_ABC_25kg</t>
        </is>
      </c>
      <c r="B641" s="25" t="n">
        <v>2</v>
      </c>
      <c r="C641" s="25" t="inlineStr">
        <is>
          <t>ABC25-16</t>
        </is>
      </c>
      <c r="D641" s="12" t="inlineStr">
        <is>
          <t xml:space="preserve">        Manija de accionamiento</t>
        </is>
      </c>
      <c r="E641" s="25" t="n">
        <v>1</v>
      </c>
      <c r="F641" s="25" t="inlineStr">
        <is>
          <t>u</t>
        </is>
      </c>
      <c r="G641" s="26" t="n">
        <v>0.1496</v>
      </c>
      <c r="H641" s="26">
        <f>E641*G641</f>
        <v/>
      </c>
      <c r="I641" s="25" t="inlineStr">
        <is>
          <t>Chapa acero SAE 1010 pintada</t>
        </is>
      </c>
      <c r="J641" s="12" t="inlineStr">
        <is>
          <t>130,4 × 27 × 21,3</t>
        </is>
      </c>
      <c r="K641" s="25" t="inlineStr">
        <is>
          <t>Compra</t>
        </is>
      </c>
      <c r="L641" s="12" t="inlineStr">
        <is>
          <t>C9 armado</t>
        </is>
      </c>
      <c r="M641" s="12" t="n"/>
      <c r="N641" s="25" t="inlineStr">
        <is>
          <t>P</t>
        </is>
      </c>
      <c r="O641" s="25" t="inlineStr">
        <is>
          <t>FL_DES_ABC_25kg</t>
        </is>
      </c>
      <c r="P641" s="12" t="n"/>
    </row>
    <row r="642">
      <c r="A642" s="25" t="inlineStr">
        <is>
          <t>FL_MAT_ABC_25kg</t>
        </is>
      </c>
      <c r="B642" s="25" t="n">
        <v>2</v>
      </c>
      <c r="C642" s="25" t="inlineStr">
        <is>
          <t>ABC25-17</t>
        </is>
      </c>
      <c r="D642" s="12" t="inlineStr">
        <is>
          <t xml:space="preserve">        Eje de palanca</t>
        </is>
      </c>
      <c r="E642" s="25" t="n">
        <v>1</v>
      </c>
      <c r="F642" s="25" t="inlineStr">
        <is>
          <t>u</t>
        </is>
      </c>
      <c r="G642" s="26" t="n">
        <v>0.0199</v>
      </c>
      <c r="H642" s="26">
        <f>E642*G642</f>
        <v/>
      </c>
      <c r="I642" s="25" t="inlineStr">
        <is>
          <t>Acero inox. AISI 304</t>
        </is>
      </c>
      <c r="J642" s="12" t="inlineStr">
        <is>
          <t>48,6 × 8,1 × 8,1</t>
        </is>
      </c>
      <c r="K642" s="25" t="inlineStr">
        <is>
          <t>Compra</t>
        </is>
      </c>
      <c r="L642" s="12" t="inlineStr">
        <is>
          <t>C9 armado</t>
        </is>
      </c>
      <c r="M642" s="12" t="n"/>
      <c r="N642" s="25" t="inlineStr">
        <is>
          <t>P</t>
        </is>
      </c>
      <c r="O642" s="25" t="inlineStr">
        <is>
          <t>FL_DES_ABC_25kg</t>
        </is>
      </c>
      <c r="P642" s="12" t="n"/>
    </row>
    <row r="643">
      <c r="A643" s="25" t="inlineStr">
        <is>
          <t>FL_MAT_ABC_25kg</t>
        </is>
      </c>
      <c r="B643" s="25" t="n">
        <v>2</v>
      </c>
      <c r="C643" s="25" t="inlineStr">
        <is>
          <t>ABC25-18</t>
        </is>
      </c>
      <c r="D643" s="12" t="inlineStr">
        <is>
          <t xml:space="preserve">        Vástago</t>
        </is>
      </c>
      <c r="E643" s="25" t="n">
        <v>1</v>
      </c>
      <c r="F643" s="25" t="inlineStr">
        <is>
          <t>u</t>
        </is>
      </c>
      <c r="G643" s="26" t="n">
        <v>0.0039</v>
      </c>
      <c r="H643" s="26">
        <f>E643*G643</f>
        <v/>
      </c>
      <c r="I643" s="25" t="inlineStr">
        <is>
          <t>Latón</t>
        </is>
      </c>
      <c r="J643" s="12" t="inlineStr">
        <is>
          <t>10,8 × 10,8 × 5</t>
        </is>
      </c>
      <c r="K643" s="25" t="inlineStr">
        <is>
          <t>Compra</t>
        </is>
      </c>
      <c r="L643" s="12" t="inlineStr">
        <is>
          <t>C9 armado</t>
        </is>
      </c>
      <c r="M643" s="12" t="n"/>
      <c r="N643" s="25" t="inlineStr">
        <is>
          <t>P</t>
        </is>
      </c>
      <c r="O643" s="25" t="inlineStr">
        <is>
          <t>FL_DES_ABC_25kg</t>
        </is>
      </c>
      <c r="P643" s="12" t="inlineStr">
        <is>
          <t>con junta tórica</t>
        </is>
      </c>
    </row>
    <row r="644">
      <c r="A644" s="25" t="inlineStr">
        <is>
          <t>FL_MAT_ABC_25kg</t>
        </is>
      </c>
      <c r="B644" s="25" t="n">
        <v>2</v>
      </c>
      <c r="C644" s="25" t="inlineStr">
        <is>
          <t>ABC25-19</t>
        </is>
      </c>
      <c r="D644" s="12" t="inlineStr">
        <is>
          <t xml:space="preserve">        Pasador de seguridad</t>
        </is>
      </c>
      <c r="E644" s="25" t="n">
        <v>1</v>
      </c>
      <c r="F644" s="25" t="inlineStr">
        <is>
          <t>u</t>
        </is>
      </c>
      <c r="G644" s="26" t="n">
        <v>0.0135</v>
      </c>
      <c r="H644" s="26">
        <f>E644*G644</f>
        <v/>
      </c>
      <c r="I644" s="25" t="inlineStr">
        <is>
          <t>Alambre acero inox. AISI 304</t>
        </is>
      </c>
      <c r="J644" s="12" t="inlineStr">
        <is>
          <t>61,3 × 28,4 × 28,1</t>
        </is>
      </c>
      <c r="K644" s="25" t="inlineStr">
        <is>
          <t>Compra</t>
        </is>
      </c>
      <c r="L644" s="12" t="inlineStr">
        <is>
          <t>C9 armado</t>
        </is>
      </c>
      <c r="M644" s="12" t="n"/>
      <c r="N644" s="25" t="inlineStr">
        <is>
          <t>P</t>
        </is>
      </c>
      <c r="O644" s="25" t="inlineStr">
        <is>
          <t>FL_DES_ABC_25kg</t>
        </is>
      </c>
      <c r="P644" s="12" t="inlineStr">
        <is>
          <t>con precinto</t>
        </is>
      </c>
    </row>
    <row r="645">
      <c r="A645" s="25" t="inlineStr">
        <is>
          <t>FL_MAT_ABC_25kg</t>
        </is>
      </c>
      <c r="B645" s="25" t="n">
        <v>2</v>
      </c>
      <c r="C645" s="25" t="inlineStr">
        <is>
          <t>ABC25-20</t>
        </is>
      </c>
      <c r="D645" s="12" t="inlineStr">
        <is>
          <t xml:space="preserve">        Caño de pesca (sifón)</t>
        </is>
      </c>
      <c r="E645" s="25" t="n">
        <v>1</v>
      </c>
      <c r="F645" s="25" t="inlineStr">
        <is>
          <t>u</t>
        </is>
      </c>
      <c r="G645" s="26" t="n">
        <v>0.1347</v>
      </c>
      <c r="H645" s="26">
        <f>E645*G645</f>
        <v/>
      </c>
      <c r="I645" s="25" t="inlineStr">
        <is>
          <t>Tubo PVC rígido</t>
        </is>
      </c>
      <c r="J645" s="12" t="inlineStr">
        <is>
          <t>Ø24 × 569,9 de largo</t>
        </is>
      </c>
      <c r="K645" s="25" t="inlineStr">
        <is>
          <t>Compra</t>
        </is>
      </c>
      <c r="L645" s="12" t="inlineStr">
        <is>
          <t>C9 armado</t>
        </is>
      </c>
      <c r="M645" s="12" t="n"/>
      <c r="N645" s="25" t="inlineStr">
        <is>
          <t>P</t>
        </is>
      </c>
      <c r="O645" s="25" t="inlineStr">
        <is>
          <t>FL_DES_ABC_25kg</t>
        </is>
      </c>
      <c r="P645" s="12" t="n"/>
    </row>
    <row r="646">
      <c r="A646" s="25" t="inlineStr">
        <is>
          <t>FL_MAT_ABC_25kg</t>
        </is>
      </c>
      <c r="B646" s="25" t="n">
        <v>2</v>
      </c>
      <c r="C646" s="25" t="inlineStr">
        <is>
          <t>ABC25-30</t>
        </is>
      </c>
      <c r="D646" s="12" t="inlineStr">
        <is>
          <t xml:space="preserve">        Junta tórica de asiento</t>
        </is>
      </c>
      <c r="E646" s="25" t="n">
        <v>1</v>
      </c>
      <c r="F646" s="25" t="inlineStr">
        <is>
          <t>u</t>
        </is>
      </c>
      <c r="G646" s="26" t="n">
        <v>0.001</v>
      </c>
      <c r="H646" s="26">
        <f>E646*G646</f>
        <v/>
      </c>
      <c r="I646" s="25" t="inlineStr">
        <is>
          <t>NBR 70 Shore A</t>
        </is>
      </c>
      <c r="J646" s="12" t="inlineStr">
        <is>
          <t>Ø31,4 ext. × cordón 3</t>
        </is>
      </c>
      <c r="K646" s="25" t="inlineStr">
        <is>
          <t>Compra</t>
        </is>
      </c>
      <c r="L646" s="12" t="inlineStr">
        <is>
          <t>C9 armado</t>
        </is>
      </c>
      <c r="M646" s="12" t="n"/>
      <c r="N646" s="25" t="inlineStr">
        <is>
          <t>P</t>
        </is>
      </c>
      <c r="O646" s="25" t="inlineStr">
        <is>
          <t>FL_DES_ABC_25kg</t>
        </is>
      </c>
      <c r="P646" s="12" t="inlineStr">
        <is>
          <t>cambio c/recarga</t>
        </is>
      </c>
    </row>
    <row r="647">
      <c r="A647" s="25" t="inlineStr">
        <is>
          <t>FL_MAT_ABC_25kg</t>
        </is>
      </c>
      <c r="B647" s="25" t="n">
        <v>2</v>
      </c>
      <c r="C647" s="25" t="inlineStr">
        <is>
          <t>ABC25-V2</t>
        </is>
      </c>
      <c r="D647" s="12" t="inlineStr">
        <is>
          <t xml:space="preserve">        Resorte de retorno del vástago</t>
        </is>
      </c>
      <c r="E647" s="25" t="n">
        <v>1</v>
      </c>
      <c r="F647" s="25" t="inlineStr">
        <is>
          <t>u</t>
        </is>
      </c>
      <c r="G647" s="26" t="n">
        <v>0.003</v>
      </c>
      <c r="H647" s="26">
        <f>E647*G647</f>
        <v/>
      </c>
      <c r="I647" s="25" t="inlineStr">
        <is>
          <t>Alambre acero inox. AISI 302</t>
        </is>
      </c>
      <c r="J647" s="12" t="inlineStr">
        <is>
          <t>según válvula</t>
        </is>
      </c>
      <c r="K647" s="25" t="inlineStr">
        <is>
          <t>Compra</t>
        </is>
      </c>
      <c r="L647" s="12" t="inlineStr">
        <is>
          <t>19 Ensamblaje</t>
        </is>
      </c>
      <c r="M647" s="12" t="n"/>
      <c r="N647" s="25" t="inlineStr">
        <is>
          <t>R</t>
        </is>
      </c>
      <c r="O647" s="25" t="n"/>
      <c r="P647" s="12" t="n"/>
    </row>
    <row r="648">
      <c r="A648" s="25" t="inlineStr">
        <is>
          <t>FL_MAT_ABC_25kg</t>
        </is>
      </c>
      <c r="B648" s="25" t="n">
        <v>2</v>
      </c>
      <c r="C648" s="25" t="inlineStr">
        <is>
          <t>ABC25-V3</t>
        </is>
      </c>
      <c r="D648" s="12" t="inlineStr">
        <is>
          <t xml:space="preserve">        Junta tórica del vástago</t>
        </is>
      </c>
      <c r="E648" s="25" t="n">
        <v>1</v>
      </c>
      <c r="F648" s="25" t="inlineStr">
        <is>
          <t>u</t>
        </is>
      </c>
      <c r="G648" s="26" t="n">
        <v>0.001</v>
      </c>
      <c r="H648" s="26">
        <f>E648*G648</f>
        <v/>
      </c>
      <c r="I648" s="25" t="inlineStr">
        <is>
          <t>NBR 70 Shore A</t>
        </is>
      </c>
      <c r="J648" s="12" t="inlineStr">
        <is>
          <t>según válvula</t>
        </is>
      </c>
      <c r="K648" s="25" t="inlineStr">
        <is>
          <t>Compra</t>
        </is>
      </c>
      <c r="L648" s="12" t="inlineStr">
        <is>
          <t>19 Ensamblaje</t>
        </is>
      </c>
      <c r="M648" s="12" t="n"/>
      <c r="N648" s="25" t="inlineStr">
        <is>
          <t>P</t>
        </is>
      </c>
      <c r="O648" s="25" t="n"/>
      <c r="P648" s="12" t="inlineStr">
        <is>
          <t>Figura en el plano como «vástago con junta tórica»</t>
        </is>
      </c>
    </row>
    <row r="649">
      <c r="A649" s="22" t="inlineStr">
        <is>
          <t>FL_MAT_ABC_25kg</t>
        </is>
      </c>
      <c r="B649" s="22" t="n">
        <v>1</v>
      </c>
      <c r="C649" s="22" t="inlineStr">
        <is>
          <t>ABC25-S3</t>
        </is>
      </c>
      <c r="D649" s="23" t="inlineStr">
        <is>
          <t xml:space="preserve">    Dispositivo de descarga</t>
        </is>
      </c>
      <c r="E649" s="22" t="n">
        <v>1</v>
      </c>
      <c r="F649" s="22" t="inlineStr">
        <is>
          <t>u</t>
        </is>
      </c>
      <c r="G649" s="24" t="n"/>
      <c r="H649" s="24">
        <f>H650+H651+H652+H653+H654+H655</f>
        <v/>
      </c>
      <c r="I649" s="22" t="n"/>
      <c r="J649" s="23" t="n"/>
      <c r="K649" s="22" t="inlineStr">
        <is>
          <t>Compra / armado</t>
        </is>
      </c>
      <c r="L649" s="23" t="n"/>
      <c r="M649" s="23" t="n"/>
      <c r="N649" s="22" t="inlineStr">
        <is>
          <t>P</t>
        </is>
      </c>
      <c r="O649" s="22" t="inlineStr">
        <is>
          <t>FL_DES_ABC_25kg</t>
        </is>
      </c>
      <c r="P649" s="23" t="n"/>
    </row>
    <row r="650">
      <c r="A650" s="25" t="inlineStr">
        <is>
          <t>FL_MAT_ABC_25kg</t>
        </is>
      </c>
      <c r="B650" s="25" t="n">
        <v>2</v>
      </c>
      <c r="C650" s="25" t="inlineStr">
        <is>
          <t>ABC25-21</t>
        </is>
      </c>
      <c r="D650" s="12" t="inlineStr">
        <is>
          <t xml:space="preserve">        Manguera (tramo enrollado)</t>
        </is>
      </c>
      <c r="E650" s="25" t="n">
        <v>1</v>
      </c>
      <c r="F650" s="25" t="inlineStr">
        <is>
          <t>u</t>
        </is>
      </c>
      <c r="G650" s="26" t="n">
        <v>0.374</v>
      </c>
      <c r="H650" s="26">
        <f>E650*G650</f>
        <v/>
      </c>
      <c r="I650" s="25" t="inlineStr">
        <is>
          <t>Caucho sintético</t>
        </is>
      </c>
      <c r="J650" s="12" t="inlineStr">
        <is>
          <t>Ø25 × 992 de largo desarrollado</t>
        </is>
      </c>
      <c r="K650" s="25" t="inlineStr">
        <is>
          <t>Compra</t>
        </is>
      </c>
      <c r="L650" s="12" t="inlineStr">
        <is>
          <t>C9 armado de ruedas y manguera</t>
        </is>
      </c>
      <c r="M650" s="12" t="n"/>
      <c r="N650" s="25" t="inlineStr">
        <is>
          <t>P</t>
        </is>
      </c>
      <c r="O650" s="25" t="inlineStr">
        <is>
          <t>FL_DES_ABC_25kg</t>
        </is>
      </c>
      <c r="P650" s="12" t="n"/>
    </row>
    <row r="651">
      <c r="A651" s="25" t="inlineStr">
        <is>
          <t>FL_MAT_ABC_25kg</t>
        </is>
      </c>
      <c r="B651" s="25" t="n">
        <v>2</v>
      </c>
      <c r="C651" s="25" t="inlineStr">
        <is>
          <t>ABC25-22</t>
        </is>
      </c>
      <c r="D651" s="12" t="inlineStr">
        <is>
          <t xml:space="preserve">        Soporte de manguera</t>
        </is>
      </c>
      <c r="E651" s="25" t="n">
        <v>1</v>
      </c>
      <c r="F651" s="25" t="inlineStr">
        <is>
          <t>u</t>
        </is>
      </c>
      <c r="G651" s="26" t="n">
        <v>1.5505</v>
      </c>
      <c r="H651" s="26">
        <f>E651*G651</f>
        <v/>
      </c>
      <c r="I651" s="25" t="inlineStr">
        <is>
          <t>Planchuela acero SAE 1010</t>
        </is>
      </c>
      <c r="J651" s="12" t="inlineStr">
        <is>
          <t>378,4 × 193,1 × 40,5</t>
        </is>
      </c>
      <c r="K651" s="25" t="inlineStr">
        <is>
          <t>Compra (estructura)</t>
        </is>
      </c>
      <c r="L651" s="12" t="inlineStr">
        <is>
          <t>C9 armado de ruedas y manguera</t>
        </is>
      </c>
      <c r="M651" s="12" t="n"/>
      <c r="N651" s="25" t="inlineStr">
        <is>
          <t>P</t>
        </is>
      </c>
      <c r="O651" s="25" t="inlineStr">
        <is>
          <t>FL_DES_ABC_25kg</t>
        </is>
      </c>
      <c r="P651" s="12" t="n"/>
    </row>
    <row r="652">
      <c r="A652" s="25" t="inlineStr">
        <is>
          <t>FL_MAT_ABC_25kg</t>
        </is>
      </c>
      <c r="B652" s="25" t="n">
        <v>2</v>
      </c>
      <c r="C652" s="25" t="inlineStr">
        <is>
          <t>ABC25-23</t>
        </is>
      </c>
      <c r="D652" s="12" t="inlineStr">
        <is>
          <t xml:space="preserve">        Racor de manguera</t>
        </is>
      </c>
      <c r="E652" s="25" t="n">
        <v>1</v>
      </c>
      <c r="F652" s="25" t="inlineStr">
        <is>
          <t>u</t>
        </is>
      </c>
      <c r="G652" s="26" t="n">
        <v>0.0612</v>
      </c>
      <c r="H652" s="26">
        <f>E652*G652</f>
        <v/>
      </c>
      <c r="I652" s="25" t="inlineStr">
        <is>
          <t>Latón</t>
        </is>
      </c>
      <c r="J652" s="12" t="inlineStr">
        <is>
          <t>24 × 24 × 16</t>
        </is>
      </c>
      <c r="K652" s="25" t="inlineStr">
        <is>
          <t>Compra</t>
        </is>
      </c>
      <c r="L652" s="12" t="inlineStr">
        <is>
          <t>C9 armado de ruedas y manguera</t>
        </is>
      </c>
      <c r="M652" s="12" t="n"/>
      <c r="N652" s="25" t="inlineStr">
        <is>
          <t>P</t>
        </is>
      </c>
      <c r="O652" s="25" t="inlineStr">
        <is>
          <t>FL_DES_ABC_25kg</t>
        </is>
      </c>
      <c r="P652" s="12" t="n"/>
    </row>
    <row r="653">
      <c r="A653" s="25" t="inlineStr">
        <is>
          <t>FL_MAT_ABC_25kg</t>
        </is>
      </c>
      <c r="B653" s="25" t="n">
        <v>2</v>
      </c>
      <c r="C653" s="25" t="inlineStr">
        <is>
          <t>ABC25-24</t>
        </is>
      </c>
      <c r="D653" s="12" t="inlineStr">
        <is>
          <t xml:space="preserve">        Manguera</t>
        </is>
      </c>
      <c r="E653" s="25" t="n">
        <v>1</v>
      </c>
      <c r="F653" s="25" t="inlineStr">
        <is>
          <t>u</t>
        </is>
      </c>
      <c r="G653" s="26" t="n">
        <v>0.1382</v>
      </c>
      <c r="H653" s="26">
        <f>E653*G653</f>
        <v/>
      </c>
      <c r="I653" s="25" t="inlineStr">
        <is>
          <t>Caucho sintético</t>
        </is>
      </c>
      <c r="J653" s="12" t="inlineStr">
        <is>
          <t>Ø16 × 895 de largo desarrollado</t>
        </is>
      </c>
      <c r="K653" s="25" t="inlineStr">
        <is>
          <t>Compra</t>
        </is>
      </c>
      <c r="L653" s="12" t="inlineStr">
        <is>
          <t>C9 armado de ruedas y manguera</t>
        </is>
      </c>
      <c r="M653" s="12" t="n"/>
      <c r="N653" s="25" t="inlineStr">
        <is>
          <t>P</t>
        </is>
      </c>
      <c r="O653" s="25" t="inlineStr">
        <is>
          <t>FL_DES_ABC_25kg</t>
        </is>
      </c>
      <c r="P653" s="12" t="n"/>
    </row>
    <row r="654">
      <c r="A654" s="25" t="inlineStr">
        <is>
          <t>FL_MAT_ABC_25kg</t>
        </is>
      </c>
      <c r="B654" s="25" t="n">
        <v>2</v>
      </c>
      <c r="C654" s="25" t="inlineStr">
        <is>
          <t>ABC25-25</t>
        </is>
      </c>
      <c r="D654" s="12" t="inlineStr">
        <is>
          <t xml:space="preserve">        Válvula esférica</t>
        </is>
      </c>
      <c r="E654" s="25" t="n">
        <v>1</v>
      </c>
      <c r="F654" s="25" t="inlineStr">
        <is>
          <t>u</t>
        </is>
      </c>
      <c r="G654" s="26" t="n">
        <v>0.4225</v>
      </c>
      <c r="H654" s="26">
        <f>E654*G654</f>
        <v/>
      </c>
      <c r="I654" s="25" t="inlineStr">
        <is>
          <t>Latón cromado</t>
        </is>
      </c>
      <c r="J654" s="12" t="inlineStr">
        <is>
          <t>130 × 60 × 40</t>
        </is>
      </c>
      <c r="K654" s="25" t="inlineStr">
        <is>
          <t>Compra</t>
        </is>
      </c>
      <c r="L654" s="12" t="inlineStr">
        <is>
          <t>C9 armado de ruedas y manguera</t>
        </is>
      </c>
      <c r="M654" s="12" t="n"/>
      <c r="N654" s="25" t="inlineStr">
        <is>
          <t>P</t>
        </is>
      </c>
      <c r="O654" s="25" t="inlineStr">
        <is>
          <t>FL_DES_ABC_25kg</t>
        </is>
      </c>
      <c r="P654" s="12" t="n"/>
    </row>
    <row r="655">
      <c r="A655" s="25" t="inlineStr">
        <is>
          <t>FL_MAT_ABC_25kg</t>
        </is>
      </c>
      <c r="B655" s="25" t="n">
        <v>2</v>
      </c>
      <c r="C655" s="25" t="inlineStr">
        <is>
          <t>ABC25-26</t>
        </is>
      </c>
      <c r="D655" s="12" t="inlineStr">
        <is>
          <t xml:space="preserve">        Tobera campana</t>
        </is>
      </c>
      <c r="E655" s="25" t="n">
        <v>1</v>
      </c>
      <c r="F655" s="25" t="inlineStr">
        <is>
          <t>u</t>
        </is>
      </c>
      <c r="G655" s="26" t="n">
        <v>0.07969999999999999</v>
      </c>
      <c r="H655" s="26">
        <f>E655*G655</f>
        <v/>
      </c>
      <c r="I655" s="25" t="inlineStr">
        <is>
          <t>Polipropileno</t>
        </is>
      </c>
      <c r="J655" s="12" t="inlineStr">
        <is>
          <t>200 × 68 × 68</t>
        </is>
      </c>
      <c r="K655" s="25" t="inlineStr">
        <is>
          <t>Compra</t>
        </is>
      </c>
      <c r="L655" s="12" t="inlineStr">
        <is>
          <t>C9 armado de ruedas y manguera</t>
        </is>
      </c>
      <c r="M655" s="12" t="n"/>
      <c r="N655" s="25" t="inlineStr">
        <is>
          <t>P</t>
        </is>
      </c>
      <c r="O655" s="25" t="inlineStr">
        <is>
          <t>FL_DES_ABC_25kg</t>
        </is>
      </c>
      <c r="P655" s="12" t="n"/>
    </row>
    <row r="656">
      <c r="A656" s="22" t="inlineStr">
        <is>
          <t>FL_MAT_ABC_25kg</t>
        </is>
      </c>
      <c r="B656" s="22" t="n">
        <v>1</v>
      </c>
      <c r="C656" s="22" t="inlineStr">
        <is>
          <t>ABC25-S4</t>
        </is>
      </c>
      <c r="D656" s="23" t="inlineStr">
        <is>
          <t xml:space="preserve">    Carro (bastidor y ruedas)</t>
        </is>
      </c>
      <c r="E656" s="22" t="n">
        <v>1</v>
      </c>
      <c r="F656" s="22" t="inlineStr">
        <is>
          <t>u</t>
        </is>
      </c>
      <c r="G656" s="24" t="n"/>
      <c r="H656" s="24">
        <f>H657+H658+H659+H660+H661+H662</f>
        <v/>
      </c>
      <c r="I656" s="22" t="n"/>
      <c r="J656" s="23" t="n"/>
      <c r="K656" s="22" t="inlineStr">
        <is>
          <t>Compra / armado</t>
        </is>
      </c>
      <c r="L656" s="23" t="n"/>
      <c r="M656" s="23" t="n"/>
      <c r="N656" s="22" t="inlineStr">
        <is>
          <t>P</t>
        </is>
      </c>
      <c r="O656" s="22" t="inlineStr">
        <is>
          <t>FL_DES_ABC_25kg</t>
        </is>
      </c>
      <c r="P656" s="23" t="n"/>
    </row>
    <row r="657">
      <c r="A657" s="25" t="inlineStr">
        <is>
          <t>FL_MAT_ABC_25kg</t>
        </is>
      </c>
      <c r="B657" s="25" t="n">
        <v>2</v>
      </c>
      <c r="C657" s="25" t="inlineStr">
        <is>
          <t>ABC25-05</t>
        </is>
      </c>
      <c r="D657" s="12" t="inlineStr">
        <is>
          <t xml:space="preserve">        Neumático macizo</t>
        </is>
      </c>
      <c r="E657" s="25" t="n">
        <v>2</v>
      </c>
      <c r="F657" s="25" t="inlineStr">
        <is>
          <t>u</t>
        </is>
      </c>
      <c r="G657" s="26" t="n">
        <v>2.2468</v>
      </c>
      <c r="H657" s="26">
        <f>E657*G657</f>
        <v/>
      </c>
      <c r="I657" s="25" t="inlineStr">
        <is>
          <t>Caucho</t>
        </is>
      </c>
      <c r="J657" s="12" t="inlineStr">
        <is>
          <t>Ø300 × 55 de ancho</t>
        </is>
      </c>
      <c r="K657" s="25" t="inlineStr">
        <is>
          <t>Compra</t>
        </is>
      </c>
      <c r="L657" s="12" t="inlineStr">
        <is>
          <t>C9 armado de ruedas y manguera (S-TC)</t>
        </is>
      </c>
      <c r="M657" s="12" t="n"/>
      <c r="N657" s="25" t="inlineStr">
        <is>
          <t>P</t>
        </is>
      </c>
      <c r="O657" s="25" t="inlineStr">
        <is>
          <t>FL_DES_ABC_25kg</t>
        </is>
      </c>
      <c r="P657" s="12" t="n"/>
    </row>
    <row r="658">
      <c r="A658" s="25" t="inlineStr">
        <is>
          <t>FL_MAT_ABC_25kg</t>
        </is>
      </c>
      <c r="B658" s="25" t="n">
        <v>2</v>
      </c>
      <c r="C658" s="25" t="inlineStr">
        <is>
          <t>ABC25-06</t>
        </is>
      </c>
      <c r="D658" s="12" t="inlineStr">
        <is>
          <t xml:space="preserve">        Llanta con cubo</t>
        </is>
      </c>
      <c r="E658" s="25" t="n">
        <v>2</v>
      </c>
      <c r="F658" s="25" t="inlineStr">
        <is>
          <t>u</t>
        </is>
      </c>
      <c r="G658" s="26" t="n">
        <v>2.9594</v>
      </c>
      <c r="H658" s="26">
        <f>E658*G658</f>
        <v/>
      </c>
      <c r="I658" s="25" t="inlineStr">
        <is>
          <t>Chapa acero SAE 1010</t>
        </is>
      </c>
      <c r="J658" s="12" t="inlineStr">
        <is>
          <t>Ø216 × 65 de ancho</t>
        </is>
      </c>
      <c r="K658" s="25" t="inlineStr">
        <is>
          <t>Compra</t>
        </is>
      </c>
      <c r="L658" s="12" t="inlineStr">
        <is>
          <t>C9 armado de ruedas y manguera (S-TC)</t>
        </is>
      </c>
      <c r="M658" s="12" t="n"/>
      <c r="N658" s="25" t="inlineStr">
        <is>
          <t>P</t>
        </is>
      </c>
      <c r="O658" s="25" t="inlineStr">
        <is>
          <t>FL_DES_ABC_25kg</t>
        </is>
      </c>
      <c r="P658" s="12" t="n"/>
    </row>
    <row r="659">
      <c r="A659" s="25" t="inlineStr">
        <is>
          <t>FL_MAT_ABC_25kg</t>
        </is>
      </c>
      <c r="B659" s="25" t="n">
        <v>2</v>
      </c>
      <c r="C659" s="25" t="inlineStr">
        <is>
          <t>ABC25-07</t>
        </is>
      </c>
      <c r="D659" s="12" t="inlineStr">
        <is>
          <t xml:space="preserve">        Eje de ruedas</t>
        </is>
      </c>
      <c r="E659" s="25" t="n">
        <v>1</v>
      </c>
      <c r="F659" s="25" t="inlineStr">
        <is>
          <t>u</t>
        </is>
      </c>
      <c r="G659" s="26" t="n">
        <v>1.4065</v>
      </c>
      <c r="H659" s="26">
        <f>E659*G659</f>
        <v/>
      </c>
      <c r="I659" s="25" t="inlineStr">
        <is>
          <t>Acero SAE 1045</t>
        </is>
      </c>
      <c r="J659" s="12" t="inlineStr">
        <is>
          <t>Ø25 × 365 de largo</t>
        </is>
      </c>
      <c r="K659" s="25" t="inlineStr">
        <is>
          <t>Compra</t>
        </is>
      </c>
      <c r="L659" s="12" t="inlineStr">
        <is>
          <t>C9 armado de ruedas y manguera (S-TC)</t>
        </is>
      </c>
      <c r="M659" s="12" t="n"/>
      <c r="N659" s="25" t="inlineStr">
        <is>
          <t>P</t>
        </is>
      </c>
      <c r="O659" s="25" t="inlineStr">
        <is>
          <t>FL_DES_ABC_25kg</t>
        </is>
      </c>
      <c r="P659" s="12" t="n"/>
    </row>
    <row r="660">
      <c r="A660" s="25" t="inlineStr">
        <is>
          <t>FL_MAT_ABC_25kg</t>
        </is>
      </c>
      <c r="B660" s="25" t="n">
        <v>2</v>
      </c>
      <c r="C660" s="25" t="inlineStr">
        <is>
          <t>ABC25-08</t>
        </is>
      </c>
      <c r="D660" s="12" t="inlineStr">
        <is>
          <t xml:space="preserve">        Bastidor</t>
        </is>
      </c>
      <c r="E660" s="25" t="n">
        <v>1</v>
      </c>
      <c r="F660" s="25" t="inlineStr">
        <is>
          <t>u</t>
        </is>
      </c>
      <c r="G660" s="26" t="n">
        <v>1.9749</v>
      </c>
      <c r="H660" s="26">
        <f>E660*G660</f>
        <v/>
      </c>
      <c r="I660" s="25" t="inlineStr">
        <is>
          <t>Caño acero SAE 1010 Ø25,4×1,6</t>
        </is>
      </c>
      <c r="J660" s="12" t="inlineStr">
        <is>
          <t>caño Ø25,4 × 1,6 × 2.069 de largo desarrollado</t>
        </is>
      </c>
      <c r="K660" s="25" t="inlineStr">
        <is>
          <t>Compra (estructura)</t>
        </is>
      </c>
      <c r="L660" s="12" t="inlineStr">
        <is>
          <t>C9 armado de ruedas y manguera (S-TC)</t>
        </is>
      </c>
      <c r="M660" s="12" t="n"/>
      <c r="N660" s="25" t="inlineStr">
        <is>
          <t>P</t>
        </is>
      </c>
      <c r="O660" s="25" t="inlineStr">
        <is>
          <t>FL_DES_ABC_25kg</t>
        </is>
      </c>
      <c r="P660" s="12" t="n"/>
    </row>
    <row r="661">
      <c r="A661" s="25" t="inlineStr">
        <is>
          <t>FL_MAT_ABC_25kg</t>
        </is>
      </c>
      <c r="B661" s="25" t="n">
        <v>2</v>
      </c>
      <c r="C661" s="25" t="inlineStr">
        <is>
          <t>ABC25-09</t>
        </is>
      </c>
      <c r="D661" s="12" t="inlineStr">
        <is>
          <t xml:space="preserve">        Sunchos de fijación</t>
        </is>
      </c>
      <c r="E661" s="25" t="n">
        <v>1</v>
      </c>
      <c r="F661" s="25" t="inlineStr">
        <is>
          <t>u</t>
        </is>
      </c>
      <c r="G661" s="26" t="n">
        <v>5.4531</v>
      </c>
      <c r="H661" s="26">
        <f>E661*G661</f>
        <v/>
      </c>
      <c r="I661" s="25" t="inlineStr">
        <is>
          <t>Planchuela acero SAE 1010</t>
        </is>
      </c>
      <c r="J661" s="12" t="inlineStr">
        <is>
          <t>414 × 335,8 × 315</t>
        </is>
      </c>
      <c r="K661" s="25" t="inlineStr">
        <is>
          <t>Compra (estructura)</t>
        </is>
      </c>
      <c r="L661" s="12" t="inlineStr">
        <is>
          <t>C9 armado de ruedas y manguera (S-TC)</t>
        </is>
      </c>
      <c r="M661" s="12" t="n"/>
      <c r="N661" s="25" t="inlineStr">
        <is>
          <t>P</t>
        </is>
      </c>
      <c r="O661" s="25" t="inlineStr">
        <is>
          <t>FL_DES_ABC_25kg</t>
        </is>
      </c>
      <c r="P661" s="12" t="n"/>
    </row>
    <row r="662">
      <c r="A662" s="25" t="inlineStr">
        <is>
          <t>FL_MAT_ABC_25kg</t>
        </is>
      </c>
      <c r="B662" s="25" t="n">
        <v>2</v>
      </c>
      <c r="C662" s="25" t="inlineStr">
        <is>
          <t>ABC25-10</t>
        </is>
      </c>
      <c r="D662" s="12" t="inlineStr">
        <is>
          <t xml:space="preserve">        Apoyo delantero</t>
        </is>
      </c>
      <c r="E662" s="25" t="n">
        <v>1</v>
      </c>
      <c r="F662" s="25" t="inlineStr">
        <is>
          <t>u</t>
        </is>
      </c>
      <c r="G662" s="26" t="n">
        <v>0.3022</v>
      </c>
      <c r="H662" s="26">
        <f>E662*G662</f>
        <v/>
      </c>
      <c r="I662" s="25" t="inlineStr">
        <is>
          <t>Chapa acero SAE 1010 plegada</t>
        </is>
      </c>
      <c r="J662" s="12" t="inlineStr">
        <is>
          <t>70 × 55 × 50</t>
        </is>
      </c>
      <c r="K662" s="25" t="inlineStr">
        <is>
          <t>Compra (estructura)</t>
        </is>
      </c>
      <c r="L662" s="12" t="inlineStr">
        <is>
          <t>C9 armado de ruedas y manguera (S-TC)</t>
        </is>
      </c>
      <c r="M662" s="12" t="n"/>
      <c r="N662" s="25" t="inlineStr">
        <is>
          <t>P</t>
        </is>
      </c>
      <c r="O662" s="25" t="inlineStr">
        <is>
          <t>FL_DES_ABC_25kg</t>
        </is>
      </c>
      <c r="P662" s="12" t="n"/>
    </row>
    <row r="663">
      <c r="A663" s="22" t="inlineStr">
        <is>
          <t>FL_MAT_ABC_25kg</t>
        </is>
      </c>
      <c r="B663" s="22" t="n">
        <v>1</v>
      </c>
      <c r="C663" s="22" t="inlineStr">
        <is>
          <t>ABC25-S5</t>
        </is>
      </c>
      <c r="D663" s="23" t="inlineStr">
        <is>
          <t xml:space="preserve">    Carga: agente extintor y gas impulsor</t>
        </is>
      </c>
      <c r="E663" s="22" t="n">
        <v>1</v>
      </c>
      <c r="F663" s="22" t="inlineStr">
        <is>
          <t>u</t>
        </is>
      </c>
      <c r="G663" s="24" t="n"/>
      <c r="H663" s="24">
        <f>H664+H665</f>
        <v/>
      </c>
      <c r="I663" s="22" t="n"/>
      <c r="J663" s="23" t="n"/>
      <c r="K663" s="22" t="inlineStr">
        <is>
          <t>Carga en planta</t>
        </is>
      </c>
      <c r="L663" s="23" t="inlineStr">
        <is>
          <t>18 Carga de polvo (T01) / C8 (T02)</t>
        </is>
      </c>
      <c r="M663" s="23" t="n"/>
      <c r="N663" s="22" t="n"/>
      <c r="O663" s="22" t="n"/>
      <c r="P663" s="23" t="n"/>
    </row>
    <row r="664">
      <c r="A664" s="25" t="inlineStr">
        <is>
          <t>FL_MAT_ABC_25kg</t>
        </is>
      </c>
      <c r="B664" s="25" t="n">
        <v>2</v>
      </c>
      <c r="C664" s="25" t="inlineStr">
        <is>
          <t>ABC25-A1</t>
        </is>
      </c>
      <c r="D664" s="12" t="inlineStr">
        <is>
          <t xml:space="preserve">        Polvo químico seco ABC 90 (Sello IRAM 3569, DEMSA)</t>
        </is>
      </c>
      <c r="E664" s="25" t="n">
        <v>25</v>
      </c>
      <c r="F664" s="25" t="inlineStr">
        <is>
          <t>kg</t>
        </is>
      </c>
      <c r="G664" s="26" t="n">
        <v>1</v>
      </c>
      <c r="H664" s="26">
        <f>E664*G664</f>
        <v/>
      </c>
      <c r="I664" s="25" t="inlineStr">
        <is>
          <t>Polvo químico seco ABC 90 (Sello IRAM 3569, DEMSA)</t>
        </is>
      </c>
      <c r="J664" s="12" t="inlineStr">
        <is>
          <t>nominal 25 kg; tolerancia ± 3 % (IRAM 3517-2:2020 tabla 3)</t>
        </is>
      </c>
      <c r="K664" s="25" t="inlineStr">
        <is>
          <t>Compra</t>
        </is>
      </c>
      <c r="L664" s="12" t="inlineStr">
        <is>
          <t>SP-1 almacén previo a la carga</t>
        </is>
      </c>
      <c r="M664" s="12" t="inlineStr">
        <is>
          <t>IRAM 3569</t>
        </is>
      </c>
      <c r="N664" s="25" t="inlineStr">
        <is>
          <t>N</t>
        </is>
      </c>
      <c r="O664" s="25" t="n"/>
      <c r="P664" s="12" t="inlineStr">
        <is>
          <t>MAP 90 % (banda 85,5-94,5 %) = 22,5 kg MAP + 1,75 kg sulfato de amonio + 0,75 kg aditivos · potencial - · Lote único por extintor; prohibido mezclar ABC con BC (3517-2 9.9.1.6)</t>
        </is>
      </c>
    </row>
    <row r="665">
      <c r="A665" s="25" t="inlineStr">
        <is>
          <t>FL_MAT_ABC_25kg</t>
        </is>
      </c>
      <c r="B665" s="25" t="n">
        <v>2</v>
      </c>
      <c r="C665" s="25" t="inlineStr">
        <is>
          <t>ABC25-A2</t>
        </is>
      </c>
      <c r="D665" s="12" t="inlineStr">
        <is>
          <t xml:space="preserve">        Gas impulsor: N₂</t>
        </is>
      </c>
      <c r="E665" s="25" t="n">
        <v>0.1142</v>
      </c>
      <c r="F665" s="25" t="inlineStr">
        <is>
          <t>kg</t>
        </is>
      </c>
      <c r="G665" s="26" t="n">
        <v>1</v>
      </c>
      <c r="H665" s="26">
        <f>E665*G665</f>
        <v/>
      </c>
      <c r="I665" s="25" t="inlineStr">
        <is>
          <t>N₂</t>
        </is>
      </c>
      <c r="J665" s="12" t="inlineStr">
        <is>
          <t>91,4 L normales para 1,4 MPa a 20 °C en 6,62 dm³ libres</t>
        </is>
      </c>
      <c r="K665" s="25" t="inlineStr">
        <is>
          <t>Compra</t>
        </is>
      </c>
      <c r="L665" s="12" t="inlineStr">
        <is>
          <t>20 Presurización (T05) / C10</t>
        </is>
      </c>
      <c r="M665" s="12" t="inlineStr">
        <is>
          <t>IRAM 3517-2 9.4.9 (tabla 2) · IRAM 3523 2.3 y 3.10</t>
        </is>
      </c>
      <c r="N665" s="25" t="inlineStr">
        <is>
          <t>C</t>
        </is>
      </c>
      <c r="O665" s="25" t="n"/>
      <c r="P665" s="12" t="inlineStr">
        <is>
          <t>Batería en SP-1; punto de rocío ≤ -56,7 °C para gases limpios</t>
        </is>
      </c>
    </row>
    <row r="666">
      <c r="A666" s="22" t="inlineStr">
        <is>
          <t>FL_MAT_ABC_25kg</t>
        </is>
      </c>
      <c r="B666" s="22" t="n">
        <v>1</v>
      </c>
      <c r="C666" s="22" t="inlineStr">
        <is>
          <t>ABC25-S6</t>
        </is>
      </c>
      <c r="D666" s="23" t="inlineStr">
        <is>
          <t xml:space="preserve">    Identificación y precinto</t>
        </is>
      </c>
      <c r="E666" s="22" t="n">
        <v>1</v>
      </c>
      <c r="F666" s="22" t="inlineStr">
        <is>
          <t>u</t>
        </is>
      </c>
      <c r="G666" s="24" t="n"/>
      <c r="H666" s="24">
        <f>H667+H668+H669+H670+H671</f>
        <v/>
      </c>
      <c r="I666" s="22" t="n"/>
      <c r="J666" s="23" t="n"/>
      <c r="K666" s="22" t="inlineStr">
        <is>
          <t>Compra</t>
        </is>
      </c>
      <c r="L666" s="23" t="inlineStr">
        <is>
          <t>22 Etiquetado (T07)</t>
        </is>
      </c>
      <c r="M666" s="23" t="n"/>
      <c r="N666" s="22" t="n"/>
      <c r="O666" s="22" t="n"/>
      <c r="P666" s="23" t="n"/>
    </row>
    <row r="667">
      <c r="A667" s="25" t="inlineStr">
        <is>
          <t>FL_MAT_ABC_25kg</t>
        </is>
      </c>
      <c r="B667" s="25" t="n">
        <v>2</v>
      </c>
      <c r="C667" s="25" t="inlineStr">
        <is>
          <t>ABC25-27</t>
        </is>
      </c>
      <c r="D667" s="12" t="inlineStr">
        <is>
          <t xml:space="preserve">        Placa de características</t>
        </is>
      </c>
      <c r="E667" s="25" t="n">
        <v>1</v>
      </c>
      <c r="F667" s="25" t="inlineStr">
        <is>
          <t>u</t>
        </is>
      </c>
      <c r="G667" s="26" t="n">
        <v>0.0176</v>
      </c>
      <c r="H667" s="26">
        <f>E667*G667</f>
        <v/>
      </c>
      <c r="I667" s="25" t="inlineStr">
        <is>
          <t>Vinilo autoadhesivo laminado</t>
        </is>
      </c>
      <c r="J667" s="12" t="inlineStr">
        <is>
          <t>261 × 161 (desarrollo × alto), e ≈ 0,3</t>
        </is>
      </c>
      <c r="K667" s="25" t="inlineStr">
        <is>
          <t>Compra</t>
        </is>
      </c>
      <c r="L667" s="12" t="inlineStr">
        <is>
          <t>22 Etiquetado (T07)</t>
        </is>
      </c>
      <c r="M667" s="12" t="inlineStr">
        <is>
          <t>IRAM 3534 · IRAM 3550 cap. 5</t>
        </is>
      </c>
      <c r="N667" s="25" t="inlineStr">
        <is>
          <t>P</t>
        </is>
      </c>
      <c r="O667" s="25" t="inlineStr">
        <is>
          <t>FL_DES_ABC_25kg</t>
        </is>
      </c>
      <c r="P667" s="12" t="inlineStr">
        <is>
          <t>IRAM 3534</t>
        </is>
      </c>
    </row>
    <row r="668">
      <c r="A668" s="25" t="inlineStr">
        <is>
          <t>FL_MAT_ABC_25kg</t>
        </is>
      </c>
      <c r="B668" s="25" t="n">
        <v>2</v>
      </c>
      <c r="C668" s="25" t="inlineStr">
        <is>
          <t>ABC25-28</t>
        </is>
      </c>
      <c r="D668" s="12" t="inlineStr">
        <is>
          <t xml:space="preserve">        Oblea de fabricación (PBA)</t>
        </is>
      </c>
      <c r="E668" s="25" t="n">
        <v>1</v>
      </c>
      <c r="F668" s="25" t="inlineStr">
        <is>
          <t>u</t>
        </is>
      </c>
      <c r="G668" s="26" t="n">
        <v>0.0009</v>
      </c>
      <c r="H668" s="26">
        <f>E668*G668</f>
        <v/>
      </c>
      <c r="I668" s="25" t="inlineStr">
        <is>
          <t>Papel de seguridad autodestructible</t>
        </is>
      </c>
      <c r="J668" s="12" t="inlineStr">
        <is>
          <t>Ø46 (Res. OPDS 522/07), numerada, autodestructible</t>
        </is>
      </c>
      <c r="K668" s="25" t="inlineStr">
        <is>
          <t>Compra</t>
        </is>
      </c>
      <c r="L668" s="12" t="inlineStr">
        <is>
          <t>22 Etiquetado (T07)</t>
        </is>
      </c>
      <c r="M668" s="12" t="inlineStr">
        <is>
          <t>Res. OPDS 522/07 anexos 1, 2 y 6</t>
        </is>
      </c>
      <c r="N668" s="25" t="inlineStr">
        <is>
          <t>P</t>
        </is>
      </c>
      <c r="O668" s="25" t="inlineStr">
        <is>
          <t>FL_DES_ABC_25kg</t>
        </is>
      </c>
      <c r="P668" s="12" t="inlineStr">
        <is>
          <t>Res. 522/07</t>
        </is>
      </c>
    </row>
    <row r="669">
      <c r="A669" s="25" t="inlineStr">
        <is>
          <t>FL_MAT_ABC_25kg</t>
        </is>
      </c>
      <c r="B669" s="25" t="n">
        <v>2</v>
      </c>
      <c r="C669" s="25" t="inlineStr">
        <is>
          <t>ABC25-29</t>
        </is>
      </c>
      <c r="D669" s="12" t="inlineStr">
        <is>
          <t xml:space="preserve">        Estampilla IRAM de conformidad</t>
        </is>
      </c>
      <c r="E669" s="25" t="n">
        <v>1</v>
      </c>
      <c r="F669" s="25" t="inlineStr">
        <is>
          <t>u</t>
        </is>
      </c>
      <c r="G669" s="26" t="n">
        <v>0.001</v>
      </c>
      <c r="H669" s="26">
        <f>E669*G669</f>
        <v/>
      </c>
      <c r="I669" s="25" t="inlineStr">
        <is>
          <t>Provista por IRAM (Anexo R)</t>
        </is>
      </c>
      <c r="J669" s="12" t="inlineStr">
        <is>
          <t>60 × 40</t>
        </is>
      </c>
      <c r="K669" s="25" t="inlineStr">
        <is>
          <t>Compra</t>
        </is>
      </c>
      <c r="L669" s="12" t="inlineStr">
        <is>
          <t>22 Etiquetado (T07)</t>
        </is>
      </c>
      <c r="M669" s="12" t="inlineStr">
        <is>
          <t>IRAM Anexo R (DC-PG-129)</t>
        </is>
      </c>
      <c r="N669" s="25" t="inlineStr">
        <is>
          <t>P</t>
        </is>
      </c>
      <c r="O669" s="25" t="inlineStr">
        <is>
          <t>FL_DES_ABC_25kg</t>
        </is>
      </c>
      <c r="P669" s="12" t="inlineStr">
        <is>
          <t>numerada</t>
        </is>
      </c>
    </row>
    <row r="670">
      <c r="A670" s="25" t="inlineStr">
        <is>
          <t>FL_MAT_ABC_25kg</t>
        </is>
      </c>
      <c r="B670" s="25" t="n">
        <v>2</v>
      </c>
      <c r="C670" s="25" t="inlineStr">
        <is>
          <t>ABC25-31</t>
        </is>
      </c>
      <c r="D670" s="12" t="inlineStr">
        <is>
          <t xml:space="preserve">        Precinto de fábrica</t>
        </is>
      </c>
      <c r="E670" s="25" t="n">
        <v>1</v>
      </c>
      <c r="F670" s="25" t="inlineStr">
        <is>
          <t>u</t>
        </is>
      </c>
      <c r="G670" s="26" t="n">
        <v>0.0002</v>
      </c>
      <c r="H670" s="26">
        <f>E670*G670</f>
        <v/>
      </c>
      <c r="I670" s="25" t="inlineStr">
        <is>
          <t>Polipropileno</t>
        </is>
      </c>
      <c r="J670" s="12" t="inlineStr">
        <is>
          <t>Ø5 × 10, numerado, rotura 30-50 N</t>
        </is>
      </c>
      <c r="K670" s="25" t="inlineStr">
        <is>
          <t>Compra</t>
        </is>
      </c>
      <c r="L670" s="12" t="inlineStr">
        <is>
          <t>20 Presurización (T05)</t>
        </is>
      </c>
      <c r="M670" s="12" t="inlineStr">
        <is>
          <t>IRAM 3523 3.3.2 · IRAM 3517-2:2020 9.4.13</t>
        </is>
      </c>
      <c r="N670" s="25" t="inlineStr">
        <is>
          <t>P</t>
        </is>
      </c>
      <c r="O670" s="25" t="inlineStr">
        <is>
          <t>FL_DES_ABC_25kg</t>
        </is>
      </c>
      <c r="P670" s="12" t="inlineStr">
        <is>
          <t>id. FLAMA y lote</t>
        </is>
      </c>
    </row>
    <row r="671">
      <c r="A671" s="25" t="inlineStr">
        <is>
          <t>FL_MAT_ABC_25kg</t>
        </is>
      </c>
      <c r="B671" s="25" t="n">
        <v>2</v>
      </c>
      <c r="C671" s="25" t="inlineStr">
        <is>
          <t>ABC25-I3</t>
        </is>
      </c>
      <c r="D671" s="12" t="inlineStr">
        <is>
          <t xml:space="preserve">        Tarjeta oficial de vigencia (CABA)</t>
        </is>
      </c>
      <c r="E671" s="25" t="n">
        <v>1</v>
      </c>
      <c r="F671" s="25" t="inlineStr">
        <is>
          <t>u</t>
        </is>
      </c>
      <c r="G671" s="26" t="n">
        <v>0.002</v>
      </c>
      <c r="H671" s="26">
        <f>E671*G671</f>
        <v/>
      </c>
      <c r="I671" s="25" t="inlineStr">
        <is>
          <t>Formulario oficial</t>
        </is>
      </c>
      <c r="J671" s="12" t="inlineStr">
        <is>
          <t>provista por DG Rentas GCBA</t>
        </is>
      </c>
      <c r="K671" s="25" t="inlineStr">
        <is>
          <t>Compra</t>
        </is>
      </c>
      <c r="L671" s="12" t="inlineStr">
        <is>
          <t>22 Etiquetado</t>
        </is>
      </c>
      <c r="M671" s="12" t="inlineStr">
        <is>
          <t>Ordenanza 40.473 art. 6</t>
        </is>
      </c>
      <c r="N671" s="25" t="inlineStr">
        <is>
          <t>N</t>
        </is>
      </c>
      <c r="O671" s="25" t="n"/>
      <c r="P671" s="12" t="inlineStr">
        <is>
          <t>Clase, capacidad, fecha de carga y vencimiento, garantía; se anexa al matafuego (no se dibuja)</t>
        </is>
      </c>
    </row>
    <row r="672">
      <c r="A672" s="22" t="inlineStr">
        <is>
          <t>FL_MAT_ABC_25kg</t>
        </is>
      </c>
      <c r="B672" s="22" t="n">
        <v>1</v>
      </c>
      <c r="C672" s="22" t="inlineStr">
        <is>
          <t>ABC25-S7</t>
        </is>
      </c>
      <c r="D672" s="23" t="inlineStr">
        <is>
          <t xml:space="preserve">    Embalaje</t>
        </is>
      </c>
      <c r="E672" s="22" t="n">
        <v>1</v>
      </c>
      <c r="F672" s="22" t="inlineStr">
        <is>
          <t>u</t>
        </is>
      </c>
      <c r="G672" s="24" t="n"/>
      <c r="H672" s="24">
        <f>H673+H674+H675+H676</f>
        <v/>
      </c>
      <c r="I672" s="22" t="n"/>
      <c r="J672" s="23" t="n"/>
      <c r="K672" s="22" t="inlineStr">
        <is>
          <t>Compra</t>
        </is>
      </c>
      <c r="L672" s="23" t="inlineStr">
        <is>
          <t>23 Embalaje -&gt; 24 envolvedora (T11)</t>
        </is>
      </c>
      <c r="M672" s="23" t="n"/>
      <c r="N672" s="22" t="n"/>
      <c r="O672" s="22" t="n"/>
      <c r="P672" s="23" t="n"/>
    </row>
    <row r="673">
      <c r="A673" s="25" t="inlineStr">
        <is>
          <t>FL_MAT_ABC_25kg</t>
        </is>
      </c>
      <c r="B673" s="25" t="n">
        <v>2</v>
      </c>
      <c r="C673" s="25" t="inlineStr">
        <is>
          <t>ABC25-E1</t>
        </is>
      </c>
      <c r="D673" s="12" t="inlineStr">
        <is>
          <t xml:space="preserve">        Esquineros y funda de polietileno</t>
        </is>
      </c>
      <c r="E673" s="25" t="n">
        <v>1</v>
      </c>
      <c r="F673" s="25" t="inlineStr">
        <is>
          <t>jgo</t>
        </is>
      </c>
      <c r="G673" s="26" t="n">
        <v>0.3</v>
      </c>
      <c r="H673" s="26">
        <f>E673*G673</f>
        <v/>
      </c>
      <c r="I673" s="25" t="inlineStr">
        <is>
          <t>PE / cartón</t>
        </is>
      </c>
      <c r="J673" s="12" t="inlineStr">
        <is>
          <t>a medida</t>
        </is>
      </c>
      <c r="K673" s="25" t="inlineStr">
        <is>
          <t>Compra</t>
        </is>
      </c>
      <c r="L673" s="12" t="inlineStr">
        <is>
          <t>23 Embalaje</t>
        </is>
      </c>
      <c r="M673" s="12" t="n"/>
      <c r="N673" s="25" t="inlineStr">
        <is>
          <t>R</t>
        </is>
      </c>
      <c r="O673" s="25" t="n"/>
      <c r="P673" s="12" t="n"/>
    </row>
    <row r="674">
      <c r="A674" s="25" t="inlineStr">
        <is>
          <t>FL_MAT_ABC_25kg</t>
        </is>
      </c>
      <c r="B674" s="25" t="n">
        <v>2</v>
      </c>
      <c r="C674" s="25" t="inlineStr">
        <is>
          <t>ABC25-E3</t>
        </is>
      </c>
      <c r="D674" s="12" t="inlineStr">
        <is>
          <t xml:space="preserve">        Pallet 1200 × 1000 (fracción)</t>
        </is>
      </c>
      <c r="E674" s="25" t="n">
        <v>0.5</v>
      </c>
      <c r="F674" s="25" t="inlineStr">
        <is>
          <t>u</t>
        </is>
      </c>
      <c r="G674" s="26" t="n">
        <v>11</v>
      </c>
      <c r="H674" s="26">
        <f>E674*G674</f>
        <v/>
      </c>
      <c r="I674" s="25" t="inlineStr">
        <is>
          <t>Madera</t>
        </is>
      </c>
      <c r="J674" s="12" t="inlineStr">
        <is>
          <t>2 u por pallet</t>
        </is>
      </c>
      <c r="K674" s="25" t="inlineStr">
        <is>
          <t>Compra</t>
        </is>
      </c>
      <c r="L674" s="12" t="inlineStr">
        <is>
          <t>23 Embalaje</t>
        </is>
      </c>
      <c r="M674" s="12" t="n"/>
      <c r="N674" s="25" t="inlineStr">
        <is>
          <t>R</t>
        </is>
      </c>
      <c r="O674" s="25" t="n"/>
      <c r="P674" s="12" t="n"/>
    </row>
    <row r="675">
      <c r="A675" s="25" t="inlineStr">
        <is>
          <t>FL_MAT_ABC_25kg</t>
        </is>
      </c>
      <c r="B675" s="25" t="n">
        <v>2</v>
      </c>
      <c r="C675" s="25" t="inlineStr">
        <is>
          <t>ABC25-E4</t>
        </is>
      </c>
      <c r="D675" s="12" t="inlineStr">
        <is>
          <t xml:space="preserve">        Film stretch (fracción del pallet)</t>
        </is>
      </c>
      <c r="E675" s="25" t="n">
        <v>0.175</v>
      </c>
      <c r="F675" s="25" t="inlineStr">
        <is>
          <t>kg</t>
        </is>
      </c>
      <c r="G675" s="26" t="n">
        <v>1</v>
      </c>
      <c r="H675" s="26">
        <f>E675*G675</f>
        <v/>
      </c>
      <c r="I675" s="25" t="inlineStr">
        <is>
          <t>PE lineal 23 µm</t>
        </is>
      </c>
      <c r="J675" s="12" t="inlineStr">
        <is>
          <t>envolvedora EDOS PS5</t>
        </is>
      </c>
      <c r="K675" s="25" t="inlineStr">
        <is>
          <t>Compra</t>
        </is>
      </c>
      <c r="L675" s="12" t="inlineStr">
        <is>
          <t>24 Envolvedora (T11)</t>
        </is>
      </c>
      <c r="M675" s="12" t="n"/>
      <c r="N675" s="25" t="inlineStr">
        <is>
          <t>R</t>
        </is>
      </c>
      <c r="O675" s="25" t="n"/>
      <c r="P675" s="12" t="n"/>
    </row>
    <row r="676">
      <c r="A676" s="25" t="inlineStr">
        <is>
          <t>FL_MAT_ABC_25kg</t>
        </is>
      </c>
      <c r="B676" s="25" t="n">
        <v>2</v>
      </c>
      <c r="C676" s="25" t="inlineStr">
        <is>
          <t>ABC25-E5</t>
        </is>
      </c>
      <c r="D676" s="12" t="inlineStr">
        <is>
          <t xml:space="preserve">        Etiqueta de pallet (lote y destino, fracción)</t>
        </is>
      </c>
      <c r="E676" s="25" t="n">
        <v>0.5</v>
      </c>
      <c r="F676" s="25" t="inlineStr">
        <is>
          <t>u</t>
        </is>
      </c>
      <c r="G676" s="26" t="n">
        <v>0</v>
      </c>
      <c r="H676" s="26">
        <f>E676*G676</f>
        <v/>
      </c>
      <c r="I676" s="25" t="inlineStr">
        <is>
          <t>Papel térmico</t>
        </is>
      </c>
      <c r="J676" s="12" t="inlineStr">
        <is>
          <t>100 × 150</t>
        </is>
      </c>
      <c r="K676" s="25" t="inlineStr">
        <is>
          <t>Compra</t>
        </is>
      </c>
      <c r="L676" s="12" t="inlineStr">
        <is>
          <t>24 Envolvedora</t>
        </is>
      </c>
      <c r="M676" s="12" t="n"/>
      <c r="N676" s="25" t="inlineStr">
        <is>
          <t>R</t>
        </is>
      </c>
      <c r="O676" s="25" t="n"/>
      <c r="P676" s="12" t="n"/>
    </row>
    <row r="677">
      <c r="A677" s="19" t="inlineStr">
        <is>
          <t>FL_MAT_ABC_50kg</t>
        </is>
      </c>
      <c r="B677" s="19" t="n">
        <v>0</v>
      </c>
      <c r="C677" s="19" t="inlineStr">
        <is>
          <t>FL_MAT_ABC_50kg</t>
        </is>
      </c>
      <c r="D677" s="20" t="inlineStr">
        <is>
          <t>Extintor ABC 50 kg sobre ruedas</t>
        </is>
      </c>
      <c r="E677" s="19" t="n">
        <v>1</v>
      </c>
      <c r="F677" s="19" t="inlineStr">
        <is>
          <t>u</t>
        </is>
      </c>
      <c r="G677" s="21" t="n"/>
      <c r="H677" s="21" t="n"/>
      <c r="I677" s="19" t="n"/>
      <c r="J677" s="20" t="n"/>
      <c r="K677" s="19" t="n"/>
      <c r="L677" s="20" t="n"/>
      <c r="M677" s="20" t="inlineStr">
        <is>
          <t>IRAM 3550</t>
        </is>
      </c>
      <c r="N677" s="19" t="inlineStr">
        <is>
          <t>P</t>
        </is>
      </c>
      <c r="O677" s="19" t="inlineStr">
        <is>
          <t>FL_MAT_ABC_50kg</t>
        </is>
      </c>
      <c r="P677" s="20" t="inlineStr">
        <is>
          <t>Fabricación propia</t>
        </is>
      </c>
    </row>
    <row r="678">
      <c r="A678" s="22" t="inlineStr">
        <is>
          <t>FL_MAT_ABC_50kg</t>
        </is>
      </c>
      <c r="B678" s="22" t="n">
        <v>1</v>
      </c>
      <c r="C678" s="22" t="inlineStr">
        <is>
          <t>FL_REC_ABC_50kg</t>
        </is>
      </c>
      <c r="D678" s="23" t="inlineStr">
        <is>
          <t xml:space="preserve">    Recipiente (cilindro)</t>
        </is>
      </c>
      <c r="E678" s="22" t="n">
        <v>1</v>
      </c>
      <c r="F678" s="22" t="inlineStr">
        <is>
          <t>u</t>
        </is>
      </c>
      <c r="G678" s="24" t="n"/>
      <c r="H678" s="24">
        <f>H679+H681+H682+H683+H685+H688</f>
        <v/>
      </c>
      <c r="I678" s="22" t="n"/>
      <c r="J678" s="23" t="n"/>
      <c r="K678" s="22" t="inlineStr">
        <is>
          <t>Fabricación</t>
        </is>
      </c>
      <c r="L678" s="23" t="n"/>
      <c r="M678" s="23" t="inlineStr">
        <is>
          <t>IRAM 3523 / 3550 (recipiente)</t>
        </is>
      </c>
      <c r="N678" s="22" t="inlineStr">
        <is>
          <t>P</t>
        </is>
      </c>
      <c r="O678" s="22" t="inlineStr">
        <is>
          <t>FL_REC_ABC_50kg</t>
        </is>
      </c>
      <c r="P678" s="23" t="n"/>
    </row>
    <row r="679">
      <c r="A679" s="25" t="inlineStr">
        <is>
          <t>FL_MAT_ABC_50kg</t>
        </is>
      </c>
      <c r="B679" s="25" t="n">
        <v>2</v>
      </c>
      <c r="C679" s="25" t="inlineStr">
        <is>
          <t>ABC50-01</t>
        </is>
      </c>
      <c r="D679" s="12" t="inlineStr">
        <is>
          <t xml:space="preserve">        Cuerpo (virola)</t>
        </is>
      </c>
      <c r="E679" s="25" t="n">
        <v>1</v>
      </c>
      <c r="F679" s="25" t="inlineStr">
        <is>
          <t>u</t>
        </is>
      </c>
      <c r="G679" s="26" t="n">
        <v>13.3755</v>
      </c>
      <c r="H679" s="26">
        <f>E679*G679</f>
        <v/>
      </c>
      <c r="I679" s="25" t="inlineStr">
        <is>
          <t>Chapa acero SAE 1010 e=3,2</t>
        </is>
      </c>
      <c r="J679" s="12" t="inlineStr">
        <is>
          <t>Ø320 × e3,2 × 535 de alto; desarrollo 995,3 × 535</t>
        </is>
      </c>
      <c r="K679" s="25" t="inlineStr">
        <is>
          <t>Fabricación</t>
        </is>
      </c>
      <c r="L679" s="12" t="inlineStr">
        <is>
          <t>1 Guillotina -&gt; C1 cilindrado -&gt; C2 punteo -&gt; C3 sold. long.</t>
        </is>
      </c>
      <c r="M679" s="12" t="n"/>
      <c r="N679" s="25" t="inlineStr">
        <is>
          <t>P</t>
        </is>
      </c>
      <c r="O679" s="25" t="inlineStr">
        <is>
          <t>FL_DES_ABC_50kg</t>
        </is>
      </c>
      <c r="P679" s="12" t="inlineStr">
        <is>
          <t>costura long. MIG</t>
        </is>
      </c>
    </row>
    <row r="680">
      <c r="A680" s="27" t="inlineStr">
        <is>
          <t>FL_MAT_ABC_50kg</t>
        </is>
      </c>
      <c r="B680" s="27" t="n">
        <v>3</v>
      </c>
      <c r="C680" s="27" t="inlineStr">
        <is>
          <t>MP-HOJA</t>
        </is>
      </c>
      <c r="D680" s="28" t="inlineStr">
        <is>
          <t xml:space="preserve">            Recorte de hoja LAC 1500 × 3000 e=3,2</t>
        </is>
      </c>
      <c r="E680" s="27" t="n">
        <v>1</v>
      </c>
      <c r="F680" s="27" t="inlineStr">
        <is>
          <t>u</t>
        </is>
      </c>
      <c r="G680" s="29" t="n">
        <v>18.845</v>
      </c>
      <c r="H680" s="29">
        <f>E680*G680</f>
        <v/>
      </c>
      <c r="I680" s="27" t="inlineStr">
        <is>
          <t>Chapa SAE 1010 LAC</t>
        </is>
      </c>
      <c r="J680" s="28" t="inlineStr">
        <is>
          <t>640 × 994 (aprovech. 84,8 %)</t>
        </is>
      </c>
      <c r="K680" s="27" t="inlineStr">
        <is>
          <t>Compra (Pradecon)</t>
        </is>
      </c>
      <c r="L680" s="28" t="inlineStr">
        <is>
          <t>AL-1H paquetes de hojas</t>
        </is>
      </c>
      <c r="M680" s="28" t="n"/>
      <c r="N680" s="27" t="inlineStr">
        <is>
          <t>L</t>
        </is>
      </c>
      <c r="O680" s="27" t="inlineStr">
        <is>
          <t>FL_PI_04 h2</t>
        </is>
      </c>
      <c r="P680" s="28" t="n"/>
    </row>
    <row r="681">
      <c r="A681" s="25" t="inlineStr">
        <is>
          <t>FL_MAT_ABC_50kg</t>
        </is>
      </c>
      <c r="B681" s="25" t="n">
        <v>2</v>
      </c>
      <c r="C681" s="25" t="inlineStr">
        <is>
          <t>ABC50-02</t>
        </is>
      </c>
      <c r="D681" s="12" t="inlineStr">
        <is>
          <t xml:space="preserve">        Cúpula</t>
        </is>
      </c>
      <c r="E681" s="25" t="n">
        <v>1</v>
      </c>
      <c r="F681" s="25" t="inlineStr">
        <is>
          <t>u</t>
        </is>
      </c>
      <c r="G681" s="26" t="n">
        <v>2.884</v>
      </c>
      <c r="H681" s="26">
        <f>E681*G681</f>
        <v/>
      </c>
      <c r="I681" s="25" t="inlineStr">
        <is>
          <t>Chapa acero SAE 1010 e=3,2</t>
        </is>
      </c>
      <c r="J681" s="12" t="inlineStr">
        <is>
          <t>Ø320 × e3,2 × 101,7 de alto; disco Ø393,8</t>
        </is>
      </c>
      <c r="K681" s="25" t="inlineStr">
        <is>
          <t>Compra</t>
        </is>
      </c>
      <c r="L681" s="12" t="inlineStr">
        <is>
          <t>Compra (casquetes de carros, rack RK1)</t>
        </is>
      </c>
      <c r="M681" s="12" t="n"/>
      <c r="N681" s="25" t="inlineStr">
        <is>
          <t>P</t>
        </is>
      </c>
      <c r="O681" s="25" t="inlineStr">
        <is>
          <t>FL_DES_ABC_50kg</t>
        </is>
      </c>
      <c r="P681" s="12" t="inlineStr">
        <is>
          <t>embutida</t>
        </is>
      </c>
    </row>
    <row r="682">
      <c r="A682" s="25" t="inlineStr">
        <is>
          <t>FL_MAT_ABC_50kg</t>
        </is>
      </c>
      <c r="B682" s="25" t="n">
        <v>2</v>
      </c>
      <c r="C682" s="25" t="inlineStr">
        <is>
          <t>ABC50-03</t>
        </is>
      </c>
      <c r="D682" s="12" t="inlineStr">
        <is>
          <t xml:space="preserve">        Fondo</t>
        </is>
      </c>
      <c r="E682" s="25" t="n">
        <v>1</v>
      </c>
      <c r="F682" s="25" t="inlineStr">
        <is>
          <t>u</t>
        </is>
      </c>
      <c r="G682" s="26" t="n">
        <v>3.1025</v>
      </c>
      <c r="H682" s="26">
        <f>E682*G682</f>
        <v/>
      </c>
      <c r="I682" s="25" t="inlineStr">
        <is>
          <t>Chapa acero SAE 1010 e=3,2</t>
        </is>
      </c>
      <c r="J682" s="12" t="inlineStr">
        <is>
          <t>Ø320 × e3,2 × 105 de alto; disco Ø408,5</t>
        </is>
      </c>
      <c r="K682" s="25" t="inlineStr">
        <is>
          <t>Compra</t>
        </is>
      </c>
      <c r="L682" s="12" t="inlineStr">
        <is>
          <t>Compra (casquetes de carros, rack RK1)</t>
        </is>
      </c>
      <c r="M682" s="12" t="n"/>
      <c r="N682" s="25" t="inlineStr">
        <is>
          <t>P</t>
        </is>
      </c>
      <c r="O682" s="25" t="inlineStr">
        <is>
          <t>FL_DES_ABC_50kg</t>
        </is>
      </c>
      <c r="P682" s="12" t="inlineStr">
        <is>
          <t>embutido</t>
        </is>
      </c>
    </row>
    <row r="683">
      <c r="A683" s="25" t="inlineStr">
        <is>
          <t>FL_MAT_ABC_50kg</t>
        </is>
      </c>
      <c r="B683" s="25" t="n">
        <v>2</v>
      </c>
      <c r="C683" s="25" t="inlineStr">
        <is>
          <t>ABC50-04</t>
        </is>
      </c>
      <c r="D683" s="12" t="inlineStr">
        <is>
          <t xml:space="preserve">        Cuello roscado</t>
        </is>
      </c>
      <c r="E683" s="25" t="n">
        <v>1</v>
      </c>
      <c r="F683" s="25" t="inlineStr">
        <is>
          <t>u</t>
        </is>
      </c>
      <c r="G683" s="26" t="n">
        <v>0.6085</v>
      </c>
      <c r="H683" s="26">
        <f>E683*G683</f>
        <v/>
      </c>
      <c r="I683" s="25" t="inlineStr">
        <is>
          <t>Acero SAE 1010</t>
        </is>
      </c>
      <c r="J683" s="12" t="inlineStr">
        <is>
          <t>Ø88 × 37 de alto, rosca RBSP 2 1/2"-11 h, asiento Ø80</t>
        </is>
      </c>
      <c r="K683" s="25" t="inlineStr">
        <is>
          <t>Fabricación</t>
        </is>
      </c>
      <c r="L683" s="12" t="inlineStr">
        <is>
          <t>C2 punteo</t>
        </is>
      </c>
      <c r="M683" s="12" t="n"/>
      <c r="N683" s="25" t="inlineStr">
        <is>
          <t>P</t>
        </is>
      </c>
      <c r="O683" s="25" t="inlineStr">
        <is>
          <t>FL_DES_ABC_50kg</t>
        </is>
      </c>
      <c r="P683" s="12" t="inlineStr">
        <is>
          <t>RBSP 2 1/2"-11 h</t>
        </is>
      </c>
    </row>
    <row r="684">
      <c r="A684" s="27" t="inlineStr">
        <is>
          <t>FL_MAT_ABC_50kg</t>
        </is>
      </c>
      <c r="B684" s="27" t="n">
        <v>3</v>
      </c>
      <c r="C684" s="27" t="inlineStr">
        <is>
          <t>MP-CUELLO</t>
        </is>
      </c>
      <c r="D684" s="28" t="inlineStr">
        <is>
          <t xml:space="preserve">            Cuello roscado mecanizado (pieza comprada lista para soldar)</t>
        </is>
      </c>
      <c r="E684" s="27" t="n">
        <v>1</v>
      </c>
      <c r="F684" s="27" t="inlineStr">
        <is>
          <t>u</t>
        </is>
      </c>
      <c r="G684" s="29" t="n">
        <v>0.608</v>
      </c>
      <c r="H684" s="29">
        <f>E684*G684</f>
        <v/>
      </c>
      <c r="I684" s="27" t="inlineStr">
        <is>
          <t>Acero SAE 1010 / 1020</t>
        </is>
      </c>
      <c r="J684" s="28" t="inlineStr">
        <is>
          <t>rosca RBSP 2 1/2"-11 h</t>
        </is>
      </c>
      <c r="K684" s="27" t="inlineStr">
        <is>
          <t>Compra (Eli-Met)</t>
        </is>
      </c>
      <c r="L684" s="28" t="inlineStr">
        <is>
          <t>AL-1C cuellos y roscas</t>
        </is>
      </c>
      <c r="M684" s="28" t="n"/>
      <c r="N684" s="27" t="inlineStr">
        <is>
          <t>L</t>
        </is>
      </c>
      <c r="O684" s="27" t="n"/>
      <c r="P684" s="28" t="n"/>
    </row>
    <row r="685">
      <c r="A685" s="25" t="inlineStr">
        <is>
          <t>FL_MAT_ABC_50kg</t>
        </is>
      </c>
      <c r="B685" s="25" t="n">
        <v>2</v>
      </c>
      <c r="C685" s="25" t="inlineStr">
        <is>
          <t>ABC50-C1</t>
        </is>
      </c>
      <c r="D685" s="12" t="inlineStr">
        <is>
          <t xml:space="preserve">        Aporte de soldadura: Alambre MAG ER70S-6 Ø0,9/1,2</t>
        </is>
      </c>
      <c r="E685" s="25" t="n">
        <v>0.433</v>
      </c>
      <c r="F685" s="25" t="inlineStr">
        <is>
          <t>kg</t>
        </is>
      </c>
      <c r="G685" s="26" t="n">
        <v>0.92</v>
      </c>
      <c r="H685" s="26">
        <f>E685*G685</f>
        <v/>
      </c>
      <c r="I685" s="25" t="inlineStr">
        <is>
          <t>Alambre MAG ER70S-6 Ø0,9/1,2</t>
        </is>
      </c>
      <c r="J685" s="12" t="inlineStr">
        <is>
          <t>cordones del plano: 398 g depositados (rend. 92 %)</t>
        </is>
      </c>
      <c r="K685" s="25" t="inlineStr">
        <is>
          <t>Compra</t>
        </is>
      </c>
      <c r="L685" s="12" t="inlineStr">
        <is>
          <t>4 sold. long. / 8 cuello / 11 circunferencial</t>
        </is>
      </c>
      <c r="M685" s="12" t="inlineStr">
        <is>
          <t>ISO 4063 131 / 141</t>
        </is>
      </c>
      <c r="N685" s="25" t="inlineStr">
        <is>
          <t>P</t>
        </is>
      </c>
      <c r="O685" s="25" t="n"/>
      <c r="P685" s="12" t="n"/>
    </row>
    <row r="686">
      <c r="A686" s="25" t="inlineStr">
        <is>
          <t>FL_MAT_ABC_50kg</t>
        </is>
      </c>
      <c r="B686" s="25" t="n">
        <v>2</v>
      </c>
      <c r="C686" s="25" t="inlineStr">
        <is>
          <t>ABC50-C2</t>
        </is>
      </c>
      <c r="D686" s="12" t="inlineStr">
        <is>
          <t xml:space="preserve">        Gas de protección: Arcal 21 (Ar + 18 % CO₂)</t>
        </is>
      </c>
      <c r="E686" s="25" t="n">
        <v>194.9</v>
      </c>
      <c r="F686" s="25" t="inlineStr">
        <is>
          <t>L</t>
        </is>
      </c>
      <c r="G686" s="26" t="n"/>
      <c r="H686" s="26" t="n"/>
      <c r="I686" s="25" t="inlineStr">
        <is>
          <t>Arcal 21 (Ar + 18 % CO₂)</t>
        </is>
      </c>
      <c r="J686" s="12" t="inlineStr">
        <is>
          <t>13 min de arco × 15 L/min</t>
        </is>
      </c>
      <c r="K686" s="25" t="inlineStr">
        <is>
          <t>Compra</t>
        </is>
      </c>
      <c r="L686" s="12" t="inlineStr">
        <is>
          <t>Colector SC</t>
        </is>
      </c>
      <c r="M686" s="12" t="n"/>
      <c r="N686" s="25" t="inlineStr">
        <is>
          <t>R</t>
        </is>
      </c>
      <c r="O686" s="25" t="n"/>
      <c r="P686" s="12" t="n"/>
    </row>
    <row r="687">
      <c r="A687" s="25" t="inlineStr">
        <is>
          <t>FL_MAT_ABC_50kg</t>
        </is>
      </c>
      <c r="B687" s="25" t="n">
        <v>2</v>
      </c>
      <c r="C687" s="25" t="inlineStr">
        <is>
          <t>ABC50-C3</t>
        </is>
      </c>
      <c r="D687" s="12" t="inlineStr">
        <is>
          <t xml:space="preserve">        Granalla de acero (consumo)</t>
        </is>
      </c>
      <c r="E687" s="25" t="n">
        <v>0.062</v>
      </c>
      <c r="F687" s="25" t="inlineStr">
        <is>
          <t>kg</t>
        </is>
      </c>
      <c r="G687" s="26" t="n"/>
      <c r="H687" s="26" t="n"/>
      <c r="I687" s="25" t="inlineStr">
        <is>
          <t>Granalla S-230</t>
        </is>
      </c>
      <c r="J687" s="12" t="inlineStr">
        <is>
          <t>0,771 m² a Sa 2½</t>
        </is>
      </c>
      <c r="K687" s="25" t="inlineStr">
        <is>
          <t>Compra</t>
        </is>
      </c>
      <c r="L687" s="12" t="inlineStr">
        <is>
          <t>14 Granallado (B08)</t>
        </is>
      </c>
      <c r="M687" s="12" t="inlineStr">
        <is>
          <t>ISO 8501-1</t>
        </is>
      </c>
      <c r="N687" s="25" t="inlineStr">
        <is>
          <t>R</t>
        </is>
      </c>
      <c r="O687" s="25" t="n"/>
      <c r="P687" s="12" t="n"/>
    </row>
    <row r="688">
      <c r="A688" s="25" t="inlineStr">
        <is>
          <t>FL_MAT_ABC_50kg</t>
        </is>
      </c>
      <c r="B688" s="25" t="n">
        <v>2</v>
      </c>
      <c r="C688" s="25" t="inlineStr">
        <is>
          <t>ABC50-C4</t>
        </is>
      </c>
      <c r="D688" s="12" t="inlineStr">
        <is>
          <t xml:space="preserve">        Pintura en polvo poliéster rojo</t>
        </is>
      </c>
      <c r="E688" s="25" t="n">
        <v>0.143</v>
      </c>
      <c r="F688" s="25" t="inlineStr">
        <is>
          <t>kg</t>
        </is>
      </c>
      <c r="G688" s="26" t="n">
        <v>0.65</v>
      </c>
      <c r="H688" s="26">
        <f>E688*G688</f>
        <v/>
      </c>
      <c r="I688" s="25" t="inlineStr">
        <is>
          <t>Poliéster rojo 03-1-050</t>
        </is>
      </c>
      <c r="J688" s="12" t="inlineStr">
        <is>
          <t>0,771 m² × 80 µm (60-100 µm), rendimiento 65 %</t>
        </is>
      </c>
      <c r="K688" s="25" t="inlineStr">
        <is>
          <t>Compra</t>
        </is>
      </c>
      <c r="L688" s="12" t="inlineStr">
        <is>
          <t>17 Pintura (S-P) / tercerizada en carros</t>
        </is>
      </c>
      <c r="M688" s="12" t="inlineStr">
        <is>
          <t>DOC-01 · IRAM 3517-2 9.10</t>
        </is>
      </c>
      <c r="N688" s="25" t="inlineStr">
        <is>
          <t>R</t>
        </is>
      </c>
      <c r="O688" s="25" t="n"/>
      <c r="P688" s="12" t="n"/>
    </row>
    <row r="689">
      <c r="A689" s="22" t="inlineStr">
        <is>
          <t>FL_MAT_ABC_50kg</t>
        </is>
      </c>
      <c r="B689" s="22" t="n">
        <v>1</v>
      </c>
      <c r="C689" s="22" t="inlineStr">
        <is>
          <t>ABC50-S2</t>
        </is>
      </c>
      <c r="D689" s="23" t="inlineStr">
        <is>
          <t xml:space="preserve">    Conjunto de válvula</t>
        </is>
      </c>
      <c r="E689" s="22" t="n">
        <v>1</v>
      </c>
      <c r="F689" s="22" t="inlineStr">
        <is>
          <t>u</t>
        </is>
      </c>
      <c r="G689" s="24" t="n"/>
      <c r="H689" s="24">
        <f>H690+H691+H692+H693+H694+H695+H696+H697+H698+H699+H700+H701+H702</f>
        <v/>
      </c>
      <c r="I689" s="22" t="n"/>
      <c r="J689" s="23" t="n"/>
      <c r="K689" s="22" t="inlineStr">
        <is>
          <t>Compra / armado</t>
        </is>
      </c>
      <c r="L689" s="23" t="n"/>
      <c r="M689" s="23" t="inlineStr">
        <is>
          <t>Manómetro IRAM 3533</t>
        </is>
      </c>
      <c r="N689" s="22" t="inlineStr">
        <is>
          <t>P</t>
        </is>
      </c>
      <c r="O689" s="22" t="inlineStr">
        <is>
          <t>FL_DES_ABC_50kg</t>
        </is>
      </c>
      <c r="P689" s="23" t="n"/>
    </row>
    <row r="690">
      <c r="A690" s="25" t="inlineStr">
        <is>
          <t>FL_MAT_ABC_50kg</t>
        </is>
      </c>
      <c r="B690" s="25" t="n">
        <v>2</v>
      </c>
      <c r="C690" s="25" t="inlineStr">
        <is>
          <t>ABC50-11</t>
        </is>
      </c>
      <c r="D690" s="12" t="inlineStr">
        <is>
          <t xml:space="preserve">        Collarín de válvula</t>
        </is>
      </c>
      <c r="E690" s="25" t="n">
        <v>1</v>
      </c>
      <c r="F690" s="25" t="inlineStr">
        <is>
          <t>u</t>
        </is>
      </c>
      <c r="G690" s="26" t="n">
        <v>0.4107</v>
      </c>
      <c r="H690" s="26">
        <f>E690*G690</f>
        <v/>
      </c>
      <c r="I690" s="25" t="inlineStr">
        <is>
          <t>Latón forjado</t>
        </is>
      </c>
      <c r="J690" s="12" t="inlineStr">
        <is>
          <t>96,1 × 96,1 × 13,5</t>
        </is>
      </c>
      <c r="K690" s="25" t="inlineStr">
        <is>
          <t>Compra</t>
        </is>
      </c>
      <c r="L690" s="12" t="inlineStr">
        <is>
          <t>C9 armado</t>
        </is>
      </c>
      <c r="M690" s="12" t="n"/>
      <c r="N690" s="25" t="inlineStr">
        <is>
          <t>P</t>
        </is>
      </c>
      <c r="O690" s="25" t="inlineStr">
        <is>
          <t>FL_DES_ABC_50kg</t>
        </is>
      </c>
      <c r="P690" s="12" t="n"/>
    </row>
    <row r="691">
      <c r="A691" s="25" t="inlineStr">
        <is>
          <t>FL_MAT_ABC_50kg</t>
        </is>
      </c>
      <c r="B691" s="25" t="n">
        <v>2</v>
      </c>
      <c r="C691" s="25" t="inlineStr">
        <is>
          <t>ABC50-12</t>
        </is>
      </c>
      <c r="D691" s="12" t="inlineStr">
        <is>
          <t xml:space="preserve">        Espiga roscada</t>
        </is>
      </c>
      <c r="E691" s="25" t="n">
        <v>1</v>
      </c>
      <c r="F691" s="25" t="inlineStr">
        <is>
          <t>u</t>
        </is>
      </c>
      <c r="G691" s="26" t="n">
        <v>0.1187</v>
      </c>
      <c r="H691" s="26">
        <f>E691*G691</f>
        <v/>
      </c>
      <c r="I691" s="25" t="inlineStr">
        <is>
          <t>Latón forjado</t>
        </is>
      </c>
      <c r="J691" s="12" t="inlineStr">
        <is>
          <t>72,2 × 72,2 × 16,2</t>
        </is>
      </c>
      <c r="K691" s="25" t="inlineStr">
        <is>
          <t>Compra</t>
        </is>
      </c>
      <c r="L691" s="12" t="inlineStr">
        <is>
          <t>C9 armado</t>
        </is>
      </c>
      <c r="M691" s="12" t="n"/>
      <c r="N691" s="25" t="inlineStr">
        <is>
          <t>P</t>
        </is>
      </c>
      <c r="O691" s="25" t="inlineStr">
        <is>
          <t>FL_DES_ABC_50kg</t>
        </is>
      </c>
      <c r="P691" s="12" t="n"/>
    </row>
    <row r="692">
      <c r="A692" s="25" t="inlineStr">
        <is>
          <t>FL_MAT_ABC_50kg</t>
        </is>
      </c>
      <c r="B692" s="25" t="n">
        <v>2</v>
      </c>
      <c r="C692" s="25" t="inlineStr">
        <is>
          <t>ABC50-13</t>
        </is>
      </c>
      <c r="D692" s="12" t="inlineStr">
        <is>
          <t xml:space="preserve">        Cuerpo de válvula</t>
        </is>
      </c>
      <c r="E692" s="25" t="n">
        <v>1</v>
      </c>
      <c r="F692" s="25" t="inlineStr">
        <is>
          <t>u</t>
        </is>
      </c>
      <c r="G692" s="26" t="n">
        <v>0.7378</v>
      </c>
      <c r="H692" s="26">
        <f>E692*G692</f>
        <v/>
      </c>
      <c r="I692" s="25" t="inlineStr">
        <is>
          <t>Latón forjado</t>
        </is>
      </c>
      <c r="J692" s="12" t="inlineStr">
        <is>
          <t>58,4 × 54 × 46,3</t>
        </is>
      </c>
      <c r="K692" s="25" t="inlineStr">
        <is>
          <t>Compra</t>
        </is>
      </c>
      <c r="L692" s="12" t="inlineStr">
        <is>
          <t>C9 armado</t>
        </is>
      </c>
      <c r="M692" s="12" t="n"/>
      <c r="N692" s="25" t="inlineStr">
        <is>
          <t>P</t>
        </is>
      </c>
      <c r="O692" s="25" t="inlineStr">
        <is>
          <t>FL_DES_ABC_50kg</t>
        </is>
      </c>
      <c r="P692" s="12" t="n"/>
    </row>
    <row r="693">
      <c r="A693" s="25" t="inlineStr">
        <is>
          <t>FL_MAT_ABC_50kg</t>
        </is>
      </c>
      <c r="B693" s="25" t="n">
        <v>2</v>
      </c>
      <c r="C693" s="25" t="inlineStr">
        <is>
          <t>ABC50-14</t>
        </is>
      </c>
      <c r="D693" s="12" t="inlineStr">
        <is>
          <t xml:space="preserve">        Manómetro</t>
        </is>
      </c>
      <c r="E693" s="25" t="n">
        <v>1</v>
      </c>
      <c r="F693" s="25" t="inlineStr">
        <is>
          <t>u</t>
        </is>
      </c>
      <c r="G693" s="26" t="n">
        <v>0.12</v>
      </c>
      <c r="H693" s="26">
        <f>E693*G693</f>
        <v/>
      </c>
      <c r="I693" s="25" t="inlineStr">
        <is>
          <t>Comercial</t>
        </is>
      </c>
      <c r="J693" s="12" t="inlineStr">
        <is>
          <t>Ø50 esfera, rango 0-3,5 MPa, sector verde en 1,4</t>
        </is>
      </c>
      <c r="K693" s="25" t="inlineStr">
        <is>
          <t>Compra</t>
        </is>
      </c>
      <c r="L693" s="12" t="inlineStr">
        <is>
          <t>C9 armado</t>
        </is>
      </c>
      <c r="M693" s="12" t="inlineStr">
        <is>
          <t>IRAM 3533</t>
        </is>
      </c>
      <c r="N693" s="25" t="inlineStr">
        <is>
          <t>R</t>
        </is>
      </c>
      <c r="O693" s="25" t="inlineStr">
        <is>
          <t>FL_DES_ABC_50kg</t>
        </is>
      </c>
      <c r="P693" s="12" t="inlineStr">
        <is>
          <t>Pieza comercial; sello IRAM 3533</t>
        </is>
      </c>
    </row>
    <row r="694">
      <c r="A694" s="25" t="inlineStr">
        <is>
          <t>FL_MAT_ABC_50kg</t>
        </is>
      </c>
      <c r="B694" s="25" t="n">
        <v>2</v>
      </c>
      <c r="C694" s="25" t="inlineStr">
        <is>
          <t>ABC50-15</t>
        </is>
      </c>
      <c r="D694" s="12" t="inlineStr">
        <is>
          <t xml:space="preserve">        Manija de transporte</t>
        </is>
      </c>
      <c r="E694" s="25" t="n">
        <v>1</v>
      </c>
      <c r="F694" s="25" t="inlineStr">
        <is>
          <t>u</t>
        </is>
      </c>
      <c r="G694" s="26" t="n">
        <v>0.1002</v>
      </c>
      <c r="H694" s="26">
        <f>E694*G694</f>
        <v/>
      </c>
      <c r="I694" s="25" t="inlineStr">
        <is>
          <t>Chapa acero SAE 1010 pintada</t>
        </is>
      </c>
      <c r="J694" s="12" t="inlineStr">
        <is>
          <t>87,6 × 27 × 14,5</t>
        </is>
      </c>
      <c r="K694" s="25" t="inlineStr">
        <is>
          <t>Compra</t>
        </is>
      </c>
      <c r="L694" s="12" t="inlineStr">
        <is>
          <t>C9 armado</t>
        </is>
      </c>
      <c r="M694" s="12" t="n"/>
      <c r="N694" s="25" t="inlineStr">
        <is>
          <t>P</t>
        </is>
      </c>
      <c r="O694" s="25" t="inlineStr">
        <is>
          <t>FL_DES_ABC_50kg</t>
        </is>
      </c>
      <c r="P694" s="12" t="n"/>
    </row>
    <row r="695">
      <c r="A695" s="25" t="inlineStr">
        <is>
          <t>FL_MAT_ABC_50kg</t>
        </is>
      </c>
      <c r="B695" s="25" t="n">
        <v>2</v>
      </c>
      <c r="C695" s="25" t="inlineStr">
        <is>
          <t>ABC50-16</t>
        </is>
      </c>
      <c r="D695" s="12" t="inlineStr">
        <is>
          <t xml:space="preserve">        Manija de accionamiento</t>
        </is>
      </c>
      <c r="E695" s="25" t="n">
        <v>1</v>
      </c>
      <c r="F695" s="25" t="inlineStr">
        <is>
          <t>u</t>
        </is>
      </c>
      <c r="G695" s="26" t="n">
        <v>0.1682</v>
      </c>
      <c r="H695" s="26">
        <f>E695*G695</f>
        <v/>
      </c>
      <c r="I695" s="25" t="inlineStr">
        <is>
          <t>Chapa acero SAE 1010 pintada</t>
        </is>
      </c>
      <c r="J695" s="12" t="inlineStr">
        <is>
          <t>146,6 × 27 × 23,3</t>
        </is>
      </c>
      <c r="K695" s="25" t="inlineStr">
        <is>
          <t>Compra</t>
        </is>
      </c>
      <c r="L695" s="12" t="inlineStr">
        <is>
          <t>C9 armado</t>
        </is>
      </c>
      <c r="M695" s="12" t="n"/>
      <c r="N695" s="25" t="inlineStr">
        <is>
          <t>P</t>
        </is>
      </c>
      <c r="O695" s="25" t="inlineStr">
        <is>
          <t>FL_DES_ABC_50kg</t>
        </is>
      </c>
      <c r="P695" s="12" t="n"/>
    </row>
    <row r="696">
      <c r="A696" s="25" t="inlineStr">
        <is>
          <t>FL_MAT_ABC_50kg</t>
        </is>
      </c>
      <c r="B696" s="25" t="n">
        <v>2</v>
      </c>
      <c r="C696" s="25" t="inlineStr">
        <is>
          <t>ABC50-17</t>
        </is>
      </c>
      <c r="D696" s="12" t="inlineStr">
        <is>
          <t xml:space="preserve">        Eje de palanca</t>
        </is>
      </c>
      <c r="E696" s="25" t="n">
        <v>1</v>
      </c>
      <c r="F696" s="25" t="inlineStr">
        <is>
          <t>u</t>
        </is>
      </c>
      <c r="G696" s="26" t="n">
        <v>0.0199</v>
      </c>
      <c r="H696" s="26">
        <f>E696*G696</f>
        <v/>
      </c>
      <c r="I696" s="25" t="inlineStr">
        <is>
          <t>Acero inox. AISI 304</t>
        </is>
      </c>
      <c r="J696" s="12" t="inlineStr">
        <is>
          <t>48,6 × 8,1 × 8,1</t>
        </is>
      </c>
      <c r="K696" s="25" t="inlineStr">
        <is>
          <t>Compra</t>
        </is>
      </c>
      <c r="L696" s="12" t="inlineStr">
        <is>
          <t>C9 armado</t>
        </is>
      </c>
      <c r="M696" s="12" t="n"/>
      <c r="N696" s="25" t="inlineStr">
        <is>
          <t>P</t>
        </is>
      </c>
      <c r="O696" s="25" t="inlineStr">
        <is>
          <t>FL_DES_ABC_50kg</t>
        </is>
      </c>
      <c r="P696" s="12" t="n"/>
    </row>
    <row r="697">
      <c r="A697" s="25" t="inlineStr">
        <is>
          <t>FL_MAT_ABC_50kg</t>
        </is>
      </c>
      <c r="B697" s="25" t="n">
        <v>2</v>
      </c>
      <c r="C697" s="25" t="inlineStr">
        <is>
          <t>ABC50-18</t>
        </is>
      </c>
      <c r="D697" s="12" t="inlineStr">
        <is>
          <t xml:space="preserve">        Vástago</t>
        </is>
      </c>
      <c r="E697" s="25" t="n">
        <v>1</v>
      </c>
      <c r="F697" s="25" t="inlineStr">
        <is>
          <t>u</t>
        </is>
      </c>
      <c r="G697" s="26" t="n">
        <v>0.0039</v>
      </c>
      <c r="H697" s="26">
        <f>E697*G697</f>
        <v/>
      </c>
      <c r="I697" s="25" t="inlineStr">
        <is>
          <t>Latón</t>
        </is>
      </c>
      <c r="J697" s="12" t="inlineStr">
        <is>
          <t>10,8 × 10,8 × 5</t>
        </is>
      </c>
      <c r="K697" s="25" t="inlineStr">
        <is>
          <t>Compra</t>
        </is>
      </c>
      <c r="L697" s="12" t="inlineStr">
        <is>
          <t>C9 armado</t>
        </is>
      </c>
      <c r="M697" s="12" t="n"/>
      <c r="N697" s="25" t="inlineStr">
        <is>
          <t>P</t>
        </is>
      </c>
      <c r="O697" s="25" t="inlineStr">
        <is>
          <t>FL_DES_ABC_50kg</t>
        </is>
      </c>
      <c r="P697" s="12" t="inlineStr">
        <is>
          <t>con junta tórica</t>
        </is>
      </c>
    </row>
    <row r="698">
      <c r="A698" s="25" t="inlineStr">
        <is>
          <t>FL_MAT_ABC_50kg</t>
        </is>
      </c>
      <c r="B698" s="25" t="n">
        <v>2</v>
      </c>
      <c r="C698" s="25" t="inlineStr">
        <is>
          <t>ABC50-19</t>
        </is>
      </c>
      <c r="D698" s="12" t="inlineStr">
        <is>
          <t xml:space="preserve">        Pasador de seguridad</t>
        </is>
      </c>
      <c r="E698" s="25" t="n">
        <v>1</v>
      </c>
      <c r="F698" s="25" t="inlineStr">
        <is>
          <t>u</t>
        </is>
      </c>
      <c r="G698" s="26" t="n">
        <v>0.0135</v>
      </c>
      <c r="H698" s="26">
        <f>E698*G698</f>
        <v/>
      </c>
      <c r="I698" s="25" t="inlineStr">
        <is>
          <t>Alambre acero inox. AISI 304</t>
        </is>
      </c>
      <c r="J698" s="12" t="inlineStr">
        <is>
          <t>61,3 × 28,4 × 28,1</t>
        </is>
      </c>
      <c r="K698" s="25" t="inlineStr">
        <is>
          <t>Compra</t>
        </is>
      </c>
      <c r="L698" s="12" t="inlineStr">
        <is>
          <t>C9 armado</t>
        </is>
      </c>
      <c r="M698" s="12" t="n"/>
      <c r="N698" s="25" t="inlineStr">
        <is>
          <t>P</t>
        </is>
      </c>
      <c r="O698" s="25" t="inlineStr">
        <is>
          <t>FL_DES_ABC_50kg</t>
        </is>
      </c>
      <c r="P698" s="12" t="inlineStr">
        <is>
          <t>con precinto</t>
        </is>
      </c>
    </row>
    <row r="699">
      <c r="A699" s="25" t="inlineStr">
        <is>
          <t>FL_MAT_ABC_50kg</t>
        </is>
      </c>
      <c r="B699" s="25" t="n">
        <v>2</v>
      </c>
      <c r="C699" s="25" t="inlineStr">
        <is>
          <t>ABC50-20</t>
        </is>
      </c>
      <c r="D699" s="12" t="inlineStr">
        <is>
          <t xml:space="preserve">        Caño de pesca (sifón)</t>
        </is>
      </c>
      <c r="E699" s="25" t="n">
        <v>1</v>
      </c>
      <c r="F699" s="25" t="inlineStr">
        <is>
          <t>u</t>
        </is>
      </c>
      <c r="G699" s="26" t="n">
        <v>0.1736</v>
      </c>
      <c r="H699" s="26">
        <f>E699*G699</f>
        <v/>
      </c>
      <c r="I699" s="25" t="inlineStr">
        <is>
          <t>Tubo PVC rígido</t>
        </is>
      </c>
      <c r="J699" s="12" t="inlineStr">
        <is>
          <t>Ø24 × 734,3 de largo</t>
        </is>
      </c>
      <c r="K699" s="25" t="inlineStr">
        <is>
          <t>Compra</t>
        </is>
      </c>
      <c r="L699" s="12" t="inlineStr">
        <is>
          <t>C9 armado</t>
        </is>
      </c>
      <c r="M699" s="12" t="n"/>
      <c r="N699" s="25" t="inlineStr">
        <is>
          <t>P</t>
        </is>
      </c>
      <c r="O699" s="25" t="inlineStr">
        <is>
          <t>FL_DES_ABC_50kg</t>
        </is>
      </c>
      <c r="P699" s="12" t="n"/>
    </row>
    <row r="700">
      <c r="A700" s="25" t="inlineStr">
        <is>
          <t>FL_MAT_ABC_50kg</t>
        </is>
      </c>
      <c r="B700" s="25" t="n">
        <v>2</v>
      </c>
      <c r="C700" s="25" t="inlineStr">
        <is>
          <t>ABC50-30</t>
        </is>
      </c>
      <c r="D700" s="12" t="inlineStr">
        <is>
          <t xml:space="preserve">        Junta tórica de asiento</t>
        </is>
      </c>
      <c r="E700" s="25" t="n">
        <v>1</v>
      </c>
      <c r="F700" s="25" t="inlineStr">
        <is>
          <t>u</t>
        </is>
      </c>
      <c r="G700" s="26" t="n">
        <v>0.0024</v>
      </c>
      <c r="H700" s="26">
        <f>E700*G700</f>
        <v/>
      </c>
      <c r="I700" s="25" t="inlineStr">
        <is>
          <t>NBR 70 Shore A</t>
        </is>
      </c>
      <c r="J700" s="12" t="inlineStr">
        <is>
          <t>Ø75,2 ext. × cordón 3</t>
        </is>
      </c>
      <c r="K700" s="25" t="inlineStr">
        <is>
          <t>Compra</t>
        </is>
      </c>
      <c r="L700" s="12" t="inlineStr">
        <is>
          <t>C9 armado</t>
        </is>
      </c>
      <c r="M700" s="12" t="n"/>
      <c r="N700" s="25" t="inlineStr">
        <is>
          <t>P</t>
        </is>
      </c>
      <c r="O700" s="25" t="inlineStr">
        <is>
          <t>FL_DES_ABC_50kg</t>
        </is>
      </c>
      <c r="P700" s="12" t="inlineStr">
        <is>
          <t>cambio c/recarga</t>
        </is>
      </c>
    </row>
    <row r="701">
      <c r="A701" s="25" t="inlineStr">
        <is>
          <t>FL_MAT_ABC_50kg</t>
        </is>
      </c>
      <c r="B701" s="25" t="n">
        <v>2</v>
      </c>
      <c r="C701" s="25" t="inlineStr">
        <is>
          <t>ABC50-V2</t>
        </is>
      </c>
      <c r="D701" s="12" t="inlineStr">
        <is>
          <t xml:space="preserve">        Resorte de retorno del vástago</t>
        </is>
      </c>
      <c r="E701" s="25" t="n">
        <v>1</v>
      </c>
      <c r="F701" s="25" t="inlineStr">
        <is>
          <t>u</t>
        </is>
      </c>
      <c r="G701" s="26" t="n">
        <v>0.003</v>
      </c>
      <c r="H701" s="26">
        <f>E701*G701</f>
        <v/>
      </c>
      <c r="I701" s="25" t="inlineStr">
        <is>
          <t>Alambre acero inox. AISI 302</t>
        </is>
      </c>
      <c r="J701" s="12" t="inlineStr">
        <is>
          <t>según válvula</t>
        </is>
      </c>
      <c r="K701" s="25" t="inlineStr">
        <is>
          <t>Compra</t>
        </is>
      </c>
      <c r="L701" s="12" t="inlineStr">
        <is>
          <t>19 Ensamblaje</t>
        </is>
      </c>
      <c r="M701" s="12" t="n"/>
      <c r="N701" s="25" t="inlineStr">
        <is>
          <t>R</t>
        </is>
      </c>
      <c r="O701" s="25" t="n"/>
      <c r="P701" s="12" t="n"/>
    </row>
    <row r="702">
      <c r="A702" s="25" t="inlineStr">
        <is>
          <t>FL_MAT_ABC_50kg</t>
        </is>
      </c>
      <c r="B702" s="25" t="n">
        <v>2</v>
      </c>
      <c r="C702" s="25" t="inlineStr">
        <is>
          <t>ABC50-V3</t>
        </is>
      </c>
      <c r="D702" s="12" t="inlineStr">
        <is>
          <t xml:space="preserve">        Junta tórica del vástago</t>
        </is>
      </c>
      <c r="E702" s="25" t="n">
        <v>1</v>
      </c>
      <c r="F702" s="25" t="inlineStr">
        <is>
          <t>u</t>
        </is>
      </c>
      <c r="G702" s="26" t="n">
        <v>0.001</v>
      </c>
      <c r="H702" s="26">
        <f>E702*G702</f>
        <v/>
      </c>
      <c r="I702" s="25" t="inlineStr">
        <is>
          <t>NBR 70 Shore A</t>
        </is>
      </c>
      <c r="J702" s="12" t="inlineStr">
        <is>
          <t>según válvula</t>
        </is>
      </c>
      <c r="K702" s="25" t="inlineStr">
        <is>
          <t>Compra</t>
        </is>
      </c>
      <c r="L702" s="12" t="inlineStr">
        <is>
          <t>19 Ensamblaje</t>
        </is>
      </c>
      <c r="M702" s="12" t="n"/>
      <c r="N702" s="25" t="inlineStr">
        <is>
          <t>P</t>
        </is>
      </c>
      <c r="O702" s="25" t="n"/>
      <c r="P702" s="12" t="inlineStr">
        <is>
          <t>Figura en el plano como «vástago con junta tórica»</t>
        </is>
      </c>
    </row>
    <row r="703">
      <c r="A703" s="22" t="inlineStr">
        <is>
          <t>FL_MAT_ABC_50kg</t>
        </is>
      </c>
      <c r="B703" s="22" t="n">
        <v>1</v>
      </c>
      <c r="C703" s="22" t="inlineStr">
        <is>
          <t>ABC50-S3</t>
        </is>
      </c>
      <c r="D703" s="23" t="inlineStr">
        <is>
          <t xml:space="preserve">    Dispositivo de descarga</t>
        </is>
      </c>
      <c r="E703" s="22" t="n">
        <v>1</v>
      </c>
      <c r="F703" s="22" t="inlineStr">
        <is>
          <t>u</t>
        </is>
      </c>
      <c r="G703" s="24" t="n"/>
      <c r="H703" s="24">
        <f>H704+H705+H706+H707+H708+H709</f>
        <v/>
      </c>
      <c r="I703" s="22" t="n"/>
      <c r="J703" s="23" t="n"/>
      <c r="K703" s="22" t="inlineStr">
        <is>
          <t>Compra / armado</t>
        </is>
      </c>
      <c r="L703" s="23" t="n"/>
      <c r="M703" s="23" t="n"/>
      <c r="N703" s="22" t="inlineStr">
        <is>
          <t>P</t>
        </is>
      </c>
      <c r="O703" s="22" t="inlineStr">
        <is>
          <t>FL_DES_ABC_50kg</t>
        </is>
      </c>
      <c r="P703" s="23" t="n"/>
    </row>
    <row r="704">
      <c r="A704" s="25" t="inlineStr">
        <is>
          <t>FL_MAT_ABC_50kg</t>
        </is>
      </c>
      <c r="B704" s="25" t="n">
        <v>2</v>
      </c>
      <c r="C704" s="25" t="inlineStr">
        <is>
          <t>ABC50-21</t>
        </is>
      </c>
      <c r="D704" s="12" t="inlineStr">
        <is>
          <t xml:space="preserve">        Manguera (tramo enrollado)</t>
        </is>
      </c>
      <c r="E704" s="25" t="n">
        <v>1</v>
      </c>
      <c r="F704" s="25" t="inlineStr">
        <is>
          <t>u</t>
        </is>
      </c>
      <c r="G704" s="26" t="n">
        <v>0.4763</v>
      </c>
      <c r="H704" s="26">
        <f>E704*G704</f>
        <v/>
      </c>
      <c r="I704" s="25" t="inlineStr">
        <is>
          <t>Caucho sintético</t>
        </is>
      </c>
      <c r="J704" s="12" t="inlineStr">
        <is>
          <t>Ø25 × 1.263 de largo desarrollado</t>
        </is>
      </c>
      <c r="K704" s="25" t="inlineStr">
        <is>
          <t>Compra</t>
        </is>
      </c>
      <c r="L704" s="12" t="inlineStr">
        <is>
          <t>C9 armado de ruedas y manguera</t>
        </is>
      </c>
      <c r="M704" s="12" t="n"/>
      <c r="N704" s="25" t="inlineStr">
        <is>
          <t>P</t>
        </is>
      </c>
      <c r="O704" s="25" t="inlineStr">
        <is>
          <t>FL_DES_ABC_50kg</t>
        </is>
      </c>
      <c r="P704" s="12" t="n"/>
    </row>
    <row r="705">
      <c r="A705" s="25" t="inlineStr">
        <is>
          <t>FL_MAT_ABC_50kg</t>
        </is>
      </c>
      <c r="B705" s="25" t="n">
        <v>2</v>
      </c>
      <c r="C705" s="25" t="inlineStr">
        <is>
          <t>ABC50-22</t>
        </is>
      </c>
      <c r="D705" s="12" t="inlineStr">
        <is>
          <t xml:space="preserve">        Soporte de manguera</t>
        </is>
      </c>
      <c r="E705" s="25" t="n">
        <v>1</v>
      </c>
      <c r="F705" s="25" t="inlineStr">
        <is>
          <t>u</t>
        </is>
      </c>
      <c r="G705" s="26" t="n">
        <v>1.6857</v>
      </c>
      <c r="H705" s="26">
        <f>E705*G705</f>
        <v/>
      </c>
      <c r="I705" s="25" t="inlineStr">
        <is>
          <t>Planchuela acero SAE 1010</t>
        </is>
      </c>
      <c r="J705" s="12" t="inlineStr">
        <is>
          <t>490,8 × 217 × 40,5</t>
        </is>
      </c>
      <c r="K705" s="25" t="inlineStr">
        <is>
          <t>Compra (estructura)</t>
        </is>
      </c>
      <c r="L705" s="12" t="inlineStr">
        <is>
          <t>C9 armado de ruedas y manguera</t>
        </is>
      </c>
      <c r="M705" s="12" t="n"/>
      <c r="N705" s="25" t="inlineStr">
        <is>
          <t>P</t>
        </is>
      </c>
      <c r="O705" s="25" t="inlineStr">
        <is>
          <t>FL_DES_ABC_50kg</t>
        </is>
      </c>
      <c r="P705" s="12" t="n"/>
    </row>
    <row r="706">
      <c r="A706" s="25" t="inlineStr">
        <is>
          <t>FL_MAT_ABC_50kg</t>
        </is>
      </c>
      <c r="B706" s="25" t="n">
        <v>2</v>
      </c>
      <c r="C706" s="25" t="inlineStr">
        <is>
          <t>ABC50-23</t>
        </is>
      </c>
      <c r="D706" s="12" t="inlineStr">
        <is>
          <t xml:space="preserve">        Racor de manguera</t>
        </is>
      </c>
      <c r="E706" s="25" t="n">
        <v>1</v>
      </c>
      <c r="F706" s="25" t="inlineStr">
        <is>
          <t>u</t>
        </is>
      </c>
      <c r="G706" s="26" t="n">
        <v>0.0612</v>
      </c>
      <c r="H706" s="26">
        <f>E706*G706</f>
        <v/>
      </c>
      <c r="I706" s="25" t="inlineStr">
        <is>
          <t>Latón</t>
        </is>
      </c>
      <c r="J706" s="12" t="inlineStr">
        <is>
          <t>24 × 24 × 16</t>
        </is>
      </c>
      <c r="K706" s="25" t="inlineStr">
        <is>
          <t>Compra</t>
        </is>
      </c>
      <c r="L706" s="12" t="inlineStr">
        <is>
          <t>C9 armado de ruedas y manguera</t>
        </is>
      </c>
      <c r="M706" s="12" t="n"/>
      <c r="N706" s="25" t="inlineStr">
        <is>
          <t>P</t>
        </is>
      </c>
      <c r="O706" s="25" t="inlineStr">
        <is>
          <t>FL_DES_ABC_50kg</t>
        </is>
      </c>
      <c r="P706" s="12" t="n"/>
    </row>
    <row r="707">
      <c r="A707" s="25" t="inlineStr">
        <is>
          <t>FL_MAT_ABC_50kg</t>
        </is>
      </c>
      <c r="B707" s="25" t="n">
        <v>2</v>
      </c>
      <c r="C707" s="25" t="inlineStr">
        <is>
          <t>ABC50-24</t>
        </is>
      </c>
      <c r="D707" s="12" t="inlineStr">
        <is>
          <t xml:space="preserve">        Manguera</t>
        </is>
      </c>
      <c r="E707" s="25" t="n">
        <v>1</v>
      </c>
      <c r="F707" s="25" t="inlineStr">
        <is>
          <t>u</t>
        </is>
      </c>
      <c r="G707" s="26" t="n">
        <v>0.1766</v>
      </c>
      <c r="H707" s="26">
        <f>E707*G707</f>
        <v/>
      </c>
      <c r="I707" s="25" t="inlineStr">
        <is>
          <t>Caucho sintético</t>
        </is>
      </c>
      <c r="J707" s="12" t="inlineStr">
        <is>
          <t>Ø16 × 1.144 de largo desarrollado</t>
        </is>
      </c>
      <c r="K707" s="25" t="inlineStr">
        <is>
          <t>Compra</t>
        </is>
      </c>
      <c r="L707" s="12" t="inlineStr">
        <is>
          <t>C9 armado de ruedas y manguera</t>
        </is>
      </c>
      <c r="M707" s="12" t="n"/>
      <c r="N707" s="25" t="inlineStr">
        <is>
          <t>P</t>
        </is>
      </c>
      <c r="O707" s="25" t="inlineStr">
        <is>
          <t>FL_DES_ABC_50kg</t>
        </is>
      </c>
      <c r="P707" s="12" t="n"/>
    </row>
    <row r="708">
      <c r="A708" s="25" t="inlineStr">
        <is>
          <t>FL_MAT_ABC_50kg</t>
        </is>
      </c>
      <c r="B708" s="25" t="n">
        <v>2</v>
      </c>
      <c r="C708" s="25" t="inlineStr">
        <is>
          <t>ABC50-25</t>
        </is>
      </c>
      <c r="D708" s="12" t="inlineStr">
        <is>
          <t xml:space="preserve">        Válvula esférica</t>
        </is>
      </c>
      <c r="E708" s="25" t="n">
        <v>1</v>
      </c>
      <c r="F708" s="25" t="inlineStr">
        <is>
          <t>u</t>
        </is>
      </c>
      <c r="G708" s="26" t="n">
        <v>0.4225</v>
      </c>
      <c r="H708" s="26">
        <f>E708*G708</f>
        <v/>
      </c>
      <c r="I708" s="25" t="inlineStr">
        <is>
          <t>Latón cromado</t>
        </is>
      </c>
      <c r="J708" s="12" t="inlineStr">
        <is>
          <t>130 × 60 × 40</t>
        </is>
      </c>
      <c r="K708" s="25" t="inlineStr">
        <is>
          <t>Compra</t>
        </is>
      </c>
      <c r="L708" s="12" t="inlineStr">
        <is>
          <t>C9 armado de ruedas y manguera</t>
        </is>
      </c>
      <c r="M708" s="12" t="n"/>
      <c r="N708" s="25" t="inlineStr">
        <is>
          <t>P</t>
        </is>
      </c>
      <c r="O708" s="25" t="inlineStr">
        <is>
          <t>FL_DES_ABC_50kg</t>
        </is>
      </c>
      <c r="P708" s="12" t="n"/>
    </row>
    <row r="709">
      <c r="A709" s="25" t="inlineStr">
        <is>
          <t>FL_MAT_ABC_50kg</t>
        </is>
      </c>
      <c r="B709" s="25" t="n">
        <v>2</v>
      </c>
      <c r="C709" s="25" t="inlineStr">
        <is>
          <t>ABC50-26</t>
        </is>
      </c>
      <c r="D709" s="12" t="inlineStr">
        <is>
          <t xml:space="preserve">        Tobera campana</t>
        </is>
      </c>
      <c r="E709" s="25" t="n">
        <v>1</v>
      </c>
      <c r="F709" s="25" t="inlineStr">
        <is>
          <t>u</t>
        </is>
      </c>
      <c r="G709" s="26" t="n">
        <v>0.07969999999999999</v>
      </c>
      <c r="H709" s="26">
        <f>E709*G709</f>
        <v/>
      </c>
      <c r="I709" s="25" t="inlineStr">
        <is>
          <t>Polipropileno</t>
        </is>
      </c>
      <c r="J709" s="12" t="inlineStr">
        <is>
          <t>200 × 68 × 68</t>
        </is>
      </c>
      <c r="K709" s="25" t="inlineStr">
        <is>
          <t>Compra</t>
        </is>
      </c>
      <c r="L709" s="12" t="inlineStr">
        <is>
          <t>C9 armado de ruedas y manguera</t>
        </is>
      </c>
      <c r="M709" s="12" t="n"/>
      <c r="N709" s="25" t="inlineStr">
        <is>
          <t>P</t>
        </is>
      </c>
      <c r="O709" s="25" t="inlineStr">
        <is>
          <t>FL_DES_ABC_50kg</t>
        </is>
      </c>
      <c r="P709" s="12" t="n"/>
    </row>
    <row r="710">
      <c r="A710" s="22" t="inlineStr">
        <is>
          <t>FL_MAT_ABC_50kg</t>
        </is>
      </c>
      <c r="B710" s="22" t="n">
        <v>1</v>
      </c>
      <c r="C710" s="22" t="inlineStr">
        <is>
          <t>ABC50-S4</t>
        </is>
      </c>
      <c r="D710" s="23" t="inlineStr">
        <is>
          <t xml:space="preserve">    Carro (bastidor y ruedas)</t>
        </is>
      </c>
      <c r="E710" s="22" t="n">
        <v>1</v>
      </c>
      <c r="F710" s="22" t="inlineStr">
        <is>
          <t>u</t>
        </is>
      </c>
      <c r="G710" s="24" t="n"/>
      <c r="H710" s="24">
        <f>H711+H712+H713+H714+H715+H716</f>
        <v/>
      </c>
      <c r="I710" s="22" t="n"/>
      <c r="J710" s="23" t="n"/>
      <c r="K710" s="22" t="inlineStr">
        <is>
          <t>Compra / armado</t>
        </is>
      </c>
      <c r="L710" s="23" t="n"/>
      <c r="M710" s="23" t="n"/>
      <c r="N710" s="22" t="inlineStr">
        <is>
          <t>P</t>
        </is>
      </c>
      <c r="O710" s="22" t="inlineStr">
        <is>
          <t>FL_DES_ABC_50kg</t>
        </is>
      </c>
      <c r="P710" s="23" t="n"/>
    </row>
    <row r="711">
      <c r="A711" s="25" t="inlineStr">
        <is>
          <t>FL_MAT_ABC_50kg</t>
        </is>
      </c>
      <c r="B711" s="25" t="n">
        <v>2</v>
      </c>
      <c r="C711" s="25" t="inlineStr">
        <is>
          <t>ABC50-05</t>
        </is>
      </c>
      <c r="D711" s="12" t="inlineStr">
        <is>
          <t xml:space="preserve">        Neumático macizo</t>
        </is>
      </c>
      <c r="E711" s="25" t="n">
        <v>2</v>
      </c>
      <c r="F711" s="25" t="inlineStr">
        <is>
          <t>u</t>
        </is>
      </c>
      <c r="G711" s="26" t="n">
        <v>3.8922</v>
      </c>
      <c r="H711" s="26">
        <f>E711*G711</f>
        <v/>
      </c>
      <c r="I711" s="25" t="inlineStr">
        <is>
          <t>Caucho</t>
        </is>
      </c>
      <c r="J711" s="12" t="inlineStr">
        <is>
          <t>Ø350 × 70 de ancho</t>
        </is>
      </c>
      <c r="K711" s="25" t="inlineStr">
        <is>
          <t>Compra</t>
        </is>
      </c>
      <c r="L711" s="12" t="inlineStr">
        <is>
          <t>C9 armado de ruedas y manguera (S-TC)</t>
        </is>
      </c>
      <c r="M711" s="12" t="n"/>
      <c r="N711" s="25" t="inlineStr">
        <is>
          <t>P</t>
        </is>
      </c>
      <c r="O711" s="25" t="inlineStr">
        <is>
          <t>FL_DES_ABC_50kg</t>
        </is>
      </c>
      <c r="P711" s="12" t="n"/>
    </row>
    <row r="712">
      <c r="A712" s="25" t="inlineStr">
        <is>
          <t>FL_MAT_ABC_50kg</t>
        </is>
      </c>
      <c r="B712" s="25" t="n">
        <v>2</v>
      </c>
      <c r="C712" s="25" t="inlineStr">
        <is>
          <t>ABC50-06</t>
        </is>
      </c>
      <c r="D712" s="12" t="inlineStr">
        <is>
          <t xml:space="preserve">        Llanta con cubo</t>
        </is>
      </c>
      <c r="E712" s="25" t="n">
        <v>2</v>
      </c>
      <c r="F712" s="25" t="inlineStr">
        <is>
          <t>u</t>
        </is>
      </c>
      <c r="G712" s="26" t="n">
        <v>4.0415</v>
      </c>
      <c r="H712" s="26">
        <f>E712*G712</f>
        <v/>
      </c>
      <c r="I712" s="25" t="inlineStr">
        <is>
          <t>Chapa acero SAE 1010</t>
        </is>
      </c>
      <c r="J712" s="12" t="inlineStr">
        <is>
          <t>Ø252 × 80 de ancho</t>
        </is>
      </c>
      <c r="K712" s="25" t="inlineStr">
        <is>
          <t>Compra</t>
        </is>
      </c>
      <c r="L712" s="12" t="inlineStr">
        <is>
          <t>C9 armado de ruedas y manguera (S-TC)</t>
        </is>
      </c>
      <c r="M712" s="12" t="n"/>
      <c r="N712" s="25" t="inlineStr">
        <is>
          <t>P</t>
        </is>
      </c>
      <c r="O712" s="25" t="inlineStr">
        <is>
          <t>FL_DES_ABC_50kg</t>
        </is>
      </c>
      <c r="P712" s="12" t="n"/>
    </row>
    <row r="713">
      <c r="A713" s="25" t="inlineStr">
        <is>
          <t>FL_MAT_ABC_50kg</t>
        </is>
      </c>
      <c r="B713" s="25" t="n">
        <v>2</v>
      </c>
      <c r="C713" s="25" t="inlineStr">
        <is>
          <t>ABC50-07</t>
        </is>
      </c>
      <c r="D713" s="12" t="inlineStr">
        <is>
          <t xml:space="preserve">        Eje de ruedas</t>
        </is>
      </c>
      <c r="E713" s="25" t="n">
        <v>1</v>
      </c>
      <c r="F713" s="25" t="inlineStr">
        <is>
          <t>u</t>
        </is>
      </c>
      <c r="G713" s="26" t="n">
        <v>1.3333</v>
      </c>
      <c r="H713" s="26">
        <f>E713*G713</f>
        <v/>
      </c>
      <c r="I713" s="25" t="inlineStr">
        <is>
          <t>Acero SAE 1045</t>
        </is>
      </c>
      <c r="J713" s="12" t="inlineStr">
        <is>
          <t>Ø25 × 346 de largo</t>
        </is>
      </c>
      <c r="K713" s="25" t="inlineStr">
        <is>
          <t>Compra</t>
        </is>
      </c>
      <c r="L713" s="12" t="inlineStr">
        <is>
          <t>C9 armado de ruedas y manguera (S-TC)</t>
        </is>
      </c>
      <c r="M713" s="12" t="n"/>
      <c r="N713" s="25" t="inlineStr">
        <is>
          <t>P</t>
        </is>
      </c>
      <c r="O713" s="25" t="inlineStr">
        <is>
          <t>FL_DES_ABC_50kg</t>
        </is>
      </c>
      <c r="P713" s="12" t="n"/>
    </row>
    <row r="714">
      <c r="A714" s="25" t="inlineStr">
        <is>
          <t>FL_MAT_ABC_50kg</t>
        </is>
      </c>
      <c r="B714" s="25" t="n">
        <v>2</v>
      </c>
      <c r="C714" s="25" t="inlineStr">
        <is>
          <t>ABC50-08</t>
        </is>
      </c>
      <c r="D714" s="12" t="inlineStr">
        <is>
          <t xml:space="preserve">        Bastidor</t>
        </is>
      </c>
      <c r="E714" s="25" t="n">
        <v>1</v>
      </c>
      <c r="F714" s="25" t="inlineStr">
        <is>
          <t>u</t>
        </is>
      </c>
      <c r="G714" s="26" t="n">
        <v>2.0504</v>
      </c>
      <c r="H714" s="26">
        <f>E714*G714</f>
        <v/>
      </c>
      <c r="I714" s="25" t="inlineStr">
        <is>
          <t>Caño acero SAE 1010 Ø25,4×1,6</t>
        </is>
      </c>
      <c r="J714" s="12" t="inlineStr">
        <is>
          <t>caño Ø25,4 × 1,6 × 2.148 de largo desarrollado</t>
        </is>
      </c>
      <c r="K714" s="25" t="inlineStr">
        <is>
          <t>Compra (estructura)</t>
        </is>
      </c>
      <c r="L714" s="12" t="inlineStr">
        <is>
          <t>C9 armado de ruedas y manguera (S-TC)</t>
        </is>
      </c>
      <c r="M714" s="12" t="n"/>
      <c r="N714" s="25" t="inlineStr">
        <is>
          <t>P</t>
        </is>
      </c>
      <c r="O714" s="25" t="inlineStr">
        <is>
          <t>FL_DES_ABC_50kg</t>
        </is>
      </c>
      <c r="P714" s="12" t="n"/>
    </row>
    <row r="715">
      <c r="A715" s="25" t="inlineStr">
        <is>
          <t>FL_MAT_ABC_50kg</t>
        </is>
      </c>
      <c r="B715" s="25" t="n">
        <v>2</v>
      </c>
      <c r="C715" s="25" t="inlineStr">
        <is>
          <t>ABC50-09</t>
        </is>
      </c>
      <c r="D715" s="12" t="inlineStr">
        <is>
          <t xml:space="preserve">        Sunchos de fijación</t>
        </is>
      </c>
      <c r="E715" s="25" t="n">
        <v>1</v>
      </c>
      <c r="F715" s="25" t="inlineStr">
        <is>
          <t>u</t>
        </is>
      </c>
      <c r="G715" s="26" t="n">
        <v>5.4228</v>
      </c>
      <c r="H715" s="26">
        <f>E715*G715</f>
        <v/>
      </c>
      <c r="I715" s="25" t="inlineStr">
        <is>
          <t>Planchuela acero SAE 1010</t>
        </is>
      </c>
      <c r="J715" s="12" t="inlineStr">
        <is>
          <t>459 × 424 × 332</t>
        </is>
      </c>
      <c r="K715" s="25" t="inlineStr">
        <is>
          <t>Compra (estructura)</t>
        </is>
      </c>
      <c r="L715" s="12" t="inlineStr">
        <is>
          <t>C9 armado de ruedas y manguera (S-TC)</t>
        </is>
      </c>
      <c r="M715" s="12" t="n"/>
      <c r="N715" s="25" t="inlineStr">
        <is>
          <t>P</t>
        </is>
      </c>
      <c r="O715" s="25" t="inlineStr">
        <is>
          <t>FL_DES_ABC_50kg</t>
        </is>
      </c>
      <c r="P715" s="12" t="n"/>
    </row>
    <row r="716">
      <c r="A716" s="25" t="inlineStr">
        <is>
          <t>FL_MAT_ABC_50kg</t>
        </is>
      </c>
      <c r="B716" s="25" t="n">
        <v>2</v>
      </c>
      <c r="C716" s="25" t="inlineStr">
        <is>
          <t>ABC50-10</t>
        </is>
      </c>
      <c r="D716" s="12" t="inlineStr">
        <is>
          <t xml:space="preserve">        Apoyo delantero</t>
        </is>
      </c>
      <c r="E716" s="25" t="n">
        <v>1</v>
      </c>
      <c r="F716" s="25" t="inlineStr">
        <is>
          <t>u</t>
        </is>
      </c>
      <c r="G716" s="26" t="n">
        <v>0.3022</v>
      </c>
      <c r="H716" s="26">
        <f>E716*G716</f>
        <v/>
      </c>
      <c r="I716" s="25" t="inlineStr">
        <is>
          <t>Chapa acero SAE 1010 plegada</t>
        </is>
      </c>
      <c r="J716" s="12" t="inlineStr">
        <is>
          <t>70 × 55 × 50</t>
        </is>
      </c>
      <c r="K716" s="25" t="inlineStr">
        <is>
          <t>Compra (estructura)</t>
        </is>
      </c>
      <c r="L716" s="12" t="inlineStr">
        <is>
          <t>C9 armado de ruedas y manguera (S-TC)</t>
        </is>
      </c>
      <c r="M716" s="12" t="n"/>
      <c r="N716" s="25" t="inlineStr">
        <is>
          <t>P</t>
        </is>
      </c>
      <c r="O716" s="25" t="inlineStr">
        <is>
          <t>FL_DES_ABC_50kg</t>
        </is>
      </c>
      <c r="P716" s="12" t="n"/>
    </row>
    <row r="717">
      <c r="A717" s="22" t="inlineStr">
        <is>
          <t>FL_MAT_ABC_50kg</t>
        </is>
      </c>
      <c r="B717" s="22" t="n">
        <v>1</v>
      </c>
      <c r="C717" s="22" t="inlineStr">
        <is>
          <t>ABC50-S5</t>
        </is>
      </c>
      <c r="D717" s="23" t="inlineStr">
        <is>
          <t xml:space="preserve">    Carga: agente extintor y gas impulsor</t>
        </is>
      </c>
      <c r="E717" s="22" t="n">
        <v>1</v>
      </c>
      <c r="F717" s="22" t="inlineStr">
        <is>
          <t>u</t>
        </is>
      </c>
      <c r="G717" s="24" t="n"/>
      <c r="H717" s="24">
        <f>H718+H719</f>
        <v/>
      </c>
      <c r="I717" s="22" t="n"/>
      <c r="J717" s="23" t="n"/>
      <c r="K717" s="22" t="inlineStr">
        <is>
          <t>Carga en planta</t>
        </is>
      </c>
      <c r="L717" s="23" t="inlineStr">
        <is>
          <t>18 Carga de polvo (T01) / C8 (T02)</t>
        </is>
      </c>
      <c r="M717" s="23" t="n"/>
      <c r="N717" s="22" t="n"/>
      <c r="O717" s="22" t="n"/>
      <c r="P717" s="23" t="n"/>
    </row>
    <row r="718">
      <c r="A718" s="25" t="inlineStr">
        <is>
          <t>FL_MAT_ABC_50kg</t>
        </is>
      </c>
      <c r="B718" s="25" t="n">
        <v>2</v>
      </c>
      <c r="C718" s="25" t="inlineStr">
        <is>
          <t>ABC50-A1</t>
        </is>
      </c>
      <c r="D718" s="12" t="inlineStr">
        <is>
          <t xml:space="preserve">        Polvo químico seco ABC 90 (Sello IRAM 3569, DEMSA)</t>
        </is>
      </c>
      <c r="E718" s="25" t="n">
        <v>50</v>
      </c>
      <c r="F718" s="25" t="inlineStr">
        <is>
          <t>kg</t>
        </is>
      </c>
      <c r="G718" s="26" t="n">
        <v>1</v>
      </c>
      <c r="H718" s="26">
        <f>E718*G718</f>
        <v/>
      </c>
      <c r="I718" s="25" t="inlineStr">
        <is>
          <t>Polvo químico seco ABC 90 (Sello IRAM 3569, DEMSA)</t>
        </is>
      </c>
      <c r="J718" s="12" t="inlineStr">
        <is>
          <t>nominal 50 kg; tolerancia ± 3 % (IRAM 3517-2:2020 tabla 3)</t>
        </is>
      </c>
      <c r="K718" s="25" t="inlineStr">
        <is>
          <t>Compra</t>
        </is>
      </c>
      <c r="L718" s="12" t="inlineStr">
        <is>
          <t>SP-1 almacén previo a la carga</t>
        </is>
      </c>
      <c r="M718" s="12" t="inlineStr">
        <is>
          <t>IRAM 3569</t>
        </is>
      </c>
      <c r="N718" s="25" t="inlineStr">
        <is>
          <t>N</t>
        </is>
      </c>
      <c r="O718" s="25" t="n"/>
      <c r="P718" s="12" t="inlineStr">
        <is>
          <t>MAP 90 % (banda 85,5-94,5 %) = 45 kg MAP + 3,5 kg sulfato de amonio + 1,5 kg aditivos · potencial - · Lote único por extintor; prohibido mezclar ABC con BC (3517-2 9.9.1.6)</t>
        </is>
      </c>
    </row>
    <row r="719">
      <c r="A719" s="25" t="inlineStr">
        <is>
          <t>FL_MAT_ABC_50kg</t>
        </is>
      </c>
      <c r="B719" s="25" t="n">
        <v>2</v>
      </c>
      <c r="C719" s="25" t="inlineStr">
        <is>
          <t>ABC50-A2</t>
        </is>
      </c>
      <c r="D719" s="12" t="inlineStr">
        <is>
          <t xml:space="preserve">        Gas impulsor: N₂</t>
        </is>
      </c>
      <c r="E719" s="25" t="n">
        <v>0.1077</v>
      </c>
      <c r="F719" s="25" t="inlineStr">
        <is>
          <t>kg</t>
        </is>
      </c>
      <c r="G719" s="26" t="n">
        <v>1</v>
      </c>
      <c r="H719" s="26">
        <f>E719*G719</f>
        <v/>
      </c>
      <c r="I719" s="25" t="inlineStr">
        <is>
          <t>N₂</t>
        </is>
      </c>
      <c r="J719" s="12" t="inlineStr">
        <is>
          <t>86,2 L normales para 1,4 MPa a 20 °C en 6,24 dm³ libres</t>
        </is>
      </c>
      <c r="K719" s="25" t="inlineStr">
        <is>
          <t>Compra</t>
        </is>
      </c>
      <c r="L719" s="12" t="inlineStr">
        <is>
          <t>20 Presurización (T05) / C10</t>
        </is>
      </c>
      <c r="M719" s="12" t="inlineStr">
        <is>
          <t>IRAM 3517-2 9.4.9 (tabla 2) · IRAM 3523 2.3 y 3.10</t>
        </is>
      </c>
      <c r="N719" s="25" t="inlineStr">
        <is>
          <t>C</t>
        </is>
      </c>
      <c r="O719" s="25" t="n"/>
      <c r="P719" s="12" t="inlineStr">
        <is>
          <t>Batería en SP-1; punto de rocío ≤ -56,7 °C para gases limpios</t>
        </is>
      </c>
    </row>
    <row r="720">
      <c r="A720" s="22" t="inlineStr">
        <is>
          <t>FL_MAT_ABC_50kg</t>
        </is>
      </c>
      <c r="B720" s="22" t="n">
        <v>1</v>
      </c>
      <c r="C720" s="22" t="inlineStr">
        <is>
          <t>ABC50-S6</t>
        </is>
      </c>
      <c r="D720" s="23" t="inlineStr">
        <is>
          <t xml:space="preserve">    Identificación y precinto</t>
        </is>
      </c>
      <c r="E720" s="22" t="n">
        <v>1</v>
      </c>
      <c r="F720" s="22" t="inlineStr">
        <is>
          <t>u</t>
        </is>
      </c>
      <c r="G720" s="24" t="n"/>
      <c r="H720" s="24">
        <f>H721+H722+H723+H724+H725</f>
        <v/>
      </c>
      <c r="I720" s="22" t="n"/>
      <c r="J720" s="23" t="n"/>
      <c r="K720" s="22" t="inlineStr">
        <is>
          <t>Compra</t>
        </is>
      </c>
      <c r="L720" s="23" t="inlineStr">
        <is>
          <t>22 Etiquetado (T07)</t>
        </is>
      </c>
      <c r="M720" s="23" t="n"/>
      <c r="N720" s="22" t="n"/>
      <c r="O720" s="22" t="n"/>
      <c r="P720" s="23" t="n"/>
    </row>
    <row r="721">
      <c r="A721" s="25" t="inlineStr">
        <is>
          <t>FL_MAT_ABC_50kg</t>
        </is>
      </c>
      <c r="B721" s="25" t="n">
        <v>2</v>
      </c>
      <c r="C721" s="25" t="inlineStr">
        <is>
          <t>ABC50-27</t>
        </is>
      </c>
      <c r="D721" s="12" t="inlineStr">
        <is>
          <t xml:space="preserve">        Placa de características</t>
        </is>
      </c>
      <c r="E721" s="25" t="n">
        <v>1</v>
      </c>
      <c r="F721" s="25" t="inlineStr">
        <is>
          <t>u</t>
        </is>
      </c>
      <c r="G721" s="26" t="n">
        <v>0.0204</v>
      </c>
      <c r="H721" s="26">
        <f>E721*G721</f>
        <v/>
      </c>
      <c r="I721" s="25" t="inlineStr">
        <is>
          <t>Vinilo autoadhesivo laminado</t>
        </is>
      </c>
      <c r="J721" s="12" t="inlineStr">
        <is>
          <t>302 × 161 (desarrollo × alto), e ≈ 0,3</t>
        </is>
      </c>
      <c r="K721" s="25" t="inlineStr">
        <is>
          <t>Compra</t>
        </is>
      </c>
      <c r="L721" s="12" t="inlineStr">
        <is>
          <t>22 Etiquetado (T07)</t>
        </is>
      </c>
      <c r="M721" s="12" t="inlineStr">
        <is>
          <t>IRAM 3534 · IRAM 3550 cap. 5</t>
        </is>
      </c>
      <c r="N721" s="25" t="inlineStr">
        <is>
          <t>P</t>
        </is>
      </c>
      <c r="O721" s="25" t="inlineStr">
        <is>
          <t>FL_DES_ABC_50kg</t>
        </is>
      </c>
      <c r="P721" s="12" t="inlineStr">
        <is>
          <t>IRAM 3534</t>
        </is>
      </c>
    </row>
    <row r="722">
      <c r="A722" s="25" t="inlineStr">
        <is>
          <t>FL_MAT_ABC_50kg</t>
        </is>
      </c>
      <c r="B722" s="25" t="n">
        <v>2</v>
      </c>
      <c r="C722" s="25" t="inlineStr">
        <is>
          <t>ABC50-28</t>
        </is>
      </c>
      <c r="D722" s="12" t="inlineStr">
        <is>
          <t xml:space="preserve">        Oblea de fabricación (PBA)</t>
        </is>
      </c>
      <c r="E722" s="25" t="n">
        <v>1</v>
      </c>
      <c r="F722" s="25" t="inlineStr">
        <is>
          <t>u</t>
        </is>
      </c>
      <c r="G722" s="26" t="n">
        <v>0.0009</v>
      </c>
      <c r="H722" s="26">
        <f>E722*G722</f>
        <v/>
      </c>
      <c r="I722" s="25" t="inlineStr">
        <is>
          <t>Papel de seguridad autodestructible</t>
        </is>
      </c>
      <c r="J722" s="12" t="inlineStr">
        <is>
          <t>Ø46 (Res. OPDS 522/07), numerada, autodestructible</t>
        </is>
      </c>
      <c r="K722" s="25" t="inlineStr">
        <is>
          <t>Compra</t>
        </is>
      </c>
      <c r="L722" s="12" t="inlineStr">
        <is>
          <t>22 Etiquetado (T07)</t>
        </is>
      </c>
      <c r="M722" s="12" t="inlineStr">
        <is>
          <t>Res. OPDS 522/07 anexos 1, 2 y 6</t>
        </is>
      </c>
      <c r="N722" s="25" t="inlineStr">
        <is>
          <t>P</t>
        </is>
      </c>
      <c r="O722" s="25" t="inlineStr">
        <is>
          <t>FL_DES_ABC_50kg</t>
        </is>
      </c>
      <c r="P722" s="12" t="inlineStr">
        <is>
          <t>Res. 522/07</t>
        </is>
      </c>
    </row>
    <row r="723">
      <c r="A723" s="25" t="inlineStr">
        <is>
          <t>FL_MAT_ABC_50kg</t>
        </is>
      </c>
      <c r="B723" s="25" t="n">
        <v>2</v>
      </c>
      <c r="C723" s="25" t="inlineStr">
        <is>
          <t>ABC50-29</t>
        </is>
      </c>
      <c r="D723" s="12" t="inlineStr">
        <is>
          <t xml:space="preserve">        Estampilla IRAM de conformidad</t>
        </is>
      </c>
      <c r="E723" s="25" t="n">
        <v>1</v>
      </c>
      <c r="F723" s="25" t="inlineStr">
        <is>
          <t>u</t>
        </is>
      </c>
      <c r="G723" s="26" t="n">
        <v>0.001</v>
      </c>
      <c r="H723" s="26">
        <f>E723*G723</f>
        <v/>
      </c>
      <c r="I723" s="25" t="inlineStr">
        <is>
          <t>Provista por IRAM (Anexo R)</t>
        </is>
      </c>
      <c r="J723" s="12" t="inlineStr">
        <is>
          <t>60 × 40</t>
        </is>
      </c>
      <c r="K723" s="25" t="inlineStr">
        <is>
          <t>Compra</t>
        </is>
      </c>
      <c r="L723" s="12" t="inlineStr">
        <is>
          <t>22 Etiquetado (T07)</t>
        </is>
      </c>
      <c r="M723" s="12" t="inlineStr">
        <is>
          <t>IRAM Anexo R (DC-PG-129)</t>
        </is>
      </c>
      <c r="N723" s="25" t="inlineStr">
        <is>
          <t>P</t>
        </is>
      </c>
      <c r="O723" s="25" t="inlineStr">
        <is>
          <t>FL_DES_ABC_50kg</t>
        </is>
      </c>
      <c r="P723" s="12" t="inlineStr">
        <is>
          <t>numerada</t>
        </is>
      </c>
    </row>
    <row r="724">
      <c r="A724" s="25" t="inlineStr">
        <is>
          <t>FL_MAT_ABC_50kg</t>
        </is>
      </c>
      <c r="B724" s="25" t="n">
        <v>2</v>
      </c>
      <c r="C724" s="25" t="inlineStr">
        <is>
          <t>ABC50-31</t>
        </is>
      </c>
      <c r="D724" s="12" t="inlineStr">
        <is>
          <t xml:space="preserve">        Precinto de fábrica</t>
        </is>
      </c>
      <c r="E724" s="25" t="n">
        <v>1</v>
      </c>
      <c r="F724" s="25" t="inlineStr">
        <is>
          <t>u</t>
        </is>
      </c>
      <c r="G724" s="26" t="n">
        <v>0.0002</v>
      </c>
      <c r="H724" s="26">
        <f>E724*G724</f>
        <v/>
      </c>
      <c r="I724" s="25" t="inlineStr">
        <is>
          <t>Polipropileno</t>
        </is>
      </c>
      <c r="J724" s="12" t="inlineStr">
        <is>
          <t>Ø5 × 10, numerado, rotura 30-50 N</t>
        </is>
      </c>
      <c r="K724" s="25" t="inlineStr">
        <is>
          <t>Compra</t>
        </is>
      </c>
      <c r="L724" s="12" t="inlineStr">
        <is>
          <t>20 Presurización (T05)</t>
        </is>
      </c>
      <c r="M724" s="12" t="inlineStr">
        <is>
          <t>IRAM 3523 3.3.2 · IRAM 3517-2:2020 9.4.13</t>
        </is>
      </c>
      <c r="N724" s="25" t="inlineStr">
        <is>
          <t>P</t>
        </is>
      </c>
      <c r="O724" s="25" t="inlineStr">
        <is>
          <t>FL_DES_ABC_50kg</t>
        </is>
      </c>
      <c r="P724" s="12" t="inlineStr">
        <is>
          <t>id. FLAMA y lote</t>
        </is>
      </c>
    </row>
    <row r="725">
      <c r="A725" s="25" t="inlineStr">
        <is>
          <t>FL_MAT_ABC_50kg</t>
        </is>
      </c>
      <c r="B725" s="25" t="n">
        <v>2</v>
      </c>
      <c r="C725" s="25" t="inlineStr">
        <is>
          <t>ABC50-I3</t>
        </is>
      </c>
      <c r="D725" s="12" t="inlineStr">
        <is>
          <t xml:space="preserve">        Tarjeta oficial de vigencia (CABA)</t>
        </is>
      </c>
      <c r="E725" s="25" t="n">
        <v>1</v>
      </c>
      <c r="F725" s="25" t="inlineStr">
        <is>
          <t>u</t>
        </is>
      </c>
      <c r="G725" s="26" t="n">
        <v>0.002</v>
      </c>
      <c r="H725" s="26">
        <f>E725*G725</f>
        <v/>
      </c>
      <c r="I725" s="25" t="inlineStr">
        <is>
          <t>Formulario oficial</t>
        </is>
      </c>
      <c r="J725" s="12" t="inlineStr">
        <is>
          <t>provista por DG Rentas GCBA</t>
        </is>
      </c>
      <c r="K725" s="25" t="inlineStr">
        <is>
          <t>Compra</t>
        </is>
      </c>
      <c r="L725" s="12" t="inlineStr">
        <is>
          <t>22 Etiquetado</t>
        </is>
      </c>
      <c r="M725" s="12" t="inlineStr">
        <is>
          <t>Ordenanza 40.473 art. 6</t>
        </is>
      </c>
      <c r="N725" s="25" t="inlineStr">
        <is>
          <t>N</t>
        </is>
      </c>
      <c r="O725" s="25" t="n"/>
      <c r="P725" s="12" t="inlineStr">
        <is>
          <t>Clase, capacidad, fecha de carga y vencimiento, garantía; se anexa al matafuego (no se dibuja)</t>
        </is>
      </c>
    </row>
    <row r="726">
      <c r="A726" s="22" t="inlineStr">
        <is>
          <t>FL_MAT_ABC_50kg</t>
        </is>
      </c>
      <c r="B726" s="22" t="n">
        <v>1</v>
      </c>
      <c r="C726" s="22" t="inlineStr">
        <is>
          <t>ABC50-S7</t>
        </is>
      </c>
      <c r="D726" s="23" t="inlineStr">
        <is>
          <t xml:space="preserve">    Embalaje</t>
        </is>
      </c>
      <c r="E726" s="22" t="n">
        <v>1</v>
      </c>
      <c r="F726" s="22" t="inlineStr">
        <is>
          <t>u</t>
        </is>
      </c>
      <c r="G726" s="24" t="n"/>
      <c r="H726" s="24">
        <f>H727+H728+H729+H730</f>
        <v/>
      </c>
      <c r="I726" s="22" t="n"/>
      <c r="J726" s="23" t="n"/>
      <c r="K726" s="22" t="inlineStr">
        <is>
          <t>Compra</t>
        </is>
      </c>
      <c r="L726" s="23" t="inlineStr">
        <is>
          <t>23 Embalaje -&gt; 24 envolvedora (T11)</t>
        </is>
      </c>
      <c r="M726" s="23" t="n"/>
      <c r="N726" s="22" t="n"/>
      <c r="O726" s="22" t="n"/>
      <c r="P726" s="23" t="n"/>
    </row>
    <row r="727">
      <c r="A727" s="25" t="inlineStr">
        <is>
          <t>FL_MAT_ABC_50kg</t>
        </is>
      </c>
      <c r="B727" s="25" t="n">
        <v>2</v>
      </c>
      <c r="C727" s="25" t="inlineStr">
        <is>
          <t>ABC50-E1</t>
        </is>
      </c>
      <c r="D727" s="12" t="inlineStr">
        <is>
          <t xml:space="preserve">        Esquineros y funda de polietileno</t>
        </is>
      </c>
      <c r="E727" s="25" t="n">
        <v>1</v>
      </c>
      <c r="F727" s="25" t="inlineStr">
        <is>
          <t>jgo</t>
        </is>
      </c>
      <c r="G727" s="26" t="n">
        <v>0.3</v>
      </c>
      <c r="H727" s="26">
        <f>E727*G727</f>
        <v/>
      </c>
      <c r="I727" s="25" t="inlineStr">
        <is>
          <t>PE / cartón</t>
        </is>
      </c>
      <c r="J727" s="12" t="inlineStr">
        <is>
          <t>a medida</t>
        </is>
      </c>
      <c r="K727" s="25" t="inlineStr">
        <is>
          <t>Compra</t>
        </is>
      </c>
      <c r="L727" s="12" t="inlineStr">
        <is>
          <t>23 Embalaje</t>
        </is>
      </c>
      <c r="M727" s="12" t="n"/>
      <c r="N727" s="25" t="inlineStr">
        <is>
          <t>R</t>
        </is>
      </c>
      <c r="O727" s="25" t="n"/>
      <c r="P727" s="12" t="n"/>
    </row>
    <row r="728">
      <c r="A728" s="25" t="inlineStr">
        <is>
          <t>FL_MAT_ABC_50kg</t>
        </is>
      </c>
      <c r="B728" s="25" t="n">
        <v>2</v>
      </c>
      <c r="C728" s="25" t="inlineStr">
        <is>
          <t>ABC50-E3</t>
        </is>
      </c>
      <c r="D728" s="12" t="inlineStr">
        <is>
          <t xml:space="preserve">        Pallet 1200 × 1000 (fracción)</t>
        </is>
      </c>
      <c r="E728" s="25" t="n">
        <v>0.5</v>
      </c>
      <c r="F728" s="25" t="inlineStr">
        <is>
          <t>u</t>
        </is>
      </c>
      <c r="G728" s="26" t="n">
        <v>11</v>
      </c>
      <c r="H728" s="26">
        <f>E728*G728</f>
        <v/>
      </c>
      <c r="I728" s="25" t="inlineStr">
        <is>
          <t>Madera</t>
        </is>
      </c>
      <c r="J728" s="12" t="inlineStr">
        <is>
          <t>2 u por pallet</t>
        </is>
      </c>
      <c r="K728" s="25" t="inlineStr">
        <is>
          <t>Compra</t>
        </is>
      </c>
      <c r="L728" s="12" t="inlineStr">
        <is>
          <t>23 Embalaje</t>
        </is>
      </c>
      <c r="M728" s="12" t="n"/>
      <c r="N728" s="25" t="inlineStr">
        <is>
          <t>R</t>
        </is>
      </c>
      <c r="O728" s="25" t="n"/>
      <c r="P728" s="12" t="n"/>
    </row>
    <row r="729">
      <c r="A729" s="25" t="inlineStr">
        <is>
          <t>FL_MAT_ABC_50kg</t>
        </is>
      </c>
      <c r="B729" s="25" t="n">
        <v>2</v>
      </c>
      <c r="C729" s="25" t="inlineStr">
        <is>
          <t>ABC50-E4</t>
        </is>
      </c>
      <c r="D729" s="12" t="inlineStr">
        <is>
          <t xml:space="preserve">        Film stretch (fracción del pallet)</t>
        </is>
      </c>
      <c r="E729" s="25" t="n">
        <v>0.175</v>
      </c>
      <c r="F729" s="25" t="inlineStr">
        <is>
          <t>kg</t>
        </is>
      </c>
      <c r="G729" s="26" t="n">
        <v>1</v>
      </c>
      <c r="H729" s="26">
        <f>E729*G729</f>
        <v/>
      </c>
      <c r="I729" s="25" t="inlineStr">
        <is>
          <t>PE lineal 23 µm</t>
        </is>
      </c>
      <c r="J729" s="12" t="inlineStr">
        <is>
          <t>envolvedora EDOS PS5</t>
        </is>
      </c>
      <c r="K729" s="25" t="inlineStr">
        <is>
          <t>Compra</t>
        </is>
      </c>
      <c r="L729" s="12" t="inlineStr">
        <is>
          <t>24 Envolvedora (T11)</t>
        </is>
      </c>
      <c r="M729" s="12" t="n"/>
      <c r="N729" s="25" t="inlineStr">
        <is>
          <t>R</t>
        </is>
      </c>
      <c r="O729" s="25" t="n"/>
      <c r="P729" s="12" t="n"/>
    </row>
    <row r="730">
      <c r="A730" s="25" t="inlineStr">
        <is>
          <t>FL_MAT_ABC_50kg</t>
        </is>
      </c>
      <c r="B730" s="25" t="n">
        <v>2</v>
      </c>
      <c r="C730" s="25" t="inlineStr">
        <is>
          <t>ABC50-E5</t>
        </is>
      </c>
      <c r="D730" s="12" t="inlineStr">
        <is>
          <t xml:space="preserve">        Etiqueta de pallet (lote y destino, fracción)</t>
        </is>
      </c>
      <c r="E730" s="25" t="n">
        <v>0.5</v>
      </c>
      <c r="F730" s="25" t="inlineStr">
        <is>
          <t>u</t>
        </is>
      </c>
      <c r="G730" s="26" t="n">
        <v>0</v>
      </c>
      <c r="H730" s="26">
        <f>E730*G730</f>
        <v/>
      </c>
      <c r="I730" s="25" t="inlineStr">
        <is>
          <t>Papel térmico</t>
        </is>
      </c>
      <c r="J730" s="12" t="inlineStr">
        <is>
          <t>100 × 150</t>
        </is>
      </c>
      <c r="K730" s="25" t="inlineStr">
        <is>
          <t>Compra</t>
        </is>
      </c>
      <c r="L730" s="12" t="inlineStr">
        <is>
          <t>24 Envolvedora</t>
        </is>
      </c>
      <c r="M730" s="12" t="n"/>
      <c r="N730" s="25" t="inlineStr">
        <is>
          <t>R</t>
        </is>
      </c>
      <c r="O730" s="25" t="n"/>
      <c r="P730" s="12" t="n"/>
    </row>
    <row r="731">
      <c r="A731" s="19" t="inlineStr">
        <is>
          <t>FL_MAT_ABC_70kg</t>
        </is>
      </c>
      <c r="B731" s="19" t="n">
        <v>0</v>
      </c>
      <c r="C731" s="19" t="inlineStr">
        <is>
          <t>FL_MAT_ABC_70kg</t>
        </is>
      </c>
      <c r="D731" s="20" t="inlineStr">
        <is>
          <t>Extintor ABC 70 kg sobre ruedas</t>
        </is>
      </c>
      <c r="E731" s="19" t="n">
        <v>1</v>
      </c>
      <c r="F731" s="19" t="inlineStr">
        <is>
          <t>u</t>
        </is>
      </c>
      <c r="G731" s="21" t="n"/>
      <c r="H731" s="21" t="n"/>
      <c r="I731" s="19" t="n"/>
      <c r="J731" s="20" t="n"/>
      <c r="K731" s="19" t="n"/>
      <c r="L731" s="20" t="n"/>
      <c r="M731" s="20" t="inlineStr">
        <is>
          <t>IRAM 3550</t>
        </is>
      </c>
      <c r="N731" s="19" t="inlineStr">
        <is>
          <t>P</t>
        </is>
      </c>
      <c r="O731" s="19" t="inlineStr">
        <is>
          <t>FL_MAT_ABC_70kg</t>
        </is>
      </c>
      <c r="P731" s="20" t="inlineStr">
        <is>
          <t>Fabricación propia</t>
        </is>
      </c>
    </row>
    <row r="732">
      <c r="A732" s="22" t="inlineStr">
        <is>
          <t>FL_MAT_ABC_70kg</t>
        </is>
      </c>
      <c r="B732" s="22" t="n">
        <v>1</v>
      </c>
      <c r="C732" s="22" t="inlineStr">
        <is>
          <t>FL_REC_ABC_70kg</t>
        </is>
      </c>
      <c r="D732" s="23" t="inlineStr">
        <is>
          <t xml:space="preserve">    Recipiente (cilindro)</t>
        </is>
      </c>
      <c r="E732" s="22" t="n">
        <v>1</v>
      </c>
      <c r="F732" s="22" t="inlineStr">
        <is>
          <t>u</t>
        </is>
      </c>
      <c r="G732" s="24" t="n"/>
      <c r="H732" s="24">
        <f>H733+H735+H736+H737+H739+H742</f>
        <v/>
      </c>
      <c r="I732" s="22" t="n"/>
      <c r="J732" s="23" t="n"/>
      <c r="K732" s="22" t="inlineStr">
        <is>
          <t>Fabricación</t>
        </is>
      </c>
      <c r="L732" s="23" t="n"/>
      <c r="M732" s="23" t="inlineStr">
        <is>
          <t>IRAM 3523 / 3550 (recipiente)</t>
        </is>
      </c>
      <c r="N732" s="22" t="inlineStr">
        <is>
          <t>P</t>
        </is>
      </c>
      <c r="O732" s="22" t="inlineStr">
        <is>
          <t>FL_REC_ABC_70kg</t>
        </is>
      </c>
      <c r="P732" s="23" t="n"/>
    </row>
    <row r="733">
      <c r="A733" s="25" t="inlineStr">
        <is>
          <t>FL_MAT_ABC_70kg</t>
        </is>
      </c>
      <c r="B733" s="25" t="n">
        <v>2</v>
      </c>
      <c r="C733" s="25" t="inlineStr">
        <is>
          <t>ABC70-01</t>
        </is>
      </c>
      <c r="D733" s="12" t="inlineStr">
        <is>
          <t xml:space="preserve">        Cuerpo (virola)</t>
        </is>
      </c>
      <c r="E733" s="25" t="n">
        <v>1</v>
      </c>
      <c r="F733" s="25" t="inlineStr">
        <is>
          <t>u</t>
        </is>
      </c>
      <c r="G733" s="26" t="n">
        <v>18.1781</v>
      </c>
      <c r="H733" s="26">
        <f>E733*G733</f>
        <v/>
      </c>
      <c r="I733" s="25" t="inlineStr">
        <is>
          <t>Chapa acero SAE 1010 e=3,2</t>
        </is>
      </c>
      <c r="J733" s="12" t="inlineStr">
        <is>
          <t>Ø350 × e3,2 × 664,2 de alto; desarrollo 1.089,5 × 664,2</t>
        </is>
      </c>
      <c r="K733" s="25" t="inlineStr">
        <is>
          <t>Fabricación</t>
        </is>
      </c>
      <c r="L733" s="12" t="inlineStr">
        <is>
          <t>1 Guillotina -&gt; C1 cilindrado -&gt; C2 punteo -&gt; C3 sold. long.</t>
        </is>
      </c>
      <c r="M733" s="12" t="n"/>
      <c r="N733" s="25" t="inlineStr">
        <is>
          <t>P</t>
        </is>
      </c>
      <c r="O733" s="25" t="inlineStr">
        <is>
          <t>FL_DES_ABC_70kg</t>
        </is>
      </c>
      <c r="P733" s="12" t="inlineStr">
        <is>
          <t>costura long. MIG</t>
        </is>
      </c>
    </row>
    <row r="734">
      <c r="A734" s="27" t="inlineStr">
        <is>
          <t>FL_MAT_ABC_70kg</t>
        </is>
      </c>
      <c r="B734" s="27" t="n">
        <v>3</v>
      </c>
      <c r="C734" s="27" t="inlineStr">
        <is>
          <t>MP-HOJA</t>
        </is>
      </c>
      <c r="D734" s="28" t="inlineStr">
        <is>
          <t xml:space="preserve">            Recorte de hoja LAC 1500 × 3000 e=4,75</t>
        </is>
      </c>
      <c r="E734" s="27" t="n">
        <v>1</v>
      </c>
      <c r="F734" s="27" t="inlineStr">
        <is>
          <t>u</t>
        </is>
      </c>
      <c r="G734" s="29" t="n">
        <v>41.925</v>
      </c>
      <c r="H734" s="29">
        <f>E734*G734</f>
        <v/>
      </c>
      <c r="I734" s="27" t="inlineStr">
        <is>
          <t>Chapa SAE 1010 LAC</t>
        </is>
      </c>
      <c r="J734" s="28" t="inlineStr">
        <is>
          <t>680 × 1.212 (aprovech. 73,3 %)</t>
        </is>
      </c>
      <c r="K734" s="27" t="inlineStr">
        <is>
          <t>Compra (Pradecon)</t>
        </is>
      </c>
      <c r="L734" s="28" t="inlineStr">
        <is>
          <t>AL-1H paquetes de hojas</t>
        </is>
      </c>
      <c r="M734" s="28" t="n"/>
      <c r="N734" s="27" t="inlineStr">
        <is>
          <t>L</t>
        </is>
      </c>
      <c r="O734" s="27" t="inlineStr">
        <is>
          <t>FL_PI_04 h2</t>
        </is>
      </c>
      <c r="P734" s="28" t="inlineStr">
        <is>
          <t>OJO: la hoja de corte usa e=4,75 y el plano e=3,2</t>
        </is>
      </c>
    </row>
    <row r="735">
      <c r="A735" s="25" t="inlineStr">
        <is>
          <t>FL_MAT_ABC_70kg</t>
        </is>
      </c>
      <c r="B735" s="25" t="n">
        <v>2</v>
      </c>
      <c r="C735" s="25" t="inlineStr">
        <is>
          <t>ABC70-02</t>
        </is>
      </c>
      <c r="D735" s="12" t="inlineStr">
        <is>
          <t xml:space="preserve">        Cúpula</t>
        </is>
      </c>
      <c r="E735" s="25" t="n">
        <v>1</v>
      </c>
      <c r="F735" s="25" t="inlineStr">
        <is>
          <t>u</t>
        </is>
      </c>
      <c r="G735" s="26" t="n">
        <v>3.4748</v>
      </c>
      <c r="H735" s="26">
        <f>E735*G735</f>
        <v/>
      </c>
      <c r="I735" s="25" t="inlineStr">
        <is>
          <t>Chapa acero SAE 1010 e=3,2</t>
        </is>
      </c>
      <c r="J735" s="12" t="inlineStr">
        <is>
          <t>Ø350 × e3,2 × 111,8 de alto; disco Ø432,3</t>
        </is>
      </c>
      <c r="K735" s="25" t="inlineStr">
        <is>
          <t>Compra</t>
        </is>
      </c>
      <c r="L735" s="12" t="inlineStr">
        <is>
          <t>Compra (casquetes de carros, rack RK1)</t>
        </is>
      </c>
      <c r="M735" s="12" t="n"/>
      <c r="N735" s="25" t="inlineStr">
        <is>
          <t>P</t>
        </is>
      </c>
      <c r="O735" s="25" t="inlineStr">
        <is>
          <t>FL_DES_ABC_70kg</t>
        </is>
      </c>
      <c r="P735" s="12" t="inlineStr">
        <is>
          <t>embutida</t>
        </is>
      </c>
    </row>
    <row r="736">
      <c r="A736" s="25" t="inlineStr">
        <is>
          <t>FL_MAT_ABC_70kg</t>
        </is>
      </c>
      <c r="B736" s="25" t="n">
        <v>2</v>
      </c>
      <c r="C736" s="25" t="inlineStr">
        <is>
          <t>ABC70-03</t>
        </is>
      </c>
      <c r="D736" s="12" t="inlineStr">
        <is>
          <t xml:space="preserve">        Fondo</t>
        </is>
      </c>
      <c r="E736" s="25" t="n">
        <v>1</v>
      </c>
      <c r="F736" s="25" t="inlineStr">
        <is>
          <t>u</t>
        </is>
      </c>
      <c r="G736" s="26" t="n">
        <v>3.7246</v>
      </c>
      <c r="H736" s="26">
        <f>E736*G736</f>
        <v/>
      </c>
      <c r="I736" s="25" t="inlineStr">
        <is>
          <t>Chapa acero SAE 1010 e=3,2</t>
        </is>
      </c>
      <c r="J736" s="12" t="inlineStr">
        <is>
          <t>Ø350 × e3,2 × 114,8 de alto; disco Ø447,5</t>
        </is>
      </c>
      <c r="K736" s="25" t="inlineStr">
        <is>
          <t>Compra</t>
        </is>
      </c>
      <c r="L736" s="12" t="inlineStr">
        <is>
          <t>Compra (casquetes de carros, rack RK1)</t>
        </is>
      </c>
      <c r="M736" s="12" t="n"/>
      <c r="N736" s="25" t="inlineStr">
        <is>
          <t>P</t>
        </is>
      </c>
      <c r="O736" s="25" t="inlineStr">
        <is>
          <t>FL_DES_ABC_70kg</t>
        </is>
      </c>
      <c r="P736" s="12" t="inlineStr">
        <is>
          <t>embutido</t>
        </is>
      </c>
    </row>
    <row r="737">
      <c r="A737" s="25" t="inlineStr">
        <is>
          <t>FL_MAT_ABC_70kg</t>
        </is>
      </c>
      <c r="B737" s="25" t="n">
        <v>2</v>
      </c>
      <c r="C737" s="25" t="inlineStr">
        <is>
          <t>ABC70-04</t>
        </is>
      </c>
      <c r="D737" s="12" t="inlineStr">
        <is>
          <t xml:space="preserve">        Cuello roscado</t>
        </is>
      </c>
      <c r="E737" s="25" t="n">
        <v>1</v>
      </c>
      <c r="F737" s="25" t="inlineStr">
        <is>
          <t>u</t>
        </is>
      </c>
      <c r="G737" s="26" t="n">
        <v>0.6084000000000001</v>
      </c>
      <c r="H737" s="26">
        <f>E737*G737</f>
        <v/>
      </c>
      <c r="I737" s="25" t="inlineStr">
        <is>
          <t>Acero SAE 1010</t>
        </is>
      </c>
      <c r="J737" s="12" t="inlineStr">
        <is>
          <t>Ø88 × 37 de alto, rosca RBSP 2 1/2"-11 h, asiento Ø80</t>
        </is>
      </c>
      <c r="K737" s="25" t="inlineStr">
        <is>
          <t>Fabricación</t>
        </is>
      </c>
      <c r="L737" s="12" t="inlineStr">
        <is>
          <t>C2 punteo</t>
        </is>
      </c>
      <c r="M737" s="12" t="n"/>
      <c r="N737" s="25" t="inlineStr">
        <is>
          <t>P</t>
        </is>
      </c>
      <c r="O737" s="25" t="inlineStr">
        <is>
          <t>FL_DES_ABC_70kg</t>
        </is>
      </c>
      <c r="P737" s="12" t="inlineStr">
        <is>
          <t>RBSP 2 1/2"-11 h</t>
        </is>
      </c>
    </row>
    <row r="738">
      <c r="A738" s="27" t="inlineStr">
        <is>
          <t>FL_MAT_ABC_70kg</t>
        </is>
      </c>
      <c r="B738" s="27" t="n">
        <v>3</v>
      </c>
      <c r="C738" s="27" t="inlineStr">
        <is>
          <t>MP-CUELLO</t>
        </is>
      </c>
      <c r="D738" s="28" t="inlineStr">
        <is>
          <t xml:space="preserve">            Cuello roscado mecanizado (pieza comprada lista para soldar)</t>
        </is>
      </c>
      <c r="E738" s="27" t="n">
        <v>1</v>
      </c>
      <c r="F738" s="27" t="inlineStr">
        <is>
          <t>u</t>
        </is>
      </c>
      <c r="G738" s="29" t="n">
        <v>0.608</v>
      </c>
      <c r="H738" s="29">
        <f>E738*G738</f>
        <v/>
      </c>
      <c r="I738" s="27" t="inlineStr">
        <is>
          <t>Acero SAE 1010 / 1020</t>
        </is>
      </c>
      <c r="J738" s="28" t="inlineStr">
        <is>
          <t>rosca RBSP 2 1/2"-11 h</t>
        </is>
      </c>
      <c r="K738" s="27" t="inlineStr">
        <is>
          <t>Compra (Eli-Met)</t>
        </is>
      </c>
      <c r="L738" s="28" t="inlineStr">
        <is>
          <t>AL-1C cuellos y roscas</t>
        </is>
      </c>
      <c r="M738" s="28" t="n"/>
      <c r="N738" s="27" t="inlineStr">
        <is>
          <t>L</t>
        </is>
      </c>
      <c r="O738" s="27" t="n"/>
      <c r="P738" s="28" t="n"/>
    </row>
    <row r="739">
      <c r="A739" s="25" t="inlineStr">
        <is>
          <t>FL_MAT_ABC_70kg</t>
        </is>
      </c>
      <c r="B739" s="25" t="n">
        <v>2</v>
      </c>
      <c r="C739" s="25" t="inlineStr">
        <is>
          <t>ABC70-C1</t>
        </is>
      </c>
      <c r="D739" s="12" t="inlineStr">
        <is>
          <t xml:space="preserve">        Aporte de soldadura: Alambre MAG ER70S-6 Ø0,9/1,2</t>
        </is>
      </c>
      <c r="E739" s="25" t="n">
        <v>0.4746</v>
      </c>
      <c r="F739" s="25" t="inlineStr">
        <is>
          <t>kg</t>
        </is>
      </c>
      <c r="G739" s="26" t="n">
        <v>0.92</v>
      </c>
      <c r="H739" s="26">
        <f>E739*G739</f>
        <v/>
      </c>
      <c r="I739" s="25" t="inlineStr">
        <is>
          <t>Alambre MAG ER70S-6 Ø0,9/1,2</t>
        </is>
      </c>
      <c r="J739" s="12" t="inlineStr">
        <is>
          <t>cordones del plano: 437 g depositados (rend. 92 %)</t>
        </is>
      </c>
      <c r="K739" s="25" t="inlineStr">
        <is>
          <t>Compra</t>
        </is>
      </c>
      <c r="L739" s="12" t="inlineStr">
        <is>
          <t>4 sold. long. / 8 cuello / 11 circunferencial</t>
        </is>
      </c>
      <c r="M739" s="12" t="inlineStr">
        <is>
          <t>ISO 4063 131 / 141</t>
        </is>
      </c>
      <c r="N739" s="25" t="inlineStr">
        <is>
          <t>P</t>
        </is>
      </c>
      <c r="O739" s="25" t="n"/>
      <c r="P739" s="12" t="n"/>
    </row>
    <row r="740">
      <c r="A740" s="25" t="inlineStr">
        <is>
          <t>FL_MAT_ABC_70kg</t>
        </is>
      </c>
      <c r="B740" s="25" t="n">
        <v>2</v>
      </c>
      <c r="C740" s="25" t="inlineStr">
        <is>
          <t>ABC70-C2</t>
        </is>
      </c>
      <c r="D740" s="12" t="inlineStr">
        <is>
          <t xml:space="preserve">        Gas de protección: Arcal 21 (Ar + 18 % CO₂)</t>
        </is>
      </c>
      <c r="E740" s="25" t="n">
        <v>213.6</v>
      </c>
      <c r="F740" s="25" t="inlineStr">
        <is>
          <t>L</t>
        </is>
      </c>
      <c r="G740" s="26" t="n"/>
      <c r="H740" s="26" t="n"/>
      <c r="I740" s="25" t="inlineStr">
        <is>
          <t>Arcal 21 (Ar + 18 % CO₂)</t>
        </is>
      </c>
      <c r="J740" s="12" t="inlineStr">
        <is>
          <t>14,2 min de arco × 15 L/min</t>
        </is>
      </c>
      <c r="K740" s="25" t="inlineStr">
        <is>
          <t>Compra</t>
        </is>
      </c>
      <c r="L740" s="12" t="inlineStr">
        <is>
          <t>Colector SC</t>
        </is>
      </c>
      <c r="M740" s="12" t="n"/>
      <c r="N740" s="25" t="inlineStr">
        <is>
          <t>R</t>
        </is>
      </c>
      <c r="O740" s="25" t="n"/>
      <c r="P740" s="12" t="n"/>
    </row>
    <row r="741">
      <c r="A741" s="25" t="inlineStr">
        <is>
          <t>FL_MAT_ABC_70kg</t>
        </is>
      </c>
      <c r="B741" s="25" t="n">
        <v>2</v>
      </c>
      <c r="C741" s="25" t="inlineStr">
        <is>
          <t>ABC70-C3</t>
        </is>
      </c>
      <c r="D741" s="12" t="inlineStr">
        <is>
          <t xml:space="preserve">        Granalla de acero (consumo)</t>
        </is>
      </c>
      <c r="E741" s="25" t="n">
        <v>0.081</v>
      </c>
      <c r="F741" s="25" t="inlineStr">
        <is>
          <t>kg</t>
        </is>
      </c>
      <c r="G741" s="26" t="n"/>
      <c r="H741" s="26" t="n"/>
      <c r="I741" s="25" t="inlineStr">
        <is>
          <t>Granalla S-230</t>
        </is>
      </c>
      <c r="J741" s="12" t="inlineStr">
        <is>
          <t>1,01 m² a Sa 2½</t>
        </is>
      </c>
      <c r="K741" s="25" t="inlineStr">
        <is>
          <t>Compra</t>
        </is>
      </c>
      <c r="L741" s="12" t="inlineStr">
        <is>
          <t>14 Granallado (B08)</t>
        </is>
      </c>
      <c r="M741" s="12" t="inlineStr">
        <is>
          <t>ISO 8501-1</t>
        </is>
      </c>
      <c r="N741" s="25" t="inlineStr">
        <is>
          <t>R</t>
        </is>
      </c>
      <c r="O741" s="25" t="n"/>
      <c r="P741" s="12" t="n"/>
    </row>
    <row r="742">
      <c r="A742" s="25" t="inlineStr">
        <is>
          <t>FL_MAT_ABC_70kg</t>
        </is>
      </c>
      <c r="B742" s="25" t="n">
        <v>2</v>
      </c>
      <c r="C742" s="25" t="inlineStr">
        <is>
          <t>ABC70-C4</t>
        </is>
      </c>
      <c r="D742" s="12" t="inlineStr">
        <is>
          <t xml:space="preserve">        Pintura en polvo poliéster rojo</t>
        </is>
      </c>
      <c r="E742" s="25" t="n">
        <v>0.187</v>
      </c>
      <c r="F742" s="25" t="inlineStr">
        <is>
          <t>kg</t>
        </is>
      </c>
      <c r="G742" s="26" t="n">
        <v>0.65</v>
      </c>
      <c r="H742" s="26">
        <f>E742*G742</f>
        <v/>
      </c>
      <c r="I742" s="25" t="inlineStr">
        <is>
          <t>Poliéster rojo 03-1-050</t>
        </is>
      </c>
      <c r="J742" s="12" t="inlineStr">
        <is>
          <t>1,01 m² × 80 µm (60-100 µm), rendimiento 65 %</t>
        </is>
      </c>
      <c r="K742" s="25" t="inlineStr">
        <is>
          <t>Compra</t>
        </is>
      </c>
      <c r="L742" s="12" t="inlineStr">
        <is>
          <t>17 Pintura (S-P) / tercerizada en carros</t>
        </is>
      </c>
      <c r="M742" s="12" t="inlineStr">
        <is>
          <t>DOC-01 · IRAM 3517-2 9.10</t>
        </is>
      </c>
      <c r="N742" s="25" t="inlineStr">
        <is>
          <t>R</t>
        </is>
      </c>
      <c r="O742" s="25" t="n"/>
      <c r="P742" s="12" t="n"/>
    </row>
    <row r="743">
      <c r="A743" s="22" t="inlineStr">
        <is>
          <t>FL_MAT_ABC_70kg</t>
        </is>
      </c>
      <c r="B743" s="22" t="n">
        <v>1</v>
      </c>
      <c r="C743" s="22" t="inlineStr">
        <is>
          <t>ABC70-S2</t>
        </is>
      </c>
      <c r="D743" s="23" t="inlineStr">
        <is>
          <t xml:space="preserve">    Conjunto de válvula</t>
        </is>
      </c>
      <c r="E743" s="22" t="n">
        <v>1</v>
      </c>
      <c r="F743" s="22" t="inlineStr">
        <is>
          <t>u</t>
        </is>
      </c>
      <c r="G743" s="24" t="n"/>
      <c r="H743" s="24">
        <f>H744+H745+H746+H747+H748+H749+H750+H751+H752+H753+H754+H755+H756</f>
        <v/>
      </c>
      <c r="I743" s="22" t="n"/>
      <c r="J743" s="23" t="n"/>
      <c r="K743" s="22" t="inlineStr">
        <is>
          <t>Compra / armado</t>
        </is>
      </c>
      <c r="L743" s="23" t="n"/>
      <c r="M743" s="23" t="inlineStr">
        <is>
          <t>Manómetro IRAM 3533</t>
        </is>
      </c>
      <c r="N743" s="22" t="inlineStr">
        <is>
          <t>P</t>
        </is>
      </c>
      <c r="O743" s="22" t="inlineStr">
        <is>
          <t>FL_DES_ABC_70kg</t>
        </is>
      </c>
      <c r="P743" s="23" t="n"/>
    </row>
    <row r="744">
      <c r="A744" s="25" t="inlineStr">
        <is>
          <t>FL_MAT_ABC_70kg</t>
        </is>
      </c>
      <c r="B744" s="25" t="n">
        <v>2</v>
      </c>
      <c r="C744" s="25" t="inlineStr">
        <is>
          <t>ABC70-11</t>
        </is>
      </c>
      <c r="D744" s="12" t="inlineStr">
        <is>
          <t xml:space="preserve">        Collarín de válvula</t>
        </is>
      </c>
      <c r="E744" s="25" t="n">
        <v>1</v>
      </c>
      <c r="F744" s="25" t="inlineStr">
        <is>
          <t>u</t>
        </is>
      </c>
      <c r="G744" s="26" t="n">
        <v>0.4107</v>
      </c>
      <c r="H744" s="26">
        <f>E744*G744</f>
        <v/>
      </c>
      <c r="I744" s="25" t="inlineStr">
        <is>
          <t>Latón forjado</t>
        </is>
      </c>
      <c r="J744" s="12" t="inlineStr">
        <is>
          <t>96,1 × 96,1 × 13,5</t>
        </is>
      </c>
      <c r="K744" s="25" t="inlineStr">
        <is>
          <t>Compra</t>
        </is>
      </c>
      <c r="L744" s="12" t="inlineStr">
        <is>
          <t>C9 armado</t>
        </is>
      </c>
      <c r="M744" s="12" t="n"/>
      <c r="N744" s="25" t="inlineStr">
        <is>
          <t>P</t>
        </is>
      </c>
      <c r="O744" s="25" t="inlineStr">
        <is>
          <t>FL_DES_ABC_70kg</t>
        </is>
      </c>
      <c r="P744" s="12" t="n"/>
    </row>
    <row r="745">
      <c r="A745" s="25" t="inlineStr">
        <is>
          <t>FL_MAT_ABC_70kg</t>
        </is>
      </c>
      <c r="B745" s="25" t="n">
        <v>2</v>
      </c>
      <c r="C745" s="25" t="inlineStr">
        <is>
          <t>ABC70-12</t>
        </is>
      </c>
      <c r="D745" s="12" t="inlineStr">
        <is>
          <t xml:space="preserve">        Espiga roscada</t>
        </is>
      </c>
      <c r="E745" s="25" t="n">
        <v>1</v>
      </c>
      <c r="F745" s="25" t="inlineStr">
        <is>
          <t>u</t>
        </is>
      </c>
      <c r="G745" s="26" t="n">
        <v>0.1187</v>
      </c>
      <c r="H745" s="26">
        <f>E745*G745</f>
        <v/>
      </c>
      <c r="I745" s="25" t="inlineStr">
        <is>
          <t>Latón forjado</t>
        </is>
      </c>
      <c r="J745" s="12" t="inlineStr">
        <is>
          <t>72,2 × 72,2 × 16,2</t>
        </is>
      </c>
      <c r="K745" s="25" t="inlineStr">
        <is>
          <t>Compra</t>
        </is>
      </c>
      <c r="L745" s="12" t="inlineStr">
        <is>
          <t>C9 armado</t>
        </is>
      </c>
      <c r="M745" s="12" t="n"/>
      <c r="N745" s="25" t="inlineStr">
        <is>
          <t>P</t>
        </is>
      </c>
      <c r="O745" s="25" t="inlineStr">
        <is>
          <t>FL_DES_ABC_70kg</t>
        </is>
      </c>
      <c r="P745" s="12" t="n"/>
    </row>
    <row r="746">
      <c r="A746" s="25" t="inlineStr">
        <is>
          <t>FL_MAT_ABC_70kg</t>
        </is>
      </c>
      <c r="B746" s="25" t="n">
        <v>2</v>
      </c>
      <c r="C746" s="25" t="inlineStr">
        <is>
          <t>ABC70-13</t>
        </is>
      </c>
      <c r="D746" s="12" t="inlineStr">
        <is>
          <t xml:space="preserve">        Cuerpo de válvula</t>
        </is>
      </c>
      <c r="E746" s="25" t="n">
        <v>1</v>
      </c>
      <c r="F746" s="25" t="inlineStr">
        <is>
          <t>u</t>
        </is>
      </c>
      <c r="G746" s="26" t="n">
        <v>0.7378</v>
      </c>
      <c r="H746" s="26">
        <f>E746*G746</f>
        <v/>
      </c>
      <c r="I746" s="25" t="inlineStr">
        <is>
          <t>Latón forjado</t>
        </is>
      </c>
      <c r="J746" s="12" t="inlineStr">
        <is>
          <t>58,4 × 54 × 46,3</t>
        </is>
      </c>
      <c r="K746" s="25" t="inlineStr">
        <is>
          <t>Compra</t>
        </is>
      </c>
      <c r="L746" s="12" t="inlineStr">
        <is>
          <t>C9 armado</t>
        </is>
      </c>
      <c r="M746" s="12" t="n"/>
      <c r="N746" s="25" t="inlineStr">
        <is>
          <t>P</t>
        </is>
      </c>
      <c r="O746" s="25" t="inlineStr">
        <is>
          <t>FL_DES_ABC_70kg</t>
        </is>
      </c>
      <c r="P746" s="12" t="n"/>
    </row>
    <row r="747">
      <c r="A747" s="25" t="inlineStr">
        <is>
          <t>FL_MAT_ABC_70kg</t>
        </is>
      </c>
      <c r="B747" s="25" t="n">
        <v>2</v>
      </c>
      <c r="C747" s="25" t="inlineStr">
        <is>
          <t>ABC70-14</t>
        </is>
      </c>
      <c r="D747" s="12" t="inlineStr">
        <is>
          <t xml:space="preserve">        Manómetro</t>
        </is>
      </c>
      <c r="E747" s="25" t="n">
        <v>1</v>
      </c>
      <c r="F747" s="25" t="inlineStr">
        <is>
          <t>u</t>
        </is>
      </c>
      <c r="G747" s="26" t="n">
        <v>0.12</v>
      </c>
      <c r="H747" s="26">
        <f>E747*G747</f>
        <v/>
      </c>
      <c r="I747" s="25" t="inlineStr">
        <is>
          <t>Comercial</t>
        </is>
      </c>
      <c r="J747" s="12" t="inlineStr">
        <is>
          <t>Ø50 esfera, rango 0-3,5 MPa, sector verde en 1,4</t>
        </is>
      </c>
      <c r="K747" s="25" t="inlineStr">
        <is>
          <t>Compra</t>
        </is>
      </c>
      <c r="L747" s="12" t="inlineStr">
        <is>
          <t>C9 armado</t>
        </is>
      </c>
      <c r="M747" s="12" t="inlineStr">
        <is>
          <t>IRAM 3533</t>
        </is>
      </c>
      <c r="N747" s="25" t="inlineStr">
        <is>
          <t>R</t>
        </is>
      </c>
      <c r="O747" s="25" t="inlineStr">
        <is>
          <t>FL_DES_ABC_70kg</t>
        </is>
      </c>
      <c r="P747" s="12" t="inlineStr">
        <is>
          <t>Pieza comercial; sello IRAM 3533</t>
        </is>
      </c>
    </row>
    <row r="748">
      <c r="A748" s="25" t="inlineStr">
        <is>
          <t>FL_MAT_ABC_70kg</t>
        </is>
      </c>
      <c r="B748" s="25" t="n">
        <v>2</v>
      </c>
      <c r="C748" s="25" t="inlineStr">
        <is>
          <t>ABC70-15</t>
        </is>
      </c>
      <c r="D748" s="12" t="inlineStr">
        <is>
          <t xml:space="preserve">        Manija de transporte</t>
        </is>
      </c>
      <c r="E748" s="25" t="n">
        <v>1</v>
      </c>
      <c r="F748" s="25" t="inlineStr">
        <is>
          <t>u</t>
        </is>
      </c>
      <c r="G748" s="26" t="n">
        <v>0.1131</v>
      </c>
      <c r="H748" s="26">
        <f>E748*G748</f>
        <v/>
      </c>
      <c r="I748" s="25" t="inlineStr">
        <is>
          <t>Chapa acero SAE 1010 pintada</t>
        </is>
      </c>
      <c r="J748" s="12" t="inlineStr">
        <is>
          <t>98,8 × 27 × 15,7</t>
        </is>
      </c>
      <c r="K748" s="25" t="inlineStr">
        <is>
          <t>Compra</t>
        </is>
      </c>
      <c r="L748" s="12" t="inlineStr">
        <is>
          <t>C9 armado</t>
        </is>
      </c>
      <c r="M748" s="12" t="n"/>
      <c r="N748" s="25" t="inlineStr">
        <is>
          <t>P</t>
        </is>
      </c>
      <c r="O748" s="25" t="inlineStr">
        <is>
          <t>FL_DES_ABC_70kg</t>
        </is>
      </c>
      <c r="P748" s="12" t="n"/>
    </row>
    <row r="749">
      <c r="A749" s="25" t="inlineStr">
        <is>
          <t>FL_MAT_ABC_70kg</t>
        </is>
      </c>
      <c r="B749" s="25" t="n">
        <v>2</v>
      </c>
      <c r="C749" s="25" t="inlineStr">
        <is>
          <t>ABC70-16</t>
        </is>
      </c>
      <c r="D749" s="12" t="inlineStr">
        <is>
          <t xml:space="preserve">        Manija de accionamiento</t>
        </is>
      </c>
      <c r="E749" s="25" t="n">
        <v>1</v>
      </c>
      <c r="F749" s="25" t="inlineStr">
        <is>
          <t>u</t>
        </is>
      </c>
      <c r="G749" s="26" t="n">
        <v>0.1811</v>
      </c>
      <c r="H749" s="26">
        <f>E749*G749</f>
        <v/>
      </c>
      <c r="I749" s="25" t="inlineStr">
        <is>
          <t>Chapa acero SAE 1010 pintada</t>
        </is>
      </c>
      <c r="J749" s="12" t="inlineStr">
        <is>
          <t>157,7 × 27 × 24,6</t>
        </is>
      </c>
      <c r="K749" s="25" t="inlineStr">
        <is>
          <t>Compra</t>
        </is>
      </c>
      <c r="L749" s="12" t="inlineStr">
        <is>
          <t>C9 armado</t>
        </is>
      </c>
      <c r="M749" s="12" t="n"/>
      <c r="N749" s="25" t="inlineStr">
        <is>
          <t>P</t>
        </is>
      </c>
      <c r="O749" s="25" t="inlineStr">
        <is>
          <t>FL_DES_ABC_70kg</t>
        </is>
      </c>
      <c r="P749" s="12" t="n"/>
    </row>
    <row r="750">
      <c r="A750" s="25" t="inlineStr">
        <is>
          <t>FL_MAT_ABC_70kg</t>
        </is>
      </c>
      <c r="B750" s="25" t="n">
        <v>2</v>
      </c>
      <c r="C750" s="25" t="inlineStr">
        <is>
          <t>ABC70-17</t>
        </is>
      </c>
      <c r="D750" s="12" t="inlineStr">
        <is>
          <t xml:space="preserve">        Eje de palanca</t>
        </is>
      </c>
      <c r="E750" s="25" t="n">
        <v>1</v>
      </c>
      <c r="F750" s="25" t="inlineStr">
        <is>
          <t>u</t>
        </is>
      </c>
      <c r="G750" s="26" t="n">
        <v>0.0199</v>
      </c>
      <c r="H750" s="26">
        <f>E750*G750</f>
        <v/>
      </c>
      <c r="I750" s="25" t="inlineStr">
        <is>
          <t>Acero inox. AISI 304</t>
        </is>
      </c>
      <c r="J750" s="12" t="inlineStr">
        <is>
          <t>48,6 × 8,1 × 8,1</t>
        </is>
      </c>
      <c r="K750" s="25" t="inlineStr">
        <is>
          <t>Compra</t>
        </is>
      </c>
      <c r="L750" s="12" t="inlineStr">
        <is>
          <t>C9 armado</t>
        </is>
      </c>
      <c r="M750" s="12" t="n"/>
      <c r="N750" s="25" t="inlineStr">
        <is>
          <t>P</t>
        </is>
      </c>
      <c r="O750" s="25" t="inlineStr">
        <is>
          <t>FL_DES_ABC_70kg</t>
        </is>
      </c>
      <c r="P750" s="12" t="n"/>
    </row>
    <row r="751">
      <c r="A751" s="25" t="inlineStr">
        <is>
          <t>FL_MAT_ABC_70kg</t>
        </is>
      </c>
      <c r="B751" s="25" t="n">
        <v>2</v>
      </c>
      <c r="C751" s="25" t="inlineStr">
        <is>
          <t>ABC70-18</t>
        </is>
      </c>
      <c r="D751" s="12" t="inlineStr">
        <is>
          <t xml:space="preserve">        Vástago</t>
        </is>
      </c>
      <c r="E751" s="25" t="n">
        <v>1</v>
      </c>
      <c r="F751" s="25" t="inlineStr">
        <is>
          <t>u</t>
        </is>
      </c>
      <c r="G751" s="26" t="n">
        <v>0.0039</v>
      </c>
      <c r="H751" s="26">
        <f>E751*G751</f>
        <v/>
      </c>
      <c r="I751" s="25" t="inlineStr">
        <is>
          <t>Latón</t>
        </is>
      </c>
      <c r="J751" s="12" t="inlineStr">
        <is>
          <t>10,8 × 10,8 × 5</t>
        </is>
      </c>
      <c r="K751" s="25" t="inlineStr">
        <is>
          <t>Compra</t>
        </is>
      </c>
      <c r="L751" s="12" t="inlineStr">
        <is>
          <t>C9 armado</t>
        </is>
      </c>
      <c r="M751" s="12" t="n"/>
      <c r="N751" s="25" t="inlineStr">
        <is>
          <t>P</t>
        </is>
      </c>
      <c r="O751" s="25" t="inlineStr">
        <is>
          <t>FL_DES_ABC_70kg</t>
        </is>
      </c>
      <c r="P751" s="12" t="inlineStr">
        <is>
          <t>con junta tórica</t>
        </is>
      </c>
    </row>
    <row r="752">
      <c r="A752" s="25" t="inlineStr">
        <is>
          <t>FL_MAT_ABC_70kg</t>
        </is>
      </c>
      <c r="B752" s="25" t="n">
        <v>2</v>
      </c>
      <c r="C752" s="25" t="inlineStr">
        <is>
          <t>ABC70-19</t>
        </is>
      </c>
      <c r="D752" s="12" t="inlineStr">
        <is>
          <t xml:space="preserve">        Pasador de seguridad</t>
        </is>
      </c>
      <c r="E752" s="25" t="n">
        <v>1</v>
      </c>
      <c r="F752" s="25" t="inlineStr">
        <is>
          <t>u</t>
        </is>
      </c>
      <c r="G752" s="26" t="n">
        <v>0.0135</v>
      </c>
      <c r="H752" s="26">
        <f>E752*G752</f>
        <v/>
      </c>
      <c r="I752" s="25" t="inlineStr">
        <is>
          <t>Alambre acero inox. AISI 304</t>
        </is>
      </c>
      <c r="J752" s="12" t="inlineStr">
        <is>
          <t>61,3 × 28,4 × 28,1</t>
        </is>
      </c>
      <c r="K752" s="25" t="inlineStr">
        <is>
          <t>Compra</t>
        </is>
      </c>
      <c r="L752" s="12" t="inlineStr">
        <is>
          <t>C9 armado</t>
        </is>
      </c>
      <c r="M752" s="12" t="n"/>
      <c r="N752" s="25" t="inlineStr">
        <is>
          <t>P</t>
        </is>
      </c>
      <c r="O752" s="25" t="inlineStr">
        <is>
          <t>FL_DES_ABC_70kg</t>
        </is>
      </c>
      <c r="P752" s="12" t="inlineStr">
        <is>
          <t>con precinto</t>
        </is>
      </c>
    </row>
    <row r="753">
      <c r="A753" s="25" t="inlineStr">
        <is>
          <t>FL_MAT_ABC_70kg</t>
        </is>
      </c>
      <c r="B753" s="25" t="n">
        <v>2</v>
      </c>
      <c r="C753" s="25" t="inlineStr">
        <is>
          <t>ABC70-20</t>
        </is>
      </c>
      <c r="D753" s="12" t="inlineStr">
        <is>
          <t xml:space="preserve">        Caño de pesca (sifón)</t>
        </is>
      </c>
      <c r="E753" s="25" t="n">
        <v>1</v>
      </c>
      <c r="F753" s="25" t="inlineStr">
        <is>
          <t>u</t>
        </is>
      </c>
      <c r="G753" s="26" t="n">
        <v>0.2088</v>
      </c>
      <c r="H753" s="26">
        <f>E753*G753</f>
        <v/>
      </c>
      <c r="I753" s="25" t="inlineStr">
        <is>
          <t>Tubo PVC rígido</t>
        </is>
      </c>
      <c r="J753" s="12" t="inlineStr">
        <is>
          <t>Ø24 × 883,4 de largo</t>
        </is>
      </c>
      <c r="K753" s="25" t="inlineStr">
        <is>
          <t>Compra</t>
        </is>
      </c>
      <c r="L753" s="12" t="inlineStr">
        <is>
          <t>C9 armado</t>
        </is>
      </c>
      <c r="M753" s="12" t="n"/>
      <c r="N753" s="25" t="inlineStr">
        <is>
          <t>P</t>
        </is>
      </c>
      <c r="O753" s="25" t="inlineStr">
        <is>
          <t>FL_DES_ABC_70kg</t>
        </is>
      </c>
      <c r="P753" s="12" t="n"/>
    </row>
    <row r="754">
      <c r="A754" s="25" t="inlineStr">
        <is>
          <t>FL_MAT_ABC_70kg</t>
        </is>
      </c>
      <c r="B754" s="25" t="n">
        <v>2</v>
      </c>
      <c r="C754" s="25" t="inlineStr">
        <is>
          <t>ABC70-30</t>
        </is>
      </c>
      <c r="D754" s="12" t="inlineStr">
        <is>
          <t xml:space="preserve">        Junta tórica de asiento</t>
        </is>
      </c>
      <c r="E754" s="25" t="n">
        <v>1</v>
      </c>
      <c r="F754" s="25" t="inlineStr">
        <is>
          <t>u</t>
        </is>
      </c>
      <c r="G754" s="26" t="n">
        <v>0.0024</v>
      </c>
      <c r="H754" s="26">
        <f>E754*G754</f>
        <v/>
      </c>
      <c r="I754" s="25" t="inlineStr">
        <is>
          <t>NBR 70 Shore A</t>
        </is>
      </c>
      <c r="J754" s="12" t="inlineStr">
        <is>
          <t>Ø75,2 ext. × cordón 3</t>
        </is>
      </c>
      <c r="K754" s="25" t="inlineStr">
        <is>
          <t>Compra</t>
        </is>
      </c>
      <c r="L754" s="12" t="inlineStr">
        <is>
          <t>C9 armado</t>
        </is>
      </c>
      <c r="M754" s="12" t="n"/>
      <c r="N754" s="25" t="inlineStr">
        <is>
          <t>P</t>
        </is>
      </c>
      <c r="O754" s="25" t="inlineStr">
        <is>
          <t>FL_DES_ABC_70kg</t>
        </is>
      </c>
      <c r="P754" s="12" t="inlineStr">
        <is>
          <t>cambio c/recarga</t>
        </is>
      </c>
    </row>
    <row r="755">
      <c r="A755" s="25" t="inlineStr">
        <is>
          <t>FL_MAT_ABC_70kg</t>
        </is>
      </c>
      <c r="B755" s="25" t="n">
        <v>2</v>
      </c>
      <c r="C755" s="25" t="inlineStr">
        <is>
          <t>ABC70-V2</t>
        </is>
      </c>
      <c r="D755" s="12" t="inlineStr">
        <is>
          <t xml:space="preserve">        Resorte de retorno del vástago</t>
        </is>
      </c>
      <c r="E755" s="25" t="n">
        <v>1</v>
      </c>
      <c r="F755" s="25" t="inlineStr">
        <is>
          <t>u</t>
        </is>
      </c>
      <c r="G755" s="26" t="n">
        <v>0.003</v>
      </c>
      <c r="H755" s="26">
        <f>E755*G755</f>
        <v/>
      </c>
      <c r="I755" s="25" t="inlineStr">
        <is>
          <t>Alambre acero inox. AISI 302</t>
        </is>
      </c>
      <c r="J755" s="12" t="inlineStr">
        <is>
          <t>según válvula</t>
        </is>
      </c>
      <c r="K755" s="25" t="inlineStr">
        <is>
          <t>Compra</t>
        </is>
      </c>
      <c r="L755" s="12" t="inlineStr">
        <is>
          <t>19 Ensamblaje</t>
        </is>
      </c>
      <c r="M755" s="12" t="n"/>
      <c r="N755" s="25" t="inlineStr">
        <is>
          <t>R</t>
        </is>
      </c>
      <c r="O755" s="25" t="n"/>
      <c r="P755" s="12" t="n"/>
    </row>
    <row r="756">
      <c r="A756" s="25" t="inlineStr">
        <is>
          <t>FL_MAT_ABC_70kg</t>
        </is>
      </c>
      <c r="B756" s="25" t="n">
        <v>2</v>
      </c>
      <c r="C756" s="25" t="inlineStr">
        <is>
          <t>ABC70-V3</t>
        </is>
      </c>
      <c r="D756" s="12" t="inlineStr">
        <is>
          <t xml:space="preserve">        Junta tórica del vástago</t>
        </is>
      </c>
      <c r="E756" s="25" t="n">
        <v>1</v>
      </c>
      <c r="F756" s="25" t="inlineStr">
        <is>
          <t>u</t>
        </is>
      </c>
      <c r="G756" s="26" t="n">
        <v>0.001</v>
      </c>
      <c r="H756" s="26">
        <f>E756*G756</f>
        <v/>
      </c>
      <c r="I756" s="25" t="inlineStr">
        <is>
          <t>NBR 70 Shore A</t>
        </is>
      </c>
      <c r="J756" s="12" t="inlineStr">
        <is>
          <t>según válvula</t>
        </is>
      </c>
      <c r="K756" s="25" t="inlineStr">
        <is>
          <t>Compra</t>
        </is>
      </c>
      <c r="L756" s="12" t="inlineStr">
        <is>
          <t>19 Ensamblaje</t>
        </is>
      </c>
      <c r="M756" s="12" t="n"/>
      <c r="N756" s="25" t="inlineStr">
        <is>
          <t>P</t>
        </is>
      </c>
      <c r="O756" s="25" t="n"/>
      <c r="P756" s="12" t="inlineStr">
        <is>
          <t>Figura en el plano como «vástago con junta tórica»</t>
        </is>
      </c>
    </row>
    <row r="757">
      <c r="A757" s="22" t="inlineStr">
        <is>
          <t>FL_MAT_ABC_70kg</t>
        </is>
      </c>
      <c r="B757" s="22" t="n">
        <v>1</v>
      </c>
      <c r="C757" s="22" t="inlineStr">
        <is>
          <t>ABC70-S3</t>
        </is>
      </c>
      <c r="D757" s="23" t="inlineStr">
        <is>
          <t xml:space="preserve">    Dispositivo de descarga</t>
        </is>
      </c>
      <c r="E757" s="22" t="n">
        <v>1</v>
      </c>
      <c r="F757" s="22" t="inlineStr">
        <is>
          <t>u</t>
        </is>
      </c>
      <c r="G757" s="24" t="n"/>
      <c r="H757" s="24">
        <f>H758+H759+H760+H761+H762+H763</f>
        <v/>
      </c>
      <c r="I757" s="22" t="n"/>
      <c r="J757" s="23" t="n"/>
      <c r="K757" s="22" t="inlineStr">
        <is>
          <t>Compra / armado</t>
        </is>
      </c>
      <c r="L757" s="23" t="n"/>
      <c r="M757" s="23" t="n"/>
      <c r="N757" s="22" t="inlineStr">
        <is>
          <t>P</t>
        </is>
      </c>
      <c r="O757" s="22" t="inlineStr">
        <is>
          <t>FL_DES_ABC_70kg</t>
        </is>
      </c>
      <c r="P757" s="23" t="n"/>
    </row>
    <row r="758">
      <c r="A758" s="25" t="inlineStr">
        <is>
          <t>FL_MAT_ABC_70kg</t>
        </is>
      </c>
      <c r="B758" s="25" t="n">
        <v>2</v>
      </c>
      <c r="C758" s="25" t="inlineStr">
        <is>
          <t>ABC70-21</t>
        </is>
      </c>
      <c r="D758" s="12" t="inlineStr">
        <is>
          <t xml:space="preserve">        Manguera (tramo enrollado)</t>
        </is>
      </c>
      <c r="E758" s="25" t="n">
        <v>1</v>
      </c>
      <c r="F758" s="25" t="inlineStr">
        <is>
          <t>u</t>
        </is>
      </c>
      <c r="G758" s="26" t="n">
        <v>0.5703</v>
      </c>
      <c r="H758" s="26">
        <f>E758*G758</f>
        <v/>
      </c>
      <c r="I758" s="25" t="inlineStr">
        <is>
          <t>Caucho sintético</t>
        </is>
      </c>
      <c r="J758" s="12" t="inlineStr">
        <is>
          <t>Ø25 × 1.513 de largo desarrollado</t>
        </is>
      </c>
      <c r="K758" s="25" t="inlineStr">
        <is>
          <t>Compra</t>
        </is>
      </c>
      <c r="L758" s="12" t="inlineStr">
        <is>
          <t>C9 armado de ruedas y manguera</t>
        </is>
      </c>
      <c r="M758" s="12" t="n"/>
      <c r="N758" s="25" t="inlineStr">
        <is>
          <t>P</t>
        </is>
      </c>
      <c r="O758" s="25" t="inlineStr">
        <is>
          <t>FL_DES_ABC_70kg</t>
        </is>
      </c>
      <c r="P758" s="12" t="n"/>
    </row>
    <row r="759">
      <c r="A759" s="25" t="inlineStr">
        <is>
          <t>FL_MAT_ABC_70kg</t>
        </is>
      </c>
      <c r="B759" s="25" t="n">
        <v>2</v>
      </c>
      <c r="C759" s="25" t="inlineStr">
        <is>
          <t>ABC70-22</t>
        </is>
      </c>
      <c r="D759" s="12" t="inlineStr">
        <is>
          <t xml:space="preserve">        Soporte de manguera</t>
        </is>
      </c>
      <c r="E759" s="25" t="n">
        <v>1</v>
      </c>
      <c r="F759" s="25" t="inlineStr">
        <is>
          <t>u</t>
        </is>
      </c>
      <c r="G759" s="26" t="n">
        <v>1.779</v>
      </c>
      <c r="H759" s="26">
        <f>E759*G759</f>
        <v/>
      </c>
      <c r="I759" s="25" t="inlineStr">
        <is>
          <t>Planchuela acero SAE 1010</t>
        </is>
      </c>
      <c r="J759" s="12" t="inlineStr">
        <is>
          <t>599,6 × 233,5 × 40,5</t>
        </is>
      </c>
      <c r="K759" s="25" t="inlineStr">
        <is>
          <t>Compra (estructura)</t>
        </is>
      </c>
      <c r="L759" s="12" t="inlineStr">
        <is>
          <t>C9 armado de ruedas y manguera</t>
        </is>
      </c>
      <c r="M759" s="12" t="n"/>
      <c r="N759" s="25" t="inlineStr">
        <is>
          <t>P</t>
        </is>
      </c>
      <c r="O759" s="25" t="inlineStr">
        <is>
          <t>FL_DES_ABC_70kg</t>
        </is>
      </c>
      <c r="P759" s="12" t="n"/>
    </row>
    <row r="760">
      <c r="A760" s="25" t="inlineStr">
        <is>
          <t>FL_MAT_ABC_70kg</t>
        </is>
      </c>
      <c r="B760" s="25" t="n">
        <v>2</v>
      </c>
      <c r="C760" s="25" t="inlineStr">
        <is>
          <t>ABC70-23</t>
        </is>
      </c>
      <c r="D760" s="12" t="inlineStr">
        <is>
          <t xml:space="preserve">        Racor de manguera</t>
        </is>
      </c>
      <c r="E760" s="25" t="n">
        <v>1</v>
      </c>
      <c r="F760" s="25" t="inlineStr">
        <is>
          <t>u</t>
        </is>
      </c>
      <c r="G760" s="26" t="n">
        <v>0.0612</v>
      </c>
      <c r="H760" s="26">
        <f>E760*G760</f>
        <v/>
      </c>
      <c r="I760" s="25" t="inlineStr">
        <is>
          <t>Latón</t>
        </is>
      </c>
      <c r="J760" s="12" t="inlineStr">
        <is>
          <t>24 × 24 × 16</t>
        </is>
      </c>
      <c r="K760" s="25" t="inlineStr">
        <is>
          <t>Compra</t>
        </is>
      </c>
      <c r="L760" s="12" t="inlineStr">
        <is>
          <t>C9 armado de ruedas y manguera</t>
        </is>
      </c>
      <c r="M760" s="12" t="n"/>
      <c r="N760" s="25" t="inlineStr">
        <is>
          <t>P</t>
        </is>
      </c>
      <c r="O760" s="25" t="inlineStr">
        <is>
          <t>FL_DES_ABC_70kg</t>
        </is>
      </c>
      <c r="P760" s="12" t="n"/>
    </row>
    <row r="761">
      <c r="A761" s="25" t="inlineStr">
        <is>
          <t>FL_MAT_ABC_70kg</t>
        </is>
      </c>
      <c r="B761" s="25" t="n">
        <v>2</v>
      </c>
      <c r="C761" s="25" t="inlineStr">
        <is>
          <t>ABC70-24</t>
        </is>
      </c>
      <c r="D761" s="12" t="inlineStr">
        <is>
          <t xml:space="preserve">        Manguera</t>
        </is>
      </c>
      <c r="E761" s="25" t="n">
        <v>1</v>
      </c>
      <c r="F761" s="25" t="inlineStr">
        <is>
          <t>u</t>
        </is>
      </c>
      <c r="G761" s="26" t="n">
        <v>0.2112</v>
      </c>
      <c r="H761" s="26">
        <f>E761*G761</f>
        <v/>
      </c>
      <c r="I761" s="25" t="inlineStr">
        <is>
          <t>Caucho sintético</t>
        </is>
      </c>
      <c r="J761" s="12" t="inlineStr">
        <is>
          <t>Ø16 × 1.368 de largo desarrollado</t>
        </is>
      </c>
      <c r="K761" s="25" t="inlineStr">
        <is>
          <t>Compra</t>
        </is>
      </c>
      <c r="L761" s="12" t="inlineStr">
        <is>
          <t>C9 armado de ruedas y manguera</t>
        </is>
      </c>
      <c r="M761" s="12" t="n"/>
      <c r="N761" s="25" t="inlineStr">
        <is>
          <t>P</t>
        </is>
      </c>
      <c r="O761" s="25" t="inlineStr">
        <is>
          <t>FL_DES_ABC_70kg</t>
        </is>
      </c>
      <c r="P761" s="12" t="n"/>
    </row>
    <row r="762">
      <c r="A762" s="25" t="inlineStr">
        <is>
          <t>FL_MAT_ABC_70kg</t>
        </is>
      </c>
      <c r="B762" s="25" t="n">
        <v>2</v>
      </c>
      <c r="C762" s="25" t="inlineStr">
        <is>
          <t>ABC70-25</t>
        </is>
      </c>
      <c r="D762" s="12" t="inlineStr">
        <is>
          <t xml:space="preserve">        Válvula esférica</t>
        </is>
      </c>
      <c r="E762" s="25" t="n">
        <v>1</v>
      </c>
      <c r="F762" s="25" t="inlineStr">
        <is>
          <t>u</t>
        </is>
      </c>
      <c r="G762" s="26" t="n">
        <v>0.4225</v>
      </c>
      <c r="H762" s="26">
        <f>E762*G762</f>
        <v/>
      </c>
      <c r="I762" s="25" t="inlineStr">
        <is>
          <t>Latón cromado</t>
        </is>
      </c>
      <c r="J762" s="12" t="inlineStr">
        <is>
          <t>130 × 60 × 40</t>
        </is>
      </c>
      <c r="K762" s="25" t="inlineStr">
        <is>
          <t>Compra</t>
        </is>
      </c>
      <c r="L762" s="12" t="inlineStr">
        <is>
          <t>C9 armado de ruedas y manguera</t>
        </is>
      </c>
      <c r="M762" s="12" t="n"/>
      <c r="N762" s="25" t="inlineStr">
        <is>
          <t>P</t>
        </is>
      </c>
      <c r="O762" s="25" t="inlineStr">
        <is>
          <t>FL_DES_ABC_70kg</t>
        </is>
      </c>
      <c r="P762" s="12" t="n"/>
    </row>
    <row r="763">
      <c r="A763" s="25" t="inlineStr">
        <is>
          <t>FL_MAT_ABC_70kg</t>
        </is>
      </c>
      <c r="B763" s="25" t="n">
        <v>2</v>
      </c>
      <c r="C763" s="25" t="inlineStr">
        <is>
          <t>ABC70-26</t>
        </is>
      </c>
      <c r="D763" s="12" t="inlineStr">
        <is>
          <t xml:space="preserve">        Tobera campana</t>
        </is>
      </c>
      <c r="E763" s="25" t="n">
        <v>1</v>
      </c>
      <c r="F763" s="25" t="inlineStr">
        <is>
          <t>u</t>
        </is>
      </c>
      <c r="G763" s="26" t="n">
        <v>0.07969999999999999</v>
      </c>
      <c r="H763" s="26">
        <f>E763*G763</f>
        <v/>
      </c>
      <c r="I763" s="25" t="inlineStr">
        <is>
          <t>Polipropileno</t>
        </is>
      </c>
      <c r="J763" s="12" t="inlineStr">
        <is>
          <t>200 × 68 × 68</t>
        </is>
      </c>
      <c r="K763" s="25" t="inlineStr">
        <is>
          <t>Compra</t>
        </is>
      </c>
      <c r="L763" s="12" t="inlineStr">
        <is>
          <t>C9 armado de ruedas y manguera</t>
        </is>
      </c>
      <c r="M763" s="12" t="n"/>
      <c r="N763" s="25" t="inlineStr">
        <is>
          <t>P</t>
        </is>
      </c>
      <c r="O763" s="25" t="inlineStr">
        <is>
          <t>FL_DES_ABC_70kg</t>
        </is>
      </c>
      <c r="P763" s="12" t="n"/>
    </row>
    <row r="764">
      <c r="A764" s="22" t="inlineStr">
        <is>
          <t>FL_MAT_ABC_70kg</t>
        </is>
      </c>
      <c r="B764" s="22" t="n">
        <v>1</v>
      </c>
      <c r="C764" s="22" t="inlineStr">
        <is>
          <t>ABC70-S4</t>
        </is>
      </c>
      <c r="D764" s="23" t="inlineStr">
        <is>
          <t xml:space="preserve">    Carro (bastidor y ruedas)</t>
        </is>
      </c>
      <c r="E764" s="22" t="n">
        <v>1</v>
      </c>
      <c r="F764" s="22" t="inlineStr">
        <is>
          <t>u</t>
        </is>
      </c>
      <c r="G764" s="24" t="n"/>
      <c r="H764" s="24">
        <f>H765+H766+H767+H768+H769+H770</f>
        <v/>
      </c>
      <c r="I764" s="22" t="n"/>
      <c r="J764" s="23" t="n"/>
      <c r="K764" s="22" t="inlineStr">
        <is>
          <t>Compra / armado</t>
        </is>
      </c>
      <c r="L764" s="23" t="n"/>
      <c r="M764" s="23" t="n"/>
      <c r="N764" s="22" t="inlineStr">
        <is>
          <t>P</t>
        </is>
      </c>
      <c r="O764" s="22" t="inlineStr">
        <is>
          <t>FL_DES_ABC_70kg</t>
        </is>
      </c>
      <c r="P764" s="23" t="n"/>
    </row>
    <row r="765">
      <c r="A765" s="25" t="inlineStr">
        <is>
          <t>FL_MAT_ABC_70kg</t>
        </is>
      </c>
      <c r="B765" s="25" t="n">
        <v>2</v>
      </c>
      <c r="C765" s="25" t="inlineStr">
        <is>
          <t>ABC70-05</t>
        </is>
      </c>
      <c r="D765" s="12" t="inlineStr">
        <is>
          <t xml:space="preserve">        Neumático macizo</t>
        </is>
      </c>
      <c r="E765" s="25" t="n">
        <v>2</v>
      </c>
      <c r="F765" s="25" t="inlineStr">
        <is>
          <t>u</t>
        </is>
      </c>
      <c r="G765" s="26" t="n">
        <v>3.8922</v>
      </c>
      <c r="H765" s="26">
        <f>E765*G765</f>
        <v/>
      </c>
      <c r="I765" s="25" t="inlineStr">
        <is>
          <t>Caucho</t>
        </is>
      </c>
      <c r="J765" s="12" t="inlineStr">
        <is>
          <t>Ø350 × 70 de ancho</t>
        </is>
      </c>
      <c r="K765" s="25" t="inlineStr">
        <is>
          <t>Compra</t>
        </is>
      </c>
      <c r="L765" s="12" t="inlineStr">
        <is>
          <t>C9 armado de ruedas y manguera (S-TC)</t>
        </is>
      </c>
      <c r="M765" s="12" t="n"/>
      <c r="N765" s="25" t="inlineStr">
        <is>
          <t>P</t>
        </is>
      </c>
      <c r="O765" s="25" t="inlineStr">
        <is>
          <t>FL_DES_ABC_70kg</t>
        </is>
      </c>
      <c r="P765" s="12" t="n"/>
    </row>
    <row r="766">
      <c r="A766" s="25" t="inlineStr">
        <is>
          <t>FL_MAT_ABC_70kg</t>
        </is>
      </c>
      <c r="B766" s="25" t="n">
        <v>2</v>
      </c>
      <c r="C766" s="25" t="inlineStr">
        <is>
          <t>ABC70-06</t>
        </is>
      </c>
      <c r="D766" s="12" t="inlineStr">
        <is>
          <t xml:space="preserve">        Llanta con cubo</t>
        </is>
      </c>
      <c r="E766" s="25" t="n">
        <v>2</v>
      </c>
      <c r="F766" s="25" t="inlineStr">
        <is>
          <t>u</t>
        </is>
      </c>
      <c r="G766" s="26" t="n">
        <v>4.0415</v>
      </c>
      <c r="H766" s="26">
        <f>E766*G766</f>
        <v/>
      </c>
      <c r="I766" s="25" t="inlineStr">
        <is>
          <t>Chapa acero SAE 1010</t>
        </is>
      </c>
      <c r="J766" s="12" t="inlineStr">
        <is>
          <t>Ø252 × 80 de ancho</t>
        </is>
      </c>
      <c r="K766" s="25" t="inlineStr">
        <is>
          <t>Compra</t>
        </is>
      </c>
      <c r="L766" s="12" t="inlineStr">
        <is>
          <t>C9 armado de ruedas y manguera (S-TC)</t>
        </is>
      </c>
      <c r="M766" s="12" t="n"/>
      <c r="N766" s="25" t="inlineStr">
        <is>
          <t>P</t>
        </is>
      </c>
      <c r="O766" s="25" t="inlineStr">
        <is>
          <t>FL_DES_ABC_70kg</t>
        </is>
      </c>
      <c r="P766" s="12" t="n"/>
    </row>
    <row r="767">
      <c r="A767" s="25" t="inlineStr">
        <is>
          <t>FL_MAT_ABC_70kg</t>
        </is>
      </c>
      <c r="B767" s="25" t="n">
        <v>2</v>
      </c>
      <c r="C767" s="25" t="inlineStr">
        <is>
          <t>ABC70-07</t>
        </is>
      </c>
      <c r="D767" s="12" t="inlineStr">
        <is>
          <t xml:space="preserve">        Eje de ruedas</t>
        </is>
      </c>
      <c r="E767" s="25" t="n">
        <v>1</v>
      </c>
      <c r="F767" s="25" t="inlineStr">
        <is>
          <t>u</t>
        </is>
      </c>
      <c r="G767" s="26" t="n">
        <v>1.7533</v>
      </c>
      <c r="H767" s="26">
        <f>E767*G767</f>
        <v/>
      </c>
      <c r="I767" s="25" t="inlineStr">
        <is>
          <t>Acero SAE 1045</t>
        </is>
      </c>
      <c r="J767" s="12" t="inlineStr">
        <is>
          <t>Ø25 × 455 de largo</t>
        </is>
      </c>
      <c r="K767" s="25" t="inlineStr">
        <is>
          <t>Compra</t>
        </is>
      </c>
      <c r="L767" s="12" t="inlineStr">
        <is>
          <t>C9 armado de ruedas y manguera (S-TC)</t>
        </is>
      </c>
      <c r="M767" s="12" t="n"/>
      <c r="N767" s="25" t="inlineStr">
        <is>
          <t>P</t>
        </is>
      </c>
      <c r="O767" s="25" t="inlineStr">
        <is>
          <t>FL_DES_ABC_70kg</t>
        </is>
      </c>
      <c r="P767" s="12" t="n"/>
    </row>
    <row r="768">
      <c r="A768" s="25" t="inlineStr">
        <is>
          <t>FL_MAT_ABC_70kg</t>
        </is>
      </c>
      <c r="B768" s="25" t="n">
        <v>2</v>
      </c>
      <c r="C768" s="25" t="inlineStr">
        <is>
          <t>ABC70-08</t>
        </is>
      </c>
      <c r="D768" s="12" t="inlineStr">
        <is>
          <t xml:space="preserve">        Bastidor</t>
        </is>
      </c>
      <c r="E768" s="25" t="n">
        <v>1</v>
      </c>
      <c r="F768" s="25" t="inlineStr">
        <is>
          <t>u</t>
        </is>
      </c>
      <c r="G768" s="26" t="n">
        <v>2.3771</v>
      </c>
      <c r="H768" s="26">
        <f>E768*G768</f>
        <v/>
      </c>
      <c r="I768" s="25" t="inlineStr">
        <is>
          <t>Caño acero SAE 1010 Ø25,4×1,6</t>
        </is>
      </c>
      <c r="J768" s="12" t="inlineStr">
        <is>
          <t>caño Ø25,4 × 1,6 × 2.490 de largo desarrollado</t>
        </is>
      </c>
      <c r="K768" s="25" t="inlineStr">
        <is>
          <t>Compra (estructura)</t>
        </is>
      </c>
      <c r="L768" s="12" t="inlineStr">
        <is>
          <t>C9 armado de ruedas y manguera (S-TC)</t>
        </is>
      </c>
      <c r="M768" s="12" t="n"/>
      <c r="N768" s="25" t="inlineStr">
        <is>
          <t>P</t>
        </is>
      </c>
      <c r="O768" s="25" t="inlineStr">
        <is>
          <t>FL_DES_ABC_70kg</t>
        </is>
      </c>
      <c r="P768" s="12" t="n"/>
    </row>
    <row r="769">
      <c r="A769" s="25" t="inlineStr">
        <is>
          <t>FL_MAT_ABC_70kg</t>
        </is>
      </c>
      <c r="B769" s="25" t="n">
        <v>2</v>
      </c>
      <c r="C769" s="25" t="inlineStr">
        <is>
          <t>ABC70-09</t>
        </is>
      </c>
      <c r="D769" s="12" t="inlineStr">
        <is>
          <t xml:space="preserve">        Sunchos de fijación</t>
        </is>
      </c>
      <c r="E769" s="25" t="n">
        <v>1</v>
      </c>
      <c r="F769" s="25" t="inlineStr">
        <is>
          <t>u</t>
        </is>
      </c>
      <c r="G769" s="26" t="n">
        <v>6.9304</v>
      </c>
      <c r="H769" s="26">
        <f>E769*G769</f>
        <v/>
      </c>
      <c r="I769" s="25" t="inlineStr">
        <is>
          <t>Planchuela acero SAE 1010</t>
        </is>
      </c>
      <c r="J769" s="12" t="inlineStr">
        <is>
          <t>525 × 507,4 × 405</t>
        </is>
      </c>
      <c r="K769" s="25" t="inlineStr">
        <is>
          <t>Compra (estructura)</t>
        </is>
      </c>
      <c r="L769" s="12" t="inlineStr">
        <is>
          <t>C9 armado de ruedas y manguera (S-TC)</t>
        </is>
      </c>
      <c r="M769" s="12" t="n"/>
      <c r="N769" s="25" t="inlineStr">
        <is>
          <t>P</t>
        </is>
      </c>
      <c r="O769" s="25" t="inlineStr">
        <is>
          <t>FL_DES_ABC_70kg</t>
        </is>
      </c>
      <c r="P769" s="12" t="n"/>
    </row>
    <row r="770">
      <c r="A770" s="25" t="inlineStr">
        <is>
          <t>FL_MAT_ABC_70kg</t>
        </is>
      </c>
      <c r="B770" s="25" t="n">
        <v>2</v>
      </c>
      <c r="C770" s="25" t="inlineStr">
        <is>
          <t>ABC70-10</t>
        </is>
      </c>
      <c r="D770" s="12" t="inlineStr">
        <is>
          <t xml:space="preserve">        Apoyo delantero</t>
        </is>
      </c>
      <c r="E770" s="25" t="n">
        <v>1</v>
      </c>
      <c r="F770" s="25" t="inlineStr">
        <is>
          <t>u</t>
        </is>
      </c>
      <c r="G770" s="26" t="n">
        <v>0.3022</v>
      </c>
      <c r="H770" s="26">
        <f>E770*G770</f>
        <v/>
      </c>
      <c r="I770" s="25" t="inlineStr">
        <is>
          <t>Chapa acero SAE 1010 plegada</t>
        </is>
      </c>
      <c r="J770" s="12" t="inlineStr">
        <is>
          <t>70 × 55 × 50</t>
        </is>
      </c>
      <c r="K770" s="25" t="inlineStr">
        <is>
          <t>Compra (estructura)</t>
        </is>
      </c>
      <c r="L770" s="12" t="inlineStr">
        <is>
          <t>C9 armado de ruedas y manguera (S-TC)</t>
        </is>
      </c>
      <c r="M770" s="12" t="n"/>
      <c r="N770" s="25" t="inlineStr">
        <is>
          <t>P</t>
        </is>
      </c>
      <c r="O770" s="25" t="inlineStr">
        <is>
          <t>FL_DES_ABC_70kg</t>
        </is>
      </c>
      <c r="P770" s="12" t="n"/>
    </row>
    <row r="771">
      <c r="A771" s="22" t="inlineStr">
        <is>
          <t>FL_MAT_ABC_70kg</t>
        </is>
      </c>
      <c r="B771" s="22" t="n">
        <v>1</v>
      </c>
      <c r="C771" s="22" t="inlineStr">
        <is>
          <t>ABC70-S5</t>
        </is>
      </c>
      <c r="D771" s="23" t="inlineStr">
        <is>
          <t xml:space="preserve">    Carga: agente extintor y gas impulsor</t>
        </is>
      </c>
      <c r="E771" s="22" t="n">
        <v>1</v>
      </c>
      <c r="F771" s="22" t="inlineStr">
        <is>
          <t>u</t>
        </is>
      </c>
      <c r="G771" s="24" t="n"/>
      <c r="H771" s="24">
        <f>H772+H773</f>
        <v/>
      </c>
      <c r="I771" s="22" t="n"/>
      <c r="J771" s="23" t="n"/>
      <c r="K771" s="22" t="inlineStr">
        <is>
          <t>Carga en planta</t>
        </is>
      </c>
      <c r="L771" s="23" t="inlineStr">
        <is>
          <t>18 Carga de polvo (T01) / C8 (T02)</t>
        </is>
      </c>
      <c r="M771" s="23" t="n"/>
      <c r="N771" s="22" t="n"/>
      <c r="O771" s="22" t="n"/>
      <c r="P771" s="23" t="n"/>
    </row>
    <row r="772">
      <c r="A772" s="25" t="inlineStr">
        <is>
          <t>FL_MAT_ABC_70kg</t>
        </is>
      </c>
      <c r="B772" s="25" t="n">
        <v>2</v>
      </c>
      <c r="C772" s="25" t="inlineStr">
        <is>
          <t>ABC70-A1</t>
        </is>
      </c>
      <c r="D772" s="12" t="inlineStr">
        <is>
          <t xml:space="preserve">        Polvo químico seco ABC 90 (Sello IRAM 3569, DEMSA)</t>
        </is>
      </c>
      <c r="E772" s="25" t="n">
        <v>70</v>
      </c>
      <c r="F772" s="25" t="inlineStr">
        <is>
          <t>kg</t>
        </is>
      </c>
      <c r="G772" s="26" t="n">
        <v>1</v>
      </c>
      <c r="H772" s="26">
        <f>E772*G772</f>
        <v/>
      </c>
      <c r="I772" s="25" t="inlineStr">
        <is>
          <t>Polvo químico seco ABC 90 (Sello IRAM 3569, DEMSA)</t>
        </is>
      </c>
      <c r="J772" s="12" t="inlineStr">
        <is>
          <t>nominal 70 kg; tolerancia ± 3 % (IRAM 3517-2:2020 tabla 3)</t>
        </is>
      </c>
      <c r="K772" s="25" t="inlineStr">
        <is>
          <t>Compra</t>
        </is>
      </c>
      <c r="L772" s="12" t="inlineStr">
        <is>
          <t>SP-1 almacén previo a la carga</t>
        </is>
      </c>
      <c r="M772" s="12" t="inlineStr">
        <is>
          <t>IRAM 3569</t>
        </is>
      </c>
      <c r="N772" s="25" t="inlineStr">
        <is>
          <t>N</t>
        </is>
      </c>
      <c r="O772" s="25" t="n"/>
      <c r="P772" s="12" t="inlineStr">
        <is>
          <t>MAP 90 % (banda 85,5-94,5 %) = 63 kg MAP + 4,9 kg sulfato de amonio + 2,1 kg aditivos · potencial - · Lote único por extintor; prohibido mezclar ABC con BC (3517-2 9.9.1.6)</t>
        </is>
      </c>
    </row>
    <row r="773">
      <c r="A773" s="25" t="inlineStr">
        <is>
          <t>FL_MAT_ABC_70kg</t>
        </is>
      </c>
      <c r="B773" s="25" t="n">
        <v>2</v>
      </c>
      <c r="C773" s="25" t="inlineStr">
        <is>
          <t>ABC70-A2</t>
        </is>
      </c>
      <c r="D773" s="12" t="inlineStr">
        <is>
          <t xml:space="preserve">        Gas impulsor: N₂</t>
        </is>
      </c>
      <c r="E773" s="25" t="n">
        <v>0.1418</v>
      </c>
      <c r="F773" s="25" t="inlineStr">
        <is>
          <t>kg</t>
        </is>
      </c>
      <c r="G773" s="26" t="n">
        <v>1</v>
      </c>
      <c r="H773" s="26">
        <f>E773*G773</f>
        <v/>
      </c>
      <c r="I773" s="25" t="inlineStr">
        <is>
          <t>N₂</t>
        </is>
      </c>
      <c r="J773" s="12" t="inlineStr">
        <is>
          <t>113,5 L normales para 1,4 MPa a 20 °C en 8,22 dm³ libres</t>
        </is>
      </c>
      <c r="K773" s="25" t="inlineStr">
        <is>
          <t>Compra</t>
        </is>
      </c>
      <c r="L773" s="12" t="inlineStr">
        <is>
          <t>20 Presurización (T05) / C10</t>
        </is>
      </c>
      <c r="M773" s="12" t="inlineStr">
        <is>
          <t>IRAM 3517-2 9.4.9 (tabla 2) · IRAM 3523 2.3 y 3.10</t>
        </is>
      </c>
      <c r="N773" s="25" t="inlineStr">
        <is>
          <t>C</t>
        </is>
      </c>
      <c r="O773" s="25" t="n"/>
      <c r="P773" s="12" t="inlineStr">
        <is>
          <t>VOLUMEN LIBRE INSUFICIENTE con ρ típica (8,22 dm³): ver Carga_N2 - exigir densidad aparente mínima al polvo o agrandar el recipiente</t>
        </is>
      </c>
    </row>
    <row r="774">
      <c r="A774" s="22" t="inlineStr">
        <is>
          <t>FL_MAT_ABC_70kg</t>
        </is>
      </c>
      <c r="B774" s="22" t="n">
        <v>1</v>
      </c>
      <c r="C774" s="22" t="inlineStr">
        <is>
          <t>ABC70-S6</t>
        </is>
      </c>
      <c r="D774" s="23" t="inlineStr">
        <is>
          <t xml:space="preserve">    Identificación y precinto</t>
        </is>
      </c>
      <c r="E774" s="22" t="n">
        <v>1</v>
      </c>
      <c r="F774" s="22" t="inlineStr">
        <is>
          <t>u</t>
        </is>
      </c>
      <c r="G774" s="24" t="n"/>
      <c r="H774" s="24">
        <f>H775+H776+H777+H778+H779</f>
        <v/>
      </c>
      <c r="I774" s="22" t="n"/>
      <c r="J774" s="23" t="n"/>
      <c r="K774" s="22" t="inlineStr">
        <is>
          <t>Compra</t>
        </is>
      </c>
      <c r="L774" s="23" t="inlineStr">
        <is>
          <t>22 Etiquetado (T07)</t>
        </is>
      </c>
      <c r="M774" s="23" t="n"/>
      <c r="N774" s="22" t="n"/>
      <c r="O774" s="22" t="n"/>
      <c r="P774" s="23" t="n"/>
    </row>
    <row r="775">
      <c r="A775" s="25" t="inlineStr">
        <is>
          <t>FL_MAT_ABC_70kg</t>
        </is>
      </c>
      <c r="B775" s="25" t="n">
        <v>2</v>
      </c>
      <c r="C775" s="25" t="inlineStr">
        <is>
          <t>ABC70-27</t>
        </is>
      </c>
      <c r="D775" s="12" t="inlineStr">
        <is>
          <t xml:space="preserve">        Placa de características</t>
        </is>
      </c>
      <c r="E775" s="25" t="n">
        <v>1</v>
      </c>
      <c r="F775" s="25" t="inlineStr">
        <is>
          <t>u</t>
        </is>
      </c>
      <c r="G775" s="26" t="n">
        <v>0.0218</v>
      </c>
      <c r="H775" s="26">
        <f>E775*G775</f>
        <v/>
      </c>
      <c r="I775" s="25" t="inlineStr">
        <is>
          <t>Vinilo autoadhesivo laminado</t>
        </is>
      </c>
      <c r="J775" s="12" t="inlineStr">
        <is>
          <t>330 × 157 (desarrollo × alto), e ≈ 0,3</t>
        </is>
      </c>
      <c r="K775" s="25" t="inlineStr">
        <is>
          <t>Compra</t>
        </is>
      </c>
      <c r="L775" s="12" t="inlineStr">
        <is>
          <t>22 Etiquetado (T07)</t>
        </is>
      </c>
      <c r="M775" s="12" t="inlineStr">
        <is>
          <t>IRAM 3534 · IRAM 3550 cap. 5</t>
        </is>
      </c>
      <c r="N775" s="25" t="inlineStr">
        <is>
          <t>P</t>
        </is>
      </c>
      <c r="O775" s="25" t="inlineStr">
        <is>
          <t>FL_DES_ABC_70kg</t>
        </is>
      </c>
      <c r="P775" s="12" t="inlineStr">
        <is>
          <t>IRAM 3534</t>
        </is>
      </c>
    </row>
    <row r="776">
      <c r="A776" s="25" t="inlineStr">
        <is>
          <t>FL_MAT_ABC_70kg</t>
        </is>
      </c>
      <c r="B776" s="25" t="n">
        <v>2</v>
      </c>
      <c r="C776" s="25" t="inlineStr">
        <is>
          <t>ABC70-28</t>
        </is>
      </c>
      <c r="D776" s="12" t="inlineStr">
        <is>
          <t xml:space="preserve">        Oblea de fabricación (PBA)</t>
        </is>
      </c>
      <c r="E776" s="25" t="n">
        <v>1</v>
      </c>
      <c r="F776" s="25" t="inlineStr">
        <is>
          <t>u</t>
        </is>
      </c>
      <c r="G776" s="26" t="n">
        <v>0.0009</v>
      </c>
      <c r="H776" s="26">
        <f>E776*G776</f>
        <v/>
      </c>
      <c r="I776" s="25" t="inlineStr">
        <is>
          <t>Papel de seguridad autodestructible</t>
        </is>
      </c>
      <c r="J776" s="12" t="inlineStr">
        <is>
          <t>Ø46 (Res. OPDS 522/07), numerada, autodestructible</t>
        </is>
      </c>
      <c r="K776" s="25" t="inlineStr">
        <is>
          <t>Compra</t>
        </is>
      </c>
      <c r="L776" s="12" t="inlineStr">
        <is>
          <t>22 Etiquetado (T07)</t>
        </is>
      </c>
      <c r="M776" s="12" t="inlineStr">
        <is>
          <t>Res. OPDS 522/07 anexos 1, 2 y 6</t>
        </is>
      </c>
      <c r="N776" s="25" t="inlineStr">
        <is>
          <t>P</t>
        </is>
      </c>
      <c r="O776" s="25" t="inlineStr">
        <is>
          <t>FL_DES_ABC_70kg</t>
        </is>
      </c>
      <c r="P776" s="12" t="inlineStr">
        <is>
          <t>Res. 522/07</t>
        </is>
      </c>
    </row>
    <row r="777">
      <c r="A777" s="25" t="inlineStr">
        <is>
          <t>FL_MAT_ABC_70kg</t>
        </is>
      </c>
      <c r="B777" s="25" t="n">
        <v>2</v>
      </c>
      <c r="C777" s="25" t="inlineStr">
        <is>
          <t>ABC70-29</t>
        </is>
      </c>
      <c r="D777" s="12" t="inlineStr">
        <is>
          <t xml:space="preserve">        Estampilla IRAM de conformidad</t>
        </is>
      </c>
      <c r="E777" s="25" t="n">
        <v>1</v>
      </c>
      <c r="F777" s="25" t="inlineStr">
        <is>
          <t>u</t>
        </is>
      </c>
      <c r="G777" s="26" t="n">
        <v>0.001</v>
      </c>
      <c r="H777" s="26">
        <f>E777*G777</f>
        <v/>
      </c>
      <c r="I777" s="25" t="inlineStr">
        <is>
          <t>Provista por IRAM (Anexo R)</t>
        </is>
      </c>
      <c r="J777" s="12" t="inlineStr">
        <is>
          <t>60 × 40</t>
        </is>
      </c>
      <c r="K777" s="25" t="inlineStr">
        <is>
          <t>Compra</t>
        </is>
      </c>
      <c r="L777" s="12" t="inlineStr">
        <is>
          <t>22 Etiquetado (T07)</t>
        </is>
      </c>
      <c r="M777" s="12" t="inlineStr">
        <is>
          <t>IRAM Anexo R (DC-PG-129)</t>
        </is>
      </c>
      <c r="N777" s="25" t="inlineStr">
        <is>
          <t>P</t>
        </is>
      </c>
      <c r="O777" s="25" t="inlineStr">
        <is>
          <t>FL_DES_ABC_70kg</t>
        </is>
      </c>
      <c r="P777" s="12" t="inlineStr">
        <is>
          <t>numerada</t>
        </is>
      </c>
    </row>
    <row r="778">
      <c r="A778" s="25" t="inlineStr">
        <is>
          <t>FL_MAT_ABC_70kg</t>
        </is>
      </c>
      <c r="B778" s="25" t="n">
        <v>2</v>
      </c>
      <c r="C778" s="25" t="inlineStr">
        <is>
          <t>ABC70-31</t>
        </is>
      </c>
      <c r="D778" s="12" t="inlineStr">
        <is>
          <t xml:space="preserve">        Precinto de fábrica</t>
        </is>
      </c>
      <c r="E778" s="25" t="n">
        <v>1</v>
      </c>
      <c r="F778" s="25" t="inlineStr">
        <is>
          <t>u</t>
        </is>
      </c>
      <c r="G778" s="26" t="n">
        <v>0.0002</v>
      </c>
      <c r="H778" s="26">
        <f>E778*G778</f>
        <v/>
      </c>
      <c r="I778" s="25" t="inlineStr">
        <is>
          <t>Polipropileno</t>
        </is>
      </c>
      <c r="J778" s="12" t="inlineStr">
        <is>
          <t>Ø5 × 10, numerado, rotura 30-50 N</t>
        </is>
      </c>
      <c r="K778" s="25" t="inlineStr">
        <is>
          <t>Compra</t>
        </is>
      </c>
      <c r="L778" s="12" t="inlineStr">
        <is>
          <t>20 Presurización (T05)</t>
        </is>
      </c>
      <c r="M778" s="12" t="inlineStr">
        <is>
          <t>IRAM 3523 3.3.2 · IRAM 3517-2:2020 9.4.13</t>
        </is>
      </c>
      <c r="N778" s="25" t="inlineStr">
        <is>
          <t>P</t>
        </is>
      </c>
      <c r="O778" s="25" t="inlineStr">
        <is>
          <t>FL_DES_ABC_70kg</t>
        </is>
      </c>
      <c r="P778" s="12" t="inlineStr">
        <is>
          <t>id. FLAMA y lote</t>
        </is>
      </c>
    </row>
    <row r="779">
      <c r="A779" s="25" t="inlineStr">
        <is>
          <t>FL_MAT_ABC_70kg</t>
        </is>
      </c>
      <c r="B779" s="25" t="n">
        <v>2</v>
      </c>
      <c r="C779" s="25" t="inlineStr">
        <is>
          <t>ABC70-I3</t>
        </is>
      </c>
      <c r="D779" s="12" t="inlineStr">
        <is>
          <t xml:space="preserve">        Tarjeta oficial de vigencia (CABA)</t>
        </is>
      </c>
      <c r="E779" s="25" t="n">
        <v>1</v>
      </c>
      <c r="F779" s="25" t="inlineStr">
        <is>
          <t>u</t>
        </is>
      </c>
      <c r="G779" s="26" t="n">
        <v>0.002</v>
      </c>
      <c r="H779" s="26">
        <f>E779*G779</f>
        <v/>
      </c>
      <c r="I779" s="25" t="inlineStr">
        <is>
          <t>Formulario oficial</t>
        </is>
      </c>
      <c r="J779" s="12" t="inlineStr">
        <is>
          <t>provista por DG Rentas GCBA</t>
        </is>
      </c>
      <c r="K779" s="25" t="inlineStr">
        <is>
          <t>Compra</t>
        </is>
      </c>
      <c r="L779" s="12" t="inlineStr">
        <is>
          <t>22 Etiquetado</t>
        </is>
      </c>
      <c r="M779" s="12" t="inlineStr">
        <is>
          <t>Ordenanza 40.473 art. 6</t>
        </is>
      </c>
      <c r="N779" s="25" t="inlineStr">
        <is>
          <t>N</t>
        </is>
      </c>
      <c r="O779" s="25" t="n"/>
      <c r="P779" s="12" t="inlineStr">
        <is>
          <t>Clase, capacidad, fecha de carga y vencimiento, garantía; se anexa al matafuego (no se dibuja)</t>
        </is>
      </c>
    </row>
    <row r="780">
      <c r="A780" s="22" t="inlineStr">
        <is>
          <t>FL_MAT_ABC_70kg</t>
        </is>
      </c>
      <c r="B780" s="22" t="n">
        <v>1</v>
      </c>
      <c r="C780" s="22" t="inlineStr">
        <is>
          <t>ABC70-S7</t>
        </is>
      </c>
      <c r="D780" s="23" t="inlineStr">
        <is>
          <t xml:space="preserve">    Embalaje</t>
        </is>
      </c>
      <c r="E780" s="22" t="n">
        <v>1</v>
      </c>
      <c r="F780" s="22" t="inlineStr">
        <is>
          <t>u</t>
        </is>
      </c>
      <c r="G780" s="24" t="n"/>
      <c r="H780" s="24">
        <f>H781+H782+H783+H784</f>
        <v/>
      </c>
      <c r="I780" s="22" t="n"/>
      <c r="J780" s="23" t="n"/>
      <c r="K780" s="22" t="inlineStr">
        <is>
          <t>Compra</t>
        </is>
      </c>
      <c r="L780" s="23" t="inlineStr">
        <is>
          <t>23 Embalaje -&gt; 24 envolvedora (T11)</t>
        </is>
      </c>
      <c r="M780" s="23" t="n"/>
      <c r="N780" s="22" t="n"/>
      <c r="O780" s="22" t="n"/>
      <c r="P780" s="23" t="n"/>
    </row>
    <row r="781">
      <c r="A781" s="25" t="inlineStr">
        <is>
          <t>FL_MAT_ABC_70kg</t>
        </is>
      </c>
      <c r="B781" s="25" t="n">
        <v>2</v>
      </c>
      <c r="C781" s="25" t="inlineStr">
        <is>
          <t>ABC70-E1</t>
        </is>
      </c>
      <c r="D781" s="12" t="inlineStr">
        <is>
          <t xml:space="preserve">        Esquineros y funda de polietileno</t>
        </is>
      </c>
      <c r="E781" s="25" t="n">
        <v>1</v>
      </c>
      <c r="F781" s="25" t="inlineStr">
        <is>
          <t>jgo</t>
        </is>
      </c>
      <c r="G781" s="26" t="n">
        <v>0.3</v>
      </c>
      <c r="H781" s="26">
        <f>E781*G781</f>
        <v/>
      </c>
      <c r="I781" s="25" t="inlineStr">
        <is>
          <t>PE / cartón</t>
        </is>
      </c>
      <c r="J781" s="12" t="inlineStr">
        <is>
          <t>a medida</t>
        </is>
      </c>
      <c r="K781" s="25" t="inlineStr">
        <is>
          <t>Compra</t>
        </is>
      </c>
      <c r="L781" s="12" t="inlineStr">
        <is>
          <t>23 Embalaje</t>
        </is>
      </c>
      <c r="M781" s="12" t="n"/>
      <c r="N781" s="25" t="inlineStr">
        <is>
          <t>R</t>
        </is>
      </c>
      <c r="O781" s="25" t="n"/>
      <c r="P781" s="12" t="n"/>
    </row>
    <row r="782">
      <c r="A782" s="25" t="inlineStr">
        <is>
          <t>FL_MAT_ABC_70kg</t>
        </is>
      </c>
      <c r="B782" s="25" t="n">
        <v>2</v>
      </c>
      <c r="C782" s="25" t="inlineStr">
        <is>
          <t>ABC70-E3</t>
        </is>
      </c>
      <c r="D782" s="12" t="inlineStr">
        <is>
          <t xml:space="preserve">        Pallet 1200 × 1000 (fracción)</t>
        </is>
      </c>
      <c r="E782" s="25" t="n">
        <v>0.5</v>
      </c>
      <c r="F782" s="25" t="inlineStr">
        <is>
          <t>u</t>
        </is>
      </c>
      <c r="G782" s="26" t="n">
        <v>11</v>
      </c>
      <c r="H782" s="26">
        <f>E782*G782</f>
        <v/>
      </c>
      <c r="I782" s="25" t="inlineStr">
        <is>
          <t>Madera</t>
        </is>
      </c>
      <c r="J782" s="12" t="inlineStr">
        <is>
          <t>2 u por pallet</t>
        </is>
      </c>
      <c r="K782" s="25" t="inlineStr">
        <is>
          <t>Compra</t>
        </is>
      </c>
      <c r="L782" s="12" t="inlineStr">
        <is>
          <t>23 Embalaje</t>
        </is>
      </c>
      <c r="M782" s="12" t="n"/>
      <c r="N782" s="25" t="inlineStr">
        <is>
          <t>R</t>
        </is>
      </c>
      <c r="O782" s="25" t="n"/>
      <c r="P782" s="12" t="n"/>
    </row>
    <row r="783">
      <c r="A783" s="25" t="inlineStr">
        <is>
          <t>FL_MAT_ABC_70kg</t>
        </is>
      </c>
      <c r="B783" s="25" t="n">
        <v>2</v>
      </c>
      <c r="C783" s="25" t="inlineStr">
        <is>
          <t>ABC70-E4</t>
        </is>
      </c>
      <c r="D783" s="12" t="inlineStr">
        <is>
          <t xml:space="preserve">        Film stretch (fracción del pallet)</t>
        </is>
      </c>
      <c r="E783" s="25" t="n">
        <v>0.175</v>
      </c>
      <c r="F783" s="25" t="inlineStr">
        <is>
          <t>kg</t>
        </is>
      </c>
      <c r="G783" s="26" t="n">
        <v>1</v>
      </c>
      <c r="H783" s="26">
        <f>E783*G783</f>
        <v/>
      </c>
      <c r="I783" s="25" t="inlineStr">
        <is>
          <t>PE lineal 23 µm</t>
        </is>
      </c>
      <c r="J783" s="12" t="inlineStr">
        <is>
          <t>envolvedora EDOS PS5</t>
        </is>
      </c>
      <c r="K783" s="25" t="inlineStr">
        <is>
          <t>Compra</t>
        </is>
      </c>
      <c r="L783" s="12" t="inlineStr">
        <is>
          <t>24 Envolvedora (T11)</t>
        </is>
      </c>
      <c r="M783" s="12" t="n"/>
      <c r="N783" s="25" t="inlineStr">
        <is>
          <t>R</t>
        </is>
      </c>
      <c r="O783" s="25" t="n"/>
      <c r="P783" s="12" t="n"/>
    </row>
    <row r="784">
      <c r="A784" s="25" t="inlineStr">
        <is>
          <t>FL_MAT_ABC_70kg</t>
        </is>
      </c>
      <c r="B784" s="25" t="n">
        <v>2</v>
      </c>
      <c r="C784" s="25" t="inlineStr">
        <is>
          <t>ABC70-E5</t>
        </is>
      </c>
      <c r="D784" s="12" t="inlineStr">
        <is>
          <t xml:space="preserve">        Etiqueta de pallet (lote y destino, fracción)</t>
        </is>
      </c>
      <c r="E784" s="25" t="n">
        <v>0.5</v>
      </c>
      <c r="F784" s="25" t="inlineStr">
        <is>
          <t>u</t>
        </is>
      </c>
      <c r="G784" s="26" t="n">
        <v>0</v>
      </c>
      <c r="H784" s="26">
        <f>E784*G784</f>
        <v/>
      </c>
      <c r="I784" s="25" t="inlineStr">
        <is>
          <t>Papel térmico</t>
        </is>
      </c>
      <c r="J784" s="12" t="inlineStr">
        <is>
          <t>100 × 150</t>
        </is>
      </c>
      <c r="K784" s="25" t="inlineStr">
        <is>
          <t>Compra</t>
        </is>
      </c>
      <c r="L784" s="12" t="inlineStr">
        <is>
          <t>24 Envolvedora</t>
        </is>
      </c>
      <c r="M784" s="12" t="n"/>
      <c r="N784" s="25" t="inlineStr">
        <is>
          <t>R</t>
        </is>
      </c>
      <c r="O784" s="25" t="n"/>
      <c r="P784" s="12" t="n"/>
    </row>
    <row r="785">
      <c r="A785" s="19" t="inlineStr">
        <is>
          <t>FL_MAT_ABC_100kg</t>
        </is>
      </c>
      <c r="B785" s="19" t="n">
        <v>0</v>
      </c>
      <c r="C785" s="19" t="inlineStr">
        <is>
          <t>FL_MAT_ABC_100kg</t>
        </is>
      </c>
      <c r="D785" s="20" t="inlineStr">
        <is>
          <t>Extintor ABC 100 kg sobre ruedas</t>
        </is>
      </c>
      <c r="E785" s="19" t="n">
        <v>1</v>
      </c>
      <c r="F785" s="19" t="inlineStr">
        <is>
          <t>u</t>
        </is>
      </c>
      <c r="G785" s="21" t="n"/>
      <c r="H785" s="21" t="n"/>
      <c r="I785" s="19" t="n"/>
      <c r="J785" s="20" t="n"/>
      <c r="K785" s="19" t="n"/>
      <c r="L785" s="20" t="n"/>
      <c r="M785" s="20" t="inlineStr">
        <is>
          <t>IRAM 3550</t>
        </is>
      </c>
      <c r="N785" s="19" t="inlineStr">
        <is>
          <t>P</t>
        </is>
      </c>
      <c r="O785" s="19" t="inlineStr">
        <is>
          <t>FL_MAT_ABC_100kg</t>
        </is>
      </c>
      <c r="P785" s="20" t="inlineStr">
        <is>
          <t>Fabricación propia</t>
        </is>
      </c>
    </row>
    <row r="786">
      <c r="A786" s="22" t="inlineStr">
        <is>
          <t>FL_MAT_ABC_100kg</t>
        </is>
      </c>
      <c r="B786" s="22" t="n">
        <v>1</v>
      </c>
      <c r="C786" s="22" t="inlineStr">
        <is>
          <t>FL_REC_ABC_100kg</t>
        </is>
      </c>
      <c r="D786" s="23" t="inlineStr">
        <is>
          <t xml:space="preserve">    Recipiente (cilindro)</t>
        </is>
      </c>
      <c r="E786" s="22" t="n">
        <v>1</v>
      </c>
      <c r="F786" s="22" t="inlineStr">
        <is>
          <t>u</t>
        </is>
      </c>
      <c r="G786" s="24" t="n"/>
      <c r="H786" s="24">
        <f>H787+H789+H790+H791+H793+H796</f>
        <v/>
      </c>
      <c r="I786" s="22" t="n"/>
      <c r="J786" s="23" t="n"/>
      <c r="K786" s="22" t="inlineStr">
        <is>
          <t>Fabricación</t>
        </is>
      </c>
      <c r="L786" s="23" t="n"/>
      <c r="M786" s="23" t="inlineStr">
        <is>
          <t>IRAM 3523 / 3550 (recipiente)</t>
        </is>
      </c>
      <c r="N786" s="22" t="inlineStr">
        <is>
          <t>P</t>
        </is>
      </c>
      <c r="O786" s="22" t="inlineStr">
        <is>
          <t>FL_REC_ABC_100kg</t>
        </is>
      </c>
      <c r="P786" s="23" t="n"/>
    </row>
    <row r="787">
      <c r="A787" s="25" t="inlineStr">
        <is>
          <t>FL_MAT_ABC_100kg</t>
        </is>
      </c>
      <c r="B787" s="25" t="n">
        <v>2</v>
      </c>
      <c r="C787" s="25" t="inlineStr">
        <is>
          <t>ABC100-01</t>
        </is>
      </c>
      <c r="D787" s="12" t="inlineStr">
        <is>
          <t xml:space="preserve">        Cuerpo (virola)</t>
        </is>
      </c>
      <c r="E787" s="25" t="n">
        <v>1</v>
      </c>
      <c r="F787" s="25" t="inlineStr">
        <is>
          <t>u</t>
        </is>
      </c>
      <c r="G787" s="26" t="n">
        <v>23.5073</v>
      </c>
      <c r="H787" s="26">
        <f>E787*G787</f>
        <v/>
      </c>
      <c r="I787" s="25" t="inlineStr">
        <is>
          <t>Chapa acero SAE 1010 e=3,2</t>
        </is>
      </c>
      <c r="J787" s="12" t="inlineStr">
        <is>
          <t>Ø390 × e3,2 × 770,1 de alto; desarrollo 1.215,2 × 770,1</t>
        </is>
      </c>
      <c r="K787" s="25" t="inlineStr">
        <is>
          <t>Fabricación</t>
        </is>
      </c>
      <c r="L787" s="12" t="inlineStr">
        <is>
          <t>1 Guillotina -&gt; C1 cilindrado -&gt; C2 punteo -&gt; C3 sold. long.</t>
        </is>
      </c>
      <c r="M787" s="12" t="n"/>
      <c r="N787" s="25" t="inlineStr">
        <is>
          <t>P</t>
        </is>
      </c>
      <c r="O787" s="25" t="inlineStr">
        <is>
          <t>FL_DES_ABC_100kg</t>
        </is>
      </c>
      <c r="P787" s="12" t="inlineStr">
        <is>
          <t>costura long. MIG</t>
        </is>
      </c>
    </row>
    <row r="788">
      <c r="A788" s="27" t="inlineStr">
        <is>
          <t>FL_MAT_ABC_100kg</t>
        </is>
      </c>
      <c r="B788" s="27" t="n">
        <v>3</v>
      </c>
      <c r="C788" s="27" t="inlineStr">
        <is>
          <t>MP-HOJA</t>
        </is>
      </c>
      <c r="D788" s="28" t="inlineStr">
        <is>
          <t xml:space="preserve">            Recorte de hoja LAC 1500 × 3000 e=4,75</t>
        </is>
      </c>
      <c r="E788" s="27" t="n">
        <v>1</v>
      </c>
      <c r="F788" s="27" t="inlineStr">
        <is>
          <t>u</t>
        </is>
      </c>
      <c r="G788" s="29" t="n">
        <v>55.947</v>
      </c>
      <c r="H788" s="29">
        <f>E788*G788</f>
        <v/>
      </c>
      <c r="I788" s="27" t="inlineStr">
        <is>
          <t>Chapa SAE 1010 LAC</t>
        </is>
      </c>
      <c r="J788" s="28" t="inlineStr">
        <is>
          <t>900 × 1.212 (aprovech. 72,7 %)</t>
        </is>
      </c>
      <c r="K788" s="27" t="inlineStr">
        <is>
          <t>Compra (Pradecon)</t>
        </is>
      </c>
      <c r="L788" s="28" t="inlineStr">
        <is>
          <t>AL-1H paquetes de hojas</t>
        </is>
      </c>
      <c r="M788" s="28" t="n"/>
      <c r="N788" s="27" t="inlineStr">
        <is>
          <t>L</t>
        </is>
      </c>
      <c r="O788" s="27" t="inlineStr">
        <is>
          <t>FL_PI_04 h2</t>
        </is>
      </c>
      <c r="P788" s="28" t="inlineStr">
        <is>
          <t>OJO: la hoja de corte usa e=4,75 y el plano e=3,2</t>
        </is>
      </c>
    </row>
    <row r="789">
      <c r="A789" s="25" t="inlineStr">
        <is>
          <t>FL_MAT_ABC_100kg</t>
        </is>
      </c>
      <c r="B789" s="25" t="n">
        <v>2</v>
      </c>
      <c r="C789" s="25" t="inlineStr">
        <is>
          <t>ABC100-02</t>
        </is>
      </c>
      <c r="D789" s="12" t="inlineStr">
        <is>
          <t xml:space="preserve">        Cúpula</t>
        </is>
      </c>
      <c r="E789" s="25" t="n">
        <v>1</v>
      </c>
      <c r="F789" s="25" t="inlineStr">
        <is>
          <t>u</t>
        </is>
      </c>
      <c r="G789" s="26" t="n">
        <v>4.3435</v>
      </c>
      <c r="H789" s="26">
        <f>E789*G789</f>
        <v/>
      </c>
      <c r="I789" s="25" t="inlineStr">
        <is>
          <t>Chapa acero SAE 1010 e=3,2</t>
        </is>
      </c>
      <c r="J789" s="12" t="inlineStr">
        <is>
          <t>Ø390 × e3,2 × 125,2 de alto; disco Ø483,3</t>
        </is>
      </c>
      <c r="K789" s="25" t="inlineStr">
        <is>
          <t>Compra</t>
        </is>
      </c>
      <c r="L789" s="12" t="inlineStr">
        <is>
          <t>Compra (casquetes de carros, rack RK1)</t>
        </is>
      </c>
      <c r="M789" s="12" t="n"/>
      <c r="N789" s="25" t="inlineStr">
        <is>
          <t>P</t>
        </is>
      </c>
      <c r="O789" s="25" t="inlineStr">
        <is>
          <t>FL_DES_ABC_100kg</t>
        </is>
      </c>
      <c r="P789" s="12" t="inlineStr">
        <is>
          <t>embutida</t>
        </is>
      </c>
    </row>
    <row r="790">
      <c r="A790" s="25" t="inlineStr">
        <is>
          <t>FL_MAT_ABC_100kg</t>
        </is>
      </c>
      <c r="B790" s="25" t="n">
        <v>2</v>
      </c>
      <c r="C790" s="25" t="inlineStr">
        <is>
          <t>ABC100-03</t>
        </is>
      </c>
      <c r="D790" s="12" t="inlineStr">
        <is>
          <t xml:space="preserve">        Fondo</t>
        </is>
      </c>
      <c r="E790" s="25" t="n">
        <v>1</v>
      </c>
      <c r="F790" s="25" t="inlineStr">
        <is>
          <t>u</t>
        </is>
      </c>
      <c r="G790" s="26" t="n">
        <v>4.645</v>
      </c>
      <c r="H790" s="26">
        <f>E790*G790</f>
        <v/>
      </c>
      <c r="I790" s="25" t="inlineStr">
        <is>
          <t>Chapa acero SAE 1010 e=3,2</t>
        </is>
      </c>
      <c r="J790" s="12" t="inlineStr">
        <is>
          <t>Ø390 × e3,2 × 127,9 de alto; disco Ø499,8</t>
        </is>
      </c>
      <c r="K790" s="25" t="inlineStr">
        <is>
          <t>Compra</t>
        </is>
      </c>
      <c r="L790" s="12" t="inlineStr">
        <is>
          <t>Compra (casquetes de carros, rack RK1)</t>
        </is>
      </c>
      <c r="M790" s="12" t="n"/>
      <c r="N790" s="25" t="inlineStr">
        <is>
          <t>P</t>
        </is>
      </c>
      <c r="O790" s="25" t="inlineStr">
        <is>
          <t>FL_DES_ABC_100kg</t>
        </is>
      </c>
      <c r="P790" s="12" t="inlineStr">
        <is>
          <t>embutido</t>
        </is>
      </c>
    </row>
    <row r="791">
      <c r="A791" s="25" t="inlineStr">
        <is>
          <t>FL_MAT_ABC_100kg</t>
        </is>
      </c>
      <c r="B791" s="25" t="n">
        <v>2</v>
      </c>
      <c r="C791" s="25" t="inlineStr">
        <is>
          <t>ABC100-04</t>
        </is>
      </c>
      <c r="D791" s="12" t="inlineStr">
        <is>
          <t xml:space="preserve">        Cuello roscado</t>
        </is>
      </c>
      <c r="E791" s="25" t="n">
        <v>1</v>
      </c>
      <c r="F791" s="25" t="inlineStr">
        <is>
          <t>u</t>
        </is>
      </c>
      <c r="G791" s="26" t="n">
        <v>0.6084000000000001</v>
      </c>
      <c r="H791" s="26">
        <f>E791*G791</f>
        <v/>
      </c>
      <c r="I791" s="25" t="inlineStr">
        <is>
          <t>Acero SAE 1010</t>
        </is>
      </c>
      <c r="J791" s="12" t="inlineStr">
        <is>
          <t>Ø88 × 37 de alto, rosca RBSP 2 1/2"-11 h, asiento Ø80</t>
        </is>
      </c>
      <c r="K791" s="25" t="inlineStr">
        <is>
          <t>Fabricación</t>
        </is>
      </c>
      <c r="L791" s="12" t="inlineStr">
        <is>
          <t>C2 punteo</t>
        </is>
      </c>
      <c r="M791" s="12" t="n"/>
      <c r="N791" s="25" t="inlineStr">
        <is>
          <t>P</t>
        </is>
      </c>
      <c r="O791" s="25" t="inlineStr">
        <is>
          <t>FL_DES_ABC_100kg</t>
        </is>
      </c>
      <c r="P791" s="12" t="inlineStr">
        <is>
          <t>RBSP 2 1/2"-11 h</t>
        </is>
      </c>
    </row>
    <row r="792">
      <c r="A792" s="27" t="inlineStr">
        <is>
          <t>FL_MAT_ABC_100kg</t>
        </is>
      </c>
      <c r="B792" s="27" t="n">
        <v>3</v>
      </c>
      <c r="C792" s="27" t="inlineStr">
        <is>
          <t>MP-CUELLO</t>
        </is>
      </c>
      <c r="D792" s="28" t="inlineStr">
        <is>
          <t xml:space="preserve">            Cuello roscado mecanizado (pieza comprada lista para soldar)</t>
        </is>
      </c>
      <c r="E792" s="27" t="n">
        <v>1</v>
      </c>
      <c r="F792" s="27" t="inlineStr">
        <is>
          <t>u</t>
        </is>
      </c>
      <c r="G792" s="29" t="n">
        <v>0.608</v>
      </c>
      <c r="H792" s="29">
        <f>E792*G792</f>
        <v/>
      </c>
      <c r="I792" s="27" t="inlineStr">
        <is>
          <t>Acero SAE 1010 / 1020</t>
        </is>
      </c>
      <c r="J792" s="28" t="inlineStr">
        <is>
          <t>rosca RBSP 2 1/2"-11 h</t>
        </is>
      </c>
      <c r="K792" s="27" t="inlineStr">
        <is>
          <t>Compra (Eli-Met)</t>
        </is>
      </c>
      <c r="L792" s="28" t="inlineStr">
        <is>
          <t>AL-1C cuellos y roscas</t>
        </is>
      </c>
      <c r="M792" s="28" t="n"/>
      <c r="N792" s="27" t="inlineStr">
        <is>
          <t>L</t>
        </is>
      </c>
      <c r="O792" s="27" t="n"/>
      <c r="P792" s="28" t="n"/>
    </row>
    <row r="793">
      <c r="A793" s="25" t="inlineStr">
        <is>
          <t>FL_MAT_ABC_100kg</t>
        </is>
      </c>
      <c r="B793" s="25" t="n">
        <v>2</v>
      </c>
      <c r="C793" s="25" t="inlineStr">
        <is>
          <t>ABC100-C1</t>
        </is>
      </c>
      <c r="D793" s="12" t="inlineStr">
        <is>
          <t xml:space="preserve">        Aporte de soldadura: Alambre MAG ER70S-6 Ø0,9/1,2</t>
        </is>
      </c>
      <c r="E793" s="25" t="n">
        <v>0.5256999999999999</v>
      </c>
      <c r="F793" s="25" t="inlineStr">
        <is>
          <t>kg</t>
        </is>
      </c>
      <c r="G793" s="26" t="n">
        <v>0.92</v>
      </c>
      <c r="H793" s="26">
        <f>E793*G793</f>
        <v/>
      </c>
      <c r="I793" s="25" t="inlineStr">
        <is>
          <t>Alambre MAG ER70S-6 Ø0,9/1,2</t>
        </is>
      </c>
      <c r="J793" s="12" t="inlineStr">
        <is>
          <t>cordones del plano: 484 g depositados (rend. 92 %)</t>
        </is>
      </c>
      <c r="K793" s="25" t="inlineStr">
        <is>
          <t>Compra</t>
        </is>
      </c>
      <c r="L793" s="12" t="inlineStr">
        <is>
          <t>4 sold. long. / 8 cuello / 11 circunferencial</t>
        </is>
      </c>
      <c r="M793" s="12" t="inlineStr">
        <is>
          <t>ISO 4063 131 / 141</t>
        </is>
      </c>
      <c r="N793" s="25" t="inlineStr">
        <is>
          <t>P</t>
        </is>
      </c>
      <c r="O793" s="25" t="n"/>
      <c r="P793" s="12" t="n"/>
    </row>
    <row r="794">
      <c r="A794" s="25" t="inlineStr">
        <is>
          <t>FL_MAT_ABC_100kg</t>
        </is>
      </c>
      <c r="B794" s="25" t="n">
        <v>2</v>
      </c>
      <c r="C794" s="25" t="inlineStr">
        <is>
          <t>ABC100-C2</t>
        </is>
      </c>
      <c r="D794" s="12" t="inlineStr">
        <is>
          <t xml:space="preserve">        Gas de protección: Arcal 21 (Ar + 18 % CO₂)</t>
        </is>
      </c>
      <c r="E794" s="25" t="n">
        <v>236.6</v>
      </c>
      <c r="F794" s="25" t="inlineStr">
        <is>
          <t>L</t>
        </is>
      </c>
      <c r="G794" s="26" t="n"/>
      <c r="H794" s="26" t="n"/>
      <c r="I794" s="25" t="inlineStr">
        <is>
          <t>Arcal 21 (Ar + 18 % CO₂)</t>
        </is>
      </c>
      <c r="J794" s="12" t="inlineStr">
        <is>
          <t>15,8 min de arco × 15 L/min</t>
        </is>
      </c>
      <c r="K794" s="25" t="inlineStr">
        <is>
          <t>Compra</t>
        </is>
      </c>
      <c r="L794" s="12" t="inlineStr">
        <is>
          <t>Colector SC</t>
        </is>
      </c>
      <c r="M794" s="12" t="n"/>
      <c r="N794" s="25" t="inlineStr">
        <is>
          <t>R</t>
        </is>
      </c>
      <c r="O794" s="25" t="n"/>
      <c r="P794" s="12" t="n"/>
    </row>
    <row r="795">
      <c r="A795" s="25" t="inlineStr">
        <is>
          <t>FL_MAT_ABC_100kg</t>
        </is>
      </c>
      <c r="B795" s="25" t="n">
        <v>2</v>
      </c>
      <c r="C795" s="25" t="inlineStr">
        <is>
          <t>ABC100-C3</t>
        </is>
      </c>
      <c r="D795" s="12" t="inlineStr">
        <is>
          <t xml:space="preserve">        Granalla de acero (consumo)</t>
        </is>
      </c>
      <c r="E795" s="25" t="n">
        <v>0.103</v>
      </c>
      <c r="F795" s="25" t="inlineStr">
        <is>
          <t>kg</t>
        </is>
      </c>
      <c r="G795" s="26" t="n"/>
      <c r="H795" s="26" t="n"/>
      <c r="I795" s="25" t="inlineStr">
        <is>
          <t>Granalla S-230</t>
        </is>
      </c>
      <c r="J795" s="12" t="inlineStr">
        <is>
          <t>1,294 m² a Sa 2½</t>
        </is>
      </c>
      <c r="K795" s="25" t="inlineStr">
        <is>
          <t>Compra</t>
        </is>
      </c>
      <c r="L795" s="12" t="inlineStr">
        <is>
          <t>14 Granallado (B08)</t>
        </is>
      </c>
      <c r="M795" s="12" t="inlineStr">
        <is>
          <t>ISO 8501-1</t>
        </is>
      </c>
      <c r="N795" s="25" t="inlineStr">
        <is>
          <t>R</t>
        </is>
      </c>
      <c r="O795" s="25" t="n"/>
      <c r="P795" s="12" t="n"/>
    </row>
    <row r="796">
      <c r="A796" s="25" t="inlineStr">
        <is>
          <t>FL_MAT_ABC_100kg</t>
        </is>
      </c>
      <c r="B796" s="25" t="n">
        <v>2</v>
      </c>
      <c r="C796" s="25" t="inlineStr">
        <is>
          <t>ABC100-C4</t>
        </is>
      </c>
      <c r="D796" s="12" t="inlineStr">
        <is>
          <t xml:space="preserve">        Pintura en polvo poliéster rojo</t>
        </is>
      </c>
      <c r="E796" s="25" t="n">
        <v>0.239</v>
      </c>
      <c r="F796" s="25" t="inlineStr">
        <is>
          <t>kg</t>
        </is>
      </c>
      <c r="G796" s="26" t="n">
        <v>0.65</v>
      </c>
      <c r="H796" s="26">
        <f>E796*G796</f>
        <v/>
      </c>
      <c r="I796" s="25" t="inlineStr">
        <is>
          <t>Poliéster rojo 03-1-050</t>
        </is>
      </c>
      <c r="J796" s="12" t="inlineStr">
        <is>
          <t>1,294 m² × 80 µm (60-100 µm), rendimiento 65 %</t>
        </is>
      </c>
      <c r="K796" s="25" t="inlineStr">
        <is>
          <t>Compra</t>
        </is>
      </c>
      <c r="L796" s="12" t="inlineStr">
        <is>
          <t>17 Pintura (S-P) / tercerizada en carros</t>
        </is>
      </c>
      <c r="M796" s="12" t="inlineStr">
        <is>
          <t>DOC-01 · IRAM 3517-2 9.10</t>
        </is>
      </c>
      <c r="N796" s="25" t="inlineStr">
        <is>
          <t>R</t>
        </is>
      </c>
      <c r="O796" s="25" t="n"/>
      <c r="P796" s="12" t="n"/>
    </row>
    <row r="797">
      <c r="A797" s="22" t="inlineStr">
        <is>
          <t>FL_MAT_ABC_100kg</t>
        </is>
      </c>
      <c r="B797" s="22" t="n">
        <v>1</v>
      </c>
      <c r="C797" s="22" t="inlineStr">
        <is>
          <t>ABC100-S2</t>
        </is>
      </c>
      <c r="D797" s="23" t="inlineStr">
        <is>
          <t xml:space="preserve">    Conjunto de válvula</t>
        </is>
      </c>
      <c r="E797" s="22" t="n">
        <v>1</v>
      </c>
      <c r="F797" s="22" t="inlineStr">
        <is>
          <t>u</t>
        </is>
      </c>
      <c r="G797" s="24" t="n"/>
      <c r="H797" s="24">
        <f>H798+H799+H800+H801+H802+H803+H804+H805+H806+H807+H808+H809+H810</f>
        <v/>
      </c>
      <c r="I797" s="22" t="n"/>
      <c r="J797" s="23" t="n"/>
      <c r="K797" s="22" t="inlineStr">
        <is>
          <t>Compra / armado</t>
        </is>
      </c>
      <c r="L797" s="23" t="n"/>
      <c r="M797" s="23" t="inlineStr">
        <is>
          <t>Manómetro IRAM 3533</t>
        </is>
      </c>
      <c r="N797" s="22" t="inlineStr">
        <is>
          <t>P</t>
        </is>
      </c>
      <c r="O797" s="22" t="inlineStr">
        <is>
          <t>FL_DES_ABC_100kg</t>
        </is>
      </c>
      <c r="P797" s="23" t="n"/>
    </row>
    <row r="798">
      <c r="A798" s="25" t="inlineStr">
        <is>
          <t>FL_MAT_ABC_100kg</t>
        </is>
      </c>
      <c r="B798" s="25" t="n">
        <v>2</v>
      </c>
      <c r="C798" s="25" t="inlineStr">
        <is>
          <t>ABC100-11</t>
        </is>
      </c>
      <c r="D798" s="12" t="inlineStr">
        <is>
          <t xml:space="preserve">        Collarín de válvula</t>
        </is>
      </c>
      <c r="E798" s="25" t="n">
        <v>1</v>
      </c>
      <c r="F798" s="25" t="inlineStr">
        <is>
          <t>u</t>
        </is>
      </c>
      <c r="G798" s="26" t="n">
        <v>0.4107</v>
      </c>
      <c r="H798" s="26">
        <f>E798*G798</f>
        <v/>
      </c>
      <c r="I798" s="25" t="inlineStr">
        <is>
          <t>Latón forjado</t>
        </is>
      </c>
      <c r="J798" s="12" t="inlineStr">
        <is>
          <t>96,1 × 96,1 × 13,5</t>
        </is>
      </c>
      <c r="K798" s="25" t="inlineStr">
        <is>
          <t>Compra</t>
        </is>
      </c>
      <c r="L798" s="12" t="inlineStr">
        <is>
          <t>C9 armado</t>
        </is>
      </c>
      <c r="M798" s="12" t="n"/>
      <c r="N798" s="25" t="inlineStr">
        <is>
          <t>P</t>
        </is>
      </c>
      <c r="O798" s="25" t="inlineStr">
        <is>
          <t>FL_DES_ABC_100kg</t>
        </is>
      </c>
      <c r="P798" s="12" t="n"/>
    </row>
    <row r="799">
      <c r="A799" s="25" t="inlineStr">
        <is>
          <t>FL_MAT_ABC_100kg</t>
        </is>
      </c>
      <c r="B799" s="25" t="n">
        <v>2</v>
      </c>
      <c r="C799" s="25" t="inlineStr">
        <is>
          <t>ABC100-12</t>
        </is>
      </c>
      <c r="D799" s="12" t="inlineStr">
        <is>
          <t xml:space="preserve">        Espiga roscada</t>
        </is>
      </c>
      <c r="E799" s="25" t="n">
        <v>1</v>
      </c>
      <c r="F799" s="25" t="inlineStr">
        <is>
          <t>u</t>
        </is>
      </c>
      <c r="G799" s="26" t="n">
        <v>0.1187</v>
      </c>
      <c r="H799" s="26">
        <f>E799*G799</f>
        <v/>
      </c>
      <c r="I799" s="25" t="inlineStr">
        <is>
          <t>Latón forjado</t>
        </is>
      </c>
      <c r="J799" s="12" t="inlineStr">
        <is>
          <t>72,2 × 72,2 × 16,2</t>
        </is>
      </c>
      <c r="K799" s="25" t="inlineStr">
        <is>
          <t>Compra</t>
        </is>
      </c>
      <c r="L799" s="12" t="inlineStr">
        <is>
          <t>C9 armado</t>
        </is>
      </c>
      <c r="M799" s="12" t="n"/>
      <c r="N799" s="25" t="inlineStr">
        <is>
          <t>P</t>
        </is>
      </c>
      <c r="O799" s="25" t="inlineStr">
        <is>
          <t>FL_DES_ABC_100kg</t>
        </is>
      </c>
      <c r="P799" s="12" t="n"/>
    </row>
    <row r="800">
      <c r="A800" s="25" t="inlineStr">
        <is>
          <t>FL_MAT_ABC_100kg</t>
        </is>
      </c>
      <c r="B800" s="25" t="n">
        <v>2</v>
      </c>
      <c r="C800" s="25" t="inlineStr">
        <is>
          <t>ABC100-13</t>
        </is>
      </c>
      <c r="D800" s="12" t="inlineStr">
        <is>
          <t xml:space="preserve">        Cuerpo de válvula</t>
        </is>
      </c>
      <c r="E800" s="25" t="n">
        <v>1</v>
      </c>
      <c r="F800" s="25" t="inlineStr">
        <is>
          <t>u</t>
        </is>
      </c>
      <c r="G800" s="26" t="n">
        <v>0.7378</v>
      </c>
      <c r="H800" s="26">
        <f>E800*G800</f>
        <v/>
      </c>
      <c r="I800" s="25" t="inlineStr">
        <is>
          <t>Latón forjado</t>
        </is>
      </c>
      <c r="J800" s="12" t="inlineStr">
        <is>
          <t>58,4 × 54 × 46,3</t>
        </is>
      </c>
      <c r="K800" s="25" t="inlineStr">
        <is>
          <t>Compra</t>
        </is>
      </c>
      <c r="L800" s="12" t="inlineStr">
        <is>
          <t>C9 armado</t>
        </is>
      </c>
      <c r="M800" s="12" t="n"/>
      <c r="N800" s="25" t="inlineStr">
        <is>
          <t>P</t>
        </is>
      </c>
      <c r="O800" s="25" t="inlineStr">
        <is>
          <t>FL_DES_ABC_100kg</t>
        </is>
      </c>
      <c r="P800" s="12" t="n"/>
    </row>
    <row r="801">
      <c r="A801" s="25" t="inlineStr">
        <is>
          <t>FL_MAT_ABC_100kg</t>
        </is>
      </c>
      <c r="B801" s="25" t="n">
        <v>2</v>
      </c>
      <c r="C801" s="25" t="inlineStr">
        <is>
          <t>ABC100-14</t>
        </is>
      </c>
      <c r="D801" s="12" t="inlineStr">
        <is>
          <t xml:space="preserve">        Manómetro</t>
        </is>
      </c>
      <c r="E801" s="25" t="n">
        <v>1</v>
      </c>
      <c r="F801" s="25" t="inlineStr">
        <is>
          <t>u</t>
        </is>
      </c>
      <c r="G801" s="26" t="n">
        <v>0.12</v>
      </c>
      <c r="H801" s="26">
        <f>E801*G801</f>
        <v/>
      </c>
      <c r="I801" s="25" t="inlineStr">
        <is>
          <t>Comercial</t>
        </is>
      </c>
      <c r="J801" s="12" t="inlineStr">
        <is>
          <t>Ø50 esfera, rango 0-3,5 MPa, sector verde en 1,4</t>
        </is>
      </c>
      <c r="K801" s="25" t="inlineStr">
        <is>
          <t>Compra</t>
        </is>
      </c>
      <c r="L801" s="12" t="inlineStr">
        <is>
          <t>C9 armado</t>
        </is>
      </c>
      <c r="M801" s="12" t="inlineStr">
        <is>
          <t>IRAM 3533</t>
        </is>
      </c>
      <c r="N801" s="25" t="inlineStr">
        <is>
          <t>R</t>
        </is>
      </c>
      <c r="O801" s="25" t="inlineStr">
        <is>
          <t>FL_DES_ABC_100kg</t>
        </is>
      </c>
      <c r="P801" s="12" t="inlineStr">
        <is>
          <t>Pieza comercial; sello IRAM 3533</t>
        </is>
      </c>
    </row>
    <row r="802">
      <c r="A802" s="25" t="inlineStr">
        <is>
          <t>FL_MAT_ABC_100kg</t>
        </is>
      </c>
      <c r="B802" s="25" t="n">
        <v>2</v>
      </c>
      <c r="C802" s="25" t="inlineStr">
        <is>
          <t>ABC100-15</t>
        </is>
      </c>
      <c r="D802" s="12" t="inlineStr">
        <is>
          <t xml:space="preserve">        Manija de transporte</t>
        </is>
      </c>
      <c r="E802" s="25" t="n">
        <v>1</v>
      </c>
      <c r="F802" s="25" t="inlineStr">
        <is>
          <t>u</t>
        </is>
      </c>
      <c r="G802" s="26" t="n">
        <v>0.1302</v>
      </c>
      <c r="H802" s="26">
        <f>E802*G802</f>
        <v/>
      </c>
      <c r="I802" s="25" t="inlineStr">
        <is>
          <t>Chapa acero SAE 1010 pintada</t>
        </is>
      </c>
      <c r="J802" s="12" t="inlineStr">
        <is>
          <t>113,7 × 27 × 17,3</t>
        </is>
      </c>
      <c r="K802" s="25" t="inlineStr">
        <is>
          <t>Compra</t>
        </is>
      </c>
      <c r="L802" s="12" t="inlineStr">
        <is>
          <t>C9 armado</t>
        </is>
      </c>
      <c r="M802" s="12" t="n"/>
      <c r="N802" s="25" t="inlineStr">
        <is>
          <t>P</t>
        </is>
      </c>
      <c r="O802" s="25" t="inlineStr">
        <is>
          <t>FL_DES_ABC_100kg</t>
        </is>
      </c>
      <c r="P802" s="12" t="n"/>
    </row>
    <row r="803">
      <c r="A803" s="25" t="inlineStr">
        <is>
          <t>FL_MAT_ABC_100kg</t>
        </is>
      </c>
      <c r="B803" s="25" t="n">
        <v>2</v>
      </c>
      <c r="C803" s="25" t="inlineStr">
        <is>
          <t>ABC100-16</t>
        </is>
      </c>
      <c r="D803" s="12" t="inlineStr">
        <is>
          <t xml:space="preserve">        Manija de accionamiento</t>
        </is>
      </c>
      <c r="E803" s="25" t="n">
        <v>1</v>
      </c>
      <c r="F803" s="25" t="inlineStr">
        <is>
          <t>u</t>
        </is>
      </c>
      <c r="G803" s="26" t="n">
        <v>0.1983</v>
      </c>
      <c r="H803" s="26">
        <f>E803*G803</f>
        <v/>
      </c>
      <c r="I803" s="25" t="inlineStr">
        <is>
          <t>Chapa acero SAE 1010 pintada</t>
        </is>
      </c>
      <c r="J803" s="12" t="inlineStr">
        <is>
          <t>172,6 × 27 × 26,5</t>
        </is>
      </c>
      <c r="K803" s="25" t="inlineStr">
        <is>
          <t>Compra</t>
        </is>
      </c>
      <c r="L803" s="12" t="inlineStr">
        <is>
          <t>C9 armado</t>
        </is>
      </c>
      <c r="M803" s="12" t="n"/>
      <c r="N803" s="25" t="inlineStr">
        <is>
          <t>P</t>
        </is>
      </c>
      <c r="O803" s="25" t="inlineStr">
        <is>
          <t>FL_DES_ABC_100kg</t>
        </is>
      </c>
      <c r="P803" s="12" t="n"/>
    </row>
    <row r="804">
      <c r="A804" s="25" t="inlineStr">
        <is>
          <t>FL_MAT_ABC_100kg</t>
        </is>
      </c>
      <c r="B804" s="25" t="n">
        <v>2</v>
      </c>
      <c r="C804" s="25" t="inlineStr">
        <is>
          <t>ABC100-17</t>
        </is>
      </c>
      <c r="D804" s="12" t="inlineStr">
        <is>
          <t xml:space="preserve">        Eje de palanca</t>
        </is>
      </c>
      <c r="E804" s="25" t="n">
        <v>1</v>
      </c>
      <c r="F804" s="25" t="inlineStr">
        <is>
          <t>u</t>
        </is>
      </c>
      <c r="G804" s="26" t="n">
        <v>0.0199</v>
      </c>
      <c r="H804" s="26">
        <f>E804*G804</f>
        <v/>
      </c>
      <c r="I804" s="25" t="inlineStr">
        <is>
          <t>Acero inox. AISI 304</t>
        </is>
      </c>
      <c r="J804" s="12" t="inlineStr">
        <is>
          <t>48,6 × 8,1 × 8,1</t>
        </is>
      </c>
      <c r="K804" s="25" t="inlineStr">
        <is>
          <t>Compra</t>
        </is>
      </c>
      <c r="L804" s="12" t="inlineStr">
        <is>
          <t>C9 armado</t>
        </is>
      </c>
      <c r="M804" s="12" t="n"/>
      <c r="N804" s="25" t="inlineStr">
        <is>
          <t>P</t>
        </is>
      </c>
      <c r="O804" s="25" t="inlineStr">
        <is>
          <t>FL_DES_ABC_100kg</t>
        </is>
      </c>
      <c r="P804" s="12" t="n"/>
    </row>
    <row r="805">
      <c r="A805" s="25" t="inlineStr">
        <is>
          <t>FL_MAT_ABC_100kg</t>
        </is>
      </c>
      <c r="B805" s="25" t="n">
        <v>2</v>
      </c>
      <c r="C805" s="25" t="inlineStr">
        <is>
          <t>ABC100-18</t>
        </is>
      </c>
      <c r="D805" s="12" t="inlineStr">
        <is>
          <t xml:space="preserve">        Vástago</t>
        </is>
      </c>
      <c r="E805" s="25" t="n">
        <v>1</v>
      </c>
      <c r="F805" s="25" t="inlineStr">
        <is>
          <t>u</t>
        </is>
      </c>
      <c r="G805" s="26" t="n">
        <v>0.0039</v>
      </c>
      <c r="H805" s="26">
        <f>E805*G805</f>
        <v/>
      </c>
      <c r="I805" s="25" t="inlineStr">
        <is>
          <t>Latón</t>
        </is>
      </c>
      <c r="J805" s="12" t="inlineStr">
        <is>
          <t>10,8 × 10,8 × 5</t>
        </is>
      </c>
      <c r="K805" s="25" t="inlineStr">
        <is>
          <t>Compra</t>
        </is>
      </c>
      <c r="L805" s="12" t="inlineStr">
        <is>
          <t>C9 armado</t>
        </is>
      </c>
      <c r="M805" s="12" t="n"/>
      <c r="N805" s="25" t="inlineStr">
        <is>
          <t>P</t>
        </is>
      </c>
      <c r="O805" s="25" t="inlineStr">
        <is>
          <t>FL_DES_ABC_100kg</t>
        </is>
      </c>
      <c r="P805" s="12" t="inlineStr">
        <is>
          <t>con junta tórica</t>
        </is>
      </c>
    </row>
    <row r="806">
      <c r="A806" s="25" t="inlineStr">
        <is>
          <t>FL_MAT_ABC_100kg</t>
        </is>
      </c>
      <c r="B806" s="25" t="n">
        <v>2</v>
      </c>
      <c r="C806" s="25" t="inlineStr">
        <is>
          <t>ABC100-19</t>
        </is>
      </c>
      <c r="D806" s="12" t="inlineStr">
        <is>
          <t xml:space="preserve">        Pasador de seguridad</t>
        </is>
      </c>
      <c r="E806" s="25" t="n">
        <v>1</v>
      </c>
      <c r="F806" s="25" t="inlineStr">
        <is>
          <t>u</t>
        </is>
      </c>
      <c r="G806" s="26" t="n">
        <v>0.0135</v>
      </c>
      <c r="H806" s="26">
        <f>E806*G806</f>
        <v/>
      </c>
      <c r="I806" s="25" t="inlineStr">
        <is>
          <t>Alambre acero inox. AISI 304</t>
        </is>
      </c>
      <c r="J806" s="12" t="inlineStr">
        <is>
          <t>61,3 × 28,4 × 28,1</t>
        </is>
      </c>
      <c r="K806" s="25" t="inlineStr">
        <is>
          <t>Compra</t>
        </is>
      </c>
      <c r="L806" s="12" t="inlineStr">
        <is>
          <t>C9 armado</t>
        </is>
      </c>
      <c r="M806" s="12" t="n"/>
      <c r="N806" s="25" t="inlineStr">
        <is>
          <t>P</t>
        </is>
      </c>
      <c r="O806" s="25" t="inlineStr">
        <is>
          <t>FL_DES_ABC_100kg</t>
        </is>
      </c>
      <c r="P806" s="12" t="inlineStr">
        <is>
          <t>con precinto</t>
        </is>
      </c>
    </row>
    <row r="807">
      <c r="A807" s="25" t="inlineStr">
        <is>
          <t>FL_MAT_ABC_100kg</t>
        </is>
      </c>
      <c r="B807" s="25" t="n">
        <v>2</v>
      </c>
      <c r="C807" s="25" t="inlineStr">
        <is>
          <t>ABC100-20</t>
        </is>
      </c>
      <c r="D807" s="12" t="inlineStr">
        <is>
          <t xml:space="preserve">        Caño de pesca (sifón)</t>
        </is>
      </c>
      <c r="E807" s="25" t="n">
        <v>1</v>
      </c>
      <c r="F807" s="25" t="inlineStr">
        <is>
          <t>u</t>
        </is>
      </c>
      <c r="G807" s="26" t="n">
        <v>0.2401</v>
      </c>
      <c r="H807" s="26">
        <f>E807*G807</f>
        <v/>
      </c>
      <c r="I807" s="25" t="inlineStr">
        <is>
          <t>Tubo PVC rígido</t>
        </is>
      </c>
      <c r="J807" s="12" t="inlineStr">
        <is>
          <t>Ø24 × 1.015,8 de largo</t>
        </is>
      </c>
      <c r="K807" s="25" t="inlineStr">
        <is>
          <t>Compra</t>
        </is>
      </c>
      <c r="L807" s="12" t="inlineStr">
        <is>
          <t>C9 armado</t>
        </is>
      </c>
      <c r="M807" s="12" t="n"/>
      <c r="N807" s="25" t="inlineStr">
        <is>
          <t>P</t>
        </is>
      </c>
      <c r="O807" s="25" t="inlineStr">
        <is>
          <t>FL_DES_ABC_100kg</t>
        </is>
      </c>
      <c r="P807" s="12" t="n"/>
    </row>
    <row r="808">
      <c r="A808" s="25" t="inlineStr">
        <is>
          <t>FL_MAT_ABC_100kg</t>
        </is>
      </c>
      <c r="B808" s="25" t="n">
        <v>2</v>
      </c>
      <c r="C808" s="25" t="inlineStr">
        <is>
          <t>ABC100-30</t>
        </is>
      </c>
      <c r="D808" s="12" t="inlineStr">
        <is>
          <t xml:space="preserve">        Junta tórica de asiento</t>
        </is>
      </c>
      <c r="E808" s="25" t="n">
        <v>1</v>
      </c>
      <c r="F808" s="25" t="inlineStr">
        <is>
          <t>u</t>
        </is>
      </c>
      <c r="G808" s="26" t="n">
        <v>0.0024</v>
      </c>
      <c r="H808" s="26">
        <f>E808*G808</f>
        <v/>
      </c>
      <c r="I808" s="25" t="inlineStr">
        <is>
          <t>NBR 70 Shore A</t>
        </is>
      </c>
      <c r="J808" s="12" t="inlineStr">
        <is>
          <t>Ø75,2 ext. × cordón 3</t>
        </is>
      </c>
      <c r="K808" s="25" t="inlineStr">
        <is>
          <t>Compra</t>
        </is>
      </c>
      <c r="L808" s="12" t="inlineStr">
        <is>
          <t>C9 armado</t>
        </is>
      </c>
      <c r="M808" s="12" t="n"/>
      <c r="N808" s="25" t="inlineStr">
        <is>
          <t>P</t>
        </is>
      </c>
      <c r="O808" s="25" t="inlineStr">
        <is>
          <t>FL_DES_ABC_100kg</t>
        </is>
      </c>
      <c r="P808" s="12" t="inlineStr">
        <is>
          <t>cambio c/recarga</t>
        </is>
      </c>
    </row>
    <row r="809">
      <c r="A809" s="25" t="inlineStr">
        <is>
          <t>FL_MAT_ABC_100kg</t>
        </is>
      </c>
      <c r="B809" s="25" t="n">
        <v>2</v>
      </c>
      <c r="C809" s="25" t="inlineStr">
        <is>
          <t>ABC100-V2</t>
        </is>
      </c>
      <c r="D809" s="12" t="inlineStr">
        <is>
          <t xml:space="preserve">        Resorte de retorno del vástago</t>
        </is>
      </c>
      <c r="E809" s="25" t="n">
        <v>1</v>
      </c>
      <c r="F809" s="25" t="inlineStr">
        <is>
          <t>u</t>
        </is>
      </c>
      <c r="G809" s="26" t="n">
        <v>0.003</v>
      </c>
      <c r="H809" s="26">
        <f>E809*G809</f>
        <v/>
      </c>
      <c r="I809" s="25" t="inlineStr">
        <is>
          <t>Alambre acero inox. AISI 302</t>
        </is>
      </c>
      <c r="J809" s="12" t="inlineStr">
        <is>
          <t>según válvula</t>
        </is>
      </c>
      <c r="K809" s="25" t="inlineStr">
        <is>
          <t>Compra</t>
        </is>
      </c>
      <c r="L809" s="12" t="inlineStr">
        <is>
          <t>19 Ensamblaje</t>
        </is>
      </c>
      <c r="M809" s="12" t="n"/>
      <c r="N809" s="25" t="inlineStr">
        <is>
          <t>R</t>
        </is>
      </c>
      <c r="O809" s="25" t="n"/>
      <c r="P809" s="12" t="n"/>
    </row>
    <row r="810">
      <c r="A810" s="25" t="inlineStr">
        <is>
          <t>FL_MAT_ABC_100kg</t>
        </is>
      </c>
      <c r="B810" s="25" t="n">
        <v>2</v>
      </c>
      <c r="C810" s="25" t="inlineStr">
        <is>
          <t>ABC100-V3</t>
        </is>
      </c>
      <c r="D810" s="12" t="inlineStr">
        <is>
          <t xml:space="preserve">        Junta tórica del vástago</t>
        </is>
      </c>
      <c r="E810" s="25" t="n">
        <v>1</v>
      </c>
      <c r="F810" s="25" t="inlineStr">
        <is>
          <t>u</t>
        </is>
      </c>
      <c r="G810" s="26" t="n">
        <v>0.001</v>
      </c>
      <c r="H810" s="26">
        <f>E810*G810</f>
        <v/>
      </c>
      <c r="I810" s="25" t="inlineStr">
        <is>
          <t>NBR 70 Shore A</t>
        </is>
      </c>
      <c r="J810" s="12" t="inlineStr">
        <is>
          <t>según válvula</t>
        </is>
      </c>
      <c r="K810" s="25" t="inlineStr">
        <is>
          <t>Compra</t>
        </is>
      </c>
      <c r="L810" s="12" t="inlineStr">
        <is>
          <t>19 Ensamblaje</t>
        </is>
      </c>
      <c r="M810" s="12" t="n"/>
      <c r="N810" s="25" t="inlineStr">
        <is>
          <t>P</t>
        </is>
      </c>
      <c r="O810" s="25" t="n"/>
      <c r="P810" s="12" t="inlineStr">
        <is>
          <t>Figura en el plano como «vástago con junta tórica»</t>
        </is>
      </c>
    </row>
    <row r="811">
      <c r="A811" s="22" t="inlineStr">
        <is>
          <t>FL_MAT_ABC_100kg</t>
        </is>
      </c>
      <c r="B811" s="22" t="n">
        <v>1</v>
      </c>
      <c r="C811" s="22" t="inlineStr">
        <is>
          <t>ABC100-S3</t>
        </is>
      </c>
      <c r="D811" s="23" t="inlineStr">
        <is>
          <t xml:space="preserve">    Dispositivo de descarga</t>
        </is>
      </c>
      <c r="E811" s="22" t="n">
        <v>1</v>
      </c>
      <c r="F811" s="22" t="inlineStr">
        <is>
          <t>u</t>
        </is>
      </c>
      <c r="G811" s="24" t="n"/>
      <c r="H811" s="24">
        <f>H812+H813+H814+H815+H816+H817</f>
        <v/>
      </c>
      <c r="I811" s="22" t="n"/>
      <c r="J811" s="23" t="n"/>
      <c r="K811" s="22" t="inlineStr">
        <is>
          <t>Compra / armado</t>
        </is>
      </c>
      <c r="L811" s="23" t="n"/>
      <c r="M811" s="23" t="n"/>
      <c r="N811" s="22" t="inlineStr">
        <is>
          <t>P</t>
        </is>
      </c>
      <c r="O811" s="22" t="inlineStr">
        <is>
          <t>FL_DES_ABC_100kg</t>
        </is>
      </c>
      <c r="P811" s="23" t="n"/>
    </row>
    <row r="812">
      <c r="A812" s="25" t="inlineStr">
        <is>
          <t>FL_MAT_ABC_100kg</t>
        </is>
      </c>
      <c r="B812" s="25" t="n">
        <v>2</v>
      </c>
      <c r="C812" s="25" t="inlineStr">
        <is>
          <t>ABC100-21</t>
        </is>
      </c>
      <c r="D812" s="12" t="inlineStr">
        <is>
          <t xml:space="preserve">        Manguera (tramo enrollado)</t>
        </is>
      </c>
      <c r="E812" s="25" t="n">
        <v>1</v>
      </c>
      <c r="F812" s="25" t="inlineStr">
        <is>
          <t>u</t>
        </is>
      </c>
      <c r="G812" s="26" t="n">
        <v>0.6543</v>
      </c>
      <c r="H812" s="26">
        <f>E812*G812</f>
        <v/>
      </c>
      <c r="I812" s="25" t="inlineStr">
        <is>
          <t>Caucho sintético</t>
        </is>
      </c>
      <c r="J812" s="12" t="inlineStr">
        <is>
          <t>Ø25 × 1.736 de largo desarrollado</t>
        </is>
      </c>
      <c r="K812" s="25" t="inlineStr">
        <is>
          <t>Compra</t>
        </is>
      </c>
      <c r="L812" s="12" t="inlineStr">
        <is>
          <t>C9 armado de ruedas y manguera</t>
        </is>
      </c>
      <c r="M812" s="12" t="n"/>
      <c r="N812" s="25" t="inlineStr">
        <is>
          <t>P</t>
        </is>
      </c>
      <c r="O812" s="25" t="inlineStr">
        <is>
          <t>FL_DES_ABC_100kg</t>
        </is>
      </c>
      <c r="P812" s="12" t="n"/>
    </row>
    <row r="813">
      <c r="A813" s="25" t="inlineStr">
        <is>
          <t>FL_MAT_ABC_100kg</t>
        </is>
      </c>
      <c r="B813" s="25" t="n">
        <v>2</v>
      </c>
      <c r="C813" s="25" t="inlineStr">
        <is>
          <t>ABC100-22</t>
        </is>
      </c>
      <c r="D813" s="12" t="inlineStr">
        <is>
          <t xml:space="preserve">        Soporte de manguera</t>
        </is>
      </c>
      <c r="E813" s="25" t="n">
        <v>1</v>
      </c>
      <c r="F813" s="25" t="inlineStr">
        <is>
          <t>u</t>
        </is>
      </c>
      <c r="G813" s="26" t="n">
        <v>1.9033</v>
      </c>
      <c r="H813" s="26">
        <f>E813*G813</f>
        <v/>
      </c>
      <c r="I813" s="25" t="inlineStr">
        <is>
          <t>Planchuela acero SAE 1010</t>
        </is>
      </c>
      <c r="J813" s="12" t="inlineStr">
        <is>
          <t>689,5 × 255,5 × 40,5</t>
        </is>
      </c>
      <c r="K813" s="25" t="inlineStr">
        <is>
          <t>Compra (estructura)</t>
        </is>
      </c>
      <c r="L813" s="12" t="inlineStr">
        <is>
          <t>C9 armado de ruedas y manguera</t>
        </is>
      </c>
      <c r="M813" s="12" t="n"/>
      <c r="N813" s="25" t="inlineStr">
        <is>
          <t>P</t>
        </is>
      </c>
      <c r="O813" s="25" t="inlineStr">
        <is>
          <t>FL_DES_ABC_100kg</t>
        </is>
      </c>
      <c r="P813" s="12" t="n"/>
    </row>
    <row r="814">
      <c r="A814" s="25" t="inlineStr">
        <is>
          <t>FL_MAT_ABC_100kg</t>
        </is>
      </c>
      <c r="B814" s="25" t="n">
        <v>2</v>
      </c>
      <c r="C814" s="25" t="inlineStr">
        <is>
          <t>ABC100-23</t>
        </is>
      </c>
      <c r="D814" s="12" t="inlineStr">
        <is>
          <t xml:space="preserve">        Racor de manguera</t>
        </is>
      </c>
      <c r="E814" s="25" t="n">
        <v>1</v>
      </c>
      <c r="F814" s="25" t="inlineStr">
        <is>
          <t>u</t>
        </is>
      </c>
      <c r="G814" s="26" t="n">
        <v>0.0612</v>
      </c>
      <c r="H814" s="26">
        <f>E814*G814</f>
        <v/>
      </c>
      <c r="I814" s="25" t="inlineStr">
        <is>
          <t>Latón</t>
        </is>
      </c>
      <c r="J814" s="12" t="inlineStr">
        <is>
          <t>24 × 24 × 16</t>
        </is>
      </c>
      <c r="K814" s="25" t="inlineStr">
        <is>
          <t>Compra</t>
        </is>
      </c>
      <c r="L814" s="12" t="inlineStr">
        <is>
          <t>C9 armado de ruedas y manguera</t>
        </is>
      </c>
      <c r="M814" s="12" t="n"/>
      <c r="N814" s="25" t="inlineStr">
        <is>
          <t>P</t>
        </is>
      </c>
      <c r="O814" s="25" t="inlineStr">
        <is>
          <t>FL_DES_ABC_100kg</t>
        </is>
      </c>
      <c r="P814" s="12" t="n"/>
    </row>
    <row r="815">
      <c r="A815" s="25" t="inlineStr">
        <is>
          <t>FL_MAT_ABC_100kg</t>
        </is>
      </c>
      <c r="B815" s="25" t="n">
        <v>2</v>
      </c>
      <c r="C815" s="25" t="inlineStr">
        <is>
          <t>ABC100-24</t>
        </is>
      </c>
      <c r="D815" s="12" t="inlineStr">
        <is>
          <t xml:space="preserve">        Manguera</t>
        </is>
      </c>
      <c r="E815" s="25" t="n">
        <v>1</v>
      </c>
      <c r="F815" s="25" t="inlineStr">
        <is>
          <t>u</t>
        </is>
      </c>
      <c r="G815" s="26" t="n">
        <v>0.2435</v>
      </c>
      <c r="H815" s="26">
        <f>E815*G815</f>
        <v/>
      </c>
      <c r="I815" s="25" t="inlineStr">
        <is>
          <t>Caucho sintético</t>
        </is>
      </c>
      <c r="J815" s="12" t="inlineStr">
        <is>
          <t>Ø16 × 1.577 de largo desarrollado</t>
        </is>
      </c>
      <c r="K815" s="25" t="inlineStr">
        <is>
          <t>Compra</t>
        </is>
      </c>
      <c r="L815" s="12" t="inlineStr">
        <is>
          <t>C9 armado de ruedas y manguera</t>
        </is>
      </c>
      <c r="M815" s="12" t="n"/>
      <c r="N815" s="25" t="inlineStr">
        <is>
          <t>P</t>
        </is>
      </c>
      <c r="O815" s="25" t="inlineStr">
        <is>
          <t>FL_DES_ABC_100kg</t>
        </is>
      </c>
      <c r="P815" s="12" t="n"/>
    </row>
    <row r="816">
      <c r="A816" s="25" t="inlineStr">
        <is>
          <t>FL_MAT_ABC_100kg</t>
        </is>
      </c>
      <c r="B816" s="25" t="n">
        <v>2</v>
      </c>
      <c r="C816" s="25" t="inlineStr">
        <is>
          <t>ABC100-25</t>
        </is>
      </c>
      <c r="D816" s="12" t="inlineStr">
        <is>
          <t xml:space="preserve">        Válvula esférica</t>
        </is>
      </c>
      <c r="E816" s="25" t="n">
        <v>1</v>
      </c>
      <c r="F816" s="25" t="inlineStr">
        <is>
          <t>u</t>
        </is>
      </c>
      <c r="G816" s="26" t="n">
        <v>0.4225</v>
      </c>
      <c r="H816" s="26">
        <f>E816*G816</f>
        <v/>
      </c>
      <c r="I816" s="25" t="inlineStr">
        <is>
          <t>Latón cromado</t>
        </is>
      </c>
      <c r="J816" s="12" t="inlineStr">
        <is>
          <t>130 × 60 × 40</t>
        </is>
      </c>
      <c r="K816" s="25" t="inlineStr">
        <is>
          <t>Compra</t>
        </is>
      </c>
      <c r="L816" s="12" t="inlineStr">
        <is>
          <t>C9 armado de ruedas y manguera</t>
        </is>
      </c>
      <c r="M816" s="12" t="n"/>
      <c r="N816" s="25" t="inlineStr">
        <is>
          <t>P</t>
        </is>
      </c>
      <c r="O816" s="25" t="inlineStr">
        <is>
          <t>FL_DES_ABC_100kg</t>
        </is>
      </c>
      <c r="P816" s="12" t="n"/>
    </row>
    <row r="817">
      <c r="A817" s="25" t="inlineStr">
        <is>
          <t>FL_MAT_ABC_100kg</t>
        </is>
      </c>
      <c r="B817" s="25" t="n">
        <v>2</v>
      </c>
      <c r="C817" s="25" t="inlineStr">
        <is>
          <t>ABC100-26</t>
        </is>
      </c>
      <c r="D817" s="12" t="inlineStr">
        <is>
          <t xml:space="preserve">        Tobera campana</t>
        </is>
      </c>
      <c r="E817" s="25" t="n">
        <v>1</v>
      </c>
      <c r="F817" s="25" t="inlineStr">
        <is>
          <t>u</t>
        </is>
      </c>
      <c r="G817" s="26" t="n">
        <v>0.07969999999999999</v>
      </c>
      <c r="H817" s="26">
        <f>E817*G817</f>
        <v/>
      </c>
      <c r="I817" s="25" t="inlineStr">
        <is>
          <t>Polipropileno</t>
        </is>
      </c>
      <c r="J817" s="12" t="inlineStr">
        <is>
          <t>200 × 68 × 68</t>
        </is>
      </c>
      <c r="K817" s="25" t="inlineStr">
        <is>
          <t>Compra</t>
        </is>
      </c>
      <c r="L817" s="12" t="inlineStr">
        <is>
          <t>C9 armado de ruedas y manguera</t>
        </is>
      </c>
      <c r="M817" s="12" t="n"/>
      <c r="N817" s="25" t="inlineStr">
        <is>
          <t>P</t>
        </is>
      </c>
      <c r="O817" s="25" t="inlineStr">
        <is>
          <t>FL_DES_ABC_100kg</t>
        </is>
      </c>
      <c r="P817" s="12" t="n"/>
    </row>
    <row r="818">
      <c r="A818" s="22" t="inlineStr">
        <is>
          <t>FL_MAT_ABC_100kg</t>
        </is>
      </c>
      <c r="B818" s="22" t="n">
        <v>1</v>
      </c>
      <c r="C818" s="22" t="inlineStr">
        <is>
          <t>ABC100-S4</t>
        </is>
      </c>
      <c r="D818" s="23" t="inlineStr">
        <is>
          <t xml:space="preserve">    Carro (bastidor y ruedas)</t>
        </is>
      </c>
      <c r="E818" s="22" t="n">
        <v>1</v>
      </c>
      <c r="F818" s="22" t="inlineStr">
        <is>
          <t>u</t>
        </is>
      </c>
      <c r="G818" s="24" t="n"/>
      <c r="H818" s="24">
        <f>H819+H820+H821+H822+H823+H824</f>
        <v/>
      </c>
      <c r="I818" s="22" t="n"/>
      <c r="J818" s="23" t="n"/>
      <c r="K818" s="22" t="inlineStr">
        <is>
          <t>Compra / armado</t>
        </is>
      </c>
      <c r="L818" s="23" t="n"/>
      <c r="M818" s="23" t="n"/>
      <c r="N818" s="22" t="inlineStr">
        <is>
          <t>P</t>
        </is>
      </c>
      <c r="O818" s="22" t="inlineStr">
        <is>
          <t>FL_DES_ABC_100kg</t>
        </is>
      </c>
      <c r="P818" s="23" t="n"/>
    </row>
    <row r="819">
      <c r="A819" s="25" t="inlineStr">
        <is>
          <t>FL_MAT_ABC_100kg</t>
        </is>
      </c>
      <c r="B819" s="25" t="n">
        <v>2</v>
      </c>
      <c r="C819" s="25" t="inlineStr">
        <is>
          <t>ABC100-05</t>
        </is>
      </c>
      <c r="D819" s="12" t="inlineStr">
        <is>
          <t xml:space="preserve">        Neumático macizo</t>
        </is>
      </c>
      <c r="E819" s="25" t="n">
        <v>2</v>
      </c>
      <c r="F819" s="25" t="inlineStr">
        <is>
          <t>u</t>
        </is>
      </c>
      <c r="G819" s="26" t="n">
        <v>5.8099</v>
      </c>
      <c r="H819" s="26">
        <f>E819*G819</f>
        <v/>
      </c>
      <c r="I819" s="25" t="inlineStr">
        <is>
          <t>Caucho</t>
        </is>
      </c>
      <c r="J819" s="12" t="inlineStr">
        <is>
          <t>Ø400 × 80 de ancho</t>
        </is>
      </c>
      <c r="K819" s="25" t="inlineStr">
        <is>
          <t>Compra</t>
        </is>
      </c>
      <c r="L819" s="12" t="inlineStr">
        <is>
          <t>C9 armado de ruedas y manguera (S-TC)</t>
        </is>
      </c>
      <c r="M819" s="12" t="n"/>
      <c r="N819" s="25" t="inlineStr">
        <is>
          <t>P</t>
        </is>
      </c>
      <c r="O819" s="25" t="inlineStr">
        <is>
          <t>FL_DES_ABC_100kg</t>
        </is>
      </c>
      <c r="P819" s="12" t="n"/>
    </row>
    <row r="820">
      <c r="A820" s="25" t="inlineStr">
        <is>
          <t>FL_MAT_ABC_100kg</t>
        </is>
      </c>
      <c r="B820" s="25" t="n">
        <v>2</v>
      </c>
      <c r="C820" s="25" t="inlineStr">
        <is>
          <t>ABC100-06</t>
        </is>
      </c>
      <c r="D820" s="12" t="inlineStr">
        <is>
          <t xml:space="preserve">        Llanta con cubo</t>
        </is>
      </c>
      <c r="E820" s="25" t="n">
        <v>2</v>
      </c>
      <c r="F820" s="25" t="inlineStr">
        <is>
          <t>u</t>
        </is>
      </c>
      <c r="G820" s="26" t="n">
        <v>5.0719</v>
      </c>
      <c r="H820" s="26">
        <f>E820*G820</f>
        <v/>
      </c>
      <c r="I820" s="25" t="inlineStr">
        <is>
          <t>Chapa acero SAE 1010</t>
        </is>
      </c>
      <c r="J820" s="12" t="inlineStr">
        <is>
          <t>Ø288 × 90 de ancho</t>
        </is>
      </c>
      <c r="K820" s="25" t="inlineStr">
        <is>
          <t>Compra</t>
        </is>
      </c>
      <c r="L820" s="12" t="inlineStr">
        <is>
          <t>C9 armado de ruedas y manguera (S-TC)</t>
        </is>
      </c>
      <c r="M820" s="12" t="n"/>
      <c r="N820" s="25" t="inlineStr">
        <is>
          <t>P</t>
        </is>
      </c>
      <c r="O820" s="25" t="inlineStr">
        <is>
          <t>FL_DES_ABC_100kg</t>
        </is>
      </c>
      <c r="P820" s="12" t="n"/>
    </row>
    <row r="821">
      <c r="A821" s="25" t="inlineStr">
        <is>
          <t>FL_MAT_ABC_100kg</t>
        </is>
      </c>
      <c r="B821" s="25" t="n">
        <v>2</v>
      </c>
      <c r="C821" s="25" t="inlineStr">
        <is>
          <t>ABC100-07</t>
        </is>
      </c>
      <c r="D821" s="12" t="inlineStr">
        <is>
          <t xml:space="preserve">        Eje de ruedas</t>
        </is>
      </c>
      <c r="E821" s="25" t="n">
        <v>1</v>
      </c>
      <c r="F821" s="25" t="inlineStr">
        <is>
          <t>u</t>
        </is>
      </c>
      <c r="G821" s="26" t="n">
        <v>1.8881</v>
      </c>
      <c r="H821" s="26">
        <f>E821*G821</f>
        <v/>
      </c>
      <c r="I821" s="25" t="inlineStr">
        <is>
          <t>Acero SAE 1045</t>
        </is>
      </c>
      <c r="J821" s="12" t="inlineStr">
        <is>
          <t>Ø25 × 490 de largo</t>
        </is>
      </c>
      <c r="K821" s="25" t="inlineStr">
        <is>
          <t>Compra</t>
        </is>
      </c>
      <c r="L821" s="12" t="inlineStr">
        <is>
          <t>C9 armado de ruedas y manguera (S-TC)</t>
        </is>
      </c>
      <c r="M821" s="12" t="n"/>
      <c r="N821" s="25" t="inlineStr">
        <is>
          <t>P</t>
        </is>
      </c>
      <c r="O821" s="25" t="inlineStr">
        <is>
          <t>FL_DES_ABC_100kg</t>
        </is>
      </c>
      <c r="P821" s="12" t="n"/>
    </row>
    <row r="822">
      <c r="A822" s="25" t="inlineStr">
        <is>
          <t>FL_MAT_ABC_100kg</t>
        </is>
      </c>
      <c r="B822" s="25" t="n">
        <v>2</v>
      </c>
      <c r="C822" s="25" t="inlineStr">
        <is>
          <t>ABC100-08</t>
        </is>
      </c>
      <c r="D822" s="12" t="inlineStr">
        <is>
          <t xml:space="preserve">        Bastidor</t>
        </is>
      </c>
      <c r="E822" s="25" t="n">
        <v>1</v>
      </c>
      <c r="F822" s="25" t="inlineStr">
        <is>
          <t>u</t>
        </is>
      </c>
      <c r="G822" s="26" t="n">
        <v>2.4439</v>
      </c>
      <c r="H822" s="26">
        <f>E822*G822</f>
        <v/>
      </c>
      <c r="I822" s="25" t="inlineStr">
        <is>
          <t>Caño acero SAE 1010 Ø25,4×1,6</t>
        </is>
      </c>
      <c r="J822" s="12" t="inlineStr">
        <is>
          <t>caño Ø25,4 × 1,6 × 2.560 de largo desarrollado</t>
        </is>
      </c>
      <c r="K822" s="25" t="inlineStr">
        <is>
          <t>Compra (estructura)</t>
        </is>
      </c>
      <c r="L822" s="12" t="inlineStr">
        <is>
          <t>C9 armado de ruedas y manguera (S-TC)</t>
        </is>
      </c>
      <c r="M822" s="12" t="n"/>
      <c r="N822" s="25" t="inlineStr">
        <is>
          <t>P</t>
        </is>
      </c>
      <c r="O822" s="25" t="inlineStr">
        <is>
          <t>FL_DES_ABC_100kg</t>
        </is>
      </c>
      <c r="P822" s="12" t="n"/>
    </row>
    <row r="823">
      <c r="A823" s="25" t="inlineStr">
        <is>
          <t>FL_MAT_ABC_100kg</t>
        </is>
      </c>
      <c r="B823" s="25" t="n">
        <v>2</v>
      </c>
      <c r="C823" s="25" t="inlineStr">
        <is>
          <t>ABC100-09</t>
        </is>
      </c>
      <c r="D823" s="12" t="inlineStr">
        <is>
          <t xml:space="preserve">        Sunchos de fijación</t>
        </is>
      </c>
      <c r="E823" s="25" t="n">
        <v>1</v>
      </c>
      <c r="F823" s="25" t="inlineStr">
        <is>
          <t>u</t>
        </is>
      </c>
      <c r="G823" s="26" t="n">
        <v>7.8218</v>
      </c>
      <c r="H823" s="26">
        <f>E823*G823</f>
        <v/>
      </c>
      <c r="I823" s="25" t="inlineStr">
        <is>
          <t>Planchuela acero SAE 1010</t>
        </is>
      </c>
      <c r="J823" s="12" t="inlineStr">
        <is>
          <t>604 × 578,8 × 440</t>
        </is>
      </c>
      <c r="K823" s="25" t="inlineStr">
        <is>
          <t>Compra (estructura)</t>
        </is>
      </c>
      <c r="L823" s="12" t="inlineStr">
        <is>
          <t>C9 armado de ruedas y manguera (S-TC)</t>
        </is>
      </c>
      <c r="M823" s="12" t="n"/>
      <c r="N823" s="25" t="inlineStr">
        <is>
          <t>P</t>
        </is>
      </c>
      <c r="O823" s="25" t="inlineStr">
        <is>
          <t>FL_DES_ABC_100kg</t>
        </is>
      </c>
      <c r="P823" s="12" t="n"/>
    </row>
    <row r="824">
      <c r="A824" s="25" t="inlineStr">
        <is>
          <t>FL_MAT_ABC_100kg</t>
        </is>
      </c>
      <c r="B824" s="25" t="n">
        <v>2</v>
      </c>
      <c r="C824" s="25" t="inlineStr">
        <is>
          <t>ABC100-10</t>
        </is>
      </c>
      <c r="D824" s="12" t="inlineStr">
        <is>
          <t xml:space="preserve">        Apoyo delantero</t>
        </is>
      </c>
      <c r="E824" s="25" t="n">
        <v>1</v>
      </c>
      <c r="F824" s="25" t="inlineStr">
        <is>
          <t>u</t>
        </is>
      </c>
      <c r="G824" s="26" t="n">
        <v>0.3022</v>
      </c>
      <c r="H824" s="26">
        <f>E824*G824</f>
        <v/>
      </c>
      <c r="I824" s="25" t="inlineStr">
        <is>
          <t>Chapa acero SAE 1010 plegada</t>
        </is>
      </c>
      <c r="J824" s="12" t="inlineStr">
        <is>
          <t>70 × 55 × 50</t>
        </is>
      </c>
      <c r="K824" s="25" t="inlineStr">
        <is>
          <t>Compra (estructura)</t>
        </is>
      </c>
      <c r="L824" s="12" t="inlineStr">
        <is>
          <t>C9 armado de ruedas y manguera (S-TC)</t>
        </is>
      </c>
      <c r="M824" s="12" t="n"/>
      <c r="N824" s="25" t="inlineStr">
        <is>
          <t>P</t>
        </is>
      </c>
      <c r="O824" s="25" t="inlineStr">
        <is>
          <t>FL_DES_ABC_100kg</t>
        </is>
      </c>
      <c r="P824" s="12" t="n"/>
    </row>
    <row r="825">
      <c r="A825" s="22" t="inlineStr">
        <is>
          <t>FL_MAT_ABC_100kg</t>
        </is>
      </c>
      <c r="B825" s="22" t="n">
        <v>1</v>
      </c>
      <c r="C825" s="22" t="inlineStr">
        <is>
          <t>ABC100-S5</t>
        </is>
      </c>
      <c r="D825" s="23" t="inlineStr">
        <is>
          <t xml:space="preserve">    Carga: agente extintor y gas impulsor</t>
        </is>
      </c>
      <c r="E825" s="22" t="n">
        <v>1</v>
      </c>
      <c r="F825" s="22" t="inlineStr">
        <is>
          <t>u</t>
        </is>
      </c>
      <c r="G825" s="24" t="n"/>
      <c r="H825" s="24">
        <f>H826+H827</f>
        <v/>
      </c>
      <c r="I825" s="22" t="n"/>
      <c r="J825" s="23" t="n"/>
      <c r="K825" s="22" t="inlineStr">
        <is>
          <t>Carga en planta</t>
        </is>
      </c>
      <c r="L825" s="23" t="inlineStr">
        <is>
          <t>18 Carga de polvo (T01) / C8 (T02)</t>
        </is>
      </c>
      <c r="M825" s="23" t="n"/>
      <c r="N825" s="22" t="n"/>
      <c r="O825" s="22" t="n"/>
      <c r="P825" s="23" t="n"/>
    </row>
    <row r="826">
      <c r="A826" s="25" t="inlineStr">
        <is>
          <t>FL_MAT_ABC_100kg</t>
        </is>
      </c>
      <c r="B826" s="25" t="n">
        <v>2</v>
      </c>
      <c r="C826" s="25" t="inlineStr">
        <is>
          <t>ABC100-A1</t>
        </is>
      </c>
      <c r="D826" s="12" t="inlineStr">
        <is>
          <t xml:space="preserve">        Polvo químico seco ABC 90 (Sello IRAM 3569, DEMSA)</t>
        </is>
      </c>
      <c r="E826" s="25" t="n">
        <v>100</v>
      </c>
      <c r="F826" s="25" t="inlineStr">
        <is>
          <t>kg</t>
        </is>
      </c>
      <c r="G826" s="26" t="n">
        <v>1</v>
      </c>
      <c r="H826" s="26">
        <f>E826*G826</f>
        <v/>
      </c>
      <c r="I826" s="25" t="inlineStr">
        <is>
          <t>Polvo químico seco ABC 90 (Sello IRAM 3569, DEMSA)</t>
        </is>
      </c>
      <c r="J826" s="12" t="inlineStr">
        <is>
          <t>nominal 100 kg; tolerancia ± 3 % (IRAM 3517-2:2020 tabla 3)</t>
        </is>
      </c>
      <c r="K826" s="25" t="inlineStr">
        <is>
          <t>Compra</t>
        </is>
      </c>
      <c r="L826" s="12" t="inlineStr">
        <is>
          <t>SP-1 almacén previo a la carga</t>
        </is>
      </c>
      <c r="M826" s="12" t="inlineStr">
        <is>
          <t>IRAM 3569</t>
        </is>
      </c>
      <c r="N826" s="25" t="inlineStr">
        <is>
          <t>N</t>
        </is>
      </c>
      <c r="O826" s="25" t="n"/>
      <c r="P826" s="12" t="inlineStr">
        <is>
          <t>MAP 90 % (banda 85,5-94,5 %) = 90 kg MAP + 7 kg sulfato de amonio + 3 kg aditivos · potencial - · Lote único por extintor; prohibido mezclar ABC con BC (3517-2 9.9.1.6)</t>
        </is>
      </c>
    </row>
    <row r="827">
      <c r="A827" s="25" t="inlineStr">
        <is>
          <t>FL_MAT_ABC_100kg</t>
        </is>
      </c>
      <c r="B827" s="25" t="n">
        <v>2</v>
      </c>
      <c r="C827" s="25" t="inlineStr">
        <is>
          <t>ABC100-A2</t>
        </is>
      </c>
      <c r="D827" s="12" t="inlineStr">
        <is>
          <t xml:space="preserve">        Gas impulsor: N₂</t>
        </is>
      </c>
      <c r="E827" s="25" t="n">
        <v>0.205</v>
      </c>
      <c r="F827" s="25" t="inlineStr">
        <is>
          <t>kg</t>
        </is>
      </c>
      <c r="G827" s="26" t="n">
        <v>1</v>
      </c>
      <c r="H827" s="26">
        <f>E827*G827</f>
        <v/>
      </c>
      <c r="I827" s="25" t="inlineStr">
        <is>
          <t>N₂</t>
        </is>
      </c>
      <c r="J827" s="12" t="inlineStr">
        <is>
          <t>164,1 L normales para 1,4 MPa a 20 °C en 11,89 dm³ libres</t>
        </is>
      </c>
      <c r="K827" s="25" t="inlineStr">
        <is>
          <t>Compra</t>
        </is>
      </c>
      <c r="L827" s="12" t="inlineStr">
        <is>
          <t>20 Presurización (T05) / C10</t>
        </is>
      </c>
      <c r="M827" s="12" t="inlineStr">
        <is>
          <t>IRAM 3517-2 9.4.9 (tabla 2) · IRAM 3523 2.3 y 3.10</t>
        </is>
      </c>
      <c r="N827" s="25" t="inlineStr">
        <is>
          <t>C</t>
        </is>
      </c>
      <c r="O827" s="25" t="n"/>
      <c r="P827" s="12" t="inlineStr">
        <is>
          <t>VOLUMEN LIBRE INSUFICIENTE con ρ típica (11,89 dm³): ver Carga_N2 - exigir densidad aparente mínima al polvo o agrandar el recipiente</t>
        </is>
      </c>
    </row>
    <row r="828">
      <c r="A828" s="22" t="inlineStr">
        <is>
          <t>FL_MAT_ABC_100kg</t>
        </is>
      </c>
      <c r="B828" s="22" t="n">
        <v>1</v>
      </c>
      <c r="C828" s="22" t="inlineStr">
        <is>
          <t>ABC100-S6</t>
        </is>
      </c>
      <c r="D828" s="23" t="inlineStr">
        <is>
          <t xml:space="preserve">    Identificación y precinto</t>
        </is>
      </c>
      <c r="E828" s="22" t="n">
        <v>1</v>
      </c>
      <c r="F828" s="22" t="inlineStr">
        <is>
          <t>u</t>
        </is>
      </c>
      <c r="G828" s="24" t="n"/>
      <c r="H828" s="24">
        <f>H829+H830+H831+H832+H833</f>
        <v/>
      </c>
      <c r="I828" s="22" t="n"/>
      <c r="J828" s="23" t="n"/>
      <c r="K828" s="22" t="inlineStr">
        <is>
          <t>Compra</t>
        </is>
      </c>
      <c r="L828" s="23" t="inlineStr">
        <is>
          <t>22 Etiquetado (T07)</t>
        </is>
      </c>
      <c r="M828" s="23" t="n"/>
      <c r="N828" s="22" t="n"/>
      <c r="O828" s="22" t="n"/>
      <c r="P828" s="23" t="n"/>
    </row>
    <row r="829">
      <c r="A829" s="25" t="inlineStr">
        <is>
          <t>FL_MAT_ABC_100kg</t>
        </is>
      </c>
      <c r="B829" s="25" t="n">
        <v>2</v>
      </c>
      <c r="C829" s="25" t="inlineStr">
        <is>
          <t>ABC100-27</t>
        </is>
      </c>
      <c r="D829" s="12" t="inlineStr">
        <is>
          <t xml:space="preserve">        Placa de características</t>
        </is>
      </c>
      <c r="E829" s="25" t="n">
        <v>1</v>
      </c>
      <c r="F829" s="25" t="inlineStr">
        <is>
          <t>u</t>
        </is>
      </c>
      <c r="G829" s="26" t="n">
        <v>0.0243</v>
      </c>
      <c r="H829" s="26">
        <f>E829*G829</f>
        <v/>
      </c>
      <c r="I829" s="25" t="inlineStr">
        <is>
          <t>Vinilo autoadhesivo laminado</t>
        </is>
      </c>
      <c r="J829" s="12" t="inlineStr">
        <is>
          <t>368 × 157 (desarrollo × alto), e ≈ 0,3</t>
        </is>
      </c>
      <c r="K829" s="25" t="inlineStr">
        <is>
          <t>Compra</t>
        </is>
      </c>
      <c r="L829" s="12" t="inlineStr">
        <is>
          <t>22 Etiquetado (T07)</t>
        </is>
      </c>
      <c r="M829" s="12" t="inlineStr">
        <is>
          <t>IRAM 3534 · IRAM 3550 cap. 5</t>
        </is>
      </c>
      <c r="N829" s="25" t="inlineStr">
        <is>
          <t>P</t>
        </is>
      </c>
      <c r="O829" s="25" t="inlineStr">
        <is>
          <t>FL_DES_ABC_100kg</t>
        </is>
      </c>
      <c r="P829" s="12" t="inlineStr">
        <is>
          <t>IRAM 3534</t>
        </is>
      </c>
    </row>
    <row r="830">
      <c r="A830" s="25" t="inlineStr">
        <is>
          <t>FL_MAT_ABC_100kg</t>
        </is>
      </c>
      <c r="B830" s="25" t="n">
        <v>2</v>
      </c>
      <c r="C830" s="25" t="inlineStr">
        <is>
          <t>ABC100-28</t>
        </is>
      </c>
      <c r="D830" s="12" t="inlineStr">
        <is>
          <t xml:space="preserve">        Oblea de fabricación (PBA)</t>
        </is>
      </c>
      <c r="E830" s="25" t="n">
        <v>1</v>
      </c>
      <c r="F830" s="25" t="inlineStr">
        <is>
          <t>u</t>
        </is>
      </c>
      <c r="G830" s="26" t="n">
        <v>0.0009</v>
      </c>
      <c r="H830" s="26">
        <f>E830*G830</f>
        <v/>
      </c>
      <c r="I830" s="25" t="inlineStr">
        <is>
          <t>Papel de seguridad autodestructible</t>
        </is>
      </c>
      <c r="J830" s="12" t="inlineStr">
        <is>
          <t>Ø46 (Res. OPDS 522/07), numerada, autodestructible</t>
        </is>
      </c>
      <c r="K830" s="25" t="inlineStr">
        <is>
          <t>Compra</t>
        </is>
      </c>
      <c r="L830" s="12" t="inlineStr">
        <is>
          <t>22 Etiquetado (T07)</t>
        </is>
      </c>
      <c r="M830" s="12" t="inlineStr">
        <is>
          <t>Res. OPDS 522/07 anexos 1, 2 y 6</t>
        </is>
      </c>
      <c r="N830" s="25" t="inlineStr">
        <is>
          <t>P</t>
        </is>
      </c>
      <c r="O830" s="25" t="inlineStr">
        <is>
          <t>FL_DES_ABC_100kg</t>
        </is>
      </c>
      <c r="P830" s="12" t="inlineStr">
        <is>
          <t>Res. 522/07</t>
        </is>
      </c>
    </row>
    <row r="831">
      <c r="A831" s="25" t="inlineStr">
        <is>
          <t>FL_MAT_ABC_100kg</t>
        </is>
      </c>
      <c r="B831" s="25" t="n">
        <v>2</v>
      </c>
      <c r="C831" s="25" t="inlineStr">
        <is>
          <t>ABC100-29</t>
        </is>
      </c>
      <c r="D831" s="12" t="inlineStr">
        <is>
          <t xml:space="preserve">        Estampilla IRAM de conformidad</t>
        </is>
      </c>
      <c r="E831" s="25" t="n">
        <v>1</v>
      </c>
      <c r="F831" s="25" t="inlineStr">
        <is>
          <t>u</t>
        </is>
      </c>
      <c r="G831" s="26" t="n">
        <v>0.001</v>
      </c>
      <c r="H831" s="26">
        <f>E831*G831</f>
        <v/>
      </c>
      <c r="I831" s="25" t="inlineStr">
        <is>
          <t>Provista por IRAM (Anexo R)</t>
        </is>
      </c>
      <c r="J831" s="12" t="inlineStr">
        <is>
          <t>60 × 40</t>
        </is>
      </c>
      <c r="K831" s="25" t="inlineStr">
        <is>
          <t>Compra</t>
        </is>
      </c>
      <c r="L831" s="12" t="inlineStr">
        <is>
          <t>22 Etiquetado (T07)</t>
        </is>
      </c>
      <c r="M831" s="12" t="inlineStr">
        <is>
          <t>IRAM Anexo R (DC-PG-129)</t>
        </is>
      </c>
      <c r="N831" s="25" t="inlineStr">
        <is>
          <t>P</t>
        </is>
      </c>
      <c r="O831" s="25" t="inlineStr">
        <is>
          <t>FL_DES_ABC_100kg</t>
        </is>
      </c>
      <c r="P831" s="12" t="inlineStr">
        <is>
          <t>numerada</t>
        </is>
      </c>
    </row>
    <row r="832">
      <c r="A832" s="25" t="inlineStr">
        <is>
          <t>FL_MAT_ABC_100kg</t>
        </is>
      </c>
      <c r="B832" s="25" t="n">
        <v>2</v>
      </c>
      <c r="C832" s="25" t="inlineStr">
        <is>
          <t>ABC100-31</t>
        </is>
      </c>
      <c r="D832" s="12" t="inlineStr">
        <is>
          <t xml:space="preserve">        Precinto de fábrica</t>
        </is>
      </c>
      <c r="E832" s="25" t="n">
        <v>1</v>
      </c>
      <c r="F832" s="25" t="inlineStr">
        <is>
          <t>u</t>
        </is>
      </c>
      <c r="G832" s="26" t="n">
        <v>0.0002</v>
      </c>
      <c r="H832" s="26">
        <f>E832*G832</f>
        <v/>
      </c>
      <c r="I832" s="25" t="inlineStr">
        <is>
          <t>Polipropileno</t>
        </is>
      </c>
      <c r="J832" s="12" t="inlineStr">
        <is>
          <t>Ø5 × 10, numerado, rotura 30-50 N</t>
        </is>
      </c>
      <c r="K832" s="25" t="inlineStr">
        <is>
          <t>Compra</t>
        </is>
      </c>
      <c r="L832" s="12" t="inlineStr">
        <is>
          <t>20 Presurización (T05)</t>
        </is>
      </c>
      <c r="M832" s="12" t="inlineStr">
        <is>
          <t>IRAM 3523 3.3.2 · IRAM 3517-2:2020 9.4.13</t>
        </is>
      </c>
      <c r="N832" s="25" t="inlineStr">
        <is>
          <t>P</t>
        </is>
      </c>
      <c r="O832" s="25" t="inlineStr">
        <is>
          <t>FL_DES_ABC_100kg</t>
        </is>
      </c>
      <c r="P832" s="12" t="inlineStr">
        <is>
          <t>id. FLAMA y lote</t>
        </is>
      </c>
    </row>
    <row r="833">
      <c r="A833" s="25" t="inlineStr">
        <is>
          <t>FL_MAT_ABC_100kg</t>
        </is>
      </c>
      <c r="B833" s="25" t="n">
        <v>2</v>
      </c>
      <c r="C833" s="25" t="inlineStr">
        <is>
          <t>ABC100-I3</t>
        </is>
      </c>
      <c r="D833" s="12" t="inlineStr">
        <is>
          <t xml:space="preserve">        Tarjeta oficial de vigencia (CABA)</t>
        </is>
      </c>
      <c r="E833" s="25" t="n">
        <v>1</v>
      </c>
      <c r="F833" s="25" t="inlineStr">
        <is>
          <t>u</t>
        </is>
      </c>
      <c r="G833" s="26" t="n">
        <v>0.002</v>
      </c>
      <c r="H833" s="26">
        <f>E833*G833</f>
        <v/>
      </c>
      <c r="I833" s="25" t="inlineStr">
        <is>
          <t>Formulario oficial</t>
        </is>
      </c>
      <c r="J833" s="12" t="inlineStr">
        <is>
          <t>provista por DG Rentas GCBA</t>
        </is>
      </c>
      <c r="K833" s="25" t="inlineStr">
        <is>
          <t>Compra</t>
        </is>
      </c>
      <c r="L833" s="12" t="inlineStr">
        <is>
          <t>22 Etiquetado</t>
        </is>
      </c>
      <c r="M833" s="12" t="inlineStr">
        <is>
          <t>Ordenanza 40.473 art. 6</t>
        </is>
      </c>
      <c r="N833" s="25" t="inlineStr">
        <is>
          <t>N</t>
        </is>
      </c>
      <c r="O833" s="25" t="n"/>
      <c r="P833" s="12" t="inlineStr">
        <is>
          <t>Clase, capacidad, fecha de carga y vencimiento, garantía; se anexa al matafuego (no se dibuja)</t>
        </is>
      </c>
    </row>
    <row r="834">
      <c r="A834" s="22" t="inlineStr">
        <is>
          <t>FL_MAT_ABC_100kg</t>
        </is>
      </c>
      <c r="B834" s="22" t="n">
        <v>1</v>
      </c>
      <c r="C834" s="22" t="inlineStr">
        <is>
          <t>ABC100-S7</t>
        </is>
      </c>
      <c r="D834" s="23" t="inlineStr">
        <is>
          <t xml:space="preserve">    Embalaje</t>
        </is>
      </c>
      <c r="E834" s="22" t="n">
        <v>1</v>
      </c>
      <c r="F834" s="22" t="inlineStr">
        <is>
          <t>u</t>
        </is>
      </c>
      <c r="G834" s="24" t="n"/>
      <c r="H834" s="24">
        <f>H835+H836+H837+H838</f>
        <v/>
      </c>
      <c r="I834" s="22" t="n"/>
      <c r="J834" s="23" t="n"/>
      <c r="K834" s="22" t="inlineStr">
        <is>
          <t>Compra</t>
        </is>
      </c>
      <c r="L834" s="23" t="inlineStr">
        <is>
          <t>23 Embalaje -&gt; 24 envolvedora (T11)</t>
        </is>
      </c>
      <c r="M834" s="23" t="n"/>
      <c r="N834" s="22" t="n"/>
      <c r="O834" s="22" t="n"/>
      <c r="P834" s="23" t="n"/>
    </row>
    <row r="835">
      <c r="A835" s="25" t="inlineStr">
        <is>
          <t>FL_MAT_ABC_100kg</t>
        </is>
      </c>
      <c r="B835" s="25" t="n">
        <v>2</v>
      </c>
      <c r="C835" s="25" t="inlineStr">
        <is>
          <t>ABC100-E1</t>
        </is>
      </c>
      <c r="D835" s="12" t="inlineStr">
        <is>
          <t xml:space="preserve">        Esquineros y funda de polietileno</t>
        </is>
      </c>
      <c r="E835" s="25" t="n">
        <v>1</v>
      </c>
      <c r="F835" s="25" t="inlineStr">
        <is>
          <t>jgo</t>
        </is>
      </c>
      <c r="G835" s="26" t="n">
        <v>0.3</v>
      </c>
      <c r="H835" s="26">
        <f>E835*G835</f>
        <v/>
      </c>
      <c r="I835" s="25" t="inlineStr">
        <is>
          <t>PE / cartón</t>
        </is>
      </c>
      <c r="J835" s="12" t="inlineStr">
        <is>
          <t>a medida</t>
        </is>
      </c>
      <c r="K835" s="25" t="inlineStr">
        <is>
          <t>Compra</t>
        </is>
      </c>
      <c r="L835" s="12" t="inlineStr">
        <is>
          <t>23 Embalaje</t>
        </is>
      </c>
      <c r="M835" s="12" t="n"/>
      <c r="N835" s="25" t="inlineStr">
        <is>
          <t>R</t>
        </is>
      </c>
      <c r="O835" s="25" t="n"/>
      <c r="P835" s="12" t="n"/>
    </row>
    <row r="836">
      <c r="A836" s="25" t="inlineStr">
        <is>
          <t>FL_MAT_ABC_100kg</t>
        </is>
      </c>
      <c r="B836" s="25" t="n">
        <v>2</v>
      </c>
      <c r="C836" s="25" t="inlineStr">
        <is>
          <t>ABC100-E3</t>
        </is>
      </c>
      <c r="D836" s="12" t="inlineStr">
        <is>
          <t xml:space="preserve">        Pallet 1200 × 1000 (fracción)</t>
        </is>
      </c>
      <c r="E836" s="25" t="n">
        <v>1</v>
      </c>
      <c r="F836" s="25" t="inlineStr">
        <is>
          <t>u</t>
        </is>
      </c>
      <c r="G836" s="26" t="n">
        <v>22</v>
      </c>
      <c r="H836" s="26">
        <f>E836*G836</f>
        <v/>
      </c>
      <c r="I836" s="25" t="inlineStr">
        <is>
          <t>Madera</t>
        </is>
      </c>
      <c r="J836" s="12" t="inlineStr">
        <is>
          <t>1 u por pallet</t>
        </is>
      </c>
      <c r="K836" s="25" t="inlineStr">
        <is>
          <t>Compra</t>
        </is>
      </c>
      <c r="L836" s="12" t="inlineStr">
        <is>
          <t>23 Embalaje</t>
        </is>
      </c>
      <c r="M836" s="12" t="n"/>
      <c r="N836" s="25" t="inlineStr">
        <is>
          <t>R</t>
        </is>
      </c>
      <c r="O836" s="25" t="n"/>
      <c r="P836" s="12" t="n"/>
    </row>
    <row r="837">
      <c r="A837" s="25" t="inlineStr">
        <is>
          <t>FL_MAT_ABC_100kg</t>
        </is>
      </c>
      <c r="B837" s="25" t="n">
        <v>2</v>
      </c>
      <c r="C837" s="25" t="inlineStr">
        <is>
          <t>ABC100-E4</t>
        </is>
      </c>
      <c r="D837" s="12" t="inlineStr">
        <is>
          <t xml:space="preserve">        Film stretch (fracción del pallet)</t>
        </is>
      </c>
      <c r="E837" s="25" t="n">
        <v>0.35</v>
      </c>
      <c r="F837" s="25" t="inlineStr">
        <is>
          <t>kg</t>
        </is>
      </c>
      <c r="G837" s="26" t="n">
        <v>1</v>
      </c>
      <c r="H837" s="26">
        <f>E837*G837</f>
        <v/>
      </c>
      <c r="I837" s="25" t="inlineStr">
        <is>
          <t>PE lineal 23 µm</t>
        </is>
      </c>
      <c r="J837" s="12" t="inlineStr">
        <is>
          <t>envolvedora EDOS PS5</t>
        </is>
      </c>
      <c r="K837" s="25" t="inlineStr">
        <is>
          <t>Compra</t>
        </is>
      </c>
      <c r="L837" s="12" t="inlineStr">
        <is>
          <t>24 Envolvedora (T11)</t>
        </is>
      </c>
      <c r="M837" s="12" t="n"/>
      <c r="N837" s="25" t="inlineStr">
        <is>
          <t>R</t>
        </is>
      </c>
      <c r="O837" s="25" t="n"/>
      <c r="P837" s="12" t="n"/>
    </row>
    <row r="838">
      <c r="A838" s="25" t="inlineStr">
        <is>
          <t>FL_MAT_ABC_100kg</t>
        </is>
      </c>
      <c r="B838" s="25" t="n">
        <v>2</v>
      </c>
      <c r="C838" s="25" t="inlineStr">
        <is>
          <t>ABC100-E5</t>
        </is>
      </c>
      <c r="D838" s="12" t="inlineStr">
        <is>
          <t xml:space="preserve">        Etiqueta de pallet (lote y destino, fracción)</t>
        </is>
      </c>
      <c r="E838" s="25" t="n">
        <v>1</v>
      </c>
      <c r="F838" s="25" t="inlineStr">
        <is>
          <t>u</t>
        </is>
      </c>
      <c r="G838" s="26" t="n">
        <v>0</v>
      </c>
      <c r="H838" s="26">
        <f>E838*G838</f>
        <v/>
      </c>
      <c r="I838" s="25" t="inlineStr">
        <is>
          <t>Papel térmico</t>
        </is>
      </c>
      <c r="J838" s="12" t="inlineStr">
        <is>
          <t>100 × 150</t>
        </is>
      </c>
      <c r="K838" s="25" t="inlineStr">
        <is>
          <t>Compra</t>
        </is>
      </c>
      <c r="L838" s="12" t="inlineStr">
        <is>
          <t>24 Envolvedora</t>
        </is>
      </c>
      <c r="M838" s="12" t="n"/>
      <c r="N838" s="25" t="inlineStr">
        <is>
          <t>R</t>
        </is>
      </c>
      <c r="O838" s="25" t="n"/>
      <c r="P838" s="12" t="n"/>
    </row>
  </sheetData>
  <autoFilter ref="A1:P838"/>
  <pageMargins left="0.75" right="0.75" top="1" bottom="1" header="0.5" footer="0.5"/>
</worksheet>
</file>

<file path=xl/worksheets/sheet6.xml><?xml version="1.0" encoding="utf-8"?>
<worksheet xmlns="http://schemas.openxmlformats.org/spreadsheetml/2006/main">
  <sheetPr>
    <outlinePr summaryBelow="0" summaryRight="1"/>
    <pageSetUpPr/>
  </sheetPr>
  <dimension ref="A1:P16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18" t="inlineStr">
        <is>
          <t>Producto</t>
        </is>
      </c>
      <c r="B1" s="18" t="inlineStr">
        <is>
          <t>Nivel</t>
        </is>
      </c>
      <c r="C1" s="18" t="inlineStr">
        <is>
          <t>Código</t>
        </is>
      </c>
      <c r="D1" s="18" t="inlineStr">
        <is>
          <t>Descripción</t>
        </is>
      </c>
      <c r="E1" s="18" t="inlineStr">
        <is>
          <t>Cant.</t>
        </is>
      </c>
      <c r="F1" s="18" t="inlineStr">
        <is>
          <t>UM</t>
        </is>
      </c>
      <c r="G1" s="18" t="inlineStr">
        <is>
          <t>Peso unit. (kg/UM)</t>
        </is>
      </c>
      <c r="H1" s="18" t="inlineStr">
        <is>
          <t>Peso total (kg)</t>
        </is>
      </c>
      <c r="I1" s="18" t="inlineStr">
        <is>
          <t>Material</t>
        </is>
      </c>
      <c r="J1" s="18" t="inlineStr">
        <is>
          <t>Medida (mm)</t>
        </is>
      </c>
      <c r="K1" s="18" t="inlineStr">
        <is>
          <t>Origen</t>
        </is>
      </c>
      <c r="L1" s="18" t="inlineStr">
        <is>
          <t>Operación / puesto (layout FLAMA)</t>
        </is>
      </c>
      <c r="M1" s="18" t="inlineStr">
        <is>
          <t>Norma / referencia</t>
        </is>
      </c>
      <c r="N1" s="18" t="inlineStr">
        <is>
          <t>Fte.</t>
        </is>
      </c>
      <c r="O1" s="18" t="inlineStr">
        <is>
          <t>Plano</t>
        </is>
      </c>
      <c r="P1" s="18" t="inlineStr">
        <is>
          <t>Observaciones</t>
        </is>
      </c>
    </row>
    <row r="2">
      <c r="A2" s="19" t="inlineStr">
        <is>
          <t>FL_REC_ABC_1kg</t>
        </is>
      </c>
      <c r="B2" s="19" t="n">
        <v>0</v>
      </c>
      <c r="C2" s="19" t="inlineStr">
        <is>
          <t>FL_REC_ABC_1kg</t>
        </is>
      </c>
      <c r="D2" s="20" t="inlineStr">
        <is>
          <t>Cilindro (recipiente) ABC 1 kg - repuesto vacío sin válvula</t>
        </is>
      </c>
      <c r="E2" s="19" t="n">
        <v>1</v>
      </c>
      <c r="F2" s="19" t="inlineStr">
        <is>
          <t>u</t>
        </is>
      </c>
      <c r="G2" s="21" t="n"/>
      <c r="H2" s="21" t="n"/>
      <c r="I2" s="19" t="n"/>
      <c r="J2" s="20" t="n"/>
      <c r="K2" s="19" t="n"/>
      <c r="L2" s="20" t="n"/>
      <c r="M2" s="20" t="inlineStr">
        <is>
          <t>IRAM 3523</t>
        </is>
      </c>
      <c r="N2" s="19" t="inlineStr">
        <is>
          <t>P</t>
        </is>
      </c>
      <c r="O2" s="19" t="inlineStr">
        <is>
          <t>FL_REC_ABC_1kg</t>
        </is>
      </c>
      <c r="P2" s="20" t="inlineStr">
        <is>
          <t>Fabricación propia</t>
        </is>
      </c>
    </row>
    <row r="3">
      <c r="A3" s="22" t="inlineStr">
        <is>
          <t>FL_REC_ABC_1kg</t>
        </is>
      </c>
      <c r="B3" s="22" t="n">
        <v>1</v>
      </c>
      <c r="C3" s="22" t="inlineStr">
        <is>
          <t>ABC1-S1</t>
        </is>
      </c>
      <c r="D3" s="23" t="inlineStr">
        <is>
          <t xml:space="preserve">    Recipiente (cilindro)</t>
        </is>
      </c>
      <c r="E3" s="22" t="n">
        <v>1</v>
      </c>
      <c r="F3" s="22" t="inlineStr">
        <is>
          <t>u</t>
        </is>
      </c>
      <c r="G3" s="24" t="n"/>
      <c r="H3" s="24">
        <f>H4+H6+H8+H10+H12+H15+H16</f>
        <v/>
      </c>
      <c r="I3" s="22" t="n"/>
      <c r="J3" s="23" t="n"/>
      <c r="K3" s="22" t="inlineStr">
        <is>
          <t>Fabricación</t>
        </is>
      </c>
      <c r="L3" s="23" t="n"/>
      <c r="M3" s="23" t="inlineStr">
        <is>
          <t>IRAM 3523 / 3550 (recipiente)</t>
        </is>
      </c>
      <c r="N3" s="22" t="inlineStr">
        <is>
          <t>P</t>
        </is>
      </c>
      <c r="O3" s="22" t="inlineStr">
        <is>
          <t>FL_DES_ABC_1kg</t>
        </is>
      </c>
      <c r="P3" s="23" t="n"/>
    </row>
    <row r="4">
      <c r="A4" s="25" t="inlineStr">
        <is>
          <t>FL_REC_ABC_1kg</t>
        </is>
      </c>
      <c r="B4" s="25" t="n">
        <v>2</v>
      </c>
      <c r="C4" s="25" t="inlineStr">
        <is>
          <t>ABC1-01</t>
        </is>
      </c>
      <c r="D4" s="12" t="inlineStr">
        <is>
          <t xml:space="preserve">        Cuerpo (virola)</t>
        </is>
      </c>
      <c r="E4" s="25" t="n">
        <v>1</v>
      </c>
      <c r="F4" s="25" t="inlineStr">
        <is>
          <t>u</t>
        </is>
      </c>
      <c r="G4" s="26" t="n">
        <v>0.5817</v>
      </c>
      <c r="H4" s="26">
        <f>E4*G4</f>
        <v/>
      </c>
      <c r="I4" s="25" t="inlineStr">
        <is>
          <t>Chapa acero SAE 1010 e=1,25</t>
        </is>
      </c>
      <c r="J4" s="12" t="inlineStr">
        <is>
          <t>Ø76,2 × e1,25 × 251,8 de alto; desarrollo 235,5 × 251,8</t>
        </is>
      </c>
      <c r="K4" s="25" t="inlineStr">
        <is>
          <t>Fabricación</t>
        </is>
      </c>
      <c r="L4" s="12" t="inlineStr">
        <is>
          <t>5 Corte láser de caño (M15/M16) -&gt; 9 encastre</t>
        </is>
      </c>
      <c r="M4" s="12" t="n"/>
      <c r="N4" s="25" t="inlineStr">
        <is>
          <t>P</t>
        </is>
      </c>
      <c r="O4" s="25" t="inlineStr">
        <is>
          <t>FL_DES_ABC_1kg</t>
        </is>
      </c>
      <c r="P4" s="12" t="inlineStr">
        <is>
          <t>costura long. MIG</t>
        </is>
      </c>
    </row>
    <row r="5">
      <c r="A5" s="27" t="inlineStr">
        <is>
          <t>FL_REC_ABC_1kg</t>
        </is>
      </c>
      <c r="B5" s="27" t="n">
        <v>3</v>
      </c>
      <c r="C5" s="27" t="inlineStr">
        <is>
          <t>MP-CANO</t>
        </is>
      </c>
      <c r="D5" s="28" t="inlineStr">
        <is>
          <t xml:space="preserve">            Caño Ø76,2 × 1,25 (tramo de barra de 6 m)</t>
        </is>
      </c>
      <c r="E5" s="27" t="n">
        <v>0.0435</v>
      </c>
      <c r="F5" s="27" t="inlineStr">
        <is>
          <t>barra</t>
        </is>
      </c>
      <c r="G5" s="29" t="n">
        <v>13.686</v>
      </c>
      <c r="H5" s="29">
        <f>E5*G5</f>
        <v/>
      </c>
      <c r="I5" s="27" t="inlineStr">
        <is>
          <t>Caño acero SAE 1010 con costura</t>
        </is>
      </c>
      <c r="J5" s="28" t="inlineStr">
        <is>
          <t>255 mm por cuerpo; 23 cuerpos por barra (kg por barra)</t>
        </is>
      </c>
      <c r="K5" s="27" t="inlineStr">
        <is>
          <t>Compra (Metalprisa)</t>
        </is>
      </c>
      <c r="L5" s="28" t="inlineStr">
        <is>
          <t>AL-1T cantiléver</t>
        </is>
      </c>
      <c r="M5" s="28" t="n"/>
      <c r="N5" s="27" t="inlineStr">
        <is>
          <t>L</t>
        </is>
      </c>
      <c r="O5" s="27" t="inlineStr">
        <is>
          <t>FL_PI_04 h2</t>
        </is>
      </c>
      <c r="P5" s="28" t="n"/>
    </row>
    <row r="6">
      <c r="A6" s="25" t="inlineStr">
        <is>
          <t>FL_REC_ABC_1kg</t>
        </is>
      </c>
      <c r="B6" s="25" t="n">
        <v>2</v>
      </c>
      <c r="C6" s="25" t="inlineStr">
        <is>
          <t>ABC1-02</t>
        </is>
      </c>
      <c r="D6" s="12" t="inlineStr">
        <is>
          <t xml:space="preserve">        Cúpula</t>
        </is>
      </c>
      <c r="E6" s="25" t="n">
        <v>1</v>
      </c>
      <c r="F6" s="25" t="inlineStr">
        <is>
          <t>u</t>
        </is>
      </c>
      <c r="G6" s="26" t="n">
        <v>0.0309</v>
      </c>
      <c r="H6" s="26">
        <f>E6*G6</f>
        <v/>
      </c>
      <c r="I6" s="25" t="inlineStr">
        <is>
          <t>Chapa acero SAE 1010 e=0,9</t>
        </is>
      </c>
      <c r="J6" s="12" t="inlineStr">
        <is>
          <t>Ø76,2 × e0,9 × 11,7 de alto; disco Ø108</t>
        </is>
      </c>
      <c r="K6" s="25" t="inlineStr">
        <is>
          <t>Fabricación</t>
        </is>
      </c>
      <c r="L6" s="12" t="inlineStr">
        <is>
          <t>6 Desbobinado + embutido (M06-M08)</t>
        </is>
      </c>
      <c r="M6" s="12" t="n"/>
      <c r="N6" s="25" t="inlineStr">
        <is>
          <t>P</t>
        </is>
      </c>
      <c r="O6" s="25" t="inlineStr">
        <is>
          <t>FL_DES_ABC_1kg</t>
        </is>
      </c>
      <c r="P6" s="12" t="inlineStr">
        <is>
          <t>embutida</t>
        </is>
      </c>
    </row>
    <row r="7">
      <c r="A7" s="27" t="inlineStr">
        <is>
          <t>FL_REC_ABC_1kg</t>
        </is>
      </c>
      <c r="B7" s="27" t="n">
        <v>3</v>
      </c>
      <c r="C7" s="27" t="inlineStr">
        <is>
          <t>MP-FLEJE</t>
        </is>
      </c>
      <c r="D7" s="28" t="inlineStr">
        <is>
          <t xml:space="preserve">            Fleje e=0,9 × 114 (paso 111)</t>
        </is>
      </c>
      <c r="E7" s="27" t="n">
        <v>0.111</v>
      </c>
      <c r="F7" s="27" t="inlineStr">
        <is>
          <t>m</t>
        </is>
      </c>
      <c r="G7" s="29" t="n">
        <v>0.805</v>
      </c>
      <c r="H7" s="29">
        <f>E7*G7</f>
        <v/>
      </c>
      <c r="I7" s="27" t="inlineStr">
        <is>
          <t>Fleje SAE 1010</t>
        </is>
      </c>
      <c r="J7" s="28" t="inlineStr">
        <is>
          <t>disco Ø108 (kg por m de fleje)</t>
        </is>
      </c>
      <c r="K7" s="27" t="inlineStr">
        <is>
          <t>Compra (Pacheco / Pradecon)</t>
        </is>
      </c>
      <c r="L7" s="28" t="inlineStr">
        <is>
          <t>AL-1F porta-flejes</t>
        </is>
      </c>
      <c r="M7" s="28" t="n"/>
      <c r="N7" s="27" t="inlineStr">
        <is>
          <t>L</t>
        </is>
      </c>
      <c r="O7" s="27" t="inlineStr">
        <is>
          <t>FL_PI_04 h2</t>
        </is>
      </c>
      <c r="P7" s="28" t="n"/>
    </row>
    <row r="8">
      <c r="A8" s="25" t="inlineStr">
        <is>
          <t>FL_REC_ABC_1kg</t>
        </is>
      </c>
      <c r="B8" s="25" t="n">
        <v>2</v>
      </c>
      <c r="C8" s="25" t="inlineStr">
        <is>
          <t>ABC1-03</t>
        </is>
      </c>
      <c r="D8" s="12" t="inlineStr">
        <is>
          <t xml:space="preserve">        Fondo</t>
        </is>
      </c>
      <c r="E8" s="25" t="n">
        <v>1</v>
      </c>
      <c r="F8" s="25" t="inlineStr">
        <is>
          <t>u</t>
        </is>
      </c>
      <c r="G8" s="26" t="n">
        <v>0.0622</v>
      </c>
      <c r="H8" s="26">
        <f>E8*G8</f>
        <v/>
      </c>
      <c r="I8" s="25" t="inlineStr">
        <is>
          <t>Chapa acero SAE 1010 e=1,25</t>
        </is>
      </c>
      <c r="J8" s="12" t="inlineStr">
        <is>
          <t>Ø76,2 × e1,25 × 22 de alto; disco Ø100</t>
        </is>
      </c>
      <c r="K8" s="25" t="inlineStr">
        <is>
          <t>Fabricación</t>
        </is>
      </c>
      <c r="L8" s="12" t="inlineStr">
        <is>
          <t>6 Desbobinado + embutido (M06-M08)</t>
        </is>
      </c>
      <c r="M8" s="12" t="n"/>
      <c r="N8" s="25" t="inlineStr">
        <is>
          <t>P</t>
        </is>
      </c>
      <c r="O8" s="25" t="inlineStr">
        <is>
          <t>FL_DES_ABC_1kg</t>
        </is>
      </c>
      <c r="P8" s="12" t="inlineStr">
        <is>
          <t>embutido</t>
        </is>
      </c>
    </row>
    <row r="9">
      <c r="A9" s="27" t="inlineStr">
        <is>
          <t>FL_REC_ABC_1kg</t>
        </is>
      </c>
      <c r="B9" s="27" t="n">
        <v>3</v>
      </c>
      <c r="C9" s="27" t="inlineStr">
        <is>
          <t>MP-FLEJE</t>
        </is>
      </c>
      <c r="D9" s="28" t="inlineStr">
        <is>
          <t xml:space="preserve">            Fleje e=0,9 × 106 (paso 103)</t>
        </is>
      </c>
      <c r="E9" s="27" t="n">
        <v>0.103</v>
      </c>
      <c r="F9" s="27" t="inlineStr">
        <is>
          <t>m</t>
        </is>
      </c>
      <c r="G9" s="29" t="n">
        <v>0.749</v>
      </c>
      <c r="H9" s="29">
        <f>E9*G9</f>
        <v/>
      </c>
      <c r="I9" s="27" t="inlineStr">
        <is>
          <t>Fleje SAE 1010</t>
        </is>
      </c>
      <c r="J9" s="28" t="inlineStr">
        <is>
          <t>disco Ø100 (kg por m de fleje)</t>
        </is>
      </c>
      <c r="K9" s="27" t="inlineStr">
        <is>
          <t>Compra (Pacheco / Pradecon)</t>
        </is>
      </c>
      <c r="L9" s="28" t="inlineStr">
        <is>
          <t>AL-1F porta-flejes</t>
        </is>
      </c>
      <c r="M9" s="28" t="n"/>
      <c r="N9" s="27" t="inlineStr">
        <is>
          <t>L</t>
        </is>
      </c>
      <c r="O9" s="27" t="inlineStr">
        <is>
          <t>FL_PI_04 h2</t>
        </is>
      </c>
      <c r="P9" s="28" t="inlineStr">
        <is>
          <t>OJO: el fleje es e=0,9 y el plano e=1,25</t>
        </is>
      </c>
    </row>
    <row r="10">
      <c r="A10" s="25" t="inlineStr">
        <is>
          <t>FL_REC_ABC_1kg</t>
        </is>
      </c>
      <c r="B10" s="25" t="n">
        <v>2</v>
      </c>
      <c r="C10" s="25" t="inlineStr">
        <is>
          <t>ABC1-04</t>
        </is>
      </c>
      <c r="D10" s="12" t="inlineStr">
        <is>
          <t xml:space="preserve">        Cuello roscado</t>
        </is>
      </c>
      <c r="E10" s="25" t="n">
        <v>1</v>
      </c>
      <c r="F10" s="25" t="inlineStr">
        <is>
          <t>u</t>
        </is>
      </c>
      <c r="G10" s="26" t="n">
        <v>0.0359</v>
      </c>
      <c r="H10" s="26">
        <f>E10*G10</f>
        <v/>
      </c>
      <c r="I10" s="25" t="inlineStr">
        <is>
          <t>Acero SAE 1010</t>
        </is>
      </c>
      <c r="J10" s="12" t="inlineStr">
        <is>
          <t>Ø29 × 12,5 de alto, rosca M22x1,5, asiento Ø26</t>
        </is>
      </c>
      <c r="K10" s="25" t="inlineStr">
        <is>
          <t>Fabricación</t>
        </is>
      </c>
      <c r="L10" s="12" t="inlineStr">
        <is>
          <t>7 Preparación de cuello -&gt; 8 soldadura de cuello</t>
        </is>
      </c>
      <c r="M10" s="12" t="n"/>
      <c r="N10" s="25" t="inlineStr">
        <is>
          <t>P</t>
        </is>
      </c>
      <c r="O10" s="25" t="inlineStr">
        <is>
          <t>FL_DES_ABC_1kg</t>
        </is>
      </c>
      <c r="P10" s="12" t="inlineStr">
        <is>
          <t>M22x1,5</t>
        </is>
      </c>
    </row>
    <row r="11">
      <c r="A11" s="27" t="inlineStr">
        <is>
          <t>FL_REC_ABC_1kg</t>
        </is>
      </c>
      <c r="B11" s="27" t="n">
        <v>3</v>
      </c>
      <c r="C11" s="27" t="inlineStr">
        <is>
          <t>MP-CUELLO</t>
        </is>
      </c>
      <c r="D11" s="28" t="inlineStr">
        <is>
          <t xml:space="preserve">            Cuello roscado mecanizado (pieza comprada lista para soldar)</t>
        </is>
      </c>
      <c r="E11" s="27" t="n">
        <v>1</v>
      </c>
      <c r="F11" s="27" t="inlineStr">
        <is>
          <t>u</t>
        </is>
      </c>
      <c r="G11" s="29" t="n">
        <v>0.036</v>
      </c>
      <c r="H11" s="29">
        <f>E11*G11</f>
        <v/>
      </c>
      <c r="I11" s="27" t="inlineStr">
        <is>
          <t>Acero SAE 1010 / 1020</t>
        </is>
      </c>
      <c r="J11" s="28" t="inlineStr">
        <is>
          <t>rosca M22x1,5</t>
        </is>
      </c>
      <c r="K11" s="27" t="inlineStr">
        <is>
          <t>Compra (Eli-Met)</t>
        </is>
      </c>
      <c r="L11" s="28" t="inlineStr">
        <is>
          <t>AL-1C cuellos y roscas</t>
        </is>
      </c>
      <c r="M11" s="28" t="n"/>
      <c r="N11" s="27" t="inlineStr">
        <is>
          <t>L</t>
        </is>
      </c>
      <c r="O11" s="27" t="n"/>
      <c r="P11" s="28" t="n"/>
    </row>
    <row r="12">
      <c r="A12" s="25" t="inlineStr">
        <is>
          <t>FL_REC_ABC_1kg</t>
        </is>
      </c>
      <c r="B12" s="25" t="n">
        <v>2</v>
      </c>
      <c r="C12" s="25" t="inlineStr">
        <is>
          <t>ABC1-C1</t>
        </is>
      </c>
      <c r="D12" s="12" t="inlineStr">
        <is>
          <t xml:space="preserve">        Aporte de soldadura: Alambre MAG ER70S-6 Ø0,9/1,2</t>
        </is>
      </c>
      <c r="E12" s="25" t="n">
        <v>0.0215</v>
      </c>
      <c r="F12" s="25" t="inlineStr">
        <is>
          <t>kg</t>
        </is>
      </c>
      <c r="G12" s="26" t="n">
        <v>0.92</v>
      </c>
      <c r="H12" s="26">
        <f>E12*G12</f>
        <v/>
      </c>
      <c r="I12" s="25" t="inlineStr">
        <is>
          <t>Alambre MAG ER70S-6 Ø0,9/1,2</t>
        </is>
      </c>
      <c r="J12" s="12" t="inlineStr">
        <is>
          <t>cordones del plano: 20 g depositados (rend. 92 %)</t>
        </is>
      </c>
      <c r="K12" s="25" t="inlineStr">
        <is>
          <t>Compra</t>
        </is>
      </c>
      <c r="L12" s="12" t="inlineStr">
        <is>
          <t>4 sold. long. / 8 cuello / 11 circunferencial</t>
        </is>
      </c>
      <c r="M12" s="12" t="inlineStr">
        <is>
          <t>ISO 4063 131 / 141</t>
        </is>
      </c>
      <c r="N12" s="25" t="inlineStr">
        <is>
          <t>P</t>
        </is>
      </c>
      <c r="O12" s="25" t="n"/>
      <c r="P12" s="12" t="n"/>
    </row>
    <row r="13">
      <c r="A13" s="25" t="inlineStr">
        <is>
          <t>FL_REC_ABC_1kg</t>
        </is>
      </c>
      <c r="B13" s="25" t="n">
        <v>2</v>
      </c>
      <c r="C13" s="25" t="inlineStr">
        <is>
          <t>ABC1-C2</t>
        </is>
      </c>
      <c r="D13" s="12" t="inlineStr">
        <is>
          <t xml:space="preserve">        Gas de protección: Arcal 21 (Ar + 18 % CO₂)</t>
        </is>
      </c>
      <c r="E13" s="25" t="n">
        <v>9.699999999999999</v>
      </c>
      <c r="F13" s="25" t="inlineStr">
        <is>
          <t>L</t>
        </is>
      </c>
      <c r="G13" s="26" t="n"/>
      <c r="H13" s="26" t="n"/>
      <c r="I13" s="25" t="inlineStr">
        <is>
          <t>Arcal 21 (Ar + 18 % CO₂)</t>
        </is>
      </c>
      <c r="J13" s="12" t="inlineStr">
        <is>
          <t>0,6 min de arco × 15 L/min</t>
        </is>
      </c>
      <c r="K13" s="25" t="inlineStr">
        <is>
          <t>Compra</t>
        </is>
      </c>
      <c r="L13" s="12" t="inlineStr">
        <is>
          <t>Colector SC</t>
        </is>
      </c>
      <c r="M13" s="12" t="n"/>
      <c r="N13" s="25" t="inlineStr">
        <is>
          <t>R</t>
        </is>
      </c>
      <c r="O13" s="25" t="n"/>
      <c r="P13" s="12" t="n"/>
    </row>
    <row r="14">
      <c r="A14" s="25" t="inlineStr">
        <is>
          <t>FL_REC_ABC_1kg</t>
        </is>
      </c>
      <c r="B14" s="25" t="n">
        <v>2</v>
      </c>
      <c r="C14" s="25" t="inlineStr">
        <is>
          <t>ABC1-C3</t>
        </is>
      </c>
      <c r="D14" s="12" t="inlineStr">
        <is>
          <t xml:space="preserve">        Granalla de acero (consumo)</t>
        </is>
      </c>
      <c r="E14" s="25" t="n">
        <v>0.006</v>
      </c>
      <c r="F14" s="25" t="inlineStr">
        <is>
          <t>kg</t>
        </is>
      </c>
      <c r="G14" s="26" t="n"/>
      <c r="H14" s="26" t="n"/>
      <c r="I14" s="25" t="inlineStr">
        <is>
          <t>Granalla S-230</t>
        </is>
      </c>
      <c r="J14" s="12" t="inlineStr">
        <is>
          <t>0,07 m² a Sa 2½</t>
        </is>
      </c>
      <c r="K14" s="25" t="inlineStr">
        <is>
          <t>Compra</t>
        </is>
      </c>
      <c r="L14" s="12" t="inlineStr">
        <is>
          <t>14 Granallado (B08)</t>
        </is>
      </c>
      <c r="M14" s="12" t="inlineStr">
        <is>
          <t>ISO 8501-1</t>
        </is>
      </c>
      <c r="N14" s="25" t="inlineStr">
        <is>
          <t>R</t>
        </is>
      </c>
      <c r="O14" s="25" t="n"/>
      <c r="P14" s="12" t="n"/>
    </row>
    <row r="15">
      <c r="A15" s="25" t="inlineStr">
        <is>
          <t>FL_REC_ABC_1kg</t>
        </is>
      </c>
      <c r="B15" s="25" t="n">
        <v>2</v>
      </c>
      <c r="C15" s="25" t="inlineStr">
        <is>
          <t>ABC1-C4</t>
        </is>
      </c>
      <c r="D15" s="12" t="inlineStr">
        <is>
          <t xml:space="preserve">        Pintura en polvo poliéster rojo</t>
        </is>
      </c>
      <c r="E15" s="25" t="n">
        <v>0.013</v>
      </c>
      <c r="F15" s="25" t="inlineStr">
        <is>
          <t>kg</t>
        </is>
      </c>
      <c r="G15" s="26" t="n">
        <v>0.65</v>
      </c>
      <c r="H15" s="26">
        <f>E15*G15</f>
        <v/>
      </c>
      <c r="I15" s="25" t="inlineStr">
        <is>
          <t>Poliéster rojo 03-1-050</t>
        </is>
      </c>
      <c r="J15" s="12" t="inlineStr">
        <is>
          <t>0,07 m² × 80 µm (60-100 µm), rendimiento 65 %</t>
        </is>
      </c>
      <c r="K15" s="25" t="inlineStr">
        <is>
          <t>Compra</t>
        </is>
      </c>
      <c r="L15" s="12" t="inlineStr">
        <is>
          <t>17 Pintura (S-P) / tercerizada en carros</t>
        </is>
      </c>
      <c r="M15" s="12" t="inlineStr">
        <is>
          <t>DOC-01 · IRAM 3517-2 9.10</t>
        </is>
      </c>
      <c r="N15" s="25" t="inlineStr">
        <is>
          <t>R</t>
        </is>
      </c>
      <c r="O15" s="25" t="n"/>
      <c r="P15" s="12" t="n"/>
    </row>
    <row r="16">
      <c r="A16" s="25" t="inlineStr">
        <is>
          <t>FL_REC_ABC_1kg</t>
        </is>
      </c>
      <c r="B16" s="25" t="n">
        <v>2</v>
      </c>
      <c r="C16" s="25" t="inlineStr">
        <is>
          <t>ABC1-T1</t>
        </is>
      </c>
      <c r="D16" s="12" t="inlineStr">
        <is>
          <t xml:space="preserve">        Tapón protector de rosca del cuello</t>
        </is>
      </c>
      <c r="E16" s="25" t="n">
        <v>1</v>
      </c>
      <c r="F16" s="25" t="inlineStr">
        <is>
          <t>u</t>
        </is>
      </c>
      <c r="G16" s="26" t="n">
        <v>0.005</v>
      </c>
      <c r="H16" s="26">
        <f>E16*G16</f>
        <v/>
      </c>
      <c r="I16" s="25" t="inlineStr">
        <is>
          <t>Polietileno</t>
        </is>
      </c>
      <c r="J16" s="12" t="inlineStr">
        <is>
          <t>para rosca M22x1,5</t>
        </is>
      </c>
      <c r="K16" s="25" t="inlineStr">
        <is>
          <t>Compra</t>
        </is>
      </c>
      <c r="L16" s="12" t="inlineStr">
        <is>
          <t>Embalaje</t>
        </is>
      </c>
      <c r="M16" s="12" t="n"/>
      <c r="N16" s="25" t="inlineStr">
        <is>
          <t>R</t>
        </is>
      </c>
      <c r="O16" s="25" t="n"/>
      <c r="P16" s="12" t="n"/>
    </row>
    <row r="17">
      <c r="A17" s="25" t="inlineStr">
        <is>
          <t>FL_REC_ABC_1kg</t>
        </is>
      </c>
      <c r="B17" s="25" t="n">
        <v>2</v>
      </c>
      <c r="C17" s="25" t="inlineStr">
        <is>
          <t>ABC1-T2</t>
        </is>
      </c>
      <c r="D17" s="12" t="inlineStr">
        <is>
          <t xml:space="preserve">        Marcado del recipiente (estampado)</t>
        </is>
      </c>
      <c r="E17" s="25" t="n">
        <v>1</v>
      </c>
      <c r="F17" s="25" t="inlineStr">
        <is>
          <t>u</t>
        </is>
      </c>
      <c r="G17" s="26" t="n"/>
      <c r="H17" s="26" t="n"/>
      <c r="I17" s="25" t="inlineStr">
        <is>
          <t>-</t>
        </is>
      </c>
      <c r="J17" s="12" t="inlineStr">
        <is>
          <t>N° de serie, año, presión de prueba, norma</t>
        </is>
      </c>
      <c r="K17" s="25" t="inlineStr">
        <is>
          <t>Proceso</t>
        </is>
      </c>
      <c r="L17" s="12" t="inlineStr">
        <is>
          <t>Marcado</t>
        </is>
      </c>
      <c r="M17" s="12" t="inlineStr">
        <is>
          <t>IRAM 3523 (marcado)</t>
        </is>
      </c>
      <c r="N17" s="25" t="inlineStr">
        <is>
          <t>R</t>
        </is>
      </c>
      <c r="O17" s="25" t="n"/>
      <c r="P17" s="12" t="n"/>
    </row>
    <row r="18">
      <c r="A18" s="22" t="inlineStr">
        <is>
          <t>FL_REC_ABC_1kg</t>
        </is>
      </c>
      <c r="B18" s="22" t="n">
        <v>1</v>
      </c>
      <c r="C18" s="22" t="inlineStr">
        <is>
          <t>ABC1-S7</t>
        </is>
      </c>
      <c r="D18" s="23" t="inlineStr">
        <is>
          <t xml:space="preserve">    Embalaje</t>
        </is>
      </c>
      <c r="E18" s="22" t="n">
        <v>1</v>
      </c>
      <c r="F18" s="22" t="inlineStr">
        <is>
          <t>u</t>
        </is>
      </c>
      <c r="G18" s="24" t="n"/>
      <c r="H18" s="24">
        <f>H19+H20+H21+H22</f>
        <v/>
      </c>
      <c r="I18" s="22" t="n"/>
      <c r="J18" s="23" t="n"/>
      <c r="K18" s="22" t="inlineStr">
        <is>
          <t>Compra</t>
        </is>
      </c>
      <c r="L18" s="23" t="inlineStr">
        <is>
          <t>23 Embalaje -&gt; 24 envolvedora (T11)</t>
        </is>
      </c>
      <c r="M18" s="23" t="n"/>
      <c r="N18" s="22" t="n"/>
      <c r="O18" s="22" t="n"/>
      <c r="P18" s="23" t="n"/>
    </row>
    <row r="19">
      <c r="A19" s="25" t="inlineStr">
        <is>
          <t>FL_REC_ABC_1kg</t>
        </is>
      </c>
      <c r="B19" s="25" t="n">
        <v>2</v>
      </c>
      <c r="C19" s="25" t="inlineStr">
        <is>
          <t>ABC1-E1</t>
        </is>
      </c>
      <c r="D19" s="12" t="inlineStr">
        <is>
          <t xml:space="preserve">        Caja de cartón corrugado simple</t>
        </is>
      </c>
      <c r="E19" s="25" t="n">
        <v>1</v>
      </c>
      <c r="F19" s="25" t="inlineStr">
        <is>
          <t>u</t>
        </is>
      </c>
      <c r="G19" s="26" t="n">
        <v>0.25</v>
      </c>
      <c r="H19" s="26">
        <f>E19*G19</f>
        <v/>
      </c>
      <c r="I19" s="25" t="inlineStr">
        <is>
          <t>Cartón corrugado</t>
        </is>
      </c>
      <c r="J19" s="12" t="inlineStr">
        <is>
          <t>106 × 106 × 318 interior</t>
        </is>
      </c>
      <c r="K19" s="25" t="inlineStr">
        <is>
          <t>Compra</t>
        </is>
      </c>
      <c r="L19" s="12" t="inlineStr">
        <is>
          <t>23 Embalaje</t>
        </is>
      </c>
      <c r="M19" s="12" t="n"/>
      <c r="N19" s="25" t="inlineStr">
        <is>
          <t>R</t>
        </is>
      </c>
      <c r="O19" s="25" t="n"/>
      <c r="P19" s="12" t="n"/>
    </row>
    <row r="20">
      <c r="A20" s="25" t="inlineStr">
        <is>
          <t>FL_REC_ABC_1kg</t>
        </is>
      </c>
      <c r="B20" s="25" t="n">
        <v>2</v>
      </c>
      <c r="C20" s="25" t="inlineStr">
        <is>
          <t>ABC1-E3</t>
        </is>
      </c>
      <c r="D20" s="12" t="inlineStr">
        <is>
          <t xml:space="preserve">        Pallet 1200 × 1000 (fracción)</t>
        </is>
      </c>
      <c r="E20" s="25" t="n">
        <v>0.0025</v>
      </c>
      <c r="F20" s="25" t="inlineStr">
        <is>
          <t>u</t>
        </is>
      </c>
      <c r="G20" s="26" t="n">
        <v>0.056</v>
      </c>
      <c r="H20" s="26">
        <f>E20*G20</f>
        <v/>
      </c>
      <c r="I20" s="25" t="inlineStr">
        <is>
          <t>Madera</t>
        </is>
      </c>
      <c r="J20" s="12" t="inlineStr">
        <is>
          <t>396 u por pallet</t>
        </is>
      </c>
      <c r="K20" s="25" t="inlineStr">
        <is>
          <t>Compra</t>
        </is>
      </c>
      <c r="L20" s="12" t="inlineStr">
        <is>
          <t>23 Embalaje</t>
        </is>
      </c>
      <c r="M20" s="12" t="n"/>
      <c r="N20" s="25" t="inlineStr">
        <is>
          <t>R</t>
        </is>
      </c>
      <c r="O20" s="25" t="n"/>
      <c r="P20" s="12" t="n"/>
    </row>
    <row r="21">
      <c r="A21" s="25" t="inlineStr">
        <is>
          <t>FL_REC_ABC_1kg</t>
        </is>
      </c>
      <c r="B21" s="25" t="n">
        <v>2</v>
      </c>
      <c r="C21" s="25" t="inlineStr">
        <is>
          <t>ABC1-E4</t>
        </is>
      </c>
      <c r="D21" s="12" t="inlineStr">
        <is>
          <t xml:space="preserve">        Film stretch (fracción del pallet)</t>
        </is>
      </c>
      <c r="E21" s="25" t="n">
        <v>0.0009</v>
      </c>
      <c r="F21" s="25" t="inlineStr">
        <is>
          <t>kg</t>
        </is>
      </c>
      <c r="G21" s="26" t="n">
        <v>1</v>
      </c>
      <c r="H21" s="26">
        <f>E21*G21</f>
        <v/>
      </c>
      <c r="I21" s="25" t="inlineStr">
        <is>
          <t>PE lineal 23 µm</t>
        </is>
      </c>
      <c r="J21" s="12" t="inlineStr">
        <is>
          <t>envolvedora EDOS PS5</t>
        </is>
      </c>
      <c r="K21" s="25" t="inlineStr">
        <is>
          <t>Compra</t>
        </is>
      </c>
      <c r="L21" s="12" t="inlineStr">
        <is>
          <t>24 Envolvedora (T11)</t>
        </is>
      </c>
      <c r="M21" s="12" t="n"/>
      <c r="N21" s="25" t="inlineStr">
        <is>
          <t>R</t>
        </is>
      </c>
      <c r="O21" s="25" t="n"/>
      <c r="P21" s="12" t="n"/>
    </row>
    <row r="22">
      <c r="A22" s="25" t="inlineStr">
        <is>
          <t>FL_REC_ABC_1kg</t>
        </is>
      </c>
      <c r="B22" s="25" t="n">
        <v>2</v>
      </c>
      <c r="C22" s="25" t="inlineStr">
        <is>
          <t>ABC1-E5</t>
        </is>
      </c>
      <c r="D22" s="12" t="inlineStr">
        <is>
          <t xml:space="preserve">        Etiqueta de pallet (lote y destino, fracción)</t>
        </is>
      </c>
      <c r="E22" s="25" t="n">
        <v>0.0025</v>
      </c>
      <c r="F22" s="25" t="inlineStr">
        <is>
          <t>u</t>
        </is>
      </c>
      <c r="G22" s="26" t="n">
        <v>0</v>
      </c>
      <c r="H22" s="26">
        <f>E22*G22</f>
        <v/>
      </c>
      <c r="I22" s="25" t="inlineStr">
        <is>
          <t>Papel térmico</t>
        </is>
      </c>
      <c r="J22" s="12" t="inlineStr">
        <is>
          <t>100 × 150</t>
        </is>
      </c>
      <c r="K22" s="25" t="inlineStr">
        <is>
          <t>Compra</t>
        </is>
      </c>
      <c r="L22" s="12" t="inlineStr">
        <is>
          <t>24 Envolvedora</t>
        </is>
      </c>
      <c r="M22" s="12" t="n"/>
      <c r="N22" s="25" t="inlineStr">
        <is>
          <t>R</t>
        </is>
      </c>
      <c r="O22" s="25" t="n"/>
      <c r="P22" s="12" t="n"/>
    </row>
    <row r="23">
      <c r="A23" s="19" t="inlineStr">
        <is>
          <t>FL_REC_ABC_2.5kg</t>
        </is>
      </c>
      <c r="B23" s="19" t="n">
        <v>0</v>
      </c>
      <c r="C23" s="19" t="inlineStr">
        <is>
          <t>FL_REC_ABC_2.5kg</t>
        </is>
      </c>
      <c r="D23" s="20" t="inlineStr">
        <is>
          <t>Cilindro (recipiente) ABC 2,5 kg - repuesto vacío sin válvula</t>
        </is>
      </c>
      <c r="E23" s="19" t="n">
        <v>1</v>
      </c>
      <c r="F23" s="19" t="inlineStr">
        <is>
          <t>u</t>
        </is>
      </c>
      <c r="G23" s="21" t="n"/>
      <c r="H23" s="21" t="n"/>
      <c r="I23" s="19" t="n"/>
      <c r="J23" s="20" t="n"/>
      <c r="K23" s="19" t="n"/>
      <c r="L23" s="20" t="n"/>
      <c r="M23" s="20" t="inlineStr">
        <is>
          <t>IRAM 3523</t>
        </is>
      </c>
      <c r="N23" s="19" t="inlineStr">
        <is>
          <t>P</t>
        </is>
      </c>
      <c r="O23" s="19" t="inlineStr">
        <is>
          <t>FL_REC_ABC_2.5kg</t>
        </is>
      </c>
      <c r="P23" s="20" t="inlineStr">
        <is>
          <t>Fabricación propia</t>
        </is>
      </c>
    </row>
    <row r="24">
      <c r="A24" s="22" t="inlineStr">
        <is>
          <t>FL_REC_ABC_2.5kg</t>
        </is>
      </c>
      <c r="B24" s="22" t="n">
        <v>1</v>
      </c>
      <c r="C24" s="22" t="inlineStr">
        <is>
          <t>ABC2.5-S1</t>
        </is>
      </c>
      <c r="D24" s="23" t="inlineStr">
        <is>
          <t xml:space="preserve">    Recipiente (cilindro)</t>
        </is>
      </c>
      <c r="E24" s="22" t="n">
        <v>1</v>
      </c>
      <c r="F24" s="22" t="inlineStr">
        <is>
          <t>u</t>
        </is>
      </c>
      <c r="G24" s="24" t="n"/>
      <c r="H24" s="24">
        <f>H25+H27+H29+H31+H33+H36+H37</f>
        <v/>
      </c>
      <c r="I24" s="22" t="n"/>
      <c r="J24" s="23" t="n"/>
      <c r="K24" s="22" t="inlineStr">
        <is>
          <t>Fabricación</t>
        </is>
      </c>
      <c r="L24" s="23" t="n"/>
      <c r="M24" s="23" t="inlineStr">
        <is>
          <t>IRAM 3523 / 3550 (recipiente)</t>
        </is>
      </c>
      <c r="N24" s="22" t="inlineStr">
        <is>
          <t>P</t>
        </is>
      </c>
      <c r="O24" s="22" t="inlineStr">
        <is>
          <t>FL_DES_ABC_2.5kg</t>
        </is>
      </c>
      <c r="P24" s="23" t="n"/>
    </row>
    <row r="25">
      <c r="A25" s="25" t="inlineStr">
        <is>
          <t>FL_REC_ABC_2.5kg</t>
        </is>
      </c>
      <c r="B25" s="25" t="n">
        <v>2</v>
      </c>
      <c r="C25" s="25" t="inlineStr">
        <is>
          <t>ABC2.5-01</t>
        </is>
      </c>
      <c r="D25" s="12" t="inlineStr">
        <is>
          <t xml:space="preserve">        Cuerpo (virola)</t>
        </is>
      </c>
      <c r="E25" s="25" t="n">
        <v>1</v>
      </c>
      <c r="F25" s="25" t="inlineStr">
        <is>
          <t>u</t>
        </is>
      </c>
      <c r="G25" s="26" t="n">
        <v>0.9899</v>
      </c>
      <c r="H25" s="26">
        <f>E25*G25</f>
        <v/>
      </c>
      <c r="I25" s="25" t="inlineStr">
        <is>
          <t>Chapa acero SAE 1010 e=1,25</t>
        </is>
      </c>
      <c r="J25" s="12" t="inlineStr">
        <is>
          <t>Ø124 × e1,25 × 261,6 de alto; desarrollo 385,6 × 261,6</t>
        </is>
      </c>
      <c r="K25" s="25" t="inlineStr">
        <is>
          <t>Fabricación</t>
        </is>
      </c>
      <c r="L25" s="12" t="inlineStr">
        <is>
          <t>1 Guillotina -&gt; 2 numerado -&gt; 3 cilindrado -&gt; 4 soldadura longitudinal</t>
        </is>
      </c>
      <c r="M25" s="12" t="n"/>
      <c r="N25" s="25" t="inlineStr">
        <is>
          <t>P</t>
        </is>
      </c>
      <c r="O25" s="25" t="inlineStr">
        <is>
          <t>FL_DES_ABC_2.5kg</t>
        </is>
      </c>
      <c r="P25" s="12" t="inlineStr">
        <is>
          <t>costura long. MIG</t>
        </is>
      </c>
    </row>
    <row r="26">
      <c r="A26" s="27" t="inlineStr">
        <is>
          <t>FL_REC_ABC_2.5kg</t>
        </is>
      </c>
      <c r="B26" s="27" t="n">
        <v>3</v>
      </c>
      <c r="C26" s="27" t="inlineStr">
        <is>
          <t>MP-HOJA</t>
        </is>
      </c>
      <c r="D26" s="28" t="inlineStr">
        <is>
          <t xml:space="preserve">            Recorte de hoja LAF 1220 × 2440 e=1,25</t>
        </is>
      </c>
      <c r="E26" s="27" t="n">
        <v>1</v>
      </c>
      <c r="F26" s="27" t="inlineStr">
        <is>
          <t>u</t>
        </is>
      </c>
      <c r="G26" s="29" t="n">
        <v>1.082</v>
      </c>
      <c r="H26" s="29">
        <f>E26*G26</f>
        <v/>
      </c>
      <c r="I26" s="27" t="inlineStr">
        <is>
          <t>Chapa SAE 1010 LAF</t>
        </is>
      </c>
      <c r="J26" s="28" t="inlineStr">
        <is>
          <t>385,5 × 269,5 (aprovech. 94,2 %)</t>
        </is>
      </c>
      <c r="K26" s="27" t="inlineStr">
        <is>
          <t>Compra (Pradecon)</t>
        </is>
      </c>
      <c r="L26" s="28" t="inlineStr">
        <is>
          <t>AL-1H paquetes de hojas</t>
        </is>
      </c>
      <c r="M26" s="28" t="n"/>
      <c r="N26" s="27" t="inlineStr">
        <is>
          <t>L</t>
        </is>
      </c>
      <c r="O26" s="27" t="inlineStr">
        <is>
          <t>FL_PI_04 h2</t>
        </is>
      </c>
      <c r="P26" s="28" t="n"/>
    </row>
    <row r="27">
      <c r="A27" s="25" t="inlineStr">
        <is>
          <t>FL_REC_ABC_2.5kg</t>
        </is>
      </c>
      <c r="B27" s="25" t="n">
        <v>2</v>
      </c>
      <c r="C27" s="25" t="inlineStr">
        <is>
          <t>ABC2.5-02</t>
        </is>
      </c>
      <c r="D27" s="12" t="inlineStr">
        <is>
          <t xml:space="preserve">        Cúpula</t>
        </is>
      </c>
      <c r="E27" s="25" t="n">
        <v>1</v>
      </c>
      <c r="F27" s="25" t="inlineStr">
        <is>
          <t>u</t>
        </is>
      </c>
      <c r="G27" s="26" t="n">
        <v>0.1642</v>
      </c>
      <c r="H27" s="26">
        <f>E27*G27</f>
        <v/>
      </c>
      <c r="I27" s="25" t="inlineStr">
        <is>
          <t>Chapa acero SAE 1010 e=1,25</t>
        </is>
      </c>
      <c r="J27" s="12" t="inlineStr">
        <is>
          <t>Ø124 × e1,25 × 37,9 de alto; disco Ø179</t>
        </is>
      </c>
      <c r="K27" s="25" t="inlineStr">
        <is>
          <t>Fabricación</t>
        </is>
      </c>
      <c r="L27" s="12" t="inlineStr">
        <is>
          <t>6 Desbobinado + embutido (M06-M08)</t>
        </is>
      </c>
      <c r="M27" s="12" t="n"/>
      <c r="N27" s="25" t="inlineStr">
        <is>
          <t>P</t>
        </is>
      </c>
      <c r="O27" s="25" t="inlineStr">
        <is>
          <t>FL_DES_ABC_2.5kg</t>
        </is>
      </c>
      <c r="P27" s="12" t="inlineStr">
        <is>
          <t>embutida</t>
        </is>
      </c>
    </row>
    <row r="28">
      <c r="A28" s="27" t="inlineStr">
        <is>
          <t>FL_REC_ABC_2.5kg</t>
        </is>
      </c>
      <c r="B28" s="27" t="n">
        <v>3</v>
      </c>
      <c r="C28" s="27" t="inlineStr">
        <is>
          <t>MP-FLEJE</t>
        </is>
      </c>
      <c r="D28" s="28" t="inlineStr">
        <is>
          <t xml:space="preserve">            Fleje e=1,25 × 200 (paso 182)</t>
        </is>
      </c>
      <c r="E28" s="27" t="n">
        <v>0.182</v>
      </c>
      <c r="F28" s="27" t="inlineStr">
        <is>
          <t>m</t>
        </is>
      </c>
      <c r="G28" s="29" t="n">
        <v>1.962</v>
      </c>
      <c r="H28" s="29">
        <f>E28*G28</f>
        <v/>
      </c>
      <c r="I28" s="27" t="inlineStr">
        <is>
          <t>Fleje SAE 1010</t>
        </is>
      </c>
      <c r="J28" s="28" t="inlineStr">
        <is>
          <t>disco Ø179 (kg por m de fleje)</t>
        </is>
      </c>
      <c r="K28" s="27" t="inlineStr">
        <is>
          <t>Compra (Pacheco / Pradecon)</t>
        </is>
      </c>
      <c r="L28" s="28" t="inlineStr">
        <is>
          <t>AL-1F porta-flejes</t>
        </is>
      </c>
      <c r="M28" s="28" t="n"/>
      <c r="N28" s="27" t="inlineStr">
        <is>
          <t>L</t>
        </is>
      </c>
      <c r="O28" s="27" t="inlineStr">
        <is>
          <t>FL_PI_04 h2</t>
        </is>
      </c>
      <c r="P28" s="28" t="n"/>
    </row>
    <row r="29">
      <c r="A29" s="25" t="inlineStr">
        <is>
          <t>FL_REC_ABC_2.5kg</t>
        </is>
      </c>
      <c r="B29" s="25" t="n">
        <v>2</v>
      </c>
      <c r="C29" s="25" t="inlineStr">
        <is>
          <t>ABC2.5-03</t>
        </is>
      </c>
      <c r="D29" s="12" t="inlineStr">
        <is>
          <t xml:space="preserve">        Fondo</t>
        </is>
      </c>
      <c r="E29" s="25" t="n">
        <v>1</v>
      </c>
      <c r="F29" s="25" t="inlineStr">
        <is>
          <t>u</t>
        </is>
      </c>
      <c r="G29" s="26" t="n">
        <v>0.1138</v>
      </c>
      <c r="H29" s="26">
        <f>E29*G29</f>
        <v/>
      </c>
      <c r="I29" s="25" t="inlineStr">
        <is>
          <t>Chapa acero SAE 1010 e=1,25</t>
        </is>
      </c>
      <c r="J29" s="12" t="inlineStr">
        <is>
          <t>Ø124 × e1,25 × 11,8 de alto; disco Ø148</t>
        </is>
      </c>
      <c r="K29" s="25" t="inlineStr">
        <is>
          <t>Fabricación</t>
        </is>
      </c>
      <c r="L29" s="12" t="inlineStr">
        <is>
          <t>6 Desbobinado + embutido (M06-M08)</t>
        </is>
      </c>
      <c r="M29" s="12" t="n"/>
      <c r="N29" s="25" t="inlineStr">
        <is>
          <t>P</t>
        </is>
      </c>
      <c r="O29" s="25" t="inlineStr">
        <is>
          <t>FL_DES_ABC_2.5kg</t>
        </is>
      </c>
      <c r="P29" s="12" t="inlineStr">
        <is>
          <t>embutido</t>
        </is>
      </c>
    </row>
    <row r="30">
      <c r="A30" s="27" t="inlineStr">
        <is>
          <t>FL_REC_ABC_2.5kg</t>
        </is>
      </c>
      <c r="B30" s="27" t="n">
        <v>3</v>
      </c>
      <c r="C30" s="27" t="inlineStr">
        <is>
          <t>MP-FLEJE</t>
        </is>
      </c>
      <c r="D30" s="28" t="inlineStr">
        <is>
          <t xml:space="preserve">            Fleje e=1,25 × 200 (paso 151)</t>
        </is>
      </c>
      <c r="E30" s="27" t="n">
        <v>0.151</v>
      </c>
      <c r="F30" s="27" t="inlineStr">
        <is>
          <t>m</t>
        </is>
      </c>
      <c r="G30" s="29" t="n">
        <v>1.962</v>
      </c>
      <c r="H30" s="29">
        <f>E30*G30</f>
        <v/>
      </c>
      <c r="I30" s="27" t="inlineStr">
        <is>
          <t>Fleje SAE 1010</t>
        </is>
      </c>
      <c r="J30" s="28" t="inlineStr">
        <is>
          <t>disco Ø148 (kg por m de fleje)</t>
        </is>
      </c>
      <c r="K30" s="27" t="inlineStr">
        <is>
          <t>Compra (Pacheco / Pradecon)</t>
        </is>
      </c>
      <c r="L30" s="28" t="inlineStr">
        <is>
          <t>AL-1F porta-flejes</t>
        </is>
      </c>
      <c r="M30" s="28" t="n"/>
      <c r="N30" s="27" t="inlineStr">
        <is>
          <t>L</t>
        </is>
      </c>
      <c r="O30" s="27" t="inlineStr">
        <is>
          <t>FL_PI_04 h2</t>
        </is>
      </c>
      <c r="P30" s="28" t="n"/>
    </row>
    <row r="31">
      <c r="A31" s="25" t="inlineStr">
        <is>
          <t>FL_REC_ABC_2.5kg</t>
        </is>
      </c>
      <c r="B31" s="25" t="n">
        <v>2</v>
      </c>
      <c r="C31" s="25" t="inlineStr">
        <is>
          <t>ABC2.5-04</t>
        </is>
      </c>
      <c r="D31" s="12" t="inlineStr">
        <is>
          <t xml:space="preserve">        Cuello roscado</t>
        </is>
      </c>
      <c r="E31" s="25" t="n">
        <v>1</v>
      </c>
      <c r="F31" s="25" t="inlineStr">
        <is>
          <t>u</t>
        </is>
      </c>
      <c r="G31" s="26" t="n">
        <v>0.0545</v>
      </c>
      <c r="H31" s="26">
        <f>E31*G31</f>
        <v/>
      </c>
      <c r="I31" s="25" t="inlineStr">
        <is>
          <t>Acero SAE 1010</t>
        </is>
      </c>
      <c r="J31" s="12" t="inlineStr">
        <is>
          <t>Ø37 × 14 de alto, rosca M30x1,5, asiento Ø35</t>
        </is>
      </c>
      <c r="K31" s="25" t="inlineStr">
        <is>
          <t>Fabricación</t>
        </is>
      </c>
      <c r="L31" s="12" t="inlineStr">
        <is>
          <t>7 Preparación de cuello -&gt; 8 soldadura de cuello</t>
        </is>
      </c>
      <c r="M31" s="12" t="n"/>
      <c r="N31" s="25" t="inlineStr">
        <is>
          <t>P</t>
        </is>
      </c>
      <c r="O31" s="25" t="inlineStr">
        <is>
          <t>FL_DES_ABC_2.5kg</t>
        </is>
      </c>
      <c r="P31" s="12" t="inlineStr">
        <is>
          <t>M30x1,5</t>
        </is>
      </c>
    </row>
    <row r="32">
      <c r="A32" s="27" t="inlineStr">
        <is>
          <t>FL_REC_ABC_2.5kg</t>
        </is>
      </c>
      <c r="B32" s="27" t="n">
        <v>3</v>
      </c>
      <c r="C32" s="27" t="inlineStr">
        <is>
          <t>MP-CUELLO</t>
        </is>
      </c>
      <c r="D32" s="28" t="inlineStr">
        <is>
          <t xml:space="preserve">            Cuello roscado mecanizado (pieza comprada lista para soldar)</t>
        </is>
      </c>
      <c r="E32" s="27" t="n">
        <v>1</v>
      </c>
      <c r="F32" s="27" t="inlineStr">
        <is>
          <t>u</t>
        </is>
      </c>
      <c r="G32" s="29" t="n">
        <v>0.055</v>
      </c>
      <c r="H32" s="29">
        <f>E32*G32</f>
        <v/>
      </c>
      <c r="I32" s="27" t="inlineStr">
        <is>
          <t>Acero SAE 1010 / 1020</t>
        </is>
      </c>
      <c r="J32" s="28" t="inlineStr">
        <is>
          <t>rosca M30x1,5</t>
        </is>
      </c>
      <c r="K32" s="27" t="inlineStr">
        <is>
          <t>Compra (Eli-Met)</t>
        </is>
      </c>
      <c r="L32" s="28" t="inlineStr">
        <is>
          <t>AL-1C cuellos y roscas</t>
        </is>
      </c>
      <c r="M32" s="28" t="n"/>
      <c r="N32" s="27" t="inlineStr">
        <is>
          <t>L</t>
        </is>
      </c>
      <c r="O32" s="27" t="n"/>
      <c r="P32" s="28" t="n"/>
    </row>
    <row r="33">
      <c r="A33" s="25" t="inlineStr">
        <is>
          <t>FL_REC_ABC_2.5kg</t>
        </is>
      </c>
      <c r="B33" s="25" t="n">
        <v>2</v>
      </c>
      <c r="C33" s="25" t="inlineStr">
        <is>
          <t>ABC2.5-C1</t>
        </is>
      </c>
      <c r="D33" s="12" t="inlineStr">
        <is>
          <t xml:space="preserve">        Aporte de soldadura: Alambre MAG ER70S-6 Ø0,9/1,2</t>
        </is>
      </c>
      <c r="E33" s="25" t="n">
        <v>0.0303</v>
      </c>
      <c r="F33" s="25" t="inlineStr">
        <is>
          <t>kg</t>
        </is>
      </c>
      <c r="G33" s="26" t="n">
        <v>0.92</v>
      </c>
      <c r="H33" s="26">
        <f>E33*G33</f>
        <v/>
      </c>
      <c r="I33" s="25" t="inlineStr">
        <is>
          <t>Alambre MAG ER70S-6 Ø0,9/1,2</t>
        </is>
      </c>
      <c r="J33" s="12" t="inlineStr">
        <is>
          <t>cordones del plano: 28 g depositados (rend. 92 %)</t>
        </is>
      </c>
      <c r="K33" s="25" t="inlineStr">
        <is>
          <t>Compra</t>
        </is>
      </c>
      <c r="L33" s="12" t="inlineStr">
        <is>
          <t>4 sold. long. / 8 cuello / 11 circunferencial</t>
        </is>
      </c>
      <c r="M33" s="12" t="inlineStr">
        <is>
          <t>ISO 4063 131 / 141</t>
        </is>
      </c>
      <c r="N33" s="25" t="inlineStr">
        <is>
          <t>P</t>
        </is>
      </c>
      <c r="O33" s="25" t="n"/>
      <c r="P33" s="12" t="n"/>
    </row>
    <row r="34">
      <c r="A34" s="25" t="inlineStr">
        <is>
          <t>FL_REC_ABC_2.5kg</t>
        </is>
      </c>
      <c r="B34" s="25" t="n">
        <v>2</v>
      </c>
      <c r="C34" s="25" t="inlineStr">
        <is>
          <t>ABC2.5-C2</t>
        </is>
      </c>
      <c r="D34" s="12" t="inlineStr">
        <is>
          <t xml:space="preserve">        Gas de protección: Arcal 21 (Ar + 18 % CO₂)</t>
        </is>
      </c>
      <c r="E34" s="25" t="n">
        <v>13.6</v>
      </c>
      <c r="F34" s="25" t="inlineStr">
        <is>
          <t>L</t>
        </is>
      </c>
      <c r="G34" s="26" t="n"/>
      <c r="H34" s="26" t="n"/>
      <c r="I34" s="25" t="inlineStr">
        <is>
          <t>Arcal 21 (Ar + 18 % CO₂)</t>
        </is>
      </c>
      <c r="J34" s="12" t="inlineStr">
        <is>
          <t>0,9 min de arco × 15 L/min</t>
        </is>
      </c>
      <c r="K34" s="25" t="inlineStr">
        <is>
          <t>Compra</t>
        </is>
      </c>
      <c r="L34" s="12" t="inlineStr">
        <is>
          <t>Colector SC</t>
        </is>
      </c>
      <c r="M34" s="12" t="n"/>
      <c r="N34" s="25" t="inlineStr">
        <is>
          <t>R</t>
        </is>
      </c>
      <c r="O34" s="25" t="n"/>
      <c r="P34" s="12" t="n"/>
    </row>
    <row r="35">
      <c r="A35" s="25" t="inlineStr">
        <is>
          <t>FL_REC_ABC_2.5kg</t>
        </is>
      </c>
      <c r="B35" s="25" t="n">
        <v>2</v>
      </c>
      <c r="C35" s="25" t="inlineStr">
        <is>
          <t>ABC2.5-C3</t>
        </is>
      </c>
      <c r="D35" s="12" t="inlineStr">
        <is>
          <t xml:space="preserve">        Granalla de acero (consumo)</t>
        </is>
      </c>
      <c r="E35" s="25" t="n">
        <v>0.01</v>
      </c>
      <c r="F35" s="25" t="inlineStr">
        <is>
          <t>kg</t>
        </is>
      </c>
      <c r="G35" s="26" t="n"/>
      <c r="H35" s="26" t="n"/>
      <c r="I35" s="25" t="inlineStr">
        <is>
          <t>Granalla S-230</t>
        </is>
      </c>
      <c r="J35" s="12" t="inlineStr">
        <is>
          <t>0,129 m² a Sa 2½</t>
        </is>
      </c>
      <c r="K35" s="25" t="inlineStr">
        <is>
          <t>Compra</t>
        </is>
      </c>
      <c r="L35" s="12" t="inlineStr">
        <is>
          <t>14 Granallado (B08)</t>
        </is>
      </c>
      <c r="M35" s="12" t="inlineStr">
        <is>
          <t>ISO 8501-1</t>
        </is>
      </c>
      <c r="N35" s="25" t="inlineStr">
        <is>
          <t>R</t>
        </is>
      </c>
      <c r="O35" s="25" t="n"/>
      <c r="P35" s="12" t="n"/>
    </row>
    <row r="36">
      <c r="A36" s="25" t="inlineStr">
        <is>
          <t>FL_REC_ABC_2.5kg</t>
        </is>
      </c>
      <c r="B36" s="25" t="n">
        <v>2</v>
      </c>
      <c r="C36" s="25" t="inlineStr">
        <is>
          <t>ABC2.5-C4</t>
        </is>
      </c>
      <c r="D36" s="12" t="inlineStr">
        <is>
          <t xml:space="preserve">        Pintura en polvo poliéster rojo</t>
        </is>
      </c>
      <c r="E36" s="25" t="n">
        <v>0.024</v>
      </c>
      <c r="F36" s="25" t="inlineStr">
        <is>
          <t>kg</t>
        </is>
      </c>
      <c r="G36" s="26" t="n">
        <v>0.65</v>
      </c>
      <c r="H36" s="26">
        <f>E36*G36</f>
        <v/>
      </c>
      <c r="I36" s="25" t="inlineStr">
        <is>
          <t>Poliéster rojo 03-1-050</t>
        </is>
      </c>
      <c r="J36" s="12" t="inlineStr">
        <is>
          <t>0,129 m² × 80 µm (60-100 µm), rendimiento 65 %</t>
        </is>
      </c>
      <c r="K36" s="25" t="inlineStr">
        <is>
          <t>Compra</t>
        </is>
      </c>
      <c r="L36" s="12" t="inlineStr">
        <is>
          <t>17 Pintura (S-P) / tercerizada en carros</t>
        </is>
      </c>
      <c r="M36" s="12" t="inlineStr">
        <is>
          <t>DOC-01 · IRAM 3517-2 9.10</t>
        </is>
      </c>
      <c r="N36" s="25" t="inlineStr">
        <is>
          <t>R</t>
        </is>
      </c>
      <c r="O36" s="25" t="n"/>
      <c r="P36" s="12" t="n"/>
    </row>
    <row r="37">
      <c r="A37" s="25" t="inlineStr">
        <is>
          <t>FL_REC_ABC_2.5kg</t>
        </is>
      </c>
      <c r="B37" s="25" t="n">
        <v>2</v>
      </c>
      <c r="C37" s="25" t="inlineStr">
        <is>
          <t>ABC2.5-T1</t>
        </is>
      </c>
      <c r="D37" s="12" t="inlineStr">
        <is>
          <t xml:space="preserve">        Tapón protector de rosca del cuello</t>
        </is>
      </c>
      <c r="E37" s="25" t="n">
        <v>1</v>
      </c>
      <c r="F37" s="25" t="inlineStr">
        <is>
          <t>u</t>
        </is>
      </c>
      <c r="G37" s="26" t="n">
        <v>0.005</v>
      </c>
      <c r="H37" s="26">
        <f>E37*G37</f>
        <v/>
      </c>
      <c r="I37" s="25" t="inlineStr">
        <is>
          <t>Polietileno</t>
        </is>
      </c>
      <c r="J37" s="12" t="inlineStr">
        <is>
          <t>para rosca M30x1,5</t>
        </is>
      </c>
      <c r="K37" s="25" t="inlineStr">
        <is>
          <t>Compra</t>
        </is>
      </c>
      <c r="L37" s="12" t="inlineStr">
        <is>
          <t>Embalaje</t>
        </is>
      </c>
      <c r="M37" s="12" t="n"/>
      <c r="N37" s="25" t="inlineStr">
        <is>
          <t>R</t>
        </is>
      </c>
      <c r="O37" s="25" t="n"/>
      <c r="P37" s="12" t="n"/>
    </row>
    <row r="38">
      <c r="A38" s="25" t="inlineStr">
        <is>
          <t>FL_REC_ABC_2.5kg</t>
        </is>
      </c>
      <c r="B38" s="25" t="n">
        <v>2</v>
      </c>
      <c r="C38" s="25" t="inlineStr">
        <is>
          <t>ABC2.5-T2</t>
        </is>
      </c>
      <c r="D38" s="12" t="inlineStr">
        <is>
          <t xml:space="preserve">        Marcado del recipiente (estampado)</t>
        </is>
      </c>
      <c r="E38" s="25" t="n">
        <v>1</v>
      </c>
      <c r="F38" s="25" t="inlineStr">
        <is>
          <t>u</t>
        </is>
      </c>
      <c r="G38" s="26" t="n"/>
      <c r="H38" s="26" t="n"/>
      <c r="I38" s="25" t="inlineStr">
        <is>
          <t>-</t>
        </is>
      </c>
      <c r="J38" s="12" t="inlineStr">
        <is>
          <t>N° de serie, año, presión de prueba, norma</t>
        </is>
      </c>
      <c r="K38" s="25" t="inlineStr">
        <is>
          <t>Proceso</t>
        </is>
      </c>
      <c r="L38" s="12" t="inlineStr">
        <is>
          <t>Marcado</t>
        </is>
      </c>
      <c r="M38" s="12" t="inlineStr">
        <is>
          <t>IRAM 3523 (marcado)</t>
        </is>
      </c>
      <c r="N38" s="25" t="inlineStr">
        <is>
          <t>R</t>
        </is>
      </c>
      <c r="O38" s="25" t="n"/>
      <c r="P38" s="12" t="n"/>
    </row>
    <row r="39">
      <c r="A39" s="22" t="inlineStr">
        <is>
          <t>FL_REC_ABC_2.5kg</t>
        </is>
      </c>
      <c r="B39" s="22" t="n">
        <v>1</v>
      </c>
      <c r="C39" s="22" t="inlineStr">
        <is>
          <t>ABC2.5-S7</t>
        </is>
      </c>
      <c r="D39" s="23" t="inlineStr">
        <is>
          <t xml:space="preserve">    Embalaje</t>
        </is>
      </c>
      <c r="E39" s="22" t="n">
        <v>1</v>
      </c>
      <c r="F39" s="22" t="inlineStr">
        <is>
          <t>u</t>
        </is>
      </c>
      <c r="G39" s="24" t="n"/>
      <c r="H39" s="24">
        <f>H40+H41+H42+H43</f>
        <v/>
      </c>
      <c r="I39" s="22" t="n"/>
      <c r="J39" s="23" t="n"/>
      <c r="K39" s="22" t="inlineStr">
        <is>
          <t>Compra</t>
        </is>
      </c>
      <c r="L39" s="23" t="inlineStr">
        <is>
          <t>23 Embalaje -&gt; 24 envolvedora (T11)</t>
        </is>
      </c>
      <c r="M39" s="23" t="n"/>
      <c r="N39" s="22" t="n"/>
      <c r="O39" s="22" t="n"/>
      <c r="P39" s="23" t="n"/>
    </row>
    <row r="40">
      <c r="A40" s="25" t="inlineStr">
        <is>
          <t>FL_REC_ABC_2.5kg</t>
        </is>
      </c>
      <c r="B40" s="25" t="n">
        <v>2</v>
      </c>
      <c r="C40" s="25" t="inlineStr">
        <is>
          <t>ABC2.5-E1</t>
        </is>
      </c>
      <c r="D40" s="12" t="inlineStr">
        <is>
          <t xml:space="preserve">        Caja de cartón corrugado simple</t>
        </is>
      </c>
      <c r="E40" s="25" t="n">
        <v>1</v>
      </c>
      <c r="F40" s="25" t="inlineStr">
        <is>
          <t>u</t>
        </is>
      </c>
      <c r="G40" s="26" t="n">
        <v>0.25</v>
      </c>
      <c r="H40" s="26">
        <f>E40*G40</f>
        <v/>
      </c>
      <c r="I40" s="25" t="inlineStr">
        <is>
          <t>Cartón corrugado</t>
        </is>
      </c>
      <c r="J40" s="12" t="inlineStr">
        <is>
          <t>154 × 154 × 334 interior</t>
        </is>
      </c>
      <c r="K40" s="25" t="inlineStr">
        <is>
          <t>Compra</t>
        </is>
      </c>
      <c r="L40" s="12" t="inlineStr">
        <is>
          <t>23 Embalaje</t>
        </is>
      </c>
      <c r="M40" s="12" t="n"/>
      <c r="N40" s="25" t="inlineStr">
        <is>
          <t>R</t>
        </is>
      </c>
      <c r="O40" s="25" t="n"/>
      <c r="P40" s="12" t="n"/>
    </row>
    <row r="41">
      <c r="A41" s="25" t="inlineStr">
        <is>
          <t>FL_REC_ABC_2.5kg</t>
        </is>
      </c>
      <c r="B41" s="25" t="n">
        <v>2</v>
      </c>
      <c r="C41" s="25" t="inlineStr">
        <is>
          <t>ABC2.5-E3</t>
        </is>
      </c>
      <c r="D41" s="12" t="inlineStr">
        <is>
          <t xml:space="preserve">        Pallet 1200 × 1000 (fracción)</t>
        </is>
      </c>
      <c r="E41" s="25" t="n">
        <v>0.006</v>
      </c>
      <c r="F41" s="25" t="inlineStr">
        <is>
          <t>u</t>
        </is>
      </c>
      <c r="G41" s="26" t="n">
        <v>0.131</v>
      </c>
      <c r="H41" s="26">
        <f>E41*G41</f>
        <v/>
      </c>
      <c r="I41" s="25" t="inlineStr">
        <is>
          <t>Madera</t>
        </is>
      </c>
      <c r="J41" s="12" t="inlineStr">
        <is>
          <t>168 u por pallet</t>
        </is>
      </c>
      <c r="K41" s="25" t="inlineStr">
        <is>
          <t>Compra</t>
        </is>
      </c>
      <c r="L41" s="12" t="inlineStr">
        <is>
          <t>23 Embalaje</t>
        </is>
      </c>
      <c r="M41" s="12" t="n"/>
      <c r="N41" s="25" t="inlineStr">
        <is>
          <t>R</t>
        </is>
      </c>
      <c r="O41" s="25" t="n"/>
      <c r="P41" s="12" t="n"/>
    </row>
    <row r="42">
      <c r="A42" s="25" t="inlineStr">
        <is>
          <t>FL_REC_ABC_2.5kg</t>
        </is>
      </c>
      <c r="B42" s="25" t="n">
        <v>2</v>
      </c>
      <c r="C42" s="25" t="inlineStr">
        <is>
          <t>ABC2.5-E4</t>
        </is>
      </c>
      <c r="D42" s="12" t="inlineStr">
        <is>
          <t xml:space="preserve">        Film stretch (fracción del pallet)</t>
        </is>
      </c>
      <c r="E42" s="25" t="n">
        <v>0.0021</v>
      </c>
      <c r="F42" s="25" t="inlineStr">
        <is>
          <t>kg</t>
        </is>
      </c>
      <c r="G42" s="26" t="n">
        <v>1</v>
      </c>
      <c r="H42" s="26">
        <f>E42*G42</f>
        <v/>
      </c>
      <c r="I42" s="25" t="inlineStr">
        <is>
          <t>PE lineal 23 µm</t>
        </is>
      </c>
      <c r="J42" s="12" t="inlineStr">
        <is>
          <t>envolvedora EDOS PS5</t>
        </is>
      </c>
      <c r="K42" s="25" t="inlineStr">
        <is>
          <t>Compra</t>
        </is>
      </c>
      <c r="L42" s="12" t="inlineStr">
        <is>
          <t>24 Envolvedora (T11)</t>
        </is>
      </c>
      <c r="M42" s="12" t="n"/>
      <c r="N42" s="25" t="inlineStr">
        <is>
          <t>R</t>
        </is>
      </c>
      <c r="O42" s="25" t="n"/>
      <c r="P42" s="12" t="n"/>
    </row>
    <row r="43">
      <c r="A43" s="25" t="inlineStr">
        <is>
          <t>FL_REC_ABC_2.5kg</t>
        </is>
      </c>
      <c r="B43" s="25" t="n">
        <v>2</v>
      </c>
      <c r="C43" s="25" t="inlineStr">
        <is>
          <t>ABC2.5-E5</t>
        </is>
      </c>
      <c r="D43" s="12" t="inlineStr">
        <is>
          <t xml:space="preserve">        Etiqueta de pallet (lote y destino, fracción)</t>
        </is>
      </c>
      <c r="E43" s="25" t="n">
        <v>0.006</v>
      </c>
      <c r="F43" s="25" t="inlineStr">
        <is>
          <t>u</t>
        </is>
      </c>
      <c r="G43" s="26" t="n">
        <v>0</v>
      </c>
      <c r="H43" s="26">
        <f>E43*G43</f>
        <v/>
      </c>
      <c r="I43" s="25" t="inlineStr">
        <is>
          <t>Papel térmico</t>
        </is>
      </c>
      <c r="J43" s="12" t="inlineStr">
        <is>
          <t>100 × 150</t>
        </is>
      </c>
      <c r="K43" s="25" t="inlineStr">
        <is>
          <t>Compra</t>
        </is>
      </c>
      <c r="L43" s="12" t="inlineStr">
        <is>
          <t>24 Envolvedora</t>
        </is>
      </c>
      <c r="M43" s="12" t="n"/>
      <c r="N43" s="25" t="inlineStr">
        <is>
          <t>R</t>
        </is>
      </c>
      <c r="O43" s="25" t="n"/>
      <c r="P43" s="12" t="n"/>
    </row>
    <row r="44">
      <c r="A44" s="19" t="inlineStr">
        <is>
          <t>FL_REC_ABC_5kg</t>
        </is>
      </c>
      <c r="B44" s="19" t="n">
        <v>0</v>
      </c>
      <c r="C44" s="19" t="inlineStr">
        <is>
          <t>FL_REC_ABC_5kg</t>
        </is>
      </c>
      <c r="D44" s="20" t="inlineStr">
        <is>
          <t>Cilindro (recipiente) ABC 5 kg - repuesto vacío sin válvula</t>
        </is>
      </c>
      <c r="E44" s="19" t="n">
        <v>1</v>
      </c>
      <c r="F44" s="19" t="inlineStr">
        <is>
          <t>u</t>
        </is>
      </c>
      <c r="G44" s="21" t="n"/>
      <c r="H44" s="21" t="n"/>
      <c r="I44" s="19" t="n"/>
      <c r="J44" s="20" t="n"/>
      <c r="K44" s="19" t="n"/>
      <c r="L44" s="20" t="n"/>
      <c r="M44" s="20" t="inlineStr">
        <is>
          <t>IRAM 3523</t>
        </is>
      </c>
      <c r="N44" s="19" t="inlineStr">
        <is>
          <t>P</t>
        </is>
      </c>
      <c r="O44" s="19" t="inlineStr">
        <is>
          <t>FL_REC_ABC_5kg</t>
        </is>
      </c>
      <c r="P44" s="20" t="inlineStr">
        <is>
          <t>Fabricación propia</t>
        </is>
      </c>
    </row>
    <row r="45">
      <c r="A45" s="22" t="inlineStr">
        <is>
          <t>FL_REC_ABC_5kg</t>
        </is>
      </c>
      <c r="B45" s="22" t="n">
        <v>1</v>
      </c>
      <c r="C45" s="22" t="inlineStr">
        <is>
          <t>ABC5-S1</t>
        </is>
      </c>
      <c r="D45" s="23" t="inlineStr">
        <is>
          <t xml:space="preserve">    Recipiente (cilindro)</t>
        </is>
      </c>
      <c r="E45" s="22" t="n">
        <v>1</v>
      </c>
      <c r="F45" s="22" t="inlineStr">
        <is>
          <t>u</t>
        </is>
      </c>
      <c r="G45" s="24" t="n"/>
      <c r="H45" s="24">
        <f>H46+H48+H50+H52+H54+H57+H58</f>
        <v/>
      </c>
      <c r="I45" s="22" t="n"/>
      <c r="J45" s="23" t="n"/>
      <c r="K45" s="22" t="inlineStr">
        <is>
          <t>Fabricación</t>
        </is>
      </c>
      <c r="L45" s="23" t="n"/>
      <c r="M45" s="23" t="inlineStr">
        <is>
          <t>IRAM 3523 / 3550 (recipiente)</t>
        </is>
      </c>
      <c r="N45" s="22" t="inlineStr">
        <is>
          <t>P</t>
        </is>
      </c>
      <c r="O45" s="22" t="inlineStr">
        <is>
          <t>FL_DES_ABC_5kg</t>
        </is>
      </c>
      <c r="P45" s="23" t="n"/>
    </row>
    <row r="46">
      <c r="A46" s="25" t="inlineStr">
        <is>
          <t>FL_REC_ABC_5kg</t>
        </is>
      </c>
      <c r="B46" s="25" t="n">
        <v>2</v>
      </c>
      <c r="C46" s="25" t="inlineStr">
        <is>
          <t>ABC5-01</t>
        </is>
      </c>
      <c r="D46" s="12" t="inlineStr">
        <is>
          <t xml:space="preserve">        Cuerpo (virola)</t>
        </is>
      </c>
      <c r="E46" s="25" t="n">
        <v>1</v>
      </c>
      <c r="F46" s="25" t="inlineStr">
        <is>
          <t>u</t>
        </is>
      </c>
      <c r="G46" s="26" t="n">
        <v>1.9203</v>
      </c>
      <c r="H46" s="26">
        <f>E46*G46</f>
        <v/>
      </c>
      <c r="I46" s="25" t="inlineStr">
        <is>
          <t>Chapa acero SAE 1010 e=1,6</t>
        </is>
      </c>
      <c r="J46" s="12" t="inlineStr">
        <is>
          <t>Ø153 × e1,6 × 321,4 de alto; desarrollo 475,6 × 321,4</t>
        </is>
      </c>
      <c r="K46" s="25" t="inlineStr">
        <is>
          <t>Fabricación</t>
        </is>
      </c>
      <c r="L46" s="12" t="inlineStr">
        <is>
          <t>1 Guillotina -&gt; 2 numerado -&gt; 3 cilindrado -&gt; 4 soldadura longitudinal</t>
        </is>
      </c>
      <c r="M46" s="12" t="n"/>
      <c r="N46" s="25" t="inlineStr">
        <is>
          <t>P</t>
        </is>
      </c>
      <c r="O46" s="25" t="inlineStr">
        <is>
          <t>FL_DES_ABC_5kg</t>
        </is>
      </c>
      <c r="P46" s="12" t="inlineStr">
        <is>
          <t>costura long. MIG</t>
        </is>
      </c>
    </row>
    <row r="47">
      <c r="A47" s="27" t="inlineStr">
        <is>
          <t>FL_REC_ABC_5kg</t>
        </is>
      </c>
      <c r="B47" s="27" t="n">
        <v>3</v>
      </c>
      <c r="C47" s="27" t="inlineStr">
        <is>
          <t>MP-HOJA</t>
        </is>
      </c>
      <c r="D47" s="28" t="inlineStr">
        <is>
          <t xml:space="preserve">            Recorte de hoja LAF 1000 × 2000 e=1,6</t>
        </is>
      </c>
      <c r="E47" s="27" t="n">
        <v>1</v>
      </c>
      <c r="F47" s="27" t="inlineStr">
        <is>
          <t>u</t>
        </is>
      </c>
      <c r="G47" s="29" t="n">
        <v>2.092</v>
      </c>
      <c r="H47" s="29">
        <f>E47*G47</f>
        <v/>
      </c>
      <c r="I47" s="27" t="inlineStr">
        <is>
          <t>Chapa SAE 1010 LAF</t>
        </is>
      </c>
      <c r="J47" s="28" t="inlineStr">
        <is>
          <t>330 × 474,5 (aprovech. 94 %)</t>
        </is>
      </c>
      <c r="K47" s="27" t="inlineStr">
        <is>
          <t>Compra (Pradecon)</t>
        </is>
      </c>
      <c r="L47" s="28" t="inlineStr">
        <is>
          <t>AL-1H paquetes de hojas</t>
        </is>
      </c>
      <c r="M47" s="28" t="n"/>
      <c r="N47" s="27" t="inlineStr">
        <is>
          <t>L</t>
        </is>
      </c>
      <c r="O47" s="27" t="inlineStr">
        <is>
          <t>FL_PI_04 h2</t>
        </is>
      </c>
      <c r="P47" s="28" t="n"/>
    </row>
    <row r="48">
      <c r="A48" s="25" t="inlineStr">
        <is>
          <t>FL_REC_ABC_5kg</t>
        </is>
      </c>
      <c r="B48" s="25" t="n">
        <v>2</v>
      </c>
      <c r="C48" s="25" t="inlineStr">
        <is>
          <t>ABC5-02</t>
        </is>
      </c>
      <c r="D48" s="12" t="inlineStr">
        <is>
          <t xml:space="preserve">        Cúpula</t>
        </is>
      </c>
      <c r="E48" s="25" t="n">
        <v>1</v>
      </c>
      <c r="F48" s="25" t="inlineStr">
        <is>
          <t>u</t>
        </is>
      </c>
      <c r="G48" s="26" t="n">
        <v>0.3505</v>
      </c>
      <c r="H48" s="26">
        <f>E48*G48</f>
        <v/>
      </c>
      <c r="I48" s="25" t="inlineStr">
        <is>
          <t>Chapa acero SAE 1010 e=1,6</t>
        </is>
      </c>
      <c r="J48" s="12" t="inlineStr">
        <is>
          <t>Ø153 × e1,6 × 53,1 de alto; disco Ø221</t>
        </is>
      </c>
      <c r="K48" s="25" t="inlineStr">
        <is>
          <t>Fabricación</t>
        </is>
      </c>
      <c r="L48" s="12" t="inlineStr">
        <is>
          <t>6 Desbobinado + embutido (M06-M08)</t>
        </is>
      </c>
      <c r="M48" s="12" t="n"/>
      <c r="N48" s="25" t="inlineStr">
        <is>
          <t>P</t>
        </is>
      </c>
      <c r="O48" s="25" t="inlineStr">
        <is>
          <t>FL_DES_ABC_5kg</t>
        </is>
      </c>
      <c r="P48" s="12" t="inlineStr">
        <is>
          <t>embutida</t>
        </is>
      </c>
    </row>
    <row r="49">
      <c r="A49" s="27" t="inlineStr">
        <is>
          <t>FL_REC_ABC_5kg</t>
        </is>
      </c>
      <c r="B49" s="27" t="n">
        <v>3</v>
      </c>
      <c r="C49" s="27" t="inlineStr">
        <is>
          <t>MP-FLEJE</t>
        </is>
      </c>
      <c r="D49" s="28" t="inlineStr">
        <is>
          <t xml:space="preserve">            Fleje e=1,6 × 250 (paso 224)</t>
        </is>
      </c>
      <c r="E49" s="27" t="n">
        <v>0.224</v>
      </c>
      <c r="F49" s="27" t="inlineStr">
        <is>
          <t>m</t>
        </is>
      </c>
      <c r="G49" s="29" t="n">
        <v>3.14</v>
      </c>
      <c r="H49" s="29">
        <f>E49*G49</f>
        <v/>
      </c>
      <c r="I49" s="27" t="inlineStr">
        <is>
          <t>Fleje SAE 1010</t>
        </is>
      </c>
      <c r="J49" s="28" t="inlineStr">
        <is>
          <t>disco Ø221 (kg por m de fleje)</t>
        </is>
      </c>
      <c r="K49" s="27" t="inlineStr">
        <is>
          <t>Compra (Pacheco / Pradecon)</t>
        </is>
      </c>
      <c r="L49" s="28" t="inlineStr">
        <is>
          <t>AL-1F porta-flejes</t>
        </is>
      </c>
      <c r="M49" s="28" t="n"/>
      <c r="N49" s="27" t="inlineStr">
        <is>
          <t>L</t>
        </is>
      </c>
      <c r="O49" s="27" t="inlineStr">
        <is>
          <t>FL_PI_04 h2</t>
        </is>
      </c>
      <c r="P49" s="28" t="n"/>
    </row>
    <row r="50">
      <c r="A50" s="25" t="inlineStr">
        <is>
          <t>FL_REC_ABC_5kg</t>
        </is>
      </c>
      <c r="B50" s="25" t="n">
        <v>2</v>
      </c>
      <c r="C50" s="25" t="inlineStr">
        <is>
          <t>ABC5-03</t>
        </is>
      </c>
      <c r="D50" s="12" t="inlineStr">
        <is>
          <t xml:space="preserve">        Fondo</t>
        </is>
      </c>
      <c r="E50" s="25" t="n">
        <v>1</v>
      </c>
      <c r="F50" s="25" t="inlineStr">
        <is>
          <t>u</t>
        </is>
      </c>
      <c r="G50" s="26" t="n">
        <v>0.2214</v>
      </c>
      <c r="H50" s="26">
        <f>E50*G50</f>
        <v/>
      </c>
      <c r="I50" s="25" t="inlineStr">
        <is>
          <t>Chapa acero SAE 1010 e=1,6</t>
        </is>
      </c>
      <c r="J50" s="12" t="inlineStr">
        <is>
          <t>Ø153 × e1,6 × 17,6 de alto; disco Ø177</t>
        </is>
      </c>
      <c r="K50" s="25" t="inlineStr">
        <is>
          <t>Fabricación</t>
        </is>
      </c>
      <c r="L50" s="12" t="inlineStr">
        <is>
          <t>6 Desbobinado + embutido (M06-M08)</t>
        </is>
      </c>
      <c r="M50" s="12" t="n"/>
      <c r="N50" s="25" t="inlineStr">
        <is>
          <t>P</t>
        </is>
      </c>
      <c r="O50" s="25" t="inlineStr">
        <is>
          <t>FL_DES_ABC_5kg</t>
        </is>
      </c>
      <c r="P50" s="12" t="inlineStr">
        <is>
          <t>embutido</t>
        </is>
      </c>
    </row>
    <row r="51">
      <c r="A51" s="27" t="inlineStr">
        <is>
          <t>FL_REC_ABC_5kg</t>
        </is>
      </c>
      <c r="B51" s="27" t="n">
        <v>3</v>
      </c>
      <c r="C51" s="27" t="inlineStr">
        <is>
          <t>MP-FLEJE</t>
        </is>
      </c>
      <c r="D51" s="28" t="inlineStr">
        <is>
          <t xml:space="preserve">            Fleje e=1,6 × 200 (paso 180)</t>
        </is>
      </c>
      <c r="E51" s="27" t="n">
        <v>0.18</v>
      </c>
      <c r="F51" s="27" t="inlineStr">
        <is>
          <t>m</t>
        </is>
      </c>
      <c r="G51" s="29" t="n">
        <v>2.512</v>
      </c>
      <c r="H51" s="29">
        <f>E51*G51</f>
        <v/>
      </c>
      <c r="I51" s="27" t="inlineStr">
        <is>
          <t>Fleje SAE 1010</t>
        </is>
      </c>
      <c r="J51" s="28" t="inlineStr">
        <is>
          <t>disco Ø177 (kg por m de fleje)</t>
        </is>
      </c>
      <c r="K51" s="27" t="inlineStr">
        <is>
          <t>Compra (Pacheco / Pradecon)</t>
        </is>
      </c>
      <c r="L51" s="28" t="inlineStr">
        <is>
          <t>AL-1F porta-flejes</t>
        </is>
      </c>
      <c r="M51" s="28" t="n"/>
      <c r="N51" s="27" t="inlineStr">
        <is>
          <t>L</t>
        </is>
      </c>
      <c r="O51" s="27" t="inlineStr">
        <is>
          <t>FL_PI_04 h2</t>
        </is>
      </c>
      <c r="P51" s="28" t="n"/>
    </row>
    <row r="52">
      <c r="A52" s="25" t="inlineStr">
        <is>
          <t>FL_REC_ABC_5kg</t>
        </is>
      </c>
      <c r="B52" s="25" t="n">
        <v>2</v>
      </c>
      <c r="C52" s="25" t="inlineStr">
        <is>
          <t>ABC5-04</t>
        </is>
      </c>
      <c r="D52" s="12" t="inlineStr">
        <is>
          <t xml:space="preserve">        Cuello roscado</t>
        </is>
      </c>
      <c r="E52" s="25" t="n">
        <v>1</v>
      </c>
      <c r="F52" s="25" t="inlineStr">
        <is>
          <t>u</t>
        </is>
      </c>
      <c r="G52" s="26" t="n">
        <v>0.0589</v>
      </c>
      <c r="H52" s="26">
        <f>E52*G52</f>
        <v/>
      </c>
      <c r="I52" s="25" t="inlineStr">
        <is>
          <t>Acero SAE 1010</t>
        </is>
      </c>
      <c r="J52" s="12" t="inlineStr">
        <is>
          <t>Ø37 × 15 de alto, rosca M30x1,5, asiento Ø35</t>
        </is>
      </c>
      <c r="K52" s="25" t="inlineStr">
        <is>
          <t>Fabricación</t>
        </is>
      </c>
      <c r="L52" s="12" t="inlineStr">
        <is>
          <t>7 Preparación de cuello -&gt; 8 soldadura de cuello</t>
        </is>
      </c>
      <c r="M52" s="12" t="n"/>
      <c r="N52" s="25" t="inlineStr">
        <is>
          <t>P</t>
        </is>
      </c>
      <c r="O52" s="25" t="inlineStr">
        <is>
          <t>FL_DES_ABC_5kg</t>
        </is>
      </c>
      <c r="P52" s="12" t="inlineStr">
        <is>
          <t>M30x1,5</t>
        </is>
      </c>
    </row>
    <row r="53">
      <c r="A53" s="27" t="inlineStr">
        <is>
          <t>FL_REC_ABC_5kg</t>
        </is>
      </c>
      <c r="B53" s="27" t="n">
        <v>3</v>
      </c>
      <c r="C53" s="27" t="inlineStr">
        <is>
          <t>MP-CUELLO</t>
        </is>
      </c>
      <c r="D53" s="28" t="inlineStr">
        <is>
          <t xml:space="preserve">            Cuello roscado mecanizado (pieza comprada lista para soldar)</t>
        </is>
      </c>
      <c r="E53" s="27" t="n">
        <v>1</v>
      </c>
      <c r="F53" s="27" t="inlineStr">
        <is>
          <t>u</t>
        </is>
      </c>
      <c r="G53" s="29" t="n">
        <v>0.059</v>
      </c>
      <c r="H53" s="29">
        <f>E53*G53</f>
        <v/>
      </c>
      <c r="I53" s="27" t="inlineStr">
        <is>
          <t>Acero SAE 1010 / 1020</t>
        </is>
      </c>
      <c r="J53" s="28" t="inlineStr">
        <is>
          <t>rosca M30x1,5</t>
        </is>
      </c>
      <c r="K53" s="27" t="inlineStr">
        <is>
          <t>Compra (Eli-Met)</t>
        </is>
      </c>
      <c r="L53" s="28" t="inlineStr">
        <is>
          <t>AL-1C cuellos y roscas</t>
        </is>
      </c>
      <c r="M53" s="28" t="n"/>
      <c r="N53" s="27" t="inlineStr">
        <is>
          <t>L</t>
        </is>
      </c>
      <c r="O53" s="27" t="n"/>
      <c r="P53" s="28" t="n"/>
    </row>
    <row r="54">
      <c r="A54" s="25" t="inlineStr">
        <is>
          <t>FL_REC_ABC_5kg</t>
        </is>
      </c>
      <c r="B54" s="25" t="n">
        <v>2</v>
      </c>
      <c r="C54" s="25" t="inlineStr">
        <is>
          <t>ABC5-C1</t>
        </is>
      </c>
      <c r="D54" s="12" t="inlineStr">
        <is>
          <t xml:space="preserve">        Aporte de soldadura: Alambre MAG ER70S-6 Ø0,9/1,2</t>
        </is>
      </c>
      <c r="E54" s="25" t="n">
        <v>0.0571</v>
      </c>
      <c r="F54" s="25" t="inlineStr">
        <is>
          <t>kg</t>
        </is>
      </c>
      <c r="G54" s="26" t="n">
        <v>0.92</v>
      </c>
      <c r="H54" s="26">
        <f>E54*G54</f>
        <v/>
      </c>
      <c r="I54" s="25" t="inlineStr">
        <is>
          <t>Alambre MAG ER70S-6 Ø0,9/1,2</t>
        </is>
      </c>
      <c r="J54" s="12" t="inlineStr">
        <is>
          <t>cordones del plano: 53 g depositados (rend. 92 %)</t>
        </is>
      </c>
      <c r="K54" s="25" t="inlineStr">
        <is>
          <t>Compra</t>
        </is>
      </c>
      <c r="L54" s="12" t="inlineStr">
        <is>
          <t>4 sold. long. / 8 cuello / 11 circunferencial</t>
        </is>
      </c>
      <c r="M54" s="12" t="inlineStr">
        <is>
          <t>ISO 4063 131 / 141</t>
        </is>
      </c>
      <c r="N54" s="25" t="inlineStr">
        <is>
          <t>P</t>
        </is>
      </c>
      <c r="O54" s="25" t="n"/>
      <c r="P54" s="12" t="n"/>
    </row>
    <row r="55">
      <c r="A55" s="25" t="inlineStr">
        <is>
          <t>FL_REC_ABC_5kg</t>
        </is>
      </c>
      <c r="B55" s="25" t="n">
        <v>2</v>
      </c>
      <c r="C55" s="25" t="inlineStr">
        <is>
          <t>ABC5-C2</t>
        </is>
      </c>
      <c r="D55" s="12" t="inlineStr">
        <is>
          <t xml:space="preserve">        Gas de protección: Arcal 21 (Ar + 18 % CO₂)</t>
        </is>
      </c>
      <c r="E55" s="25" t="n">
        <v>25.7</v>
      </c>
      <c r="F55" s="25" t="inlineStr">
        <is>
          <t>L</t>
        </is>
      </c>
      <c r="G55" s="26" t="n"/>
      <c r="H55" s="26" t="n"/>
      <c r="I55" s="25" t="inlineStr">
        <is>
          <t>Arcal 21 (Ar + 18 % CO₂)</t>
        </is>
      </c>
      <c r="J55" s="12" t="inlineStr">
        <is>
          <t>1,7 min de arco × 15 L/min</t>
        </is>
      </c>
      <c r="K55" s="25" t="inlineStr">
        <is>
          <t>Compra</t>
        </is>
      </c>
      <c r="L55" s="12" t="inlineStr">
        <is>
          <t>Colector SC</t>
        </is>
      </c>
      <c r="M55" s="12" t="n"/>
      <c r="N55" s="25" t="inlineStr">
        <is>
          <t>R</t>
        </is>
      </c>
      <c r="O55" s="25" t="n"/>
      <c r="P55" s="12" t="n"/>
    </row>
    <row r="56">
      <c r="A56" s="25" t="inlineStr">
        <is>
          <t>FL_REC_ABC_5kg</t>
        </is>
      </c>
      <c r="B56" s="25" t="n">
        <v>2</v>
      </c>
      <c r="C56" s="25" t="inlineStr">
        <is>
          <t>ABC5-C3</t>
        </is>
      </c>
      <c r="D56" s="12" t="inlineStr">
        <is>
          <t xml:space="preserve">        Granalla de acero (consumo)</t>
        </is>
      </c>
      <c r="E56" s="25" t="n">
        <v>0.016</v>
      </c>
      <c r="F56" s="25" t="inlineStr">
        <is>
          <t>kg</t>
        </is>
      </c>
      <c r="G56" s="26" t="n"/>
      <c r="H56" s="26" t="n"/>
      <c r="I56" s="25" t="inlineStr">
        <is>
          <t>Granalla S-230</t>
        </is>
      </c>
      <c r="J56" s="12" t="inlineStr">
        <is>
          <t>0,198 m² a Sa 2½</t>
        </is>
      </c>
      <c r="K56" s="25" t="inlineStr">
        <is>
          <t>Compra</t>
        </is>
      </c>
      <c r="L56" s="12" t="inlineStr">
        <is>
          <t>14 Granallado (B08)</t>
        </is>
      </c>
      <c r="M56" s="12" t="inlineStr">
        <is>
          <t>ISO 8501-1</t>
        </is>
      </c>
      <c r="N56" s="25" t="inlineStr">
        <is>
          <t>R</t>
        </is>
      </c>
      <c r="O56" s="25" t="n"/>
      <c r="P56" s="12" t="n"/>
    </row>
    <row r="57">
      <c r="A57" s="25" t="inlineStr">
        <is>
          <t>FL_REC_ABC_5kg</t>
        </is>
      </c>
      <c r="B57" s="25" t="n">
        <v>2</v>
      </c>
      <c r="C57" s="25" t="inlineStr">
        <is>
          <t>ABC5-C4</t>
        </is>
      </c>
      <c r="D57" s="12" t="inlineStr">
        <is>
          <t xml:space="preserve">        Pintura en polvo poliéster rojo</t>
        </is>
      </c>
      <c r="E57" s="25" t="n">
        <v>0.037</v>
      </c>
      <c r="F57" s="25" t="inlineStr">
        <is>
          <t>kg</t>
        </is>
      </c>
      <c r="G57" s="26" t="n">
        <v>0.65</v>
      </c>
      <c r="H57" s="26">
        <f>E57*G57</f>
        <v/>
      </c>
      <c r="I57" s="25" t="inlineStr">
        <is>
          <t>Poliéster rojo 03-1-050</t>
        </is>
      </c>
      <c r="J57" s="12" t="inlineStr">
        <is>
          <t>0,198 m² × 80 µm (60-100 µm), rendimiento 65 %</t>
        </is>
      </c>
      <c r="K57" s="25" t="inlineStr">
        <is>
          <t>Compra</t>
        </is>
      </c>
      <c r="L57" s="12" t="inlineStr">
        <is>
          <t>17 Pintura (S-P) / tercerizada en carros</t>
        </is>
      </c>
      <c r="M57" s="12" t="inlineStr">
        <is>
          <t>DOC-01 · IRAM 3517-2 9.10</t>
        </is>
      </c>
      <c r="N57" s="25" t="inlineStr">
        <is>
          <t>R</t>
        </is>
      </c>
      <c r="O57" s="25" t="n"/>
      <c r="P57" s="12" t="n"/>
    </row>
    <row r="58">
      <c r="A58" s="25" t="inlineStr">
        <is>
          <t>FL_REC_ABC_5kg</t>
        </is>
      </c>
      <c r="B58" s="25" t="n">
        <v>2</v>
      </c>
      <c r="C58" s="25" t="inlineStr">
        <is>
          <t>ABC5-T1</t>
        </is>
      </c>
      <c r="D58" s="12" t="inlineStr">
        <is>
          <t xml:space="preserve">        Tapón protector de rosca del cuello</t>
        </is>
      </c>
      <c r="E58" s="25" t="n">
        <v>1</v>
      </c>
      <c r="F58" s="25" t="inlineStr">
        <is>
          <t>u</t>
        </is>
      </c>
      <c r="G58" s="26" t="n">
        <v>0.005</v>
      </c>
      <c r="H58" s="26">
        <f>E58*G58</f>
        <v/>
      </c>
      <c r="I58" s="25" t="inlineStr">
        <is>
          <t>Polietileno</t>
        </is>
      </c>
      <c r="J58" s="12" t="inlineStr">
        <is>
          <t>para rosca M30x1,5</t>
        </is>
      </c>
      <c r="K58" s="25" t="inlineStr">
        <is>
          <t>Compra</t>
        </is>
      </c>
      <c r="L58" s="12" t="inlineStr">
        <is>
          <t>Embalaje</t>
        </is>
      </c>
      <c r="M58" s="12" t="n"/>
      <c r="N58" s="25" t="inlineStr">
        <is>
          <t>R</t>
        </is>
      </c>
      <c r="O58" s="25" t="n"/>
      <c r="P58" s="12" t="n"/>
    </row>
    <row r="59">
      <c r="A59" s="25" t="inlineStr">
        <is>
          <t>FL_REC_ABC_5kg</t>
        </is>
      </c>
      <c r="B59" s="25" t="n">
        <v>2</v>
      </c>
      <c r="C59" s="25" t="inlineStr">
        <is>
          <t>ABC5-T2</t>
        </is>
      </c>
      <c r="D59" s="12" t="inlineStr">
        <is>
          <t xml:space="preserve">        Marcado del recipiente (estampado)</t>
        </is>
      </c>
      <c r="E59" s="25" t="n">
        <v>1</v>
      </c>
      <c r="F59" s="25" t="inlineStr">
        <is>
          <t>u</t>
        </is>
      </c>
      <c r="G59" s="26" t="n"/>
      <c r="H59" s="26" t="n"/>
      <c r="I59" s="25" t="inlineStr">
        <is>
          <t>-</t>
        </is>
      </c>
      <c r="J59" s="12" t="inlineStr">
        <is>
          <t>N° de serie, año, presión de prueba, norma</t>
        </is>
      </c>
      <c r="K59" s="25" t="inlineStr">
        <is>
          <t>Proceso</t>
        </is>
      </c>
      <c r="L59" s="12" t="inlineStr">
        <is>
          <t>Marcado</t>
        </is>
      </c>
      <c r="M59" s="12" t="inlineStr">
        <is>
          <t>IRAM 3523 (marcado)</t>
        </is>
      </c>
      <c r="N59" s="25" t="inlineStr">
        <is>
          <t>R</t>
        </is>
      </c>
      <c r="O59" s="25" t="n"/>
      <c r="P59" s="12" t="n"/>
    </row>
    <row r="60">
      <c r="A60" s="22" t="inlineStr">
        <is>
          <t>FL_REC_ABC_5kg</t>
        </is>
      </c>
      <c r="B60" s="22" t="n">
        <v>1</v>
      </c>
      <c r="C60" s="22" t="inlineStr">
        <is>
          <t>ABC5-S7</t>
        </is>
      </c>
      <c r="D60" s="23" t="inlineStr">
        <is>
          <t xml:space="preserve">    Embalaje</t>
        </is>
      </c>
      <c r="E60" s="22" t="n">
        <v>1</v>
      </c>
      <c r="F60" s="22" t="inlineStr">
        <is>
          <t>u</t>
        </is>
      </c>
      <c r="G60" s="24" t="n"/>
      <c r="H60" s="24">
        <f>H61+H62+H63+H64</f>
        <v/>
      </c>
      <c r="I60" s="22" t="n"/>
      <c r="J60" s="23" t="n"/>
      <c r="K60" s="22" t="inlineStr">
        <is>
          <t>Compra</t>
        </is>
      </c>
      <c r="L60" s="23" t="inlineStr">
        <is>
          <t>23 Embalaje -&gt; 24 envolvedora (T11)</t>
        </is>
      </c>
      <c r="M60" s="23" t="n"/>
      <c r="N60" s="22" t="n"/>
      <c r="O60" s="22" t="n"/>
      <c r="P60" s="23" t="n"/>
    </row>
    <row r="61">
      <c r="A61" s="25" t="inlineStr">
        <is>
          <t>FL_REC_ABC_5kg</t>
        </is>
      </c>
      <c r="B61" s="25" t="n">
        <v>2</v>
      </c>
      <c r="C61" s="25" t="inlineStr">
        <is>
          <t>ABC5-E1</t>
        </is>
      </c>
      <c r="D61" s="12" t="inlineStr">
        <is>
          <t xml:space="preserve">        Caja de cartón corrugado simple</t>
        </is>
      </c>
      <c r="E61" s="25" t="n">
        <v>1</v>
      </c>
      <c r="F61" s="25" t="inlineStr">
        <is>
          <t>u</t>
        </is>
      </c>
      <c r="G61" s="26" t="n">
        <v>0.25</v>
      </c>
      <c r="H61" s="26">
        <f>E61*G61</f>
        <v/>
      </c>
      <c r="I61" s="25" t="inlineStr">
        <is>
          <t>Cartón corrugado</t>
        </is>
      </c>
      <c r="J61" s="12" t="inlineStr">
        <is>
          <t>183 × 183 × 410 interior</t>
        </is>
      </c>
      <c r="K61" s="25" t="inlineStr">
        <is>
          <t>Compra</t>
        </is>
      </c>
      <c r="L61" s="12" t="inlineStr">
        <is>
          <t>23 Embalaje</t>
        </is>
      </c>
      <c r="M61" s="12" t="n"/>
      <c r="N61" s="25" t="inlineStr">
        <is>
          <t>R</t>
        </is>
      </c>
      <c r="O61" s="25" t="n"/>
      <c r="P61" s="12" t="n"/>
    </row>
    <row r="62">
      <c r="A62" s="25" t="inlineStr">
        <is>
          <t>FL_REC_ABC_5kg</t>
        </is>
      </c>
      <c r="B62" s="25" t="n">
        <v>2</v>
      </c>
      <c r="C62" s="25" t="inlineStr">
        <is>
          <t>ABC5-E3</t>
        </is>
      </c>
      <c r="D62" s="12" t="inlineStr">
        <is>
          <t xml:space="preserve">        Pallet 1200 × 1000 (fracción)</t>
        </is>
      </c>
      <c r="E62" s="25" t="n">
        <v>0.0111</v>
      </c>
      <c r="F62" s="25" t="inlineStr">
        <is>
          <t>u</t>
        </is>
      </c>
      <c r="G62" s="26" t="n">
        <v>0.244</v>
      </c>
      <c r="H62" s="26">
        <f>E62*G62</f>
        <v/>
      </c>
      <c r="I62" s="25" t="inlineStr">
        <is>
          <t>Madera</t>
        </is>
      </c>
      <c r="J62" s="12" t="inlineStr">
        <is>
          <t>90 u por pallet</t>
        </is>
      </c>
      <c r="K62" s="25" t="inlineStr">
        <is>
          <t>Compra</t>
        </is>
      </c>
      <c r="L62" s="12" t="inlineStr">
        <is>
          <t>23 Embalaje</t>
        </is>
      </c>
      <c r="M62" s="12" t="n"/>
      <c r="N62" s="25" t="inlineStr">
        <is>
          <t>R</t>
        </is>
      </c>
      <c r="O62" s="25" t="n"/>
      <c r="P62" s="12" t="n"/>
    </row>
    <row r="63">
      <c r="A63" s="25" t="inlineStr">
        <is>
          <t>FL_REC_ABC_5kg</t>
        </is>
      </c>
      <c r="B63" s="25" t="n">
        <v>2</v>
      </c>
      <c r="C63" s="25" t="inlineStr">
        <is>
          <t>ABC5-E4</t>
        </is>
      </c>
      <c r="D63" s="12" t="inlineStr">
        <is>
          <t xml:space="preserve">        Film stretch (fracción del pallet)</t>
        </is>
      </c>
      <c r="E63" s="25" t="n">
        <v>0.0039</v>
      </c>
      <c r="F63" s="25" t="inlineStr">
        <is>
          <t>kg</t>
        </is>
      </c>
      <c r="G63" s="26" t="n">
        <v>1</v>
      </c>
      <c r="H63" s="26">
        <f>E63*G63</f>
        <v/>
      </c>
      <c r="I63" s="25" t="inlineStr">
        <is>
          <t>PE lineal 23 µm</t>
        </is>
      </c>
      <c r="J63" s="12" t="inlineStr">
        <is>
          <t>envolvedora EDOS PS5</t>
        </is>
      </c>
      <c r="K63" s="25" t="inlineStr">
        <is>
          <t>Compra</t>
        </is>
      </c>
      <c r="L63" s="12" t="inlineStr">
        <is>
          <t>24 Envolvedora (T11)</t>
        </is>
      </c>
      <c r="M63" s="12" t="n"/>
      <c r="N63" s="25" t="inlineStr">
        <is>
          <t>R</t>
        </is>
      </c>
      <c r="O63" s="25" t="n"/>
      <c r="P63" s="12" t="n"/>
    </row>
    <row r="64">
      <c r="A64" s="25" t="inlineStr">
        <is>
          <t>FL_REC_ABC_5kg</t>
        </is>
      </c>
      <c r="B64" s="25" t="n">
        <v>2</v>
      </c>
      <c r="C64" s="25" t="inlineStr">
        <is>
          <t>ABC5-E5</t>
        </is>
      </c>
      <c r="D64" s="12" t="inlineStr">
        <is>
          <t xml:space="preserve">        Etiqueta de pallet (lote y destino, fracción)</t>
        </is>
      </c>
      <c r="E64" s="25" t="n">
        <v>0.0111</v>
      </c>
      <c r="F64" s="25" t="inlineStr">
        <is>
          <t>u</t>
        </is>
      </c>
      <c r="G64" s="26" t="n">
        <v>0</v>
      </c>
      <c r="H64" s="26">
        <f>E64*G64</f>
        <v/>
      </c>
      <c r="I64" s="25" t="inlineStr">
        <is>
          <t>Papel térmico</t>
        </is>
      </c>
      <c r="J64" s="12" t="inlineStr">
        <is>
          <t>100 × 150</t>
        </is>
      </c>
      <c r="K64" s="25" t="inlineStr">
        <is>
          <t>Compra</t>
        </is>
      </c>
      <c r="L64" s="12" t="inlineStr">
        <is>
          <t>24 Envolvedora</t>
        </is>
      </c>
      <c r="M64" s="12" t="n"/>
      <c r="N64" s="25" t="inlineStr">
        <is>
          <t>R</t>
        </is>
      </c>
      <c r="O64" s="25" t="n"/>
      <c r="P64" s="12" t="n"/>
    </row>
    <row r="65">
      <c r="A65" s="19" t="inlineStr">
        <is>
          <t>FL_REC_ABC_10kg</t>
        </is>
      </c>
      <c r="B65" s="19" t="n">
        <v>0</v>
      </c>
      <c r="C65" s="19" t="inlineStr">
        <is>
          <t>FL_REC_ABC_10kg</t>
        </is>
      </c>
      <c r="D65" s="20" t="inlineStr">
        <is>
          <t>Cilindro (recipiente) ABC 10 kg - repuesto vacío sin válvula</t>
        </is>
      </c>
      <c r="E65" s="19" t="n">
        <v>1</v>
      </c>
      <c r="F65" s="19" t="inlineStr">
        <is>
          <t>u</t>
        </is>
      </c>
      <c r="G65" s="21" t="n"/>
      <c r="H65" s="21" t="n"/>
      <c r="I65" s="19" t="n"/>
      <c r="J65" s="20" t="n"/>
      <c r="K65" s="19" t="n"/>
      <c r="L65" s="20" t="n"/>
      <c r="M65" s="20" t="inlineStr">
        <is>
          <t>IRAM 3523</t>
        </is>
      </c>
      <c r="N65" s="19" t="inlineStr">
        <is>
          <t>P</t>
        </is>
      </c>
      <c r="O65" s="19" t="inlineStr">
        <is>
          <t>FL_REC_ABC_10kg</t>
        </is>
      </c>
      <c r="P65" s="20" t="inlineStr">
        <is>
          <t>Fabricación propia</t>
        </is>
      </c>
    </row>
    <row r="66">
      <c r="A66" s="22" t="inlineStr">
        <is>
          <t>FL_REC_ABC_10kg</t>
        </is>
      </c>
      <c r="B66" s="22" t="n">
        <v>1</v>
      </c>
      <c r="C66" s="22" t="inlineStr">
        <is>
          <t>ABC10-S1</t>
        </is>
      </c>
      <c r="D66" s="23" t="inlineStr">
        <is>
          <t xml:space="preserve">    Recipiente (cilindro)</t>
        </is>
      </c>
      <c r="E66" s="22" t="n">
        <v>1</v>
      </c>
      <c r="F66" s="22" t="inlineStr">
        <is>
          <t>u</t>
        </is>
      </c>
      <c r="G66" s="24" t="n"/>
      <c r="H66" s="24">
        <f>H67+H69+H71+H73+H75+H78+H79</f>
        <v/>
      </c>
      <c r="I66" s="22" t="n"/>
      <c r="J66" s="23" t="n"/>
      <c r="K66" s="22" t="inlineStr">
        <is>
          <t>Fabricación</t>
        </is>
      </c>
      <c r="L66" s="23" t="n"/>
      <c r="M66" s="23" t="inlineStr">
        <is>
          <t>IRAM 3523 / 3550 (recipiente)</t>
        </is>
      </c>
      <c r="N66" s="22" t="inlineStr">
        <is>
          <t>P</t>
        </is>
      </c>
      <c r="O66" s="22" t="inlineStr">
        <is>
          <t>FL_DES_ABC_10kg</t>
        </is>
      </c>
      <c r="P66" s="23" t="n"/>
    </row>
    <row r="67">
      <c r="A67" s="25" t="inlineStr">
        <is>
          <t>FL_REC_ABC_10kg</t>
        </is>
      </c>
      <c r="B67" s="25" t="n">
        <v>2</v>
      </c>
      <c r="C67" s="25" t="inlineStr">
        <is>
          <t>ABC10-01</t>
        </is>
      </c>
      <c r="D67" s="12" t="inlineStr">
        <is>
          <t xml:space="preserve">        Cuerpo (virola)</t>
        </is>
      </c>
      <c r="E67" s="25" t="n">
        <v>1</v>
      </c>
      <c r="F67" s="25" t="inlineStr">
        <is>
          <t>u</t>
        </is>
      </c>
      <c r="G67" s="26" t="n">
        <v>4.3132</v>
      </c>
      <c r="H67" s="26">
        <f>E67*G67</f>
        <v/>
      </c>
      <c r="I67" s="25" t="inlineStr">
        <is>
          <t>Chapa acero SAE 1010 e=2</t>
        </is>
      </c>
      <c r="J67" s="12" t="inlineStr">
        <is>
          <t>Ø181,5 × e2 × 487,2 de alto; desarrollo 563,9 × 487,2</t>
        </is>
      </c>
      <c r="K67" s="25" t="inlineStr">
        <is>
          <t>Fabricación</t>
        </is>
      </c>
      <c r="L67" s="12" t="inlineStr">
        <is>
          <t>1 Guillotina -&gt; 2 numerado -&gt; 3 cilindrado -&gt; 4 soldadura longitudinal</t>
        </is>
      </c>
      <c r="M67" s="12" t="n"/>
      <c r="N67" s="25" t="inlineStr">
        <is>
          <t>P</t>
        </is>
      </c>
      <c r="O67" s="25" t="inlineStr">
        <is>
          <t>FL_DES_ABC_10kg</t>
        </is>
      </c>
      <c r="P67" s="12" t="inlineStr">
        <is>
          <t>costura long. MIG</t>
        </is>
      </c>
    </row>
    <row r="68">
      <c r="A68" s="27" t="inlineStr">
        <is>
          <t>FL_REC_ABC_10kg</t>
        </is>
      </c>
      <c r="B68" s="27" t="n">
        <v>3</v>
      </c>
      <c r="C68" s="27" t="inlineStr">
        <is>
          <t>MP-HOJA</t>
        </is>
      </c>
      <c r="D68" s="28" t="inlineStr">
        <is>
          <t xml:space="preserve">            Recorte de hoja LAF 1500 × 3000 e=2</t>
        </is>
      </c>
      <c r="E68" s="27" t="n">
        <v>1</v>
      </c>
      <c r="F68" s="27" t="inlineStr">
        <is>
          <t>u</t>
        </is>
      </c>
      <c r="G68" s="29" t="n">
        <v>4.71</v>
      </c>
      <c r="H68" s="29">
        <f>E68*G68</f>
        <v/>
      </c>
      <c r="I68" s="27" t="inlineStr">
        <is>
          <t>Chapa SAE 1010 LAF</t>
        </is>
      </c>
      <c r="J68" s="28" t="inlineStr">
        <is>
          <t>495 × 563 (aprovech. 92,9 %)</t>
        </is>
      </c>
      <c r="K68" s="27" t="inlineStr">
        <is>
          <t>Compra (Pradecon)</t>
        </is>
      </c>
      <c r="L68" s="28" t="inlineStr">
        <is>
          <t>AL-1H paquetes de hojas</t>
        </is>
      </c>
      <c r="M68" s="28" t="n"/>
      <c r="N68" s="27" t="inlineStr">
        <is>
          <t>L</t>
        </is>
      </c>
      <c r="O68" s="27" t="inlineStr">
        <is>
          <t>FL_PI_04 h2</t>
        </is>
      </c>
      <c r="P68" s="28" t="n"/>
    </row>
    <row r="69">
      <c r="A69" s="25" t="inlineStr">
        <is>
          <t>FL_REC_ABC_10kg</t>
        </is>
      </c>
      <c r="B69" s="25" t="n">
        <v>2</v>
      </c>
      <c r="C69" s="25" t="inlineStr">
        <is>
          <t>ABC10-02</t>
        </is>
      </c>
      <c r="D69" s="12" t="inlineStr">
        <is>
          <t xml:space="preserve">        Cúpula</t>
        </is>
      </c>
      <c r="E69" s="25" t="n">
        <v>1</v>
      </c>
      <c r="F69" s="25" t="inlineStr">
        <is>
          <t>u</t>
        </is>
      </c>
      <c r="G69" s="26" t="n">
        <v>0.4871</v>
      </c>
      <c r="H69" s="26">
        <f>E69*G69</f>
        <v/>
      </c>
      <c r="I69" s="25" t="inlineStr">
        <is>
          <t>Chapa acero SAE 1010 e=1,6</t>
        </is>
      </c>
      <c r="J69" s="12" t="inlineStr">
        <is>
          <t>Ø181,5 × e1,6 × 61,3 de alto; disco Ø258</t>
        </is>
      </c>
      <c r="K69" s="25" t="inlineStr">
        <is>
          <t>Fabricación</t>
        </is>
      </c>
      <c r="L69" s="12" t="inlineStr">
        <is>
          <t>6 Desbobinado + embutido (M06-M08)</t>
        </is>
      </c>
      <c r="M69" s="12" t="n"/>
      <c r="N69" s="25" t="inlineStr">
        <is>
          <t>P</t>
        </is>
      </c>
      <c r="O69" s="25" t="inlineStr">
        <is>
          <t>FL_DES_ABC_10kg</t>
        </is>
      </c>
      <c r="P69" s="12" t="inlineStr">
        <is>
          <t>embutida</t>
        </is>
      </c>
    </row>
    <row r="70">
      <c r="A70" s="27" t="inlineStr">
        <is>
          <t>FL_REC_ABC_10kg</t>
        </is>
      </c>
      <c r="B70" s="27" t="n">
        <v>3</v>
      </c>
      <c r="C70" s="27" t="inlineStr">
        <is>
          <t>MP-FLEJE</t>
        </is>
      </c>
      <c r="D70" s="28" t="inlineStr">
        <is>
          <t xml:space="preserve">            Fleje e=2 × 300 (paso 261)</t>
        </is>
      </c>
      <c r="E70" s="27" t="n">
        <v>0.261</v>
      </c>
      <c r="F70" s="27" t="inlineStr">
        <is>
          <t>m</t>
        </is>
      </c>
      <c r="G70" s="29" t="n">
        <v>4.71</v>
      </c>
      <c r="H70" s="29">
        <f>E70*G70</f>
        <v/>
      </c>
      <c r="I70" s="27" t="inlineStr">
        <is>
          <t>Fleje SAE 1010</t>
        </is>
      </c>
      <c r="J70" s="28" t="inlineStr">
        <is>
          <t>disco Ø258 (kg por m de fleje)</t>
        </is>
      </c>
      <c r="K70" s="27" t="inlineStr">
        <is>
          <t>Compra (Pacheco / Pradecon)</t>
        </is>
      </c>
      <c r="L70" s="28" t="inlineStr">
        <is>
          <t>AL-1F porta-flejes</t>
        </is>
      </c>
      <c r="M70" s="28" t="n"/>
      <c r="N70" s="27" t="inlineStr">
        <is>
          <t>L</t>
        </is>
      </c>
      <c r="O70" s="27" t="inlineStr">
        <is>
          <t>FL_PI_04 h2</t>
        </is>
      </c>
      <c r="P70" s="28" t="inlineStr">
        <is>
          <t>OJO: el fleje es e=2 y el plano e=1,6</t>
        </is>
      </c>
    </row>
    <row r="71">
      <c r="A71" s="25" t="inlineStr">
        <is>
          <t>FL_REC_ABC_10kg</t>
        </is>
      </c>
      <c r="B71" s="25" t="n">
        <v>2</v>
      </c>
      <c r="C71" s="25" t="inlineStr">
        <is>
          <t>ABC10-03</t>
        </is>
      </c>
      <c r="D71" s="12" t="inlineStr">
        <is>
          <t xml:space="preserve">        Fondo</t>
        </is>
      </c>
      <c r="E71" s="25" t="n">
        <v>1</v>
      </c>
      <c r="F71" s="25" t="inlineStr">
        <is>
          <t>u</t>
        </is>
      </c>
      <c r="G71" s="26" t="n">
        <v>0.3885</v>
      </c>
      <c r="H71" s="26">
        <f>E71*G71</f>
        <v/>
      </c>
      <c r="I71" s="25" t="inlineStr">
        <is>
          <t>Chapa acero SAE 1010 e=2</t>
        </is>
      </c>
      <c r="J71" s="12" t="inlineStr">
        <is>
          <t>Ø181,5 × e2 × 13,7 de alto; disco Ø205</t>
        </is>
      </c>
      <c r="K71" s="25" t="inlineStr">
        <is>
          <t>Fabricación</t>
        </is>
      </c>
      <c r="L71" s="12" t="inlineStr">
        <is>
          <t>6 Desbobinado + embutido (M06-M08)</t>
        </is>
      </c>
      <c r="M71" s="12" t="n"/>
      <c r="N71" s="25" t="inlineStr">
        <is>
          <t>P</t>
        </is>
      </c>
      <c r="O71" s="25" t="inlineStr">
        <is>
          <t>FL_DES_ABC_10kg</t>
        </is>
      </c>
      <c r="P71" s="12" t="inlineStr">
        <is>
          <t>embutido</t>
        </is>
      </c>
    </row>
    <row r="72">
      <c r="A72" s="27" t="inlineStr">
        <is>
          <t>FL_REC_ABC_10kg</t>
        </is>
      </c>
      <c r="B72" s="27" t="n">
        <v>3</v>
      </c>
      <c r="C72" s="27" t="inlineStr">
        <is>
          <t>MP-FLEJE</t>
        </is>
      </c>
      <c r="D72" s="28" t="inlineStr">
        <is>
          <t xml:space="preserve">            Fleje e=2 × 249 (paso 208)</t>
        </is>
      </c>
      <c r="E72" s="27" t="n">
        <v>0.208</v>
      </c>
      <c r="F72" s="27" t="inlineStr">
        <is>
          <t>m</t>
        </is>
      </c>
      <c r="G72" s="29" t="n">
        <v>3.909</v>
      </c>
      <c r="H72" s="29">
        <f>E72*G72</f>
        <v/>
      </c>
      <c r="I72" s="27" t="inlineStr">
        <is>
          <t>Fleje SAE 1010</t>
        </is>
      </c>
      <c r="J72" s="28" t="inlineStr">
        <is>
          <t>disco Ø205 (kg por m de fleje)</t>
        </is>
      </c>
      <c r="K72" s="27" t="inlineStr">
        <is>
          <t>Compra (Pacheco / Pradecon)</t>
        </is>
      </c>
      <c r="L72" s="28" t="inlineStr">
        <is>
          <t>AL-1F porta-flejes</t>
        </is>
      </c>
      <c r="M72" s="28" t="n"/>
      <c r="N72" s="27" t="inlineStr">
        <is>
          <t>L</t>
        </is>
      </c>
      <c r="O72" s="27" t="inlineStr">
        <is>
          <t>FL_PI_04 h2</t>
        </is>
      </c>
      <c r="P72" s="28" t="n"/>
    </row>
    <row r="73">
      <c r="A73" s="25" t="inlineStr">
        <is>
          <t>FL_REC_ABC_10kg</t>
        </is>
      </c>
      <c r="B73" s="25" t="n">
        <v>2</v>
      </c>
      <c r="C73" s="25" t="inlineStr">
        <is>
          <t>ABC10-04</t>
        </is>
      </c>
      <c r="D73" s="12" t="inlineStr">
        <is>
          <t xml:space="preserve">        Cuello roscado</t>
        </is>
      </c>
      <c r="E73" s="25" t="n">
        <v>1</v>
      </c>
      <c r="F73" s="25" t="inlineStr">
        <is>
          <t>u</t>
        </is>
      </c>
      <c r="G73" s="26" t="n">
        <v>0.0542</v>
      </c>
      <c r="H73" s="26">
        <f>E73*G73</f>
        <v/>
      </c>
      <c r="I73" s="25" t="inlineStr">
        <is>
          <t>Acero SAE 1010</t>
        </is>
      </c>
      <c r="J73" s="12" t="inlineStr">
        <is>
          <t>Ø36,8 × 14 de alto, rosca M30x1,5, asiento Ø35</t>
        </is>
      </c>
      <c r="K73" s="25" t="inlineStr">
        <is>
          <t>Fabricación</t>
        </is>
      </c>
      <c r="L73" s="12" t="inlineStr">
        <is>
          <t>7 Preparación de cuello -&gt; 8 soldadura de cuello</t>
        </is>
      </c>
      <c r="M73" s="12" t="n"/>
      <c r="N73" s="25" t="inlineStr">
        <is>
          <t>P</t>
        </is>
      </c>
      <c r="O73" s="25" t="inlineStr">
        <is>
          <t>FL_DES_ABC_10kg</t>
        </is>
      </c>
      <c r="P73" s="12" t="inlineStr">
        <is>
          <t>M30x1,5</t>
        </is>
      </c>
    </row>
    <row r="74">
      <c r="A74" s="27" t="inlineStr">
        <is>
          <t>FL_REC_ABC_10kg</t>
        </is>
      </c>
      <c r="B74" s="27" t="n">
        <v>3</v>
      </c>
      <c r="C74" s="27" t="inlineStr">
        <is>
          <t>MP-CUELLO</t>
        </is>
      </c>
      <c r="D74" s="28" t="inlineStr">
        <is>
          <t xml:space="preserve">            Cuello roscado mecanizado (pieza comprada lista para soldar)</t>
        </is>
      </c>
      <c r="E74" s="27" t="n">
        <v>1</v>
      </c>
      <c r="F74" s="27" t="inlineStr">
        <is>
          <t>u</t>
        </is>
      </c>
      <c r="G74" s="29" t="n">
        <v>0.054</v>
      </c>
      <c r="H74" s="29">
        <f>E74*G74</f>
        <v/>
      </c>
      <c r="I74" s="27" t="inlineStr">
        <is>
          <t>Acero SAE 1010 / 1020</t>
        </is>
      </c>
      <c r="J74" s="28" t="inlineStr">
        <is>
          <t>rosca M30x1,5</t>
        </is>
      </c>
      <c r="K74" s="27" t="inlineStr">
        <is>
          <t>Compra (Eli-Met)</t>
        </is>
      </c>
      <c r="L74" s="28" t="inlineStr">
        <is>
          <t>AL-1C cuellos y roscas</t>
        </is>
      </c>
      <c r="M74" s="28" t="n"/>
      <c r="N74" s="27" t="inlineStr">
        <is>
          <t>L</t>
        </is>
      </c>
      <c r="O74" s="27" t="n"/>
      <c r="P74" s="28" t="n"/>
    </row>
    <row r="75">
      <c r="A75" s="25" t="inlineStr">
        <is>
          <t>FL_REC_ABC_10kg</t>
        </is>
      </c>
      <c r="B75" s="25" t="n">
        <v>2</v>
      </c>
      <c r="C75" s="25" t="inlineStr">
        <is>
          <t>ABC10-C1</t>
        </is>
      </c>
      <c r="D75" s="12" t="inlineStr">
        <is>
          <t xml:space="preserve">        Aporte de soldadura: Alambre MAG ER70S-6 Ø0,9/1,2</t>
        </is>
      </c>
      <c r="E75" s="25" t="n">
        <v>0.1019</v>
      </c>
      <c r="F75" s="25" t="inlineStr">
        <is>
          <t>kg</t>
        </is>
      </c>
      <c r="G75" s="26" t="n">
        <v>0.92</v>
      </c>
      <c r="H75" s="26">
        <f>E75*G75</f>
        <v/>
      </c>
      <c r="I75" s="25" t="inlineStr">
        <is>
          <t>Alambre MAG ER70S-6 Ø0,9/1,2</t>
        </is>
      </c>
      <c r="J75" s="12" t="inlineStr">
        <is>
          <t>cordones del plano: 94 g depositados (rend. 92 %)</t>
        </is>
      </c>
      <c r="K75" s="25" t="inlineStr">
        <is>
          <t>Compra</t>
        </is>
      </c>
      <c r="L75" s="12" t="inlineStr">
        <is>
          <t>4 sold. long. / 8 cuello / 11 circunferencial</t>
        </is>
      </c>
      <c r="M75" s="12" t="inlineStr">
        <is>
          <t>ISO 4063 131 / 141</t>
        </is>
      </c>
      <c r="N75" s="25" t="inlineStr">
        <is>
          <t>P</t>
        </is>
      </c>
      <c r="O75" s="25" t="n"/>
      <c r="P75" s="12" t="n"/>
    </row>
    <row r="76">
      <c r="A76" s="25" t="inlineStr">
        <is>
          <t>FL_REC_ABC_10kg</t>
        </is>
      </c>
      <c r="B76" s="25" t="n">
        <v>2</v>
      </c>
      <c r="C76" s="25" t="inlineStr">
        <is>
          <t>ABC10-C2</t>
        </is>
      </c>
      <c r="D76" s="12" t="inlineStr">
        <is>
          <t xml:space="preserve">        Gas de protección: Arcal 21 (Ar + 18 % CO₂)</t>
        </is>
      </c>
      <c r="E76" s="25" t="n">
        <v>45.8</v>
      </c>
      <c r="F76" s="25" t="inlineStr">
        <is>
          <t>L</t>
        </is>
      </c>
      <c r="G76" s="26" t="n"/>
      <c r="H76" s="26" t="n"/>
      <c r="I76" s="25" t="inlineStr">
        <is>
          <t>Arcal 21 (Ar + 18 % CO₂)</t>
        </is>
      </c>
      <c r="J76" s="12" t="inlineStr">
        <is>
          <t>3,1 min de arco × 15 L/min</t>
        </is>
      </c>
      <c r="K76" s="25" t="inlineStr">
        <is>
          <t>Compra</t>
        </is>
      </c>
      <c r="L76" s="12" t="inlineStr">
        <is>
          <t>Colector SC</t>
        </is>
      </c>
      <c r="M76" s="12" t="n"/>
      <c r="N76" s="25" t="inlineStr">
        <is>
          <t>R</t>
        </is>
      </c>
      <c r="O76" s="25" t="n"/>
      <c r="P76" s="12" t="n"/>
    </row>
    <row r="77">
      <c r="A77" s="25" t="inlineStr">
        <is>
          <t>FL_REC_ABC_10kg</t>
        </is>
      </c>
      <c r="B77" s="25" t="n">
        <v>2</v>
      </c>
      <c r="C77" s="25" t="inlineStr">
        <is>
          <t>ABC10-C3</t>
        </is>
      </c>
      <c r="D77" s="12" t="inlineStr">
        <is>
          <t xml:space="preserve">        Granalla de acero (consumo)</t>
        </is>
      </c>
      <c r="E77" s="25" t="n">
        <v>0.027</v>
      </c>
      <c r="F77" s="25" t="inlineStr">
        <is>
          <t>kg</t>
        </is>
      </c>
      <c r="G77" s="26" t="n"/>
      <c r="H77" s="26" t="n"/>
      <c r="I77" s="25" t="inlineStr">
        <is>
          <t>Granalla S-230</t>
        </is>
      </c>
      <c r="J77" s="12" t="inlineStr">
        <is>
          <t>0,338 m² a Sa 2½</t>
        </is>
      </c>
      <c r="K77" s="25" t="inlineStr">
        <is>
          <t>Compra</t>
        </is>
      </c>
      <c r="L77" s="12" t="inlineStr">
        <is>
          <t>14 Granallado (B08)</t>
        </is>
      </c>
      <c r="M77" s="12" t="inlineStr">
        <is>
          <t>ISO 8501-1</t>
        </is>
      </c>
      <c r="N77" s="25" t="inlineStr">
        <is>
          <t>R</t>
        </is>
      </c>
      <c r="O77" s="25" t="n"/>
      <c r="P77" s="12" t="n"/>
    </row>
    <row r="78">
      <c r="A78" s="25" t="inlineStr">
        <is>
          <t>FL_REC_ABC_10kg</t>
        </is>
      </c>
      <c r="B78" s="25" t="n">
        <v>2</v>
      </c>
      <c r="C78" s="25" t="inlineStr">
        <is>
          <t>ABC10-C4</t>
        </is>
      </c>
      <c r="D78" s="12" t="inlineStr">
        <is>
          <t xml:space="preserve">        Pintura en polvo poliéster rojo</t>
        </is>
      </c>
      <c r="E78" s="25" t="n">
        <v>0.063</v>
      </c>
      <c r="F78" s="25" t="inlineStr">
        <is>
          <t>kg</t>
        </is>
      </c>
      <c r="G78" s="26" t="n">
        <v>0.65</v>
      </c>
      <c r="H78" s="26">
        <f>E78*G78</f>
        <v/>
      </c>
      <c r="I78" s="25" t="inlineStr">
        <is>
          <t>Poliéster rojo 03-1-050</t>
        </is>
      </c>
      <c r="J78" s="12" t="inlineStr">
        <is>
          <t>0,338 m² × 80 µm (60-100 µm), rendimiento 65 %</t>
        </is>
      </c>
      <c r="K78" s="25" t="inlineStr">
        <is>
          <t>Compra</t>
        </is>
      </c>
      <c r="L78" s="12" t="inlineStr">
        <is>
          <t>17 Pintura (S-P) / tercerizada en carros</t>
        </is>
      </c>
      <c r="M78" s="12" t="inlineStr">
        <is>
          <t>DOC-01 · IRAM 3517-2 9.10</t>
        </is>
      </c>
      <c r="N78" s="25" t="inlineStr">
        <is>
          <t>R</t>
        </is>
      </c>
      <c r="O78" s="25" t="n"/>
      <c r="P78" s="12" t="n"/>
    </row>
    <row r="79">
      <c r="A79" s="25" t="inlineStr">
        <is>
          <t>FL_REC_ABC_10kg</t>
        </is>
      </c>
      <c r="B79" s="25" t="n">
        <v>2</v>
      </c>
      <c r="C79" s="25" t="inlineStr">
        <is>
          <t>ABC10-T1</t>
        </is>
      </c>
      <c r="D79" s="12" t="inlineStr">
        <is>
          <t xml:space="preserve">        Tapón protector de rosca del cuello</t>
        </is>
      </c>
      <c r="E79" s="25" t="n">
        <v>1</v>
      </c>
      <c r="F79" s="25" t="inlineStr">
        <is>
          <t>u</t>
        </is>
      </c>
      <c r="G79" s="26" t="n">
        <v>0.005</v>
      </c>
      <c r="H79" s="26">
        <f>E79*G79</f>
        <v/>
      </c>
      <c r="I79" s="25" t="inlineStr">
        <is>
          <t>Polietileno</t>
        </is>
      </c>
      <c r="J79" s="12" t="inlineStr">
        <is>
          <t>para rosca M30x1,5</t>
        </is>
      </c>
      <c r="K79" s="25" t="inlineStr">
        <is>
          <t>Compra</t>
        </is>
      </c>
      <c r="L79" s="12" t="inlineStr">
        <is>
          <t>Embalaje</t>
        </is>
      </c>
      <c r="M79" s="12" t="n"/>
      <c r="N79" s="25" t="inlineStr">
        <is>
          <t>R</t>
        </is>
      </c>
      <c r="O79" s="25" t="n"/>
      <c r="P79" s="12" t="n"/>
    </row>
    <row r="80">
      <c r="A80" s="25" t="inlineStr">
        <is>
          <t>FL_REC_ABC_10kg</t>
        </is>
      </c>
      <c r="B80" s="25" t="n">
        <v>2</v>
      </c>
      <c r="C80" s="25" t="inlineStr">
        <is>
          <t>ABC10-T2</t>
        </is>
      </c>
      <c r="D80" s="12" t="inlineStr">
        <is>
          <t xml:space="preserve">        Marcado del recipiente (estampado)</t>
        </is>
      </c>
      <c r="E80" s="25" t="n">
        <v>1</v>
      </c>
      <c r="F80" s="25" t="inlineStr">
        <is>
          <t>u</t>
        </is>
      </c>
      <c r="G80" s="26" t="n"/>
      <c r="H80" s="26" t="n"/>
      <c r="I80" s="25" t="inlineStr">
        <is>
          <t>-</t>
        </is>
      </c>
      <c r="J80" s="12" t="inlineStr">
        <is>
          <t>N° de serie, año, presión de prueba, norma</t>
        </is>
      </c>
      <c r="K80" s="25" t="inlineStr">
        <is>
          <t>Proceso</t>
        </is>
      </c>
      <c r="L80" s="12" t="inlineStr">
        <is>
          <t>Marcado</t>
        </is>
      </c>
      <c r="M80" s="12" t="inlineStr">
        <is>
          <t>IRAM 3523 (marcado)</t>
        </is>
      </c>
      <c r="N80" s="25" t="inlineStr">
        <is>
          <t>R</t>
        </is>
      </c>
      <c r="O80" s="25" t="n"/>
      <c r="P80" s="12" t="n"/>
    </row>
    <row r="81">
      <c r="A81" s="22" t="inlineStr">
        <is>
          <t>FL_REC_ABC_10kg</t>
        </is>
      </c>
      <c r="B81" s="22" t="n">
        <v>1</v>
      </c>
      <c r="C81" s="22" t="inlineStr">
        <is>
          <t>ABC10-S7</t>
        </is>
      </c>
      <c r="D81" s="23" t="inlineStr">
        <is>
          <t xml:space="preserve">    Embalaje</t>
        </is>
      </c>
      <c r="E81" s="22" t="n">
        <v>1</v>
      </c>
      <c r="F81" s="22" t="inlineStr">
        <is>
          <t>u</t>
        </is>
      </c>
      <c r="G81" s="24" t="n"/>
      <c r="H81" s="24">
        <f>H82+H83+H84+H85</f>
        <v/>
      </c>
      <c r="I81" s="22" t="n"/>
      <c r="J81" s="23" t="n"/>
      <c r="K81" s="22" t="inlineStr">
        <is>
          <t>Compra</t>
        </is>
      </c>
      <c r="L81" s="23" t="inlineStr">
        <is>
          <t>23 Embalaje -&gt; 24 envolvedora (T11)</t>
        </is>
      </c>
      <c r="M81" s="23" t="n"/>
      <c r="N81" s="22" t="n"/>
      <c r="O81" s="22" t="n"/>
      <c r="P81" s="23" t="n"/>
    </row>
    <row r="82">
      <c r="A82" s="25" t="inlineStr">
        <is>
          <t>FL_REC_ABC_10kg</t>
        </is>
      </c>
      <c r="B82" s="25" t="n">
        <v>2</v>
      </c>
      <c r="C82" s="25" t="inlineStr">
        <is>
          <t>ABC10-E1</t>
        </is>
      </c>
      <c r="D82" s="12" t="inlineStr">
        <is>
          <t xml:space="preserve">        Caja de cartón corrugado doble</t>
        </is>
      </c>
      <c r="E82" s="25" t="n">
        <v>1</v>
      </c>
      <c r="F82" s="25" t="inlineStr">
        <is>
          <t>u</t>
        </is>
      </c>
      <c r="G82" s="26" t="n">
        <v>0.5</v>
      </c>
      <c r="H82" s="26">
        <f>E82*G82</f>
        <v/>
      </c>
      <c r="I82" s="25" t="inlineStr">
        <is>
          <t>Cartón corrugado</t>
        </is>
      </c>
      <c r="J82" s="12" t="inlineStr">
        <is>
          <t>212 × 212 × 582 interior</t>
        </is>
      </c>
      <c r="K82" s="25" t="inlineStr">
        <is>
          <t>Compra</t>
        </is>
      </c>
      <c r="L82" s="12" t="inlineStr">
        <is>
          <t>23 Embalaje</t>
        </is>
      </c>
      <c r="M82" s="12" t="n"/>
      <c r="N82" s="25" t="inlineStr">
        <is>
          <t>R</t>
        </is>
      </c>
      <c r="O82" s="25" t="n"/>
      <c r="P82" s="12" t="n"/>
    </row>
    <row r="83">
      <c r="A83" s="25" t="inlineStr">
        <is>
          <t>FL_REC_ABC_10kg</t>
        </is>
      </c>
      <c r="B83" s="25" t="n">
        <v>2</v>
      </c>
      <c r="C83" s="25" t="inlineStr">
        <is>
          <t>ABC10-E3</t>
        </is>
      </c>
      <c r="D83" s="12" t="inlineStr">
        <is>
          <t xml:space="preserve">        Pallet 1200 × 1000 (fracción)</t>
        </is>
      </c>
      <c r="E83" s="25" t="n">
        <v>0.025</v>
      </c>
      <c r="F83" s="25" t="inlineStr">
        <is>
          <t>u</t>
        </is>
      </c>
      <c r="G83" s="26" t="n">
        <v>0.55</v>
      </c>
      <c r="H83" s="26">
        <f>E83*G83</f>
        <v/>
      </c>
      <c r="I83" s="25" t="inlineStr">
        <is>
          <t>Madera</t>
        </is>
      </c>
      <c r="J83" s="12" t="inlineStr">
        <is>
          <t>40 u por pallet</t>
        </is>
      </c>
      <c r="K83" s="25" t="inlineStr">
        <is>
          <t>Compra</t>
        </is>
      </c>
      <c r="L83" s="12" t="inlineStr">
        <is>
          <t>23 Embalaje</t>
        </is>
      </c>
      <c r="M83" s="12" t="n"/>
      <c r="N83" s="25" t="inlineStr">
        <is>
          <t>R</t>
        </is>
      </c>
      <c r="O83" s="25" t="n"/>
      <c r="P83" s="12" t="n"/>
    </row>
    <row r="84">
      <c r="A84" s="25" t="inlineStr">
        <is>
          <t>FL_REC_ABC_10kg</t>
        </is>
      </c>
      <c r="B84" s="25" t="n">
        <v>2</v>
      </c>
      <c r="C84" s="25" t="inlineStr">
        <is>
          <t>ABC10-E4</t>
        </is>
      </c>
      <c r="D84" s="12" t="inlineStr">
        <is>
          <t xml:space="preserve">        Film stretch (fracción del pallet)</t>
        </is>
      </c>
      <c r="E84" s="25" t="n">
        <v>0.008699999999999999</v>
      </c>
      <c r="F84" s="25" t="inlineStr">
        <is>
          <t>kg</t>
        </is>
      </c>
      <c r="G84" s="26" t="n">
        <v>1</v>
      </c>
      <c r="H84" s="26">
        <f>E84*G84</f>
        <v/>
      </c>
      <c r="I84" s="25" t="inlineStr">
        <is>
          <t>PE lineal 23 µm</t>
        </is>
      </c>
      <c r="J84" s="12" t="inlineStr">
        <is>
          <t>envolvedora EDOS PS5</t>
        </is>
      </c>
      <c r="K84" s="25" t="inlineStr">
        <is>
          <t>Compra</t>
        </is>
      </c>
      <c r="L84" s="12" t="inlineStr">
        <is>
          <t>24 Envolvedora (T11)</t>
        </is>
      </c>
      <c r="M84" s="12" t="n"/>
      <c r="N84" s="25" t="inlineStr">
        <is>
          <t>R</t>
        </is>
      </c>
      <c r="O84" s="25" t="n"/>
      <c r="P84" s="12" t="n"/>
    </row>
    <row r="85">
      <c r="A85" s="25" t="inlineStr">
        <is>
          <t>FL_REC_ABC_10kg</t>
        </is>
      </c>
      <c r="B85" s="25" t="n">
        <v>2</v>
      </c>
      <c r="C85" s="25" t="inlineStr">
        <is>
          <t>ABC10-E5</t>
        </is>
      </c>
      <c r="D85" s="12" t="inlineStr">
        <is>
          <t xml:space="preserve">        Etiqueta de pallet (lote y destino, fracción)</t>
        </is>
      </c>
      <c r="E85" s="25" t="n">
        <v>0.025</v>
      </c>
      <c r="F85" s="25" t="inlineStr">
        <is>
          <t>u</t>
        </is>
      </c>
      <c r="G85" s="26" t="n">
        <v>0</v>
      </c>
      <c r="H85" s="26">
        <f>E85*G85</f>
        <v/>
      </c>
      <c r="I85" s="25" t="inlineStr">
        <is>
          <t>Papel térmico</t>
        </is>
      </c>
      <c r="J85" s="12" t="inlineStr">
        <is>
          <t>100 × 150</t>
        </is>
      </c>
      <c r="K85" s="25" t="inlineStr">
        <is>
          <t>Compra</t>
        </is>
      </c>
      <c r="L85" s="12" t="inlineStr">
        <is>
          <t>24 Envolvedora</t>
        </is>
      </c>
      <c r="M85" s="12" t="n"/>
      <c r="N85" s="25" t="inlineStr">
        <is>
          <t>R</t>
        </is>
      </c>
      <c r="O85" s="25" t="n"/>
      <c r="P85" s="12" t="n"/>
    </row>
    <row r="86">
      <c r="A86" s="19" t="inlineStr">
        <is>
          <t>FL_REC_ABC_25kg</t>
        </is>
      </c>
      <c r="B86" s="19" t="n">
        <v>0</v>
      </c>
      <c r="C86" s="19" t="inlineStr">
        <is>
          <t>FL_REC_ABC_25kg</t>
        </is>
      </c>
      <c r="D86" s="20" t="inlineStr">
        <is>
          <t>Cilindro (recipiente) ABC 25 kg rodante - repuesto vacío sin válvula</t>
        </is>
      </c>
      <c r="E86" s="19" t="n">
        <v>1</v>
      </c>
      <c r="F86" s="19" t="inlineStr">
        <is>
          <t>u</t>
        </is>
      </c>
      <c r="G86" s="21" t="n"/>
      <c r="H86" s="21" t="n"/>
      <c r="I86" s="19" t="n"/>
      <c r="J86" s="20" t="n"/>
      <c r="K86" s="19" t="n"/>
      <c r="L86" s="20" t="n"/>
      <c r="M86" s="20" t="inlineStr">
        <is>
          <t>IRAM 3550</t>
        </is>
      </c>
      <c r="N86" s="19" t="inlineStr">
        <is>
          <t>P</t>
        </is>
      </c>
      <c r="O86" s="19" t="inlineStr">
        <is>
          <t>FL_REC_ABC_25kg</t>
        </is>
      </c>
      <c r="P86" s="20" t="inlineStr">
        <is>
          <t>Fabricación propia</t>
        </is>
      </c>
    </row>
    <row r="87">
      <c r="A87" s="22" t="inlineStr">
        <is>
          <t>FL_REC_ABC_25kg</t>
        </is>
      </c>
      <c r="B87" s="22" t="n">
        <v>1</v>
      </c>
      <c r="C87" s="22" t="inlineStr">
        <is>
          <t>ABC25-S1</t>
        </is>
      </c>
      <c r="D87" s="23" t="inlineStr">
        <is>
          <t xml:space="preserve">    Recipiente (cilindro)</t>
        </is>
      </c>
      <c r="E87" s="22" t="n">
        <v>1</v>
      </c>
      <c r="F87" s="22" t="inlineStr">
        <is>
          <t>u</t>
        </is>
      </c>
      <c r="G87" s="24" t="n"/>
      <c r="H87" s="24">
        <f>H88+H90+H91+H92+H94+H97+H98</f>
        <v/>
      </c>
      <c r="I87" s="22" t="n"/>
      <c r="J87" s="23" t="n"/>
      <c r="K87" s="22" t="inlineStr">
        <is>
          <t>Fabricación</t>
        </is>
      </c>
      <c r="L87" s="23" t="n"/>
      <c r="M87" s="23" t="inlineStr">
        <is>
          <t>IRAM 3523 / 3550 (recipiente)</t>
        </is>
      </c>
      <c r="N87" s="22" t="inlineStr">
        <is>
          <t>P</t>
        </is>
      </c>
      <c r="O87" s="22" t="inlineStr">
        <is>
          <t>FL_DES_ABC_25kg</t>
        </is>
      </c>
      <c r="P87" s="23" t="n"/>
    </row>
    <row r="88">
      <c r="A88" s="25" t="inlineStr">
        <is>
          <t>FL_REC_ABC_25kg</t>
        </is>
      </c>
      <c r="B88" s="25" t="n">
        <v>2</v>
      </c>
      <c r="C88" s="25" t="inlineStr">
        <is>
          <t>ABC25-01</t>
        </is>
      </c>
      <c r="D88" s="12" t="inlineStr">
        <is>
          <t xml:space="preserve">        Cuerpo (virola)</t>
        </is>
      </c>
      <c r="E88" s="25" t="n">
        <v>1</v>
      </c>
      <c r="F88" s="25" t="inlineStr">
        <is>
          <t>u</t>
        </is>
      </c>
      <c r="G88" s="26" t="n">
        <v>8.756600000000001</v>
      </c>
      <c r="H88" s="26">
        <f>E88*G88</f>
        <v/>
      </c>
      <c r="I88" s="25" t="inlineStr">
        <is>
          <t>Chapa acero SAE 1010 e=3,2</t>
        </is>
      </c>
      <c r="J88" s="12" t="inlineStr">
        <is>
          <t>Ø276,5 × e3,2 × 406 de alto; desarrollo 858,6 × 406</t>
        </is>
      </c>
      <c r="K88" s="25" t="inlineStr">
        <is>
          <t>Fabricación</t>
        </is>
      </c>
      <c r="L88" s="12" t="inlineStr">
        <is>
          <t>1 Guillotina -&gt; C1 cilindrado -&gt; C2 punteo -&gt; C3 sold. long.</t>
        </is>
      </c>
      <c r="M88" s="12" t="n"/>
      <c r="N88" s="25" t="inlineStr">
        <is>
          <t>P</t>
        </is>
      </c>
      <c r="O88" s="25" t="inlineStr">
        <is>
          <t>FL_DES_ABC_25kg</t>
        </is>
      </c>
      <c r="P88" s="12" t="inlineStr">
        <is>
          <t>costura long. MIG</t>
        </is>
      </c>
    </row>
    <row r="89">
      <c r="A89" s="27" t="inlineStr">
        <is>
          <t>FL_REC_ABC_25kg</t>
        </is>
      </c>
      <c r="B89" s="27" t="n">
        <v>3</v>
      </c>
      <c r="C89" s="27" t="inlineStr">
        <is>
          <t>MP-HOJA</t>
        </is>
      </c>
      <c r="D89" s="28" t="inlineStr">
        <is>
          <t xml:space="preserve">            Recorte de hoja LAC 1500 × 3000 e=3,2</t>
        </is>
      </c>
      <c r="E89" s="27" t="n">
        <v>1</v>
      </c>
      <c r="F89" s="27" t="inlineStr">
        <is>
          <t>u</t>
        </is>
      </c>
      <c r="G89" s="29" t="n">
        <v>12.558</v>
      </c>
      <c r="H89" s="29">
        <f>E89*G89</f>
        <v/>
      </c>
      <c r="I89" s="27" t="inlineStr">
        <is>
          <t>Chapa SAE 1010 LAC</t>
        </is>
      </c>
      <c r="J89" s="28" t="inlineStr">
        <is>
          <t>490 × 858 (aprovech. 84,1 %)</t>
        </is>
      </c>
      <c r="K89" s="27" t="inlineStr">
        <is>
          <t>Compra (Pradecon)</t>
        </is>
      </c>
      <c r="L89" s="28" t="inlineStr">
        <is>
          <t>AL-1H paquetes de hojas</t>
        </is>
      </c>
      <c r="M89" s="28" t="n"/>
      <c r="N89" s="27" t="inlineStr">
        <is>
          <t>L</t>
        </is>
      </c>
      <c r="O89" s="27" t="inlineStr">
        <is>
          <t>FL_PI_04 h2</t>
        </is>
      </c>
      <c r="P89" s="28" t="n"/>
    </row>
    <row r="90">
      <c r="A90" s="25" t="inlineStr">
        <is>
          <t>FL_REC_ABC_25kg</t>
        </is>
      </c>
      <c r="B90" s="25" t="n">
        <v>2</v>
      </c>
      <c r="C90" s="25" t="inlineStr">
        <is>
          <t>ABC25-02</t>
        </is>
      </c>
      <c r="D90" s="12" t="inlineStr">
        <is>
          <t xml:space="preserve">        Cúpula</t>
        </is>
      </c>
      <c r="E90" s="25" t="n">
        <v>1</v>
      </c>
      <c r="F90" s="25" t="inlineStr">
        <is>
          <t>u</t>
        </is>
      </c>
      <c r="G90" s="26" t="n">
        <v>2.162</v>
      </c>
      <c r="H90" s="26">
        <f>E90*G90</f>
        <v/>
      </c>
      <c r="I90" s="25" t="inlineStr">
        <is>
          <t>Chapa acero SAE 1010 e=3,2</t>
        </is>
      </c>
      <c r="J90" s="12" t="inlineStr">
        <is>
          <t>Ø276,5 × e3,2 × 86,3 de alto; disco Ø341</t>
        </is>
      </c>
      <c r="K90" s="25" t="inlineStr">
        <is>
          <t>Compra</t>
        </is>
      </c>
      <c r="L90" s="12" t="inlineStr">
        <is>
          <t>Compra (casquetes de carros, rack RK1)</t>
        </is>
      </c>
      <c r="M90" s="12" t="n"/>
      <c r="N90" s="25" t="inlineStr">
        <is>
          <t>P</t>
        </is>
      </c>
      <c r="O90" s="25" t="inlineStr">
        <is>
          <t>FL_DES_ABC_25kg</t>
        </is>
      </c>
      <c r="P90" s="12" t="inlineStr">
        <is>
          <t>embutida</t>
        </is>
      </c>
    </row>
    <row r="91">
      <c r="A91" s="25" t="inlineStr">
        <is>
          <t>FL_REC_ABC_25kg</t>
        </is>
      </c>
      <c r="B91" s="25" t="n">
        <v>2</v>
      </c>
      <c r="C91" s="25" t="inlineStr">
        <is>
          <t>ABC25-03</t>
        </is>
      </c>
      <c r="D91" s="12" t="inlineStr">
        <is>
          <t xml:space="preserve">        Fondo</t>
        </is>
      </c>
      <c r="E91" s="25" t="n">
        <v>1</v>
      </c>
      <c r="F91" s="25" t="inlineStr">
        <is>
          <t>u</t>
        </is>
      </c>
      <c r="G91" s="26" t="n">
        <v>2.2425</v>
      </c>
      <c r="H91" s="26">
        <f>E91*G91</f>
        <v/>
      </c>
      <c r="I91" s="25" t="inlineStr">
        <is>
          <t>Chapa acero SAE 1010 e=3,2</t>
        </is>
      </c>
      <c r="J91" s="12" t="inlineStr">
        <is>
          <t>Ø276,5 × e3,2 × 87 de alto; disco Ø347,3</t>
        </is>
      </c>
      <c r="K91" s="25" t="inlineStr">
        <is>
          <t>Compra</t>
        </is>
      </c>
      <c r="L91" s="12" t="inlineStr">
        <is>
          <t>Compra (casquetes de carros, rack RK1)</t>
        </is>
      </c>
      <c r="M91" s="12" t="n"/>
      <c r="N91" s="25" t="inlineStr">
        <is>
          <t>P</t>
        </is>
      </c>
      <c r="O91" s="25" t="inlineStr">
        <is>
          <t>FL_DES_ABC_25kg</t>
        </is>
      </c>
      <c r="P91" s="12" t="inlineStr">
        <is>
          <t>embutido</t>
        </is>
      </c>
    </row>
    <row r="92">
      <c r="A92" s="25" t="inlineStr">
        <is>
          <t>FL_REC_ABC_25kg</t>
        </is>
      </c>
      <c r="B92" s="25" t="n">
        <v>2</v>
      </c>
      <c r="C92" s="25" t="inlineStr">
        <is>
          <t>ABC25-04</t>
        </is>
      </c>
      <c r="D92" s="12" t="inlineStr">
        <is>
          <t xml:space="preserve">        Cuello roscado</t>
        </is>
      </c>
      <c r="E92" s="25" t="n">
        <v>1</v>
      </c>
      <c r="F92" s="25" t="inlineStr">
        <is>
          <t>u</t>
        </is>
      </c>
      <c r="G92" s="26" t="n">
        <v>0.1326</v>
      </c>
      <c r="H92" s="26">
        <f>E92*G92</f>
        <v/>
      </c>
      <c r="I92" s="25" t="inlineStr">
        <is>
          <t>Acero SAE 1010</t>
        </is>
      </c>
      <c r="J92" s="12" t="inlineStr">
        <is>
          <t>Ø37 × 35 de alto, rosca M30x1,5, asiento Ø35</t>
        </is>
      </c>
      <c r="K92" s="25" t="inlineStr">
        <is>
          <t>Fabricación</t>
        </is>
      </c>
      <c r="L92" s="12" t="inlineStr">
        <is>
          <t>C2 punteo</t>
        </is>
      </c>
      <c r="M92" s="12" t="n"/>
      <c r="N92" s="25" t="inlineStr">
        <is>
          <t>P</t>
        </is>
      </c>
      <c r="O92" s="25" t="inlineStr">
        <is>
          <t>FL_DES_ABC_25kg</t>
        </is>
      </c>
      <c r="P92" s="12" t="inlineStr">
        <is>
          <t>M30x1,5</t>
        </is>
      </c>
    </row>
    <row r="93">
      <c r="A93" s="27" t="inlineStr">
        <is>
          <t>FL_REC_ABC_25kg</t>
        </is>
      </c>
      <c r="B93" s="27" t="n">
        <v>3</v>
      </c>
      <c r="C93" s="27" t="inlineStr">
        <is>
          <t>MP-CUELLO</t>
        </is>
      </c>
      <c r="D93" s="28" t="inlineStr">
        <is>
          <t xml:space="preserve">            Cuello roscado mecanizado (pieza comprada lista para soldar)</t>
        </is>
      </c>
      <c r="E93" s="27" t="n">
        <v>1</v>
      </c>
      <c r="F93" s="27" t="inlineStr">
        <is>
          <t>u</t>
        </is>
      </c>
      <c r="G93" s="29" t="n">
        <v>0.133</v>
      </c>
      <c r="H93" s="29">
        <f>E93*G93</f>
        <v/>
      </c>
      <c r="I93" s="27" t="inlineStr">
        <is>
          <t>Acero SAE 1010 / 1020</t>
        </is>
      </c>
      <c r="J93" s="28" t="inlineStr">
        <is>
          <t>rosca M30x1,5</t>
        </is>
      </c>
      <c r="K93" s="27" t="inlineStr">
        <is>
          <t>Compra (Eli-Met)</t>
        </is>
      </c>
      <c r="L93" s="28" t="inlineStr">
        <is>
          <t>AL-1C cuellos y roscas</t>
        </is>
      </c>
      <c r="M93" s="28" t="n"/>
      <c r="N93" s="27" t="inlineStr">
        <is>
          <t>L</t>
        </is>
      </c>
      <c r="O93" s="27" t="n"/>
      <c r="P93" s="28" t="n"/>
    </row>
    <row r="94">
      <c r="A94" s="25" t="inlineStr">
        <is>
          <t>FL_REC_ABC_25kg</t>
        </is>
      </c>
      <c r="B94" s="25" t="n">
        <v>2</v>
      </c>
      <c r="C94" s="25" t="inlineStr">
        <is>
          <t>ABC25-C1</t>
        </is>
      </c>
      <c r="D94" s="12" t="inlineStr">
        <is>
          <t xml:space="preserve">        Aporte de soldadura: Alambre MAG ER70S-6 Ø0,9/1,2</t>
        </is>
      </c>
      <c r="E94" s="25" t="n">
        <v>0.3484</v>
      </c>
      <c r="F94" s="25" t="inlineStr">
        <is>
          <t>kg</t>
        </is>
      </c>
      <c r="G94" s="26" t="n">
        <v>0.92</v>
      </c>
      <c r="H94" s="26">
        <f>E94*G94</f>
        <v/>
      </c>
      <c r="I94" s="25" t="inlineStr">
        <is>
          <t>Alambre MAG ER70S-6 Ø0,9/1,2</t>
        </is>
      </c>
      <c r="J94" s="12" t="inlineStr">
        <is>
          <t>cordones del plano: 321 g depositados (rend. 92 %)</t>
        </is>
      </c>
      <c r="K94" s="25" t="inlineStr">
        <is>
          <t>Compra</t>
        </is>
      </c>
      <c r="L94" s="12" t="inlineStr">
        <is>
          <t>4 sold. long. / 8 cuello / 11 circunferencial</t>
        </is>
      </c>
      <c r="M94" s="12" t="inlineStr">
        <is>
          <t>ISO 4063 131 / 141</t>
        </is>
      </c>
      <c r="N94" s="25" t="inlineStr">
        <is>
          <t>P</t>
        </is>
      </c>
      <c r="O94" s="25" t="n"/>
      <c r="P94" s="12" t="n"/>
    </row>
    <row r="95">
      <c r="A95" s="25" t="inlineStr">
        <is>
          <t>FL_REC_ABC_25kg</t>
        </is>
      </c>
      <c r="B95" s="25" t="n">
        <v>2</v>
      </c>
      <c r="C95" s="25" t="inlineStr">
        <is>
          <t>ABC25-C2</t>
        </is>
      </c>
      <c r="D95" s="12" t="inlineStr">
        <is>
          <t xml:space="preserve">        Gas de protección: Arcal 21 (Ar + 18 % CO₂)</t>
        </is>
      </c>
      <c r="E95" s="25" t="n">
        <v>156.8</v>
      </c>
      <c r="F95" s="25" t="inlineStr">
        <is>
          <t>L</t>
        </is>
      </c>
      <c r="G95" s="26" t="n"/>
      <c r="H95" s="26" t="n"/>
      <c r="I95" s="25" t="inlineStr">
        <is>
          <t>Arcal 21 (Ar + 18 % CO₂)</t>
        </is>
      </c>
      <c r="J95" s="12" t="inlineStr">
        <is>
          <t>10,5 min de arco × 15 L/min</t>
        </is>
      </c>
      <c r="K95" s="25" t="inlineStr">
        <is>
          <t>Compra</t>
        </is>
      </c>
      <c r="L95" s="12" t="inlineStr">
        <is>
          <t>Colector SC</t>
        </is>
      </c>
      <c r="M95" s="12" t="n"/>
      <c r="N95" s="25" t="inlineStr">
        <is>
          <t>R</t>
        </is>
      </c>
      <c r="O95" s="25" t="n"/>
      <c r="P95" s="12" t="n"/>
    </row>
    <row r="96">
      <c r="A96" s="25" t="inlineStr">
        <is>
          <t>FL_REC_ABC_25kg</t>
        </is>
      </c>
      <c r="B96" s="25" t="n">
        <v>2</v>
      </c>
      <c r="C96" s="25" t="inlineStr">
        <is>
          <t>ABC25-C3</t>
        </is>
      </c>
      <c r="D96" s="12" t="inlineStr">
        <is>
          <t xml:space="preserve">        Granalla de acero (consumo)</t>
        </is>
      </c>
      <c r="E96" s="25" t="n">
        <v>0.042</v>
      </c>
      <c r="F96" s="25" t="inlineStr">
        <is>
          <t>kg</t>
        </is>
      </c>
      <c r="G96" s="26" t="n"/>
      <c r="H96" s="26" t="n"/>
      <c r="I96" s="25" t="inlineStr">
        <is>
          <t>Granalla S-230</t>
        </is>
      </c>
      <c r="J96" s="12" t="inlineStr">
        <is>
          <t>0,524 m² a Sa 2½</t>
        </is>
      </c>
      <c r="K96" s="25" t="inlineStr">
        <is>
          <t>Compra</t>
        </is>
      </c>
      <c r="L96" s="12" t="inlineStr">
        <is>
          <t>14 Granallado (B08)</t>
        </is>
      </c>
      <c r="M96" s="12" t="inlineStr">
        <is>
          <t>ISO 8501-1</t>
        </is>
      </c>
      <c r="N96" s="25" t="inlineStr">
        <is>
          <t>R</t>
        </is>
      </c>
      <c r="O96" s="25" t="n"/>
      <c r="P96" s="12" t="n"/>
    </row>
    <row r="97">
      <c r="A97" s="25" t="inlineStr">
        <is>
          <t>FL_REC_ABC_25kg</t>
        </is>
      </c>
      <c r="B97" s="25" t="n">
        <v>2</v>
      </c>
      <c r="C97" s="25" t="inlineStr">
        <is>
          <t>ABC25-C4</t>
        </is>
      </c>
      <c r="D97" s="12" t="inlineStr">
        <is>
          <t xml:space="preserve">        Pintura en polvo poliéster rojo</t>
        </is>
      </c>
      <c r="E97" s="25" t="n">
        <v>0.097</v>
      </c>
      <c r="F97" s="25" t="inlineStr">
        <is>
          <t>kg</t>
        </is>
      </c>
      <c r="G97" s="26" t="n">
        <v>0.65</v>
      </c>
      <c r="H97" s="26">
        <f>E97*G97</f>
        <v/>
      </c>
      <c r="I97" s="25" t="inlineStr">
        <is>
          <t>Poliéster rojo 03-1-050</t>
        </is>
      </c>
      <c r="J97" s="12" t="inlineStr">
        <is>
          <t>0,524 m² × 80 µm (60-100 µm), rendimiento 65 %</t>
        </is>
      </c>
      <c r="K97" s="25" t="inlineStr">
        <is>
          <t>Compra</t>
        </is>
      </c>
      <c r="L97" s="12" t="inlineStr">
        <is>
          <t>17 Pintura (S-P) / tercerizada en carros</t>
        </is>
      </c>
      <c r="M97" s="12" t="inlineStr">
        <is>
          <t>DOC-01 · IRAM 3517-2 9.10</t>
        </is>
      </c>
      <c r="N97" s="25" t="inlineStr">
        <is>
          <t>R</t>
        </is>
      </c>
      <c r="O97" s="25" t="n"/>
      <c r="P97" s="12" t="n"/>
    </row>
    <row r="98">
      <c r="A98" s="25" t="inlineStr">
        <is>
          <t>FL_REC_ABC_25kg</t>
        </is>
      </c>
      <c r="B98" s="25" t="n">
        <v>2</v>
      </c>
      <c r="C98" s="25" t="inlineStr">
        <is>
          <t>ABC25-T1</t>
        </is>
      </c>
      <c r="D98" s="12" t="inlineStr">
        <is>
          <t xml:space="preserve">        Tapón protector de rosca del cuello</t>
        </is>
      </c>
      <c r="E98" s="25" t="n">
        <v>1</v>
      </c>
      <c r="F98" s="25" t="inlineStr">
        <is>
          <t>u</t>
        </is>
      </c>
      <c r="G98" s="26" t="n">
        <v>0.005</v>
      </c>
      <c r="H98" s="26">
        <f>E98*G98</f>
        <v/>
      </c>
      <c r="I98" s="25" t="inlineStr">
        <is>
          <t>Polietileno</t>
        </is>
      </c>
      <c r="J98" s="12" t="inlineStr">
        <is>
          <t>para rosca M30x1,5</t>
        </is>
      </c>
      <c r="K98" s="25" t="inlineStr">
        <is>
          <t>Compra</t>
        </is>
      </c>
      <c r="L98" s="12" t="inlineStr">
        <is>
          <t>Embalaje</t>
        </is>
      </c>
      <c r="M98" s="12" t="n"/>
      <c r="N98" s="25" t="inlineStr">
        <is>
          <t>R</t>
        </is>
      </c>
      <c r="O98" s="25" t="n"/>
      <c r="P98" s="12" t="n"/>
    </row>
    <row r="99">
      <c r="A99" s="25" t="inlineStr">
        <is>
          <t>FL_REC_ABC_25kg</t>
        </is>
      </c>
      <c r="B99" s="25" t="n">
        <v>2</v>
      </c>
      <c r="C99" s="25" t="inlineStr">
        <is>
          <t>ABC25-T2</t>
        </is>
      </c>
      <c r="D99" s="12" t="inlineStr">
        <is>
          <t xml:space="preserve">        Marcado del recipiente (estampado)</t>
        </is>
      </c>
      <c r="E99" s="25" t="n">
        <v>1</v>
      </c>
      <c r="F99" s="25" t="inlineStr">
        <is>
          <t>u</t>
        </is>
      </c>
      <c r="G99" s="26" t="n"/>
      <c r="H99" s="26" t="n"/>
      <c r="I99" s="25" t="inlineStr">
        <is>
          <t>-</t>
        </is>
      </c>
      <c r="J99" s="12" t="inlineStr">
        <is>
          <t>N° de serie, año, presión de prueba, norma</t>
        </is>
      </c>
      <c r="K99" s="25" t="inlineStr">
        <is>
          <t>Proceso</t>
        </is>
      </c>
      <c r="L99" s="12" t="inlineStr">
        <is>
          <t>Marcado</t>
        </is>
      </c>
      <c r="M99" s="12" t="inlineStr">
        <is>
          <t>IRAM 3523 (marcado)</t>
        </is>
      </c>
      <c r="N99" s="25" t="inlineStr">
        <is>
          <t>R</t>
        </is>
      </c>
      <c r="O99" s="25" t="n"/>
      <c r="P99" s="12" t="n"/>
    </row>
    <row r="100">
      <c r="A100" s="22" t="inlineStr">
        <is>
          <t>FL_REC_ABC_25kg</t>
        </is>
      </c>
      <c r="B100" s="22" t="n">
        <v>1</v>
      </c>
      <c r="C100" s="22" t="inlineStr">
        <is>
          <t>ABC25-S7</t>
        </is>
      </c>
      <c r="D100" s="23" t="inlineStr">
        <is>
          <t xml:space="preserve">    Embalaje</t>
        </is>
      </c>
      <c r="E100" s="22" t="n">
        <v>1</v>
      </c>
      <c r="F100" s="22" t="inlineStr">
        <is>
          <t>u</t>
        </is>
      </c>
      <c r="G100" s="24" t="n"/>
      <c r="H100" s="24">
        <f>H101+H102+H103+H104</f>
        <v/>
      </c>
      <c r="I100" s="22" t="n"/>
      <c r="J100" s="23" t="n"/>
      <c r="K100" s="22" t="inlineStr">
        <is>
          <t>Compra</t>
        </is>
      </c>
      <c r="L100" s="23" t="inlineStr">
        <is>
          <t>23 Embalaje -&gt; 24 envolvedora (T11)</t>
        </is>
      </c>
      <c r="M100" s="23" t="n"/>
      <c r="N100" s="22" t="n"/>
      <c r="O100" s="22" t="n"/>
      <c r="P100" s="23" t="n"/>
    </row>
    <row r="101">
      <c r="A101" s="25" t="inlineStr">
        <is>
          <t>FL_REC_ABC_25kg</t>
        </is>
      </c>
      <c r="B101" s="25" t="n">
        <v>2</v>
      </c>
      <c r="C101" s="25" t="inlineStr">
        <is>
          <t>ABC25-E1</t>
        </is>
      </c>
      <c r="D101" s="12" t="inlineStr">
        <is>
          <t xml:space="preserve">        Esquineros y funda de polietileno</t>
        </is>
      </c>
      <c r="E101" s="25" t="n">
        <v>1</v>
      </c>
      <c r="F101" s="25" t="inlineStr">
        <is>
          <t>jgo</t>
        </is>
      </c>
      <c r="G101" s="26" t="n">
        <v>0.3</v>
      </c>
      <c r="H101" s="26">
        <f>E101*G101</f>
        <v/>
      </c>
      <c r="I101" s="25" t="inlineStr">
        <is>
          <t>PE / cartón</t>
        </is>
      </c>
      <c r="J101" s="12" t="inlineStr">
        <is>
          <t>a medida</t>
        </is>
      </c>
      <c r="K101" s="25" t="inlineStr">
        <is>
          <t>Compra</t>
        </is>
      </c>
      <c r="L101" s="12" t="inlineStr">
        <is>
          <t>23 Embalaje</t>
        </is>
      </c>
      <c r="M101" s="12" t="n"/>
      <c r="N101" s="25" t="inlineStr">
        <is>
          <t>R</t>
        </is>
      </c>
      <c r="O101" s="25" t="n"/>
      <c r="P101" s="12" t="n"/>
    </row>
    <row r="102">
      <c r="A102" s="25" t="inlineStr">
        <is>
          <t>FL_REC_ABC_25kg</t>
        </is>
      </c>
      <c r="B102" s="25" t="n">
        <v>2</v>
      </c>
      <c r="C102" s="25" t="inlineStr">
        <is>
          <t>ABC25-E3</t>
        </is>
      </c>
      <c r="D102" s="12" t="inlineStr">
        <is>
          <t xml:space="preserve">        Pallet 1200 × 1000 (fracción)</t>
        </is>
      </c>
      <c r="E102" s="25" t="n">
        <v>0.0833</v>
      </c>
      <c r="F102" s="25" t="inlineStr">
        <is>
          <t>u</t>
        </is>
      </c>
      <c r="G102" s="26" t="n">
        <v>1.833</v>
      </c>
      <c r="H102" s="26">
        <f>E102*G102</f>
        <v/>
      </c>
      <c r="I102" s="25" t="inlineStr">
        <is>
          <t>Madera</t>
        </is>
      </c>
      <c r="J102" s="12" t="inlineStr">
        <is>
          <t>12 u por pallet</t>
        </is>
      </c>
      <c r="K102" s="25" t="inlineStr">
        <is>
          <t>Compra</t>
        </is>
      </c>
      <c r="L102" s="12" t="inlineStr">
        <is>
          <t>23 Embalaje</t>
        </is>
      </c>
      <c r="M102" s="12" t="n"/>
      <c r="N102" s="25" t="inlineStr">
        <is>
          <t>R</t>
        </is>
      </c>
      <c r="O102" s="25" t="n"/>
      <c r="P102" s="12" t="n"/>
    </row>
    <row r="103">
      <c r="A103" s="25" t="inlineStr">
        <is>
          <t>FL_REC_ABC_25kg</t>
        </is>
      </c>
      <c r="B103" s="25" t="n">
        <v>2</v>
      </c>
      <c r="C103" s="25" t="inlineStr">
        <is>
          <t>ABC25-E4</t>
        </is>
      </c>
      <c r="D103" s="12" t="inlineStr">
        <is>
          <t xml:space="preserve">        Film stretch (fracción del pallet)</t>
        </is>
      </c>
      <c r="E103" s="25" t="n">
        <v>0.0292</v>
      </c>
      <c r="F103" s="25" t="inlineStr">
        <is>
          <t>kg</t>
        </is>
      </c>
      <c r="G103" s="26" t="n">
        <v>1</v>
      </c>
      <c r="H103" s="26">
        <f>E103*G103</f>
        <v/>
      </c>
      <c r="I103" s="25" t="inlineStr">
        <is>
          <t>PE lineal 23 µm</t>
        </is>
      </c>
      <c r="J103" s="12" t="inlineStr">
        <is>
          <t>envolvedora EDOS PS5</t>
        </is>
      </c>
      <c r="K103" s="25" t="inlineStr">
        <is>
          <t>Compra</t>
        </is>
      </c>
      <c r="L103" s="12" t="inlineStr">
        <is>
          <t>24 Envolvedora (T11)</t>
        </is>
      </c>
      <c r="M103" s="12" t="n"/>
      <c r="N103" s="25" t="inlineStr">
        <is>
          <t>R</t>
        </is>
      </c>
      <c r="O103" s="25" t="n"/>
      <c r="P103" s="12" t="n"/>
    </row>
    <row r="104">
      <c r="A104" s="25" t="inlineStr">
        <is>
          <t>FL_REC_ABC_25kg</t>
        </is>
      </c>
      <c r="B104" s="25" t="n">
        <v>2</v>
      </c>
      <c r="C104" s="25" t="inlineStr">
        <is>
          <t>ABC25-E5</t>
        </is>
      </c>
      <c r="D104" s="12" t="inlineStr">
        <is>
          <t xml:space="preserve">        Etiqueta de pallet (lote y destino, fracción)</t>
        </is>
      </c>
      <c r="E104" s="25" t="n">
        <v>0.0833</v>
      </c>
      <c r="F104" s="25" t="inlineStr">
        <is>
          <t>u</t>
        </is>
      </c>
      <c r="G104" s="26" t="n">
        <v>0</v>
      </c>
      <c r="H104" s="26">
        <f>E104*G104</f>
        <v/>
      </c>
      <c r="I104" s="25" t="inlineStr">
        <is>
          <t>Papel térmico</t>
        </is>
      </c>
      <c r="J104" s="12" t="inlineStr">
        <is>
          <t>100 × 150</t>
        </is>
      </c>
      <c r="K104" s="25" t="inlineStr">
        <is>
          <t>Compra</t>
        </is>
      </c>
      <c r="L104" s="12" t="inlineStr">
        <is>
          <t>24 Envolvedora</t>
        </is>
      </c>
      <c r="M104" s="12" t="n"/>
      <c r="N104" s="25" t="inlineStr">
        <is>
          <t>R</t>
        </is>
      </c>
      <c r="O104" s="25" t="n"/>
      <c r="P104" s="12" t="n"/>
    </row>
    <row r="105">
      <c r="A105" s="19" t="inlineStr">
        <is>
          <t>FL_REC_ABC_50kg</t>
        </is>
      </c>
      <c r="B105" s="19" t="n">
        <v>0</v>
      </c>
      <c r="C105" s="19" t="inlineStr">
        <is>
          <t>FL_REC_ABC_50kg</t>
        </is>
      </c>
      <c r="D105" s="20" t="inlineStr">
        <is>
          <t>Cilindro (recipiente) ABC 50 kg rodante - repuesto vacío sin válvula</t>
        </is>
      </c>
      <c r="E105" s="19" t="n">
        <v>1</v>
      </c>
      <c r="F105" s="19" t="inlineStr">
        <is>
          <t>u</t>
        </is>
      </c>
      <c r="G105" s="21" t="n"/>
      <c r="H105" s="21" t="n"/>
      <c r="I105" s="19" t="n"/>
      <c r="J105" s="20" t="n"/>
      <c r="K105" s="19" t="n"/>
      <c r="L105" s="20" t="n"/>
      <c r="M105" s="20" t="inlineStr">
        <is>
          <t>IRAM 3550</t>
        </is>
      </c>
      <c r="N105" s="19" t="inlineStr">
        <is>
          <t>P</t>
        </is>
      </c>
      <c r="O105" s="19" t="inlineStr">
        <is>
          <t>FL_REC_ABC_50kg</t>
        </is>
      </c>
      <c r="P105" s="20" t="inlineStr">
        <is>
          <t>Fabricación propia</t>
        </is>
      </c>
    </row>
    <row r="106">
      <c r="A106" s="22" t="inlineStr">
        <is>
          <t>FL_REC_ABC_50kg</t>
        </is>
      </c>
      <c r="B106" s="22" t="n">
        <v>1</v>
      </c>
      <c r="C106" s="22" t="inlineStr">
        <is>
          <t>ABC50-S1</t>
        </is>
      </c>
      <c r="D106" s="23" t="inlineStr">
        <is>
          <t xml:space="preserve">    Recipiente (cilindro)</t>
        </is>
      </c>
      <c r="E106" s="22" t="n">
        <v>1</v>
      </c>
      <c r="F106" s="22" t="inlineStr">
        <is>
          <t>u</t>
        </is>
      </c>
      <c r="G106" s="24" t="n"/>
      <c r="H106" s="24">
        <f>H107+H109+H110+H111+H113+H116+H117</f>
        <v/>
      </c>
      <c r="I106" s="22" t="n"/>
      <c r="J106" s="23" t="n"/>
      <c r="K106" s="22" t="inlineStr">
        <is>
          <t>Fabricación</t>
        </is>
      </c>
      <c r="L106" s="23" t="n"/>
      <c r="M106" s="23" t="inlineStr">
        <is>
          <t>IRAM 3523 / 3550 (recipiente)</t>
        </is>
      </c>
      <c r="N106" s="22" t="inlineStr">
        <is>
          <t>P</t>
        </is>
      </c>
      <c r="O106" s="22" t="inlineStr">
        <is>
          <t>FL_DES_ABC_50kg</t>
        </is>
      </c>
      <c r="P106" s="23" t="n"/>
    </row>
    <row r="107">
      <c r="A107" s="25" t="inlineStr">
        <is>
          <t>FL_REC_ABC_50kg</t>
        </is>
      </c>
      <c r="B107" s="25" t="n">
        <v>2</v>
      </c>
      <c r="C107" s="25" t="inlineStr">
        <is>
          <t>ABC50-01</t>
        </is>
      </c>
      <c r="D107" s="12" t="inlineStr">
        <is>
          <t xml:space="preserve">        Cuerpo (virola)</t>
        </is>
      </c>
      <c r="E107" s="25" t="n">
        <v>1</v>
      </c>
      <c r="F107" s="25" t="inlineStr">
        <is>
          <t>u</t>
        </is>
      </c>
      <c r="G107" s="26" t="n">
        <v>13.3755</v>
      </c>
      <c r="H107" s="26">
        <f>E107*G107</f>
        <v/>
      </c>
      <c r="I107" s="25" t="inlineStr">
        <is>
          <t>Chapa acero SAE 1010 e=3,2</t>
        </is>
      </c>
      <c r="J107" s="12" t="inlineStr">
        <is>
          <t>Ø320 × e3,2 × 535 de alto; desarrollo 995,3 × 535</t>
        </is>
      </c>
      <c r="K107" s="25" t="inlineStr">
        <is>
          <t>Fabricación</t>
        </is>
      </c>
      <c r="L107" s="12" t="inlineStr">
        <is>
          <t>1 Guillotina -&gt; C1 cilindrado -&gt; C2 punteo -&gt; C3 sold. long.</t>
        </is>
      </c>
      <c r="M107" s="12" t="n"/>
      <c r="N107" s="25" t="inlineStr">
        <is>
          <t>P</t>
        </is>
      </c>
      <c r="O107" s="25" t="inlineStr">
        <is>
          <t>FL_DES_ABC_50kg</t>
        </is>
      </c>
      <c r="P107" s="12" t="inlineStr">
        <is>
          <t>costura long. MIG</t>
        </is>
      </c>
    </row>
    <row r="108">
      <c r="A108" s="27" t="inlineStr">
        <is>
          <t>FL_REC_ABC_50kg</t>
        </is>
      </c>
      <c r="B108" s="27" t="n">
        <v>3</v>
      </c>
      <c r="C108" s="27" t="inlineStr">
        <is>
          <t>MP-HOJA</t>
        </is>
      </c>
      <c r="D108" s="28" t="inlineStr">
        <is>
          <t xml:space="preserve">            Recorte de hoja LAC 1500 × 3000 e=3,2</t>
        </is>
      </c>
      <c r="E108" s="27" t="n">
        <v>1</v>
      </c>
      <c r="F108" s="27" t="inlineStr">
        <is>
          <t>u</t>
        </is>
      </c>
      <c r="G108" s="29" t="n">
        <v>18.845</v>
      </c>
      <c r="H108" s="29">
        <f>E108*G108</f>
        <v/>
      </c>
      <c r="I108" s="27" t="inlineStr">
        <is>
          <t>Chapa SAE 1010 LAC</t>
        </is>
      </c>
      <c r="J108" s="28" t="inlineStr">
        <is>
          <t>640 × 994 (aprovech. 84,8 %)</t>
        </is>
      </c>
      <c r="K108" s="27" t="inlineStr">
        <is>
          <t>Compra (Pradecon)</t>
        </is>
      </c>
      <c r="L108" s="28" t="inlineStr">
        <is>
          <t>AL-1H paquetes de hojas</t>
        </is>
      </c>
      <c r="M108" s="28" t="n"/>
      <c r="N108" s="27" t="inlineStr">
        <is>
          <t>L</t>
        </is>
      </c>
      <c r="O108" s="27" t="inlineStr">
        <is>
          <t>FL_PI_04 h2</t>
        </is>
      </c>
      <c r="P108" s="28" t="n"/>
    </row>
    <row r="109">
      <c r="A109" s="25" t="inlineStr">
        <is>
          <t>FL_REC_ABC_50kg</t>
        </is>
      </c>
      <c r="B109" s="25" t="n">
        <v>2</v>
      </c>
      <c r="C109" s="25" t="inlineStr">
        <is>
          <t>ABC50-02</t>
        </is>
      </c>
      <c r="D109" s="12" t="inlineStr">
        <is>
          <t xml:space="preserve">        Cúpula</t>
        </is>
      </c>
      <c r="E109" s="25" t="n">
        <v>1</v>
      </c>
      <c r="F109" s="25" t="inlineStr">
        <is>
          <t>u</t>
        </is>
      </c>
      <c r="G109" s="26" t="n">
        <v>2.884</v>
      </c>
      <c r="H109" s="26">
        <f>E109*G109</f>
        <v/>
      </c>
      <c r="I109" s="25" t="inlineStr">
        <is>
          <t>Chapa acero SAE 1010 e=3,2</t>
        </is>
      </c>
      <c r="J109" s="12" t="inlineStr">
        <is>
          <t>Ø320 × e3,2 × 101,7 de alto; disco Ø393,8</t>
        </is>
      </c>
      <c r="K109" s="25" t="inlineStr">
        <is>
          <t>Compra</t>
        </is>
      </c>
      <c r="L109" s="12" t="inlineStr">
        <is>
          <t>Compra (casquetes de carros, rack RK1)</t>
        </is>
      </c>
      <c r="M109" s="12" t="n"/>
      <c r="N109" s="25" t="inlineStr">
        <is>
          <t>P</t>
        </is>
      </c>
      <c r="O109" s="25" t="inlineStr">
        <is>
          <t>FL_DES_ABC_50kg</t>
        </is>
      </c>
      <c r="P109" s="12" t="inlineStr">
        <is>
          <t>embutida</t>
        </is>
      </c>
    </row>
    <row r="110">
      <c r="A110" s="25" t="inlineStr">
        <is>
          <t>FL_REC_ABC_50kg</t>
        </is>
      </c>
      <c r="B110" s="25" t="n">
        <v>2</v>
      </c>
      <c r="C110" s="25" t="inlineStr">
        <is>
          <t>ABC50-03</t>
        </is>
      </c>
      <c r="D110" s="12" t="inlineStr">
        <is>
          <t xml:space="preserve">        Fondo</t>
        </is>
      </c>
      <c r="E110" s="25" t="n">
        <v>1</v>
      </c>
      <c r="F110" s="25" t="inlineStr">
        <is>
          <t>u</t>
        </is>
      </c>
      <c r="G110" s="26" t="n">
        <v>3.1025</v>
      </c>
      <c r="H110" s="26">
        <f>E110*G110</f>
        <v/>
      </c>
      <c r="I110" s="25" t="inlineStr">
        <is>
          <t>Chapa acero SAE 1010 e=3,2</t>
        </is>
      </c>
      <c r="J110" s="12" t="inlineStr">
        <is>
          <t>Ø320 × e3,2 × 105 de alto; disco Ø408,5</t>
        </is>
      </c>
      <c r="K110" s="25" t="inlineStr">
        <is>
          <t>Compra</t>
        </is>
      </c>
      <c r="L110" s="12" t="inlineStr">
        <is>
          <t>Compra (casquetes de carros, rack RK1)</t>
        </is>
      </c>
      <c r="M110" s="12" t="n"/>
      <c r="N110" s="25" t="inlineStr">
        <is>
          <t>P</t>
        </is>
      </c>
      <c r="O110" s="25" t="inlineStr">
        <is>
          <t>FL_DES_ABC_50kg</t>
        </is>
      </c>
      <c r="P110" s="12" t="inlineStr">
        <is>
          <t>embutido</t>
        </is>
      </c>
    </row>
    <row r="111">
      <c r="A111" s="25" t="inlineStr">
        <is>
          <t>FL_REC_ABC_50kg</t>
        </is>
      </c>
      <c r="B111" s="25" t="n">
        <v>2</v>
      </c>
      <c r="C111" s="25" t="inlineStr">
        <is>
          <t>ABC50-04</t>
        </is>
      </c>
      <c r="D111" s="12" t="inlineStr">
        <is>
          <t xml:space="preserve">        Cuello roscado</t>
        </is>
      </c>
      <c r="E111" s="25" t="n">
        <v>1</v>
      </c>
      <c r="F111" s="25" t="inlineStr">
        <is>
          <t>u</t>
        </is>
      </c>
      <c r="G111" s="26" t="n">
        <v>0.6085</v>
      </c>
      <c r="H111" s="26">
        <f>E111*G111</f>
        <v/>
      </c>
      <c r="I111" s="25" t="inlineStr">
        <is>
          <t>Acero SAE 1010</t>
        </is>
      </c>
      <c r="J111" s="12" t="inlineStr">
        <is>
          <t>Ø88 × 37 de alto, rosca RBSP 2 1/2"-11 h, asiento Ø80</t>
        </is>
      </c>
      <c r="K111" s="25" t="inlineStr">
        <is>
          <t>Fabricación</t>
        </is>
      </c>
      <c r="L111" s="12" t="inlineStr">
        <is>
          <t>C2 punteo</t>
        </is>
      </c>
      <c r="M111" s="12" t="n"/>
      <c r="N111" s="25" t="inlineStr">
        <is>
          <t>P</t>
        </is>
      </c>
      <c r="O111" s="25" t="inlineStr">
        <is>
          <t>FL_DES_ABC_50kg</t>
        </is>
      </c>
      <c r="P111" s="12" t="inlineStr">
        <is>
          <t>RBSP 2 1/2"-11 h</t>
        </is>
      </c>
    </row>
    <row r="112">
      <c r="A112" s="27" t="inlineStr">
        <is>
          <t>FL_REC_ABC_50kg</t>
        </is>
      </c>
      <c r="B112" s="27" t="n">
        <v>3</v>
      </c>
      <c r="C112" s="27" t="inlineStr">
        <is>
          <t>MP-CUELLO</t>
        </is>
      </c>
      <c r="D112" s="28" t="inlineStr">
        <is>
          <t xml:space="preserve">            Cuello roscado mecanizado (pieza comprada lista para soldar)</t>
        </is>
      </c>
      <c r="E112" s="27" t="n">
        <v>1</v>
      </c>
      <c r="F112" s="27" t="inlineStr">
        <is>
          <t>u</t>
        </is>
      </c>
      <c r="G112" s="29" t="n">
        <v>0.608</v>
      </c>
      <c r="H112" s="29">
        <f>E112*G112</f>
        <v/>
      </c>
      <c r="I112" s="27" t="inlineStr">
        <is>
          <t>Acero SAE 1010 / 1020</t>
        </is>
      </c>
      <c r="J112" s="28" t="inlineStr">
        <is>
          <t>rosca RBSP 2 1/2"-11 h</t>
        </is>
      </c>
      <c r="K112" s="27" t="inlineStr">
        <is>
          <t>Compra (Eli-Met)</t>
        </is>
      </c>
      <c r="L112" s="28" t="inlineStr">
        <is>
          <t>AL-1C cuellos y roscas</t>
        </is>
      </c>
      <c r="M112" s="28" t="n"/>
      <c r="N112" s="27" t="inlineStr">
        <is>
          <t>L</t>
        </is>
      </c>
      <c r="O112" s="27" t="n"/>
      <c r="P112" s="28" t="n"/>
    </row>
    <row r="113">
      <c r="A113" s="25" t="inlineStr">
        <is>
          <t>FL_REC_ABC_50kg</t>
        </is>
      </c>
      <c r="B113" s="25" t="n">
        <v>2</v>
      </c>
      <c r="C113" s="25" t="inlineStr">
        <is>
          <t>ABC50-C1</t>
        </is>
      </c>
      <c r="D113" s="12" t="inlineStr">
        <is>
          <t xml:space="preserve">        Aporte de soldadura: Alambre MAG ER70S-6 Ø0,9/1,2</t>
        </is>
      </c>
      <c r="E113" s="25" t="n">
        <v>0.433</v>
      </c>
      <c r="F113" s="25" t="inlineStr">
        <is>
          <t>kg</t>
        </is>
      </c>
      <c r="G113" s="26" t="n">
        <v>0.92</v>
      </c>
      <c r="H113" s="26">
        <f>E113*G113</f>
        <v/>
      </c>
      <c r="I113" s="25" t="inlineStr">
        <is>
          <t>Alambre MAG ER70S-6 Ø0,9/1,2</t>
        </is>
      </c>
      <c r="J113" s="12" t="inlineStr">
        <is>
          <t>cordones del plano: 398 g depositados (rend. 92 %)</t>
        </is>
      </c>
      <c r="K113" s="25" t="inlineStr">
        <is>
          <t>Compra</t>
        </is>
      </c>
      <c r="L113" s="12" t="inlineStr">
        <is>
          <t>4 sold. long. / 8 cuello / 11 circunferencial</t>
        </is>
      </c>
      <c r="M113" s="12" t="inlineStr">
        <is>
          <t>ISO 4063 131 / 141</t>
        </is>
      </c>
      <c r="N113" s="25" t="inlineStr">
        <is>
          <t>P</t>
        </is>
      </c>
      <c r="O113" s="25" t="n"/>
      <c r="P113" s="12" t="n"/>
    </row>
    <row r="114">
      <c r="A114" s="25" t="inlineStr">
        <is>
          <t>FL_REC_ABC_50kg</t>
        </is>
      </c>
      <c r="B114" s="25" t="n">
        <v>2</v>
      </c>
      <c r="C114" s="25" t="inlineStr">
        <is>
          <t>ABC50-C2</t>
        </is>
      </c>
      <c r="D114" s="12" t="inlineStr">
        <is>
          <t xml:space="preserve">        Gas de protección: Arcal 21 (Ar + 18 % CO₂)</t>
        </is>
      </c>
      <c r="E114" s="25" t="n">
        <v>194.9</v>
      </c>
      <c r="F114" s="25" t="inlineStr">
        <is>
          <t>L</t>
        </is>
      </c>
      <c r="G114" s="26" t="n"/>
      <c r="H114" s="26" t="n"/>
      <c r="I114" s="25" t="inlineStr">
        <is>
          <t>Arcal 21 (Ar + 18 % CO₂)</t>
        </is>
      </c>
      <c r="J114" s="12" t="inlineStr">
        <is>
          <t>13 min de arco × 15 L/min</t>
        </is>
      </c>
      <c r="K114" s="25" t="inlineStr">
        <is>
          <t>Compra</t>
        </is>
      </c>
      <c r="L114" s="12" t="inlineStr">
        <is>
          <t>Colector SC</t>
        </is>
      </c>
      <c r="M114" s="12" t="n"/>
      <c r="N114" s="25" t="inlineStr">
        <is>
          <t>R</t>
        </is>
      </c>
      <c r="O114" s="25" t="n"/>
      <c r="P114" s="12" t="n"/>
    </row>
    <row r="115">
      <c r="A115" s="25" t="inlineStr">
        <is>
          <t>FL_REC_ABC_50kg</t>
        </is>
      </c>
      <c r="B115" s="25" t="n">
        <v>2</v>
      </c>
      <c r="C115" s="25" t="inlineStr">
        <is>
          <t>ABC50-C3</t>
        </is>
      </c>
      <c r="D115" s="12" t="inlineStr">
        <is>
          <t xml:space="preserve">        Granalla de acero (consumo)</t>
        </is>
      </c>
      <c r="E115" s="25" t="n">
        <v>0.062</v>
      </c>
      <c r="F115" s="25" t="inlineStr">
        <is>
          <t>kg</t>
        </is>
      </c>
      <c r="G115" s="26" t="n"/>
      <c r="H115" s="26" t="n"/>
      <c r="I115" s="25" t="inlineStr">
        <is>
          <t>Granalla S-230</t>
        </is>
      </c>
      <c r="J115" s="12" t="inlineStr">
        <is>
          <t>0,771 m² a Sa 2½</t>
        </is>
      </c>
      <c r="K115" s="25" t="inlineStr">
        <is>
          <t>Compra</t>
        </is>
      </c>
      <c r="L115" s="12" t="inlineStr">
        <is>
          <t>14 Granallado (B08)</t>
        </is>
      </c>
      <c r="M115" s="12" t="inlineStr">
        <is>
          <t>ISO 8501-1</t>
        </is>
      </c>
      <c r="N115" s="25" t="inlineStr">
        <is>
          <t>R</t>
        </is>
      </c>
      <c r="O115" s="25" t="n"/>
      <c r="P115" s="12" t="n"/>
    </row>
    <row r="116">
      <c r="A116" s="25" t="inlineStr">
        <is>
          <t>FL_REC_ABC_50kg</t>
        </is>
      </c>
      <c r="B116" s="25" t="n">
        <v>2</v>
      </c>
      <c r="C116" s="25" t="inlineStr">
        <is>
          <t>ABC50-C4</t>
        </is>
      </c>
      <c r="D116" s="12" t="inlineStr">
        <is>
          <t xml:space="preserve">        Pintura en polvo poliéster rojo</t>
        </is>
      </c>
      <c r="E116" s="25" t="n">
        <v>0.143</v>
      </c>
      <c r="F116" s="25" t="inlineStr">
        <is>
          <t>kg</t>
        </is>
      </c>
      <c r="G116" s="26" t="n">
        <v>0.65</v>
      </c>
      <c r="H116" s="26">
        <f>E116*G116</f>
        <v/>
      </c>
      <c r="I116" s="25" t="inlineStr">
        <is>
          <t>Poliéster rojo 03-1-050</t>
        </is>
      </c>
      <c r="J116" s="12" t="inlineStr">
        <is>
          <t>0,771 m² × 80 µm (60-100 µm), rendimiento 65 %</t>
        </is>
      </c>
      <c r="K116" s="25" t="inlineStr">
        <is>
          <t>Compra</t>
        </is>
      </c>
      <c r="L116" s="12" t="inlineStr">
        <is>
          <t>17 Pintura (S-P) / tercerizada en carros</t>
        </is>
      </c>
      <c r="M116" s="12" t="inlineStr">
        <is>
          <t>DOC-01 · IRAM 3517-2 9.10</t>
        </is>
      </c>
      <c r="N116" s="25" t="inlineStr">
        <is>
          <t>R</t>
        </is>
      </c>
      <c r="O116" s="25" t="n"/>
      <c r="P116" s="12" t="n"/>
    </row>
    <row r="117">
      <c r="A117" s="25" t="inlineStr">
        <is>
          <t>FL_REC_ABC_50kg</t>
        </is>
      </c>
      <c r="B117" s="25" t="n">
        <v>2</v>
      </c>
      <c r="C117" s="25" t="inlineStr">
        <is>
          <t>ABC50-T1</t>
        </is>
      </c>
      <c r="D117" s="12" t="inlineStr">
        <is>
          <t xml:space="preserve">        Tapón protector de rosca del cuello</t>
        </is>
      </c>
      <c r="E117" s="25" t="n">
        <v>1</v>
      </c>
      <c r="F117" s="25" t="inlineStr">
        <is>
          <t>u</t>
        </is>
      </c>
      <c r="G117" s="26" t="n">
        <v>0.005</v>
      </c>
      <c r="H117" s="26">
        <f>E117*G117</f>
        <v/>
      </c>
      <c r="I117" s="25" t="inlineStr">
        <is>
          <t>Polietileno</t>
        </is>
      </c>
      <c r="J117" s="12" t="inlineStr">
        <is>
          <t>para rosca RBSP 2 1/2"-11 h</t>
        </is>
      </c>
      <c r="K117" s="25" t="inlineStr">
        <is>
          <t>Compra</t>
        </is>
      </c>
      <c r="L117" s="12" t="inlineStr">
        <is>
          <t>Embalaje</t>
        </is>
      </c>
      <c r="M117" s="12" t="n"/>
      <c r="N117" s="25" t="inlineStr">
        <is>
          <t>R</t>
        </is>
      </c>
      <c r="O117" s="25" t="n"/>
      <c r="P117" s="12" t="n"/>
    </row>
    <row r="118">
      <c r="A118" s="25" t="inlineStr">
        <is>
          <t>FL_REC_ABC_50kg</t>
        </is>
      </c>
      <c r="B118" s="25" t="n">
        <v>2</v>
      </c>
      <c r="C118" s="25" t="inlineStr">
        <is>
          <t>ABC50-T2</t>
        </is>
      </c>
      <c r="D118" s="12" t="inlineStr">
        <is>
          <t xml:space="preserve">        Marcado del recipiente (estampado)</t>
        </is>
      </c>
      <c r="E118" s="25" t="n">
        <v>1</v>
      </c>
      <c r="F118" s="25" t="inlineStr">
        <is>
          <t>u</t>
        </is>
      </c>
      <c r="G118" s="26" t="n"/>
      <c r="H118" s="26" t="n"/>
      <c r="I118" s="25" t="inlineStr">
        <is>
          <t>-</t>
        </is>
      </c>
      <c r="J118" s="12" t="inlineStr">
        <is>
          <t>N° de serie, año, presión de prueba, norma</t>
        </is>
      </c>
      <c r="K118" s="25" t="inlineStr">
        <is>
          <t>Proceso</t>
        </is>
      </c>
      <c r="L118" s="12" t="inlineStr">
        <is>
          <t>Marcado</t>
        </is>
      </c>
      <c r="M118" s="12" t="inlineStr">
        <is>
          <t>IRAM 3523 (marcado)</t>
        </is>
      </c>
      <c r="N118" s="25" t="inlineStr">
        <is>
          <t>R</t>
        </is>
      </c>
      <c r="O118" s="25" t="n"/>
      <c r="P118" s="12" t="n"/>
    </row>
    <row r="119">
      <c r="A119" s="22" t="inlineStr">
        <is>
          <t>FL_REC_ABC_50kg</t>
        </is>
      </c>
      <c r="B119" s="22" t="n">
        <v>1</v>
      </c>
      <c r="C119" s="22" t="inlineStr">
        <is>
          <t>ABC50-S7</t>
        </is>
      </c>
      <c r="D119" s="23" t="inlineStr">
        <is>
          <t xml:space="preserve">    Embalaje</t>
        </is>
      </c>
      <c r="E119" s="22" t="n">
        <v>1</v>
      </c>
      <c r="F119" s="22" t="inlineStr">
        <is>
          <t>u</t>
        </is>
      </c>
      <c r="G119" s="24" t="n"/>
      <c r="H119" s="24">
        <f>H120+H121+H122+H123</f>
        <v/>
      </c>
      <c r="I119" s="22" t="n"/>
      <c r="J119" s="23" t="n"/>
      <c r="K119" s="22" t="inlineStr">
        <is>
          <t>Compra</t>
        </is>
      </c>
      <c r="L119" s="23" t="inlineStr">
        <is>
          <t>23 Embalaje -&gt; 24 envolvedora (T11)</t>
        </is>
      </c>
      <c r="M119" s="23" t="n"/>
      <c r="N119" s="22" t="n"/>
      <c r="O119" s="22" t="n"/>
      <c r="P119" s="23" t="n"/>
    </row>
    <row r="120">
      <c r="A120" s="25" t="inlineStr">
        <is>
          <t>FL_REC_ABC_50kg</t>
        </is>
      </c>
      <c r="B120" s="25" t="n">
        <v>2</v>
      </c>
      <c r="C120" s="25" t="inlineStr">
        <is>
          <t>ABC50-E1</t>
        </is>
      </c>
      <c r="D120" s="12" t="inlineStr">
        <is>
          <t xml:space="preserve">        Esquineros y funda de polietileno</t>
        </is>
      </c>
      <c r="E120" s="25" t="n">
        <v>1</v>
      </c>
      <c r="F120" s="25" t="inlineStr">
        <is>
          <t>jgo</t>
        </is>
      </c>
      <c r="G120" s="26" t="n">
        <v>0.3</v>
      </c>
      <c r="H120" s="26">
        <f>E120*G120</f>
        <v/>
      </c>
      <c r="I120" s="25" t="inlineStr">
        <is>
          <t>PE / cartón</t>
        </is>
      </c>
      <c r="J120" s="12" t="inlineStr">
        <is>
          <t>a medida</t>
        </is>
      </c>
      <c r="K120" s="25" t="inlineStr">
        <is>
          <t>Compra</t>
        </is>
      </c>
      <c r="L120" s="12" t="inlineStr">
        <is>
          <t>23 Embalaje</t>
        </is>
      </c>
      <c r="M120" s="12" t="n"/>
      <c r="N120" s="25" t="inlineStr">
        <is>
          <t>R</t>
        </is>
      </c>
      <c r="O120" s="25" t="n"/>
      <c r="P120" s="12" t="n"/>
    </row>
    <row r="121">
      <c r="A121" s="25" t="inlineStr">
        <is>
          <t>FL_REC_ABC_50kg</t>
        </is>
      </c>
      <c r="B121" s="25" t="n">
        <v>2</v>
      </c>
      <c r="C121" s="25" t="inlineStr">
        <is>
          <t>ABC50-E3</t>
        </is>
      </c>
      <c r="D121" s="12" t="inlineStr">
        <is>
          <t xml:space="preserve">        Pallet 1200 × 1000 (fracción)</t>
        </is>
      </c>
      <c r="E121" s="25" t="n">
        <v>0.1111</v>
      </c>
      <c r="F121" s="25" t="inlineStr">
        <is>
          <t>u</t>
        </is>
      </c>
      <c r="G121" s="26" t="n">
        <v>2.444</v>
      </c>
      <c r="H121" s="26">
        <f>E121*G121</f>
        <v/>
      </c>
      <c r="I121" s="25" t="inlineStr">
        <is>
          <t>Madera</t>
        </is>
      </c>
      <c r="J121" s="12" t="inlineStr">
        <is>
          <t>9 u por pallet</t>
        </is>
      </c>
      <c r="K121" s="25" t="inlineStr">
        <is>
          <t>Compra</t>
        </is>
      </c>
      <c r="L121" s="12" t="inlineStr">
        <is>
          <t>23 Embalaje</t>
        </is>
      </c>
      <c r="M121" s="12" t="n"/>
      <c r="N121" s="25" t="inlineStr">
        <is>
          <t>R</t>
        </is>
      </c>
      <c r="O121" s="25" t="n"/>
      <c r="P121" s="12" t="n"/>
    </row>
    <row r="122">
      <c r="A122" s="25" t="inlineStr">
        <is>
          <t>FL_REC_ABC_50kg</t>
        </is>
      </c>
      <c r="B122" s="25" t="n">
        <v>2</v>
      </c>
      <c r="C122" s="25" t="inlineStr">
        <is>
          <t>ABC50-E4</t>
        </is>
      </c>
      <c r="D122" s="12" t="inlineStr">
        <is>
          <t xml:space="preserve">        Film stretch (fracción del pallet)</t>
        </is>
      </c>
      <c r="E122" s="25" t="n">
        <v>0.0389</v>
      </c>
      <c r="F122" s="25" t="inlineStr">
        <is>
          <t>kg</t>
        </is>
      </c>
      <c r="G122" s="26" t="n">
        <v>1</v>
      </c>
      <c r="H122" s="26">
        <f>E122*G122</f>
        <v/>
      </c>
      <c r="I122" s="25" t="inlineStr">
        <is>
          <t>PE lineal 23 µm</t>
        </is>
      </c>
      <c r="J122" s="12" t="inlineStr">
        <is>
          <t>envolvedora EDOS PS5</t>
        </is>
      </c>
      <c r="K122" s="25" t="inlineStr">
        <is>
          <t>Compra</t>
        </is>
      </c>
      <c r="L122" s="12" t="inlineStr">
        <is>
          <t>24 Envolvedora (T11)</t>
        </is>
      </c>
      <c r="M122" s="12" t="n"/>
      <c r="N122" s="25" t="inlineStr">
        <is>
          <t>R</t>
        </is>
      </c>
      <c r="O122" s="25" t="n"/>
      <c r="P122" s="12" t="n"/>
    </row>
    <row r="123">
      <c r="A123" s="25" t="inlineStr">
        <is>
          <t>FL_REC_ABC_50kg</t>
        </is>
      </c>
      <c r="B123" s="25" t="n">
        <v>2</v>
      </c>
      <c r="C123" s="25" t="inlineStr">
        <is>
          <t>ABC50-E5</t>
        </is>
      </c>
      <c r="D123" s="12" t="inlineStr">
        <is>
          <t xml:space="preserve">        Etiqueta de pallet (lote y destino, fracción)</t>
        </is>
      </c>
      <c r="E123" s="25" t="n">
        <v>0.1111</v>
      </c>
      <c r="F123" s="25" t="inlineStr">
        <is>
          <t>u</t>
        </is>
      </c>
      <c r="G123" s="26" t="n">
        <v>0</v>
      </c>
      <c r="H123" s="26">
        <f>E123*G123</f>
        <v/>
      </c>
      <c r="I123" s="25" t="inlineStr">
        <is>
          <t>Papel térmico</t>
        </is>
      </c>
      <c r="J123" s="12" t="inlineStr">
        <is>
          <t>100 × 150</t>
        </is>
      </c>
      <c r="K123" s="25" t="inlineStr">
        <is>
          <t>Compra</t>
        </is>
      </c>
      <c r="L123" s="12" t="inlineStr">
        <is>
          <t>24 Envolvedora</t>
        </is>
      </c>
      <c r="M123" s="12" t="n"/>
      <c r="N123" s="25" t="inlineStr">
        <is>
          <t>R</t>
        </is>
      </c>
      <c r="O123" s="25" t="n"/>
      <c r="P123" s="12" t="n"/>
    </row>
    <row r="124">
      <c r="A124" s="19" t="inlineStr">
        <is>
          <t>FL_REC_ABC_70kg</t>
        </is>
      </c>
      <c r="B124" s="19" t="n">
        <v>0</v>
      </c>
      <c r="C124" s="19" t="inlineStr">
        <is>
          <t>FL_REC_ABC_70kg</t>
        </is>
      </c>
      <c r="D124" s="20" t="inlineStr">
        <is>
          <t>Cilindro (recipiente) ABC 70 kg rodante - repuesto vacío sin válvula</t>
        </is>
      </c>
      <c r="E124" s="19" t="n">
        <v>1</v>
      </c>
      <c r="F124" s="19" t="inlineStr">
        <is>
          <t>u</t>
        </is>
      </c>
      <c r="G124" s="21" t="n"/>
      <c r="H124" s="21" t="n"/>
      <c r="I124" s="19" t="n"/>
      <c r="J124" s="20" t="n"/>
      <c r="K124" s="19" t="n"/>
      <c r="L124" s="20" t="n"/>
      <c r="M124" s="20" t="inlineStr">
        <is>
          <t>IRAM 3550</t>
        </is>
      </c>
      <c r="N124" s="19" t="inlineStr">
        <is>
          <t>P</t>
        </is>
      </c>
      <c r="O124" s="19" t="inlineStr">
        <is>
          <t>FL_REC_ABC_70kg</t>
        </is>
      </c>
      <c r="P124" s="20" t="inlineStr">
        <is>
          <t>Fabricación propia</t>
        </is>
      </c>
    </row>
    <row r="125">
      <c r="A125" s="22" t="inlineStr">
        <is>
          <t>FL_REC_ABC_70kg</t>
        </is>
      </c>
      <c r="B125" s="22" t="n">
        <v>1</v>
      </c>
      <c r="C125" s="22" t="inlineStr">
        <is>
          <t>ABC70-S1</t>
        </is>
      </c>
      <c r="D125" s="23" t="inlineStr">
        <is>
          <t xml:space="preserve">    Recipiente (cilindro)</t>
        </is>
      </c>
      <c r="E125" s="22" t="n">
        <v>1</v>
      </c>
      <c r="F125" s="22" t="inlineStr">
        <is>
          <t>u</t>
        </is>
      </c>
      <c r="G125" s="24" t="n"/>
      <c r="H125" s="24">
        <f>H126+H128+H129+H130+H132+H135+H136</f>
        <v/>
      </c>
      <c r="I125" s="22" t="n"/>
      <c r="J125" s="23" t="n"/>
      <c r="K125" s="22" t="inlineStr">
        <is>
          <t>Fabricación</t>
        </is>
      </c>
      <c r="L125" s="23" t="n"/>
      <c r="M125" s="23" t="inlineStr">
        <is>
          <t>IRAM 3523 / 3550 (recipiente)</t>
        </is>
      </c>
      <c r="N125" s="22" t="inlineStr">
        <is>
          <t>P</t>
        </is>
      </c>
      <c r="O125" s="22" t="inlineStr">
        <is>
          <t>FL_DES_ABC_70kg</t>
        </is>
      </c>
      <c r="P125" s="23" t="n"/>
    </row>
    <row r="126">
      <c r="A126" s="25" t="inlineStr">
        <is>
          <t>FL_REC_ABC_70kg</t>
        </is>
      </c>
      <c r="B126" s="25" t="n">
        <v>2</v>
      </c>
      <c r="C126" s="25" t="inlineStr">
        <is>
          <t>ABC70-01</t>
        </is>
      </c>
      <c r="D126" s="12" t="inlineStr">
        <is>
          <t xml:space="preserve">        Cuerpo (virola)</t>
        </is>
      </c>
      <c r="E126" s="25" t="n">
        <v>1</v>
      </c>
      <c r="F126" s="25" t="inlineStr">
        <is>
          <t>u</t>
        </is>
      </c>
      <c r="G126" s="26" t="n">
        <v>18.1781</v>
      </c>
      <c r="H126" s="26">
        <f>E126*G126</f>
        <v/>
      </c>
      <c r="I126" s="25" t="inlineStr">
        <is>
          <t>Chapa acero SAE 1010 e=3,2</t>
        </is>
      </c>
      <c r="J126" s="12" t="inlineStr">
        <is>
          <t>Ø350 × e3,2 × 664,2 de alto; desarrollo 1.089,5 × 664,2</t>
        </is>
      </c>
      <c r="K126" s="25" t="inlineStr">
        <is>
          <t>Fabricación</t>
        </is>
      </c>
      <c r="L126" s="12" t="inlineStr">
        <is>
          <t>1 Guillotina -&gt; C1 cilindrado -&gt; C2 punteo -&gt; C3 sold. long.</t>
        </is>
      </c>
      <c r="M126" s="12" t="n"/>
      <c r="N126" s="25" t="inlineStr">
        <is>
          <t>P</t>
        </is>
      </c>
      <c r="O126" s="25" t="inlineStr">
        <is>
          <t>FL_DES_ABC_70kg</t>
        </is>
      </c>
      <c r="P126" s="12" t="inlineStr">
        <is>
          <t>costura long. MIG</t>
        </is>
      </c>
    </row>
    <row r="127">
      <c r="A127" s="27" t="inlineStr">
        <is>
          <t>FL_REC_ABC_70kg</t>
        </is>
      </c>
      <c r="B127" s="27" t="n">
        <v>3</v>
      </c>
      <c r="C127" s="27" t="inlineStr">
        <is>
          <t>MP-HOJA</t>
        </is>
      </c>
      <c r="D127" s="28" t="inlineStr">
        <is>
          <t xml:space="preserve">            Recorte de hoja LAC 1500 × 3000 e=4,75</t>
        </is>
      </c>
      <c r="E127" s="27" t="n">
        <v>1</v>
      </c>
      <c r="F127" s="27" t="inlineStr">
        <is>
          <t>u</t>
        </is>
      </c>
      <c r="G127" s="29" t="n">
        <v>41.925</v>
      </c>
      <c r="H127" s="29">
        <f>E127*G127</f>
        <v/>
      </c>
      <c r="I127" s="27" t="inlineStr">
        <is>
          <t>Chapa SAE 1010 LAC</t>
        </is>
      </c>
      <c r="J127" s="28" t="inlineStr">
        <is>
          <t>680 × 1.212 (aprovech. 73,3 %)</t>
        </is>
      </c>
      <c r="K127" s="27" t="inlineStr">
        <is>
          <t>Compra (Pradecon)</t>
        </is>
      </c>
      <c r="L127" s="28" t="inlineStr">
        <is>
          <t>AL-1H paquetes de hojas</t>
        </is>
      </c>
      <c r="M127" s="28" t="n"/>
      <c r="N127" s="27" t="inlineStr">
        <is>
          <t>L</t>
        </is>
      </c>
      <c r="O127" s="27" t="inlineStr">
        <is>
          <t>FL_PI_04 h2</t>
        </is>
      </c>
      <c r="P127" s="28" t="inlineStr">
        <is>
          <t>OJO: la hoja de corte usa e=4,75 y el plano e=3,2</t>
        </is>
      </c>
    </row>
    <row r="128">
      <c r="A128" s="25" t="inlineStr">
        <is>
          <t>FL_REC_ABC_70kg</t>
        </is>
      </c>
      <c r="B128" s="25" t="n">
        <v>2</v>
      </c>
      <c r="C128" s="25" t="inlineStr">
        <is>
          <t>ABC70-02</t>
        </is>
      </c>
      <c r="D128" s="12" t="inlineStr">
        <is>
          <t xml:space="preserve">        Cúpula</t>
        </is>
      </c>
      <c r="E128" s="25" t="n">
        <v>1</v>
      </c>
      <c r="F128" s="25" t="inlineStr">
        <is>
          <t>u</t>
        </is>
      </c>
      <c r="G128" s="26" t="n">
        <v>3.4748</v>
      </c>
      <c r="H128" s="26">
        <f>E128*G128</f>
        <v/>
      </c>
      <c r="I128" s="25" t="inlineStr">
        <is>
          <t>Chapa acero SAE 1010 e=3,2</t>
        </is>
      </c>
      <c r="J128" s="12" t="inlineStr">
        <is>
          <t>Ø350 × e3,2 × 111,8 de alto; disco Ø432,3</t>
        </is>
      </c>
      <c r="K128" s="25" t="inlineStr">
        <is>
          <t>Compra</t>
        </is>
      </c>
      <c r="L128" s="12" t="inlineStr">
        <is>
          <t>Compra (casquetes de carros, rack RK1)</t>
        </is>
      </c>
      <c r="M128" s="12" t="n"/>
      <c r="N128" s="25" t="inlineStr">
        <is>
          <t>P</t>
        </is>
      </c>
      <c r="O128" s="25" t="inlineStr">
        <is>
          <t>FL_DES_ABC_70kg</t>
        </is>
      </c>
      <c r="P128" s="12" t="inlineStr">
        <is>
          <t>embutida</t>
        </is>
      </c>
    </row>
    <row r="129">
      <c r="A129" s="25" t="inlineStr">
        <is>
          <t>FL_REC_ABC_70kg</t>
        </is>
      </c>
      <c r="B129" s="25" t="n">
        <v>2</v>
      </c>
      <c r="C129" s="25" t="inlineStr">
        <is>
          <t>ABC70-03</t>
        </is>
      </c>
      <c r="D129" s="12" t="inlineStr">
        <is>
          <t xml:space="preserve">        Fondo</t>
        </is>
      </c>
      <c r="E129" s="25" t="n">
        <v>1</v>
      </c>
      <c r="F129" s="25" t="inlineStr">
        <is>
          <t>u</t>
        </is>
      </c>
      <c r="G129" s="26" t="n">
        <v>3.7246</v>
      </c>
      <c r="H129" s="26">
        <f>E129*G129</f>
        <v/>
      </c>
      <c r="I129" s="25" t="inlineStr">
        <is>
          <t>Chapa acero SAE 1010 e=3,2</t>
        </is>
      </c>
      <c r="J129" s="12" t="inlineStr">
        <is>
          <t>Ø350 × e3,2 × 114,8 de alto; disco Ø447,5</t>
        </is>
      </c>
      <c r="K129" s="25" t="inlineStr">
        <is>
          <t>Compra</t>
        </is>
      </c>
      <c r="L129" s="12" t="inlineStr">
        <is>
          <t>Compra (casquetes de carros, rack RK1)</t>
        </is>
      </c>
      <c r="M129" s="12" t="n"/>
      <c r="N129" s="25" t="inlineStr">
        <is>
          <t>P</t>
        </is>
      </c>
      <c r="O129" s="25" t="inlineStr">
        <is>
          <t>FL_DES_ABC_70kg</t>
        </is>
      </c>
      <c r="P129" s="12" t="inlineStr">
        <is>
          <t>embutido</t>
        </is>
      </c>
    </row>
    <row r="130">
      <c r="A130" s="25" t="inlineStr">
        <is>
          <t>FL_REC_ABC_70kg</t>
        </is>
      </c>
      <c r="B130" s="25" t="n">
        <v>2</v>
      </c>
      <c r="C130" s="25" t="inlineStr">
        <is>
          <t>ABC70-04</t>
        </is>
      </c>
      <c r="D130" s="12" t="inlineStr">
        <is>
          <t xml:space="preserve">        Cuello roscado</t>
        </is>
      </c>
      <c r="E130" s="25" t="n">
        <v>1</v>
      </c>
      <c r="F130" s="25" t="inlineStr">
        <is>
          <t>u</t>
        </is>
      </c>
      <c r="G130" s="26" t="n">
        <v>0.6084000000000001</v>
      </c>
      <c r="H130" s="26">
        <f>E130*G130</f>
        <v/>
      </c>
      <c r="I130" s="25" t="inlineStr">
        <is>
          <t>Acero SAE 1010</t>
        </is>
      </c>
      <c r="J130" s="12" t="inlineStr">
        <is>
          <t>Ø88 × 37 de alto, rosca RBSP 2 1/2"-11 h, asiento Ø80</t>
        </is>
      </c>
      <c r="K130" s="25" t="inlineStr">
        <is>
          <t>Fabricación</t>
        </is>
      </c>
      <c r="L130" s="12" t="inlineStr">
        <is>
          <t>C2 punteo</t>
        </is>
      </c>
      <c r="M130" s="12" t="n"/>
      <c r="N130" s="25" t="inlineStr">
        <is>
          <t>P</t>
        </is>
      </c>
      <c r="O130" s="25" t="inlineStr">
        <is>
          <t>FL_DES_ABC_70kg</t>
        </is>
      </c>
      <c r="P130" s="12" t="inlineStr">
        <is>
          <t>RBSP 2 1/2"-11 h</t>
        </is>
      </c>
    </row>
    <row r="131">
      <c r="A131" s="27" t="inlineStr">
        <is>
          <t>FL_REC_ABC_70kg</t>
        </is>
      </c>
      <c r="B131" s="27" t="n">
        <v>3</v>
      </c>
      <c r="C131" s="27" t="inlineStr">
        <is>
          <t>MP-CUELLO</t>
        </is>
      </c>
      <c r="D131" s="28" t="inlineStr">
        <is>
          <t xml:space="preserve">            Cuello roscado mecanizado (pieza comprada lista para soldar)</t>
        </is>
      </c>
      <c r="E131" s="27" t="n">
        <v>1</v>
      </c>
      <c r="F131" s="27" t="inlineStr">
        <is>
          <t>u</t>
        </is>
      </c>
      <c r="G131" s="29" t="n">
        <v>0.608</v>
      </c>
      <c r="H131" s="29">
        <f>E131*G131</f>
        <v/>
      </c>
      <c r="I131" s="27" t="inlineStr">
        <is>
          <t>Acero SAE 1010 / 1020</t>
        </is>
      </c>
      <c r="J131" s="28" t="inlineStr">
        <is>
          <t>rosca RBSP 2 1/2"-11 h</t>
        </is>
      </c>
      <c r="K131" s="27" t="inlineStr">
        <is>
          <t>Compra (Eli-Met)</t>
        </is>
      </c>
      <c r="L131" s="28" t="inlineStr">
        <is>
          <t>AL-1C cuellos y roscas</t>
        </is>
      </c>
      <c r="M131" s="28" t="n"/>
      <c r="N131" s="27" t="inlineStr">
        <is>
          <t>L</t>
        </is>
      </c>
      <c r="O131" s="27" t="n"/>
      <c r="P131" s="28" t="n"/>
    </row>
    <row r="132">
      <c r="A132" s="25" t="inlineStr">
        <is>
          <t>FL_REC_ABC_70kg</t>
        </is>
      </c>
      <c r="B132" s="25" t="n">
        <v>2</v>
      </c>
      <c r="C132" s="25" t="inlineStr">
        <is>
          <t>ABC70-C1</t>
        </is>
      </c>
      <c r="D132" s="12" t="inlineStr">
        <is>
          <t xml:space="preserve">        Aporte de soldadura: Alambre MAG ER70S-6 Ø0,9/1,2</t>
        </is>
      </c>
      <c r="E132" s="25" t="n">
        <v>0.4746</v>
      </c>
      <c r="F132" s="25" t="inlineStr">
        <is>
          <t>kg</t>
        </is>
      </c>
      <c r="G132" s="26" t="n">
        <v>0.92</v>
      </c>
      <c r="H132" s="26">
        <f>E132*G132</f>
        <v/>
      </c>
      <c r="I132" s="25" t="inlineStr">
        <is>
          <t>Alambre MAG ER70S-6 Ø0,9/1,2</t>
        </is>
      </c>
      <c r="J132" s="12" t="inlineStr">
        <is>
          <t>cordones del plano: 437 g depositados (rend. 92 %)</t>
        </is>
      </c>
      <c r="K132" s="25" t="inlineStr">
        <is>
          <t>Compra</t>
        </is>
      </c>
      <c r="L132" s="12" t="inlineStr">
        <is>
          <t>4 sold. long. / 8 cuello / 11 circunferencial</t>
        </is>
      </c>
      <c r="M132" s="12" t="inlineStr">
        <is>
          <t>ISO 4063 131 / 141</t>
        </is>
      </c>
      <c r="N132" s="25" t="inlineStr">
        <is>
          <t>P</t>
        </is>
      </c>
      <c r="O132" s="25" t="n"/>
      <c r="P132" s="12" t="n"/>
    </row>
    <row r="133">
      <c r="A133" s="25" t="inlineStr">
        <is>
          <t>FL_REC_ABC_70kg</t>
        </is>
      </c>
      <c r="B133" s="25" t="n">
        <v>2</v>
      </c>
      <c r="C133" s="25" t="inlineStr">
        <is>
          <t>ABC70-C2</t>
        </is>
      </c>
      <c r="D133" s="12" t="inlineStr">
        <is>
          <t xml:space="preserve">        Gas de protección: Arcal 21 (Ar + 18 % CO₂)</t>
        </is>
      </c>
      <c r="E133" s="25" t="n">
        <v>213.6</v>
      </c>
      <c r="F133" s="25" t="inlineStr">
        <is>
          <t>L</t>
        </is>
      </c>
      <c r="G133" s="26" t="n"/>
      <c r="H133" s="26" t="n"/>
      <c r="I133" s="25" t="inlineStr">
        <is>
          <t>Arcal 21 (Ar + 18 % CO₂)</t>
        </is>
      </c>
      <c r="J133" s="12" t="inlineStr">
        <is>
          <t>14,2 min de arco × 15 L/min</t>
        </is>
      </c>
      <c r="K133" s="25" t="inlineStr">
        <is>
          <t>Compra</t>
        </is>
      </c>
      <c r="L133" s="12" t="inlineStr">
        <is>
          <t>Colector SC</t>
        </is>
      </c>
      <c r="M133" s="12" t="n"/>
      <c r="N133" s="25" t="inlineStr">
        <is>
          <t>R</t>
        </is>
      </c>
      <c r="O133" s="25" t="n"/>
      <c r="P133" s="12" t="n"/>
    </row>
    <row r="134">
      <c r="A134" s="25" t="inlineStr">
        <is>
          <t>FL_REC_ABC_70kg</t>
        </is>
      </c>
      <c r="B134" s="25" t="n">
        <v>2</v>
      </c>
      <c r="C134" s="25" t="inlineStr">
        <is>
          <t>ABC70-C3</t>
        </is>
      </c>
      <c r="D134" s="12" t="inlineStr">
        <is>
          <t xml:space="preserve">        Granalla de acero (consumo)</t>
        </is>
      </c>
      <c r="E134" s="25" t="n">
        <v>0.081</v>
      </c>
      <c r="F134" s="25" t="inlineStr">
        <is>
          <t>kg</t>
        </is>
      </c>
      <c r="G134" s="26" t="n"/>
      <c r="H134" s="26" t="n"/>
      <c r="I134" s="25" t="inlineStr">
        <is>
          <t>Granalla S-230</t>
        </is>
      </c>
      <c r="J134" s="12" t="inlineStr">
        <is>
          <t>1,01 m² a Sa 2½</t>
        </is>
      </c>
      <c r="K134" s="25" t="inlineStr">
        <is>
          <t>Compra</t>
        </is>
      </c>
      <c r="L134" s="12" t="inlineStr">
        <is>
          <t>14 Granallado (B08)</t>
        </is>
      </c>
      <c r="M134" s="12" t="inlineStr">
        <is>
          <t>ISO 8501-1</t>
        </is>
      </c>
      <c r="N134" s="25" t="inlineStr">
        <is>
          <t>R</t>
        </is>
      </c>
      <c r="O134" s="25" t="n"/>
      <c r="P134" s="12" t="n"/>
    </row>
    <row r="135">
      <c r="A135" s="25" t="inlineStr">
        <is>
          <t>FL_REC_ABC_70kg</t>
        </is>
      </c>
      <c r="B135" s="25" t="n">
        <v>2</v>
      </c>
      <c r="C135" s="25" t="inlineStr">
        <is>
          <t>ABC70-C4</t>
        </is>
      </c>
      <c r="D135" s="12" t="inlineStr">
        <is>
          <t xml:space="preserve">        Pintura en polvo poliéster rojo</t>
        </is>
      </c>
      <c r="E135" s="25" t="n">
        <v>0.187</v>
      </c>
      <c r="F135" s="25" t="inlineStr">
        <is>
          <t>kg</t>
        </is>
      </c>
      <c r="G135" s="26" t="n">
        <v>0.65</v>
      </c>
      <c r="H135" s="26">
        <f>E135*G135</f>
        <v/>
      </c>
      <c r="I135" s="25" t="inlineStr">
        <is>
          <t>Poliéster rojo 03-1-050</t>
        </is>
      </c>
      <c r="J135" s="12" t="inlineStr">
        <is>
          <t>1,01 m² × 80 µm (60-100 µm), rendimiento 65 %</t>
        </is>
      </c>
      <c r="K135" s="25" t="inlineStr">
        <is>
          <t>Compra</t>
        </is>
      </c>
      <c r="L135" s="12" t="inlineStr">
        <is>
          <t>17 Pintura (S-P) / tercerizada en carros</t>
        </is>
      </c>
      <c r="M135" s="12" t="inlineStr">
        <is>
          <t>DOC-01 · IRAM 3517-2 9.10</t>
        </is>
      </c>
      <c r="N135" s="25" t="inlineStr">
        <is>
          <t>R</t>
        </is>
      </c>
      <c r="O135" s="25" t="n"/>
      <c r="P135" s="12" t="n"/>
    </row>
    <row r="136">
      <c r="A136" s="25" t="inlineStr">
        <is>
          <t>FL_REC_ABC_70kg</t>
        </is>
      </c>
      <c r="B136" s="25" t="n">
        <v>2</v>
      </c>
      <c r="C136" s="25" t="inlineStr">
        <is>
          <t>ABC70-T1</t>
        </is>
      </c>
      <c r="D136" s="12" t="inlineStr">
        <is>
          <t xml:space="preserve">        Tapón protector de rosca del cuello</t>
        </is>
      </c>
      <c r="E136" s="25" t="n">
        <v>1</v>
      </c>
      <c r="F136" s="25" t="inlineStr">
        <is>
          <t>u</t>
        </is>
      </c>
      <c r="G136" s="26" t="n">
        <v>0.005</v>
      </c>
      <c r="H136" s="26">
        <f>E136*G136</f>
        <v/>
      </c>
      <c r="I136" s="25" t="inlineStr">
        <is>
          <t>Polietileno</t>
        </is>
      </c>
      <c r="J136" s="12" t="inlineStr">
        <is>
          <t>para rosca RBSP 2 1/2"-11 h</t>
        </is>
      </c>
      <c r="K136" s="25" t="inlineStr">
        <is>
          <t>Compra</t>
        </is>
      </c>
      <c r="L136" s="12" t="inlineStr">
        <is>
          <t>Embalaje</t>
        </is>
      </c>
      <c r="M136" s="12" t="n"/>
      <c r="N136" s="25" t="inlineStr">
        <is>
          <t>R</t>
        </is>
      </c>
      <c r="O136" s="25" t="n"/>
      <c r="P136" s="12" t="n"/>
    </row>
    <row r="137">
      <c r="A137" s="25" t="inlineStr">
        <is>
          <t>FL_REC_ABC_70kg</t>
        </is>
      </c>
      <c r="B137" s="25" t="n">
        <v>2</v>
      </c>
      <c r="C137" s="25" t="inlineStr">
        <is>
          <t>ABC70-T2</t>
        </is>
      </c>
      <c r="D137" s="12" t="inlineStr">
        <is>
          <t xml:space="preserve">        Marcado del recipiente (estampado)</t>
        </is>
      </c>
      <c r="E137" s="25" t="n">
        <v>1</v>
      </c>
      <c r="F137" s="25" t="inlineStr">
        <is>
          <t>u</t>
        </is>
      </c>
      <c r="G137" s="26" t="n"/>
      <c r="H137" s="26" t="n"/>
      <c r="I137" s="25" t="inlineStr">
        <is>
          <t>-</t>
        </is>
      </c>
      <c r="J137" s="12" t="inlineStr">
        <is>
          <t>N° de serie, año, presión de prueba, norma</t>
        </is>
      </c>
      <c r="K137" s="25" t="inlineStr">
        <is>
          <t>Proceso</t>
        </is>
      </c>
      <c r="L137" s="12" t="inlineStr">
        <is>
          <t>Marcado</t>
        </is>
      </c>
      <c r="M137" s="12" t="inlineStr">
        <is>
          <t>IRAM 3523 (marcado)</t>
        </is>
      </c>
      <c r="N137" s="25" t="inlineStr">
        <is>
          <t>R</t>
        </is>
      </c>
      <c r="O137" s="25" t="n"/>
      <c r="P137" s="12" t="n"/>
    </row>
    <row r="138">
      <c r="A138" s="22" t="inlineStr">
        <is>
          <t>FL_REC_ABC_70kg</t>
        </is>
      </c>
      <c r="B138" s="22" t="n">
        <v>1</v>
      </c>
      <c r="C138" s="22" t="inlineStr">
        <is>
          <t>ABC70-S7</t>
        </is>
      </c>
      <c r="D138" s="23" t="inlineStr">
        <is>
          <t xml:space="preserve">    Embalaje</t>
        </is>
      </c>
      <c r="E138" s="22" t="n">
        <v>1</v>
      </c>
      <c r="F138" s="22" t="inlineStr">
        <is>
          <t>u</t>
        </is>
      </c>
      <c r="G138" s="24" t="n"/>
      <c r="H138" s="24">
        <f>H139+H140+H141+H142</f>
        <v/>
      </c>
      <c r="I138" s="22" t="n"/>
      <c r="J138" s="23" t="n"/>
      <c r="K138" s="22" t="inlineStr">
        <is>
          <t>Compra</t>
        </is>
      </c>
      <c r="L138" s="23" t="inlineStr">
        <is>
          <t>23 Embalaje -&gt; 24 envolvedora (T11)</t>
        </is>
      </c>
      <c r="M138" s="23" t="n"/>
      <c r="N138" s="22" t="n"/>
      <c r="O138" s="22" t="n"/>
      <c r="P138" s="23" t="n"/>
    </row>
    <row r="139">
      <c r="A139" s="25" t="inlineStr">
        <is>
          <t>FL_REC_ABC_70kg</t>
        </is>
      </c>
      <c r="B139" s="25" t="n">
        <v>2</v>
      </c>
      <c r="C139" s="25" t="inlineStr">
        <is>
          <t>ABC70-E1</t>
        </is>
      </c>
      <c r="D139" s="12" t="inlineStr">
        <is>
          <t xml:space="preserve">        Esquineros y funda de polietileno</t>
        </is>
      </c>
      <c r="E139" s="25" t="n">
        <v>1</v>
      </c>
      <c r="F139" s="25" t="inlineStr">
        <is>
          <t>jgo</t>
        </is>
      </c>
      <c r="G139" s="26" t="n">
        <v>0.3</v>
      </c>
      <c r="H139" s="26">
        <f>E139*G139</f>
        <v/>
      </c>
      <c r="I139" s="25" t="inlineStr">
        <is>
          <t>PE / cartón</t>
        </is>
      </c>
      <c r="J139" s="12" t="inlineStr">
        <is>
          <t>a medida</t>
        </is>
      </c>
      <c r="K139" s="25" t="inlineStr">
        <is>
          <t>Compra</t>
        </is>
      </c>
      <c r="L139" s="12" t="inlineStr">
        <is>
          <t>23 Embalaje</t>
        </is>
      </c>
      <c r="M139" s="12" t="n"/>
      <c r="N139" s="25" t="inlineStr">
        <is>
          <t>R</t>
        </is>
      </c>
      <c r="O139" s="25" t="n"/>
      <c r="P139" s="12" t="n"/>
    </row>
    <row r="140">
      <c r="A140" s="25" t="inlineStr">
        <is>
          <t>FL_REC_ABC_70kg</t>
        </is>
      </c>
      <c r="B140" s="25" t="n">
        <v>2</v>
      </c>
      <c r="C140" s="25" t="inlineStr">
        <is>
          <t>ABC70-E3</t>
        </is>
      </c>
      <c r="D140" s="12" t="inlineStr">
        <is>
          <t xml:space="preserve">        Pallet 1200 × 1000 (fracción)</t>
        </is>
      </c>
      <c r="E140" s="25" t="n">
        <v>0.1667</v>
      </c>
      <c r="F140" s="25" t="inlineStr">
        <is>
          <t>u</t>
        </is>
      </c>
      <c r="G140" s="26" t="n">
        <v>3.667</v>
      </c>
      <c r="H140" s="26">
        <f>E140*G140</f>
        <v/>
      </c>
      <c r="I140" s="25" t="inlineStr">
        <is>
          <t>Madera</t>
        </is>
      </c>
      <c r="J140" s="12" t="inlineStr">
        <is>
          <t>6 u por pallet</t>
        </is>
      </c>
      <c r="K140" s="25" t="inlineStr">
        <is>
          <t>Compra</t>
        </is>
      </c>
      <c r="L140" s="12" t="inlineStr">
        <is>
          <t>23 Embalaje</t>
        </is>
      </c>
      <c r="M140" s="12" t="n"/>
      <c r="N140" s="25" t="inlineStr">
        <is>
          <t>R</t>
        </is>
      </c>
      <c r="O140" s="25" t="n"/>
      <c r="P140" s="12" t="n"/>
    </row>
    <row r="141">
      <c r="A141" s="25" t="inlineStr">
        <is>
          <t>FL_REC_ABC_70kg</t>
        </is>
      </c>
      <c r="B141" s="25" t="n">
        <v>2</v>
      </c>
      <c r="C141" s="25" t="inlineStr">
        <is>
          <t>ABC70-E4</t>
        </is>
      </c>
      <c r="D141" s="12" t="inlineStr">
        <is>
          <t xml:space="preserve">        Film stretch (fracción del pallet)</t>
        </is>
      </c>
      <c r="E141" s="25" t="n">
        <v>0.0583</v>
      </c>
      <c r="F141" s="25" t="inlineStr">
        <is>
          <t>kg</t>
        </is>
      </c>
      <c r="G141" s="26" t="n">
        <v>1</v>
      </c>
      <c r="H141" s="26">
        <f>E141*G141</f>
        <v/>
      </c>
      <c r="I141" s="25" t="inlineStr">
        <is>
          <t>PE lineal 23 µm</t>
        </is>
      </c>
      <c r="J141" s="12" t="inlineStr">
        <is>
          <t>envolvedora EDOS PS5</t>
        </is>
      </c>
      <c r="K141" s="25" t="inlineStr">
        <is>
          <t>Compra</t>
        </is>
      </c>
      <c r="L141" s="12" t="inlineStr">
        <is>
          <t>24 Envolvedora (T11)</t>
        </is>
      </c>
      <c r="M141" s="12" t="n"/>
      <c r="N141" s="25" t="inlineStr">
        <is>
          <t>R</t>
        </is>
      </c>
      <c r="O141" s="25" t="n"/>
      <c r="P141" s="12" t="n"/>
    </row>
    <row r="142">
      <c r="A142" s="25" t="inlineStr">
        <is>
          <t>FL_REC_ABC_70kg</t>
        </is>
      </c>
      <c r="B142" s="25" t="n">
        <v>2</v>
      </c>
      <c r="C142" s="25" t="inlineStr">
        <is>
          <t>ABC70-E5</t>
        </is>
      </c>
      <c r="D142" s="12" t="inlineStr">
        <is>
          <t xml:space="preserve">        Etiqueta de pallet (lote y destino, fracción)</t>
        </is>
      </c>
      <c r="E142" s="25" t="n">
        <v>0.1667</v>
      </c>
      <c r="F142" s="25" t="inlineStr">
        <is>
          <t>u</t>
        </is>
      </c>
      <c r="G142" s="26" t="n">
        <v>0</v>
      </c>
      <c r="H142" s="26">
        <f>E142*G142</f>
        <v/>
      </c>
      <c r="I142" s="25" t="inlineStr">
        <is>
          <t>Papel térmico</t>
        </is>
      </c>
      <c r="J142" s="12" t="inlineStr">
        <is>
          <t>100 × 150</t>
        </is>
      </c>
      <c r="K142" s="25" t="inlineStr">
        <is>
          <t>Compra</t>
        </is>
      </c>
      <c r="L142" s="12" t="inlineStr">
        <is>
          <t>24 Envolvedora</t>
        </is>
      </c>
      <c r="M142" s="12" t="n"/>
      <c r="N142" s="25" t="inlineStr">
        <is>
          <t>R</t>
        </is>
      </c>
      <c r="O142" s="25" t="n"/>
      <c r="P142" s="12" t="n"/>
    </row>
    <row r="143">
      <c r="A143" s="19" t="inlineStr">
        <is>
          <t>FL_REC_ABC_100kg</t>
        </is>
      </c>
      <c r="B143" s="19" t="n">
        <v>0</v>
      </c>
      <c r="C143" s="19" t="inlineStr">
        <is>
          <t>FL_REC_ABC_100kg</t>
        </is>
      </c>
      <c r="D143" s="20" t="inlineStr">
        <is>
          <t>Cilindro (recipiente) ABC 100 kg rodante - repuesto vacío sin válvula</t>
        </is>
      </c>
      <c r="E143" s="19" t="n">
        <v>1</v>
      </c>
      <c r="F143" s="19" t="inlineStr">
        <is>
          <t>u</t>
        </is>
      </c>
      <c r="G143" s="21" t="n"/>
      <c r="H143" s="21" t="n"/>
      <c r="I143" s="19" t="n"/>
      <c r="J143" s="20" t="n"/>
      <c r="K143" s="19" t="n"/>
      <c r="L143" s="20" t="n"/>
      <c r="M143" s="20" t="inlineStr">
        <is>
          <t>IRAM 3550</t>
        </is>
      </c>
      <c r="N143" s="19" t="inlineStr">
        <is>
          <t>P</t>
        </is>
      </c>
      <c r="O143" s="19" t="inlineStr">
        <is>
          <t>FL_REC_ABC_100kg</t>
        </is>
      </c>
      <c r="P143" s="20" t="inlineStr">
        <is>
          <t>Fabricación propia</t>
        </is>
      </c>
    </row>
    <row r="144">
      <c r="A144" s="22" t="inlineStr">
        <is>
          <t>FL_REC_ABC_100kg</t>
        </is>
      </c>
      <c r="B144" s="22" t="n">
        <v>1</v>
      </c>
      <c r="C144" s="22" t="inlineStr">
        <is>
          <t>ABC100-S1</t>
        </is>
      </c>
      <c r="D144" s="23" t="inlineStr">
        <is>
          <t xml:space="preserve">    Recipiente (cilindro)</t>
        </is>
      </c>
      <c r="E144" s="22" t="n">
        <v>1</v>
      </c>
      <c r="F144" s="22" t="inlineStr">
        <is>
          <t>u</t>
        </is>
      </c>
      <c r="G144" s="24" t="n"/>
      <c r="H144" s="24">
        <f>H145+H147+H148+H149+H151+H154+H155</f>
        <v/>
      </c>
      <c r="I144" s="22" t="n"/>
      <c r="J144" s="23" t="n"/>
      <c r="K144" s="22" t="inlineStr">
        <is>
          <t>Fabricación</t>
        </is>
      </c>
      <c r="L144" s="23" t="n"/>
      <c r="M144" s="23" t="inlineStr">
        <is>
          <t>IRAM 3523 / 3550 (recipiente)</t>
        </is>
      </c>
      <c r="N144" s="22" t="inlineStr">
        <is>
          <t>P</t>
        </is>
      </c>
      <c r="O144" s="22" t="inlineStr">
        <is>
          <t>FL_DES_ABC_100kg</t>
        </is>
      </c>
      <c r="P144" s="23" t="n"/>
    </row>
    <row r="145">
      <c r="A145" s="25" t="inlineStr">
        <is>
          <t>FL_REC_ABC_100kg</t>
        </is>
      </c>
      <c r="B145" s="25" t="n">
        <v>2</v>
      </c>
      <c r="C145" s="25" t="inlineStr">
        <is>
          <t>ABC100-01</t>
        </is>
      </c>
      <c r="D145" s="12" t="inlineStr">
        <is>
          <t xml:space="preserve">        Cuerpo (virola)</t>
        </is>
      </c>
      <c r="E145" s="25" t="n">
        <v>1</v>
      </c>
      <c r="F145" s="25" t="inlineStr">
        <is>
          <t>u</t>
        </is>
      </c>
      <c r="G145" s="26" t="n">
        <v>23.5073</v>
      </c>
      <c r="H145" s="26">
        <f>E145*G145</f>
        <v/>
      </c>
      <c r="I145" s="25" t="inlineStr">
        <is>
          <t>Chapa acero SAE 1010 e=3,2</t>
        </is>
      </c>
      <c r="J145" s="12" t="inlineStr">
        <is>
          <t>Ø390 × e3,2 × 770,1 de alto; desarrollo 1.215,2 × 770,1</t>
        </is>
      </c>
      <c r="K145" s="25" t="inlineStr">
        <is>
          <t>Fabricación</t>
        </is>
      </c>
      <c r="L145" s="12" t="inlineStr">
        <is>
          <t>1 Guillotina -&gt; C1 cilindrado -&gt; C2 punteo -&gt; C3 sold. long.</t>
        </is>
      </c>
      <c r="M145" s="12" t="n"/>
      <c r="N145" s="25" t="inlineStr">
        <is>
          <t>P</t>
        </is>
      </c>
      <c r="O145" s="25" t="inlineStr">
        <is>
          <t>FL_DES_ABC_100kg</t>
        </is>
      </c>
      <c r="P145" s="12" t="inlineStr">
        <is>
          <t>costura long. MIG</t>
        </is>
      </c>
    </row>
    <row r="146">
      <c r="A146" s="27" t="inlineStr">
        <is>
          <t>FL_REC_ABC_100kg</t>
        </is>
      </c>
      <c r="B146" s="27" t="n">
        <v>3</v>
      </c>
      <c r="C146" s="27" t="inlineStr">
        <is>
          <t>MP-HOJA</t>
        </is>
      </c>
      <c r="D146" s="28" t="inlineStr">
        <is>
          <t xml:space="preserve">            Recorte de hoja LAC 1500 × 3000 e=4,75</t>
        </is>
      </c>
      <c r="E146" s="27" t="n">
        <v>1</v>
      </c>
      <c r="F146" s="27" t="inlineStr">
        <is>
          <t>u</t>
        </is>
      </c>
      <c r="G146" s="29" t="n">
        <v>55.947</v>
      </c>
      <c r="H146" s="29">
        <f>E146*G146</f>
        <v/>
      </c>
      <c r="I146" s="27" t="inlineStr">
        <is>
          <t>Chapa SAE 1010 LAC</t>
        </is>
      </c>
      <c r="J146" s="28" t="inlineStr">
        <is>
          <t>900 × 1.212 (aprovech. 72,7 %)</t>
        </is>
      </c>
      <c r="K146" s="27" t="inlineStr">
        <is>
          <t>Compra (Pradecon)</t>
        </is>
      </c>
      <c r="L146" s="28" t="inlineStr">
        <is>
          <t>AL-1H paquetes de hojas</t>
        </is>
      </c>
      <c r="M146" s="28" t="n"/>
      <c r="N146" s="27" t="inlineStr">
        <is>
          <t>L</t>
        </is>
      </c>
      <c r="O146" s="27" t="inlineStr">
        <is>
          <t>FL_PI_04 h2</t>
        </is>
      </c>
      <c r="P146" s="28" t="inlineStr">
        <is>
          <t>OJO: la hoja de corte usa e=4,75 y el plano e=3,2</t>
        </is>
      </c>
    </row>
    <row r="147">
      <c r="A147" s="25" t="inlineStr">
        <is>
          <t>FL_REC_ABC_100kg</t>
        </is>
      </c>
      <c r="B147" s="25" t="n">
        <v>2</v>
      </c>
      <c r="C147" s="25" t="inlineStr">
        <is>
          <t>ABC100-02</t>
        </is>
      </c>
      <c r="D147" s="12" t="inlineStr">
        <is>
          <t xml:space="preserve">        Cúpula</t>
        </is>
      </c>
      <c r="E147" s="25" t="n">
        <v>1</v>
      </c>
      <c r="F147" s="25" t="inlineStr">
        <is>
          <t>u</t>
        </is>
      </c>
      <c r="G147" s="26" t="n">
        <v>4.3435</v>
      </c>
      <c r="H147" s="26">
        <f>E147*G147</f>
        <v/>
      </c>
      <c r="I147" s="25" t="inlineStr">
        <is>
          <t>Chapa acero SAE 1010 e=3,2</t>
        </is>
      </c>
      <c r="J147" s="12" t="inlineStr">
        <is>
          <t>Ø390 × e3,2 × 125,2 de alto; disco Ø483,3</t>
        </is>
      </c>
      <c r="K147" s="25" t="inlineStr">
        <is>
          <t>Compra</t>
        </is>
      </c>
      <c r="L147" s="12" t="inlineStr">
        <is>
          <t>Compra (casquetes de carros, rack RK1)</t>
        </is>
      </c>
      <c r="M147" s="12" t="n"/>
      <c r="N147" s="25" t="inlineStr">
        <is>
          <t>P</t>
        </is>
      </c>
      <c r="O147" s="25" t="inlineStr">
        <is>
          <t>FL_DES_ABC_100kg</t>
        </is>
      </c>
      <c r="P147" s="12" t="inlineStr">
        <is>
          <t>embutida</t>
        </is>
      </c>
    </row>
    <row r="148">
      <c r="A148" s="25" t="inlineStr">
        <is>
          <t>FL_REC_ABC_100kg</t>
        </is>
      </c>
      <c r="B148" s="25" t="n">
        <v>2</v>
      </c>
      <c r="C148" s="25" t="inlineStr">
        <is>
          <t>ABC100-03</t>
        </is>
      </c>
      <c r="D148" s="12" t="inlineStr">
        <is>
          <t xml:space="preserve">        Fondo</t>
        </is>
      </c>
      <c r="E148" s="25" t="n">
        <v>1</v>
      </c>
      <c r="F148" s="25" t="inlineStr">
        <is>
          <t>u</t>
        </is>
      </c>
      <c r="G148" s="26" t="n">
        <v>4.645</v>
      </c>
      <c r="H148" s="26">
        <f>E148*G148</f>
        <v/>
      </c>
      <c r="I148" s="25" t="inlineStr">
        <is>
          <t>Chapa acero SAE 1010 e=3,2</t>
        </is>
      </c>
      <c r="J148" s="12" t="inlineStr">
        <is>
          <t>Ø390 × e3,2 × 127,9 de alto; disco Ø499,8</t>
        </is>
      </c>
      <c r="K148" s="25" t="inlineStr">
        <is>
          <t>Compra</t>
        </is>
      </c>
      <c r="L148" s="12" t="inlineStr">
        <is>
          <t>Compra (casquetes de carros, rack RK1)</t>
        </is>
      </c>
      <c r="M148" s="12" t="n"/>
      <c r="N148" s="25" t="inlineStr">
        <is>
          <t>P</t>
        </is>
      </c>
      <c r="O148" s="25" t="inlineStr">
        <is>
          <t>FL_DES_ABC_100kg</t>
        </is>
      </c>
      <c r="P148" s="12" t="inlineStr">
        <is>
          <t>embutido</t>
        </is>
      </c>
    </row>
    <row r="149">
      <c r="A149" s="25" t="inlineStr">
        <is>
          <t>FL_REC_ABC_100kg</t>
        </is>
      </c>
      <c r="B149" s="25" t="n">
        <v>2</v>
      </c>
      <c r="C149" s="25" t="inlineStr">
        <is>
          <t>ABC100-04</t>
        </is>
      </c>
      <c r="D149" s="12" t="inlineStr">
        <is>
          <t xml:space="preserve">        Cuello roscado</t>
        </is>
      </c>
      <c r="E149" s="25" t="n">
        <v>1</v>
      </c>
      <c r="F149" s="25" t="inlineStr">
        <is>
          <t>u</t>
        </is>
      </c>
      <c r="G149" s="26" t="n">
        <v>0.6084000000000001</v>
      </c>
      <c r="H149" s="26">
        <f>E149*G149</f>
        <v/>
      </c>
      <c r="I149" s="25" t="inlineStr">
        <is>
          <t>Acero SAE 1010</t>
        </is>
      </c>
      <c r="J149" s="12" t="inlineStr">
        <is>
          <t>Ø88 × 37 de alto, rosca RBSP 2 1/2"-11 h, asiento Ø80</t>
        </is>
      </c>
      <c r="K149" s="25" t="inlineStr">
        <is>
          <t>Fabricación</t>
        </is>
      </c>
      <c r="L149" s="12" t="inlineStr">
        <is>
          <t>C2 punteo</t>
        </is>
      </c>
      <c r="M149" s="12" t="n"/>
      <c r="N149" s="25" t="inlineStr">
        <is>
          <t>P</t>
        </is>
      </c>
      <c r="O149" s="25" t="inlineStr">
        <is>
          <t>FL_DES_ABC_100kg</t>
        </is>
      </c>
      <c r="P149" s="12" t="inlineStr">
        <is>
          <t>RBSP 2 1/2"-11 h</t>
        </is>
      </c>
    </row>
    <row r="150">
      <c r="A150" s="27" t="inlineStr">
        <is>
          <t>FL_REC_ABC_100kg</t>
        </is>
      </c>
      <c r="B150" s="27" t="n">
        <v>3</v>
      </c>
      <c r="C150" s="27" t="inlineStr">
        <is>
          <t>MP-CUELLO</t>
        </is>
      </c>
      <c r="D150" s="28" t="inlineStr">
        <is>
          <t xml:space="preserve">            Cuello roscado mecanizado (pieza comprada lista para soldar)</t>
        </is>
      </c>
      <c r="E150" s="27" t="n">
        <v>1</v>
      </c>
      <c r="F150" s="27" t="inlineStr">
        <is>
          <t>u</t>
        </is>
      </c>
      <c r="G150" s="29" t="n">
        <v>0.608</v>
      </c>
      <c r="H150" s="29">
        <f>E150*G150</f>
        <v/>
      </c>
      <c r="I150" s="27" t="inlineStr">
        <is>
          <t>Acero SAE 1010 / 1020</t>
        </is>
      </c>
      <c r="J150" s="28" t="inlineStr">
        <is>
          <t>rosca RBSP 2 1/2"-11 h</t>
        </is>
      </c>
      <c r="K150" s="27" t="inlineStr">
        <is>
          <t>Compra (Eli-Met)</t>
        </is>
      </c>
      <c r="L150" s="28" t="inlineStr">
        <is>
          <t>AL-1C cuellos y roscas</t>
        </is>
      </c>
      <c r="M150" s="28" t="n"/>
      <c r="N150" s="27" t="inlineStr">
        <is>
          <t>L</t>
        </is>
      </c>
      <c r="O150" s="27" t="n"/>
      <c r="P150" s="28" t="n"/>
    </row>
    <row r="151">
      <c r="A151" s="25" t="inlineStr">
        <is>
          <t>FL_REC_ABC_100kg</t>
        </is>
      </c>
      <c r="B151" s="25" t="n">
        <v>2</v>
      </c>
      <c r="C151" s="25" t="inlineStr">
        <is>
          <t>ABC100-C1</t>
        </is>
      </c>
      <c r="D151" s="12" t="inlineStr">
        <is>
          <t xml:space="preserve">        Aporte de soldadura: Alambre MAG ER70S-6 Ø0,9/1,2</t>
        </is>
      </c>
      <c r="E151" s="25" t="n">
        <v>0.5256999999999999</v>
      </c>
      <c r="F151" s="25" t="inlineStr">
        <is>
          <t>kg</t>
        </is>
      </c>
      <c r="G151" s="26" t="n">
        <v>0.92</v>
      </c>
      <c r="H151" s="26">
        <f>E151*G151</f>
        <v/>
      </c>
      <c r="I151" s="25" t="inlineStr">
        <is>
          <t>Alambre MAG ER70S-6 Ø0,9/1,2</t>
        </is>
      </c>
      <c r="J151" s="12" t="inlineStr">
        <is>
          <t>cordones del plano: 484 g depositados (rend. 92 %)</t>
        </is>
      </c>
      <c r="K151" s="25" t="inlineStr">
        <is>
          <t>Compra</t>
        </is>
      </c>
      <c r="L151" s="12" t="inlineStr">
        <is>
          <t>4 sold. long. / 8 cuello / 11 circunferencial</t>
        </is>
      </c>
      <c r="M151" s="12" t="inlineStr">
        <is>
          <t>ISO 4063 131 / 141</t>
        </is>
      </c>
      <c r="N151" s="25" t="inlineStr">
        <is>
          <t>P</t>
        </is>
      </c>
      <c r="O151" s="25" t="n"/>
      <c r="P151" s="12" t="n"/>
    </row>
    <row r="152">
      <c r="A152" s="25" t="inlineStr">
        <is>
          <t>FL_REC_ABC_100kg</t>
        </is>
      </c>
      <c r="B152" s="25" t="n">
        <v>2</v>
      </c>
      <c r="C152" s="25" t="inlineStr">
        <is>
          <t>ABC100-C2</t>
        </is>
      </c>
      <c r="D152" s="12" t="inlineStr">
        <is>
          <t xml:space="preserve">        Gas de protección: Arcal 21 (Ar + 18 % CO₂)</t>
        </is>
      </c>
      <c r="E152" s="25" t="n">
        <v>236.6</v>
      </c>
      <c r="F152" s="25" t="inlineStr">
        <is>
          <t>L</t>
        </is>
      </c>
      <c r="G152" s="26" t="n"/>
      <c r="H152" s="26" t="n"/>
      <c r="I152" s="25" t="inlineStr">
        <is>
          <t>Arcal 21 (Ar + 18 % CO₂)</t>
        </is>
      </c>
      <c r="J152" s="12" t="inlineStr">
        <is>
          <t>15,8 min de arco × 15 L/min</t>
        </is>
      </c>
      <c r="K152" s="25" t="inlineStr">
        <is>
          <t>Compra</t>
        </is>
      </c>
      <c r="L152" s="12" t="inlineStr">
        <is>
          <t>Colector SC</t>
        </is>
      </c>
      <c r="M152" s="12" t="n"/>
      <c r="N152" s="25" t="inlineStr">
        <is>
          <t>R</t>
        </is>
      </c>
      <c r="O152" s="25" t="n"/>
      <c r="P152" s="12" t="n"/>
    </row>
    <row r="153">
      <c r="A153" s="25" t="inlineStr">
        <is>
          <t>FL_REC_ABC_100kg</t>
        </is>
      </c>
      <c r="B153" s="25" t="n">
        <v>2</v>
      </c>
      <c r="C153" s="25" t="inlineStr">
        <is>
          <t>ABC100-C3</t>
        </is>
      </c>
      <c r="D153" s="12" t="inlineStr">
        <is>
          <t xml:space="preserve">        Granalla de acero (consumo)</t>
        </is>
      </c>
      <c r="E153" s="25" t="n">
        <v>0.103</v>
      </c>
      <c r="F153" s="25" t="inlineStr">
        <is>
          <t>kg</t>
        </is>
      </c>
      <c r="G153" s="26" t="n"/>
      <c r="H153" s="26" t="n"/>
      <c r="I153" s="25" t="inlineStr">
        <is>
          <t>Granalla S-230</t>
        </is>
      </c>
      <c r="J153" s="12" t="inlineStr">
        <is>
          <t>1,294 m² a Sa 2½</t>
        </is>
      </c>
      <c r="K153" s="25" t="inlineStr">
        <is>
          <t>Compra</t>
        </is>
      </c>
      <c r="L153" s="12" t="inlineStr">
        <is>
          <t>14 Granallado (B08)</t>
        </is>
      </c>
      <c r="M153" s="12" t="inlineStr">
        <is>
          <t>ISO 8501-1</t>
        </is>
      </c>
      <c r="N153" s="25" t="inlineStr">
        <is>
          <t>R</t>
        </is>
      </c>
      <c r="O153" s="25" t="n"/>
      <c r="P153" s="12" t="n"/>
    </row>
    <row r="154">
      <c r="A154" s="25" t="inlineStr">
        <is>
          <t>FL_REC_ABC_100kg</t>
        </is>
      </c>
      <c r="B154" s="25" t="n">
        <v>2</v>
      </c>
      <c r="C154" s="25" t="inlineStr">
        <is>
          <t>ABC100-C4</t>
        </is>
      </c>
      <c r="D154" s="12" t="inlineStr">
        <is>
          <t xml:space="preserve">        Pintura en polvo poliéster rojo</t>
        </is>
      </c>
      <c r="E154" s="25" t="n">
        <v>0.239</v>
      </c>
      <c r="F154" s="25" t="inlineStr">
        <is>
          <t>kg</t>
        </is>
      </c>
      <c r="G154" s="26" t="n">
        <v>0.65</v>
      </c>
      <c r="H154" s="26">
        <f>E154*G154</f>
        <v/>
      </c>
      <c r="I154" s="25" t="inlineStr">
        <is>
          <t>Poliéster rojo 03-1-050</t>
        </is>
      </c>
      <c r="J154" s="12" t="inlineStr">
        <is>
          <t>1,294 m² × 80 µm (60-100 µm), rendimiento 65 %</t>
        </is>
      </c>
      <c r="K154" s="25" t="inlineStr">
        <is>
          <t>Compra</t>
        </is>
      </c>
      <c r="L154" s="12" t="inlineStr">
        <is>
          <t>17 Pintura (S-P) / tercerizada en carros</t>
        </is>
      </c>
      <c r="M154" s="12" t="inlineStr">
        <is>
          <t>DOC-01 · IRAM 3517-2 9.10</t>
        </is>
      </c>
      <c r="N154" s="25" t="inlineStr">
        <is>
          <t>R</t>
        </is>
      </c>
      <c r="O154" s="25" t="n"/>
      <c r="P154" s="12" t="n"/>
    </row>
    <row r="155">
      <c r="A155" s="25" t="inlineStr">
        <is>
          <t>FL_REC_ABC_100kg</t>
        </is>
      </c>
      <c r="B155" s="25" t="n">
        <v>2</v>
      </c>
      <c r="C155" s="25" t="inlineStr">
        <is>
          <t>ABC100-T1</t>
        </is>
      </c>
      <c r="D155" s="12" t="inlineStr">
        <is>
          <t xml:space="preserve">        Tapón protector de rosca del cuello</t>
        </is>
      </c>
      <c r="E155" s="25" t="n">
        <v>1</v>
      </c>
      <c r="F155" s="25" t="inlineStr">
        <is>
          <t>u</t>
        </is>
      </c>
      <c r="G155" s="26" t="n">
        <v>0.005</v>
      </c>
      <c r="H155" s="26">
        <f>E155*G155</f>
        <v/>
      </c>
      <c r="I155" s="25" t="inlineStr">
        <is>
          <t>Polietileno</t>
        </is>
      </c>
      <c r="J155" s="12" t="inlineStr">
        <is>
          <t>para rosca RBSP 2 1/2"-11 h</t>
        </is>
      </c>
      <c r="K155" s="25" t="inlineStr">
        <is>
          <t>Compra</t>
        </is>
      </c>
      <c r="L155" s="12" t="inlineStr">
        <is>
          <t>Embalaje</t>
        </is>
      </c>
      <c r="M155" s="12" t="n"/>
      <c r="N155" s="25" t="inlineStr">
        <is>
          <t>R</t>
        </is>
      </c>
      <c r="O155" s="25" t="n"/>
      <c r="P155" s="12" t="n"/>
    </row>
    <row r="156">
      <c r="A156" s="25" t="inlineStr">
        <is>
          <t>FL_REC_ABC_100kg</t>
        </is>
      </c>
      <c r="B156" s="25" t="n">
        <v>2</v>
      </c>
      <c r="C156" s="25" t="inlineStr">
        <is>
          <t>ABC100-T2</t>
        </is>
      </c>
      <c r="D156" s="12" t="inlineStr">
        <is>
          <t xml:space="preserve">        Marcado del recipiente (estampado)</t>
        </is>
      </c>
      <c r="E156" s="25" t="n">
        <v>1</v>
      </c>
      <c r="F156" s="25" t="inlineStr">
        <is>
          <t>u</t>
        </is>
      </c>
      <c r="G156" s="26" t="n"/>
      <c r="H156" s="26" t="n"/>
      <c r="I156" s="25" t="inlineStr">
        <is>
          <t>-</t>
        </is>
      </c>
      <c r="J156" s="12" t="inlineStr">
        <is>
          <t>N° de serie, año, presión de prueba, norma</t>
        </is>
      </c>
      <c r="K156" s="25" t="inlineStr">
        <is>
          <t>Proceso</t>
        </is>
      </c>
      <c r="L156" s="12" t="inlineStr">
        <is>
          <t>Marcado</t>
        </is>
      </c>
      <c r="M156" s="12" t="inlineStr">
        <is>
          <t>IRAM 3523 (marcado)</t>
        </is>
      </c>
      <c r="N156" s="25" t="inlineStr">
        <is>
          <t>R</t>
        </is>
      </c>
      <c r="O156" s="25" t="n"/>
      <c r="P156" s="12" t="n"/>
    </row>
    <row r="157">
      <c r="A157" s="22" t="inlineStr">
        <is>
          <t>FL_REC_ABC_100kg</t>
        </is>
      </c>
      <c r="B157" s="22" t="n">
        <v>1</v>
      </c>
      <c r="C157" s="22" t="inlineStr">
        <is>
          <t>ABC100-S7</t>
        </is>
      </c>
      <c r="D157" s="23" t="inlineStr">
        <is>
          <t xml:space="preserve">    Embalaje</t>
        </is>
      </c>
      <c r="E157" s="22" t="n">
        <v>1</v>
      </c>
      <c r="F157" s="22" t="inlineStr">
        <is>
          <t>u</t>
        </is>
      </c>
      <c r="G157" s="24" t="n"/>
      <c r="H157" s="24">
        <f>H158+H159+H160+H161</f>
        <v/>
      </c>
      <c r="I157" s="22" t="n"/>
      <c r="J157" s="23" t="n"/>
      <c r="K157" s="22" t="inlineStr">
        <is>
          <t>Compra</t>
        </is>
      </c>
      <c r="L157" s="23" t="inlineStr">
        <is>
          <t>23 Embalaje -&gt; 24 envolvedora (T11)</t>
        </is>
      </c>
      <c r="M157" s="23" t="n"/>
      <c r="N157" s="22" t="n"/>
      <c r="O157" s="22" t="n"/>
      <c r="P157" s="23" t="n"/>
    </row>
    <row r="158">
      <c r="A158" s="25" t="inlineStr">
        <is>
          <t>FL_REC_ABC_100kg</t>
        </is>
      </c>
      <c r="B158" s="25" t="n">
        <v>2</v>
      </c>
      <c r="C158" s="25" t="inlineStr">
        <is>
          <t>ABC100-E1</t>
        </is>
      </c>
      <c r="D158" s="12" t="inlineStr">
        <is>
          <t xml:space="preserve">        Esquineros y funda de polietileno</t>
        </is>
      </c>
      <c r="E158" s="25" t="n">
        <v>1</v>
      </c>
      <c r="F158" s="25" t="inlineStr">
        <is>
          <t>jgo</t>
        </is>
      </c>
      <c r="G158" s="26" t="n">
        <v>0.3</v>
      </c>
      <c r="H158" s="26">
        <f>E158*G158</f>
        <v/>
      </c>
      <c r="I158" s="25" t="inlineStr">
        <is>
          <t>PE / cartón</t>
        </is>
      </c>
      <c r="J158" s="12" t="inlineStr">
        <is>
          <t>a medida</t>
        </is>
      </c>
      <c r="K158" s="25" t="inlineStr">
        <is>
          <t>Compra</t>
        </is>
      </c>
      <c r="L158" s="12" t="inlineStr">
        <is>
          <t>23 Embalaje</t>
        </is>
      </c>
      <c r="M158" s="12" t="n"/>
      <c r="N158" s="25" t="inlineStr">
        <is>
          <t>R</t>
        </is>
      </c>
      <c r="O158" s="25" t="n"/>
      <c r="P158" s="12" t="n"/>
    </row>
    <row r="159">
      <c r="A159" s="25" t="inlineStr">
        <is>
          <t>FL_REC_ABC_100kg</t>
        </is>
      </c>
      <c r="B159" s="25" t="n">
        <v>2</v>
      </c>
      <c r="C159" s="25" t="inlineStr">
        <is>
          <t>ABC100-E3</t>
        </is>
      </c>
      <c r="D159" s="12" t="inlineStr">
        <is>
          <t xml:space="preserve">        Pallet 1200 × 1000 (fracción)</t>
        </is>
      </c>
      <c r="E159" s="25" t="n">
        <v>0.1667</v>
      </c>
      <c r="F159" s="25" t="inlineStr">
        <is>
          <t>u</t>
        </is>
      </c>
      <c r="G159" s="26" t="n">
        <v>3.667</v>
      </c>
      <c r="H159" s="26">
        <f>E159*G159</f>
        <v/>
      </c>
      <c r="I159" s="25" t="inlineStr">
        <is>
          <t>Madera</t>
        </is>
      </c>
      <c r="J159" s="12" t="inlineStr">
        <is>
          <t>6 u por pallet</t>
        </is>
      </c>
      <c r="K159" s="25" t="inlineStr">
        <is>
          <t>Compra</t>
        </is>
      </c>
      <c r="L159" s="12" t="inlineStr">
        <is>
          <t>23 Embalaje</t>
        </is>
      </c>
      <c r="M159" s="12" t="n"/>
      <c r="N159" s="25" t="inlineStr">
        <is>
          <t>R</t>
        </is>
      </c>
      <c r="O159" s="25" t="n"/>
      <c r="P159" s="12" t="n"/>
    </row>
    <row r="160">
      <c r="A160" s="25" t="inlineStr">
        <is>
          <t>FL_REC_ABC_100kg</t>
        </is>
      </c>
      <c r="B160" s="25" t="n">
        <v>2</v>
      </c>
      <c r="C160" s="25" t="inlineStr">
        <is>
          <t>ABC100-E4</t>
        </is>
      </c>
      <c r="D160" s="12" t="inlineStr">
        <is>
          <t xml:space="preserve">        Film stretch (fracción del pallet)</t>
        </is>
      </c>
      <c r="E160" s="25" t="n">
        <v>0.0583</v>
      </c>
      <c r="F160" s="25" t="inlineStr">
        <is>
          <t>kg</t>
        </is>
      </c>
      <c r="G160" s="26" t="n">
        <v>1</v>
      </c>
      <c r="H160" s="26">
        <f>E160*G160</f>
        <v/>
      </c>
      <c r="I160" s="25" t="inlineStr">
        <is>
          <t>PE lineal 23 µm</t>
        </is>
      </c>
      <c r="J160" s="12" t="inlineStr">
        <is>
          <t>envolvedora EDOS PS5</t>
        </is>
      </c>
      <c r="K160" s="25" t="inlineStr">
        <is>
          <t>Compra</t>
        </is>
      </c>
      <c r="L160" s="12" t="inlineStr">
        <is>
          <t>24 Envolvedora (T11)</t>
        </is>
      </c>
      <c r="M160" s="12" t="n"/>
      <c r="N160" s="25" t="inlineStr">
        <is>
          <t>R</t>
        </is>
      </c>
      <c r="O160" s="25" t="n"/>
      <c r="P160" s="12" t="n"/>
    </row>
    <row r="161">
      <c r="A161" s="25" t="inlineStr">
        <is>
          <t>FL_REC_ABC_100kg</t>
        </is>
      </c>
      <c r="B161" s="25" t="n">
        <v>2</v>
      </c>
      <c r="C161" s="25" t="inlineStr">
        <is>
          <t>ABC100-E5</t>
        </is>
      </c>
      <c r="D161" s="12" t="inlineStr">
        <is>
          <t xml:space="preserve">        Etiqueta de pallet (lote y destino, fracción)</t>
        </is>
      </c>
      <c r="E161" s="25" t="n">
        <v>0.1667</v>
      </c>
      <c r="F161" s="25" t="inlineStr">
        <is>
          <t>u</t>
        </is>
      </c>
      <c r="G161" s="26" t="n">
        <v>0</v>
      </c>
      <c r="H161" s="26">
        <f>E161*G161</f>
        <v/>
      </c>
      <c r="I161" s="25" t="inlineStr">
        <is>
          <t>Papel térmico</t>
        </is>
      </c>
      <c r="J161" s="12" t="inlineStr">
        <is>
          <t>100 × 150</t>
        </is>
      </c>
      <c r="K161" s="25" t="inlineStr">
        <is>
          <t>Compra</t>
        </is>
      </c>
      <c r="L161" s="12" t="inlineStr">
        <is>
          <t>24 Envolvedora</t>
        </is>
      </c>
      <c r="M161" s="12" t="n"/>
      <c r="N161" s="25" t="inlineStr">
        <is>
          <t>R</t>
        </is>
      </c>
      <c r="O161" s="25" t="n"/>
      <c r="P161" s="12" t="n"/>
    </row>
  </sheetData>
  <autoFilter ref="A1:P161"/>
  <pageMargins left="0.75" right="0.75" top="1" bottom="1" header="0.5" footer="0.5"/>
</worksheet>
</file>

<file path=xl/worksheets/sheet7.xml><?xml version="1.0" encoding="utf-8"?>
<worksheet xmlns="http://schemas.openxmlformats.org/spreadsheetml/2006/main">
  <sheetPr>
    <tabColor rgb="007F1D1D"/>
    <outlinePr summaryBelow="0" summaryRight="1"/>
    <pageSetUpPr fitToPage="1"/>
  </sheetPr>
  <dimension ref="A1:O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FL_MAT_ABC_1kg</t>
        </is>
      </c>
    </row>
    <row r="2">
      <c r="A2" s="2" t="inlineStr">
        <is>
          <t>Extintor ABC 1 kg</t>
        </is>
      </c>
    </row>
    <row r="3">
      <c r="A3" s="14" t="inlineStr">
        <is>
          <t>Plano de origen</t>
        </is>
      </c>
      <c r="C3" t="inlineStr">
        <is>
          <t>FL_MAT_ABC_1kg  (3 láminas)</t>
        </is>
      </c>
      <c r="E3" s="14" t="inlineStr">
        <is>
          <t>Peso vacío S1-S4 (kg)</t>
        </is>
      </c>
      <c r="G3" s="30">
        <f>G12+G25+G39</f>
        <v/>
      </c>
    </row>
    <row r="4">
      <c r="A4" s="14" t="inlineStr">
        <is>
          <t>Plano de despiece</t>
        </is>
      </c>
      <c r="C4" t="inlineStr">
        <is>
          <t>FL_DES_ABC_1kg (salida/despiece/)</t>
        </is>
      </c>
      <c r="E4" s="14" t="inlineStr">
        <is>
          <t>Peso cargado S1-S6 (kg)</t>
        </is>
      </c>
      <c r="G4" s="30">
        <f>G12+G25+G39+G41+G44</f>
        <v/>
      </c>
    </row>
    <row r="5">
      <c r="A5" s="14" t="inlineStr">
        <is>
          <t>Norma del producto</t>
        </is>
      </c>
      <c r="C5" t="inlineStr">
        <is>
          <t>IRAM 3523</t>
        </is>
      </c>
      <c r="E5" s="14" t="inlineStr">
        <is>
          <t>Peso con soporte y embalaje (kg)</t>
        </is>
      </c>
      <c r="G5" s="30">
        <f>G12+G25+G39+G41+G44+G52+G50</f>
        <v/>
      </c>
    </row>
    <row r="6">
      <c r="A6" s="14" t="inlineStr">
        <is>
          <t>Fabricación</t>
        </is>
      </c>
      <c r="C6" t="inlineStr">
        <is>
          <t>Fabricación propia</t>
        </is>
      </c>
      <c r="E6" s="14" t="inlineStr">
        <is>
          <t>Desvío cargado vs catálogo</t>
        </is>
      </c>
      <c r="G6" s="10">
        <f>G4/C7-1</f>
        <v/>
      </c>
    </row>
    <row r="7">
      <c r="A7" s="14" t="inlineStr">
        <is>
          <t>Peso catálogo cargado (kg)</t>
        </is>
      </c>
      <c r="C7" t="n">
        <v>1.9</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FL_MAT_ABC_1kg</t>
        </is>
      </c>
      <c r="C11" s="20" t="inlineStr">
        <is>
          <t>Extintor ABC 1 kg</t>
        </is>
      </c>
      <c r="D11" s="19" t="n">
        <v>1</v>
      </c>
      <c r="E11" s="19" t="inlineStr">
        <is>
          <t>u</t>
        </is>
      </c>
      <c r="F11" s="21" t="n"/>
      <c r="G11" s="21">
        <f>G5</f>
        <v/>
      </c>
      <c r="H11" s="19" t="n"/>
      <c r="I11" s="20" t="n"/>
      <c r="J11" s="19" t="n"/>
      <c r="K11" s="20" t="n"/>
      <c r="L11" s="20" t="inlineStr">
        <is>
          <t>IRAM 3523</t>
        </is>
      </c>
      <c r="M11" s="19" t="inlineStr">
        <is>
          <t>P</t>
        </is>
      </c>
      <c r="N11" s="19" t="inlineStr">
        <is>
          <t>FL_MAT_ABC_1kg</t>
        </is>
      </c>
      <c r="O11" s="20" t="inlineStr">
        <is>
          <t>Fabricación propia</t>
        </is>
      </c>
    </row>
    <row r="12">
      <c r="A12" s="22" t="n">
        <v>1</v>
      </c>
      <c r="B12" s="22" t="inlineStr">
        <is>
          <t>FL_REC_ABC_1kg</t>
        </is>
      </c>
      <c r="C12" s="23" t="inlineStr">
        <is>
          <t xml:space="preserve">    Recipiente (cilindro)</t>
        </is>
      </c>
      <c r="D12" s="22" t="n">
        <v>1</v>
      </c>
      <c r="E12" s="22" t="inlineStr">
        <is>
          <t>u</t>
        </is>
      </c>
      <c r="F12" s="24" t="n"/>
      <c r="G12" s="24">
        <f>G13+G15+G17+G19+G21+G24</f>
        <v/>
      </c>
      <c r="H12" s="22" t="n"/>
      <c r="I12" s="23" t="n"/>
      <c r="J12" s="22" t="inlineStr">
        <is>
          <t>Fabricación</t>
        </is>
      </c>
      <c r="K12" s="23" t="n"/>
      <c r="L12" s="23" t="inlineStr">
        <is>
          <t>IRAM 3523 / 3550 (recipiente)</t>
        </is>
      </c>
      <c r="M12" s="22" t="inlineStr">
        <is>
          <t>P</t>
        </is>
      </c>
      <c r="N12" s="22" t="inlineStr">
        <is>
          <t>FL_REC_ABC_1kg</t>
        </is>
      </c>
      <c r="O12" s="23" t="n"/>
    </row>
    <row r="13" outlineLevel="1">
      <c r="A13" s="25" t="n">
        <v>2</v>
      </c>
      <c r="B13" s="25" t="inlineStr">
        <is>
          <t>ABC1-01</t>
        </is>
      </c>
      <c r="C13" s="12" t="inlineStr">
        <is>
          <t xml:space="preserve">        Cuerpo (virola)</t>
        </is>
      </c>
      <c r="D13" s="25" t="n">
        <v>1</v>
      </c>
      <c r="E13" s="25" t="inlineStr">
        <is>
          <t>u</t>
        </is>
      </c>
      <c r="F13" s="26" t="n">
        <v>0.5817</v>
      </c>
      <c r="G13" s="26">
        <f>D13*F13</f>
        <v/>
      </c>
      <c r="H13" s="25" t="inlineStr">
        <is>
          <t>Chapa acero SAE 1010 e=1,25</t>
        </is>
      </c>
      <c r="I13" s="12" t="inlineStr">
        <is>
          <t>Ø76,2 × e1,25 × 251,8 de alto; desarrollo 235,5 × 251,8</t>
        </is>
      </c>
      <c r="J13" s="25" t="inlineStr">
        <is>
          <t>Fabricación</t>
        </is>
      </c>
      <c r="K13" s="12" t="inlineStr">
        <is>
          <t>5 Corte láser de caño (M15/M16) -&gt; 9 encastre</t>
        </is>
      </c>
      <c r="L13" s="12" t="n"/>
      <c r="M13" s="25" t="inlineStr">
        <is>
          <t>P</t>
        </is>
      </c>
      <c r="N13" s="25" t="inlineStr">
        <is>
          <t>FL_DES_ABC_1kg</t>
        </is>
      </c>
      <c r="O13" s="12" t="inlineStr">
        <is>
          <t>costura long. MIG</t>
        </is>
      </c>
    </row>
    <row r="14" outlineLevel="2">
      <c r="A14" s="27" t="n">
        <v>3</v>
      </c>
      <c r="B14" s="27" t="inlineStr">
        <is>
          <t>MP-CANO</t>
        </is>
      </c>
      <c r="C14" s="28" t="inlineStr">
        <is>
          <t xml:space="preserve">            Caño Ø76,2 × 1,25 (tramo de barra de 6 m)</t>
        </is>
      </c>
      <c r="D14" s="27" t="n">
        <v>0.0435</v>
      </c>
      <c r="E14" s="27" t="inlineStr">
        <is>
          <t>barra</t>
        </is>
      </c>
      <c r="F14" s="29" t="n">
        <v>13.686</v>
      </c>
      <c r="G14" s="29">
        <f>D14*F14</f>
        <v/>
      </c>
      <c r="H14" s="27" t="inlineStr">
        <is>
          <t>Caño acero SAE 1010 con costura</t>
        </is>
      </c>
      <c r="I14" s="28" t="inlineStr">
        <is>
          <t>255 mm por cuerpo; 23 cuerpos por barra (kg por barra)</t>
        </is>
      </c>
      <c r="J14" s="27" t="inlineStr">
        <is>
          <t>Compra (Metalprisa)</t>
        </is>
      </c>
      <c r="K14" s="28" t="inlineStr">
        <is>
          <t>AL-1T cantiléver</t>
        </is>
      </c>
      <c r="L14" s="28" t="n"/>
      <c r="M14" s="27" t="inlineStr">
        <is>
          <t>L</t>
        </is>
      </c>
      <c r="N14" s="27" t="inlineStr">
        <is>
          <t>FL_PI_04 h2</t>
        </is>
      </c>
      <c r="O14" s="28" t="n"/>
    </row>
    <row r="15" outlineLevel="1">
      <c r="A15" s="25" t="n">
        <v>2</v>
      </c>
      <c r="B15" s="25" t="inlineStr">
        <is>
          <t>ABC1-02</t>
        </is>
      </c>
      <c r="C15" s="12" t="inlineStr">
        <is>
          <t xml:space="preserve">        Cúpula</t>
        </is>
      </c>
      <c r="D15" s="25" t="n">
        <v>1</v>
      </c>
      <c r="E15" s="25" t="inlineStr">
        <is>
          <t>u</t>
        </is>
      </c>
      <c r="F15" s="26" t="n">
        <v>0.0309</v>
      </c>
      <c r="G15" s="26">
        <f>D15*F15</f>
        <v/>
      </c>
      <c r="H15" s="25" t="inlineStr">
        <is>
          <t>Chapa acero SAE 1010 e=0,9</t>
        </is>
      </c>
      <c r="I15" s="12" t="inlineStr">
        <is>
          <t>Ø76,2 × e0,9 × 11,7 de alto; disco Ø108</t>
        </is>
      </c>
      <c r="J15" s="25" t="inlineStr">
        <is>
          <t>Fabricación</t>
        </is>
      </c>
      <c r="K15" s="12" t="inlineStr">
        <is>
          <t>6 Desbobinado + embutido (M06-M08)</t>
        </is>
      </c>
      <c r="L15" s="12" t="n"/>
      <c r="M15" s="25" t="inlineStr">
        <is>
          <t>P</t>
        </is>
      </c>
      <c r="N15" s="25" t="inlineStr">
        <is>
          <t>FL_DES_ABC_1kg</t>
        </is>
      </c>
      <c r="O15" s="12" t="inlineStr">
        <is>
          <t>embutida</t>
        </is>
      </c>
    </row>
    <row r="16" outlineLevel="2">
      <c r="A16" s="27" t="n">
        <v>3</v>
      </c>
      <c r="B16" s="27" t="inlineStr">
        <is>
          <t>MP-FLEJE</t>
        </is>
      </c>
      <c r="C16" s="28" t="inlineStr">
        <is>
          <t xml:space="preserve">            Fleje e=0,9 × 114 (paso 111)</t>
        </is>
      </c>
      <c r="D16" s="27" t="n">
        <v>0.111</v>
      </c>
      <c r="E16" s="27" t="inlineStr">
        <is>
          <t>m</t>
        </is>
      </c>
      <c r="F16" s="29" t="n">
        <v>0.805</v>
      </c>
      <c r="G16" s="29">
        <f>D16*F16</f>
        <v/>
      </c>
      <c r="H16" s="27" t="inlineStr">
        <is>
          <t>Fleje SAE 1010</t>
        </is>
      </c>
      <c r="I16" s="28" t="inlineStr">
        <is>
          <t>disco Ø108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ABC1-03</t>
        </is>
      </c>
      <c r="C17" s="12" t="inlineStr">
        <is>
          <t xml:space="preserve">        Fondo</t>
        </is>
      </c>
      <c r="D17" s="25" t="n">
        <v>1</v>
      </c>
      <c r="E17" s="25" t="inlineStr">
        <is>
          <t>u</t>
        </is>
      </c>
      <c r="F17" s="26" t="n">
        <v>0.0622</v>
      </c>
      <c r="G17" s="26">
        <f>D17*F17</f>
        <v/>
      </c>
      <c r="H17" s="25" t="inlineStr">
        <is>
          <t>Chapa acero SAE 1010 e=1,25</t>
        </is>
      </c>
      <c r="I17" s="12" t="inlineStr">
        <is>
          <t>Ø76,2 × e1,25 × 22 de alto; disco Ø100</t>
        </is>
      </c>
      <c r="J17" s="25" t="inlineStr">
        <is>
          <t>Fabricación</t>
        </is>
      </c>
      <c r="K17" s="12" t="inlineStr">
        <is>
          <t>6 Desbobinado + embutido (M06-M08)</t>
        </is>
      </c>
      <c r="L17" s="12" t="n"/>
      <c r="M17" s="25" t="inlineStr">
        <is>
          <t>P</t>
        </is>
      </c>
      <c r="N17" s="25" t="inlineStr">
        <is>
          <t>FL_DES_ABC_1kg</t>
        </is>
      </c>
      <c r="O17" s="12" t="inlineStr">
        <is>
          <t>embutido</t>
        </is>
      </c>
    </row>
    <row r="18" outlineLevel="2">
      <c r="A18" s="27" t="n">
        <v>3</v>
      </c>
      <c r="B18" s="27" t="inlineStr">
        <is>
          <t>MP-FLEJE</t>
        </is>
      </c>
      <c r="C18" s="28" t="inlineStr">
        <is>
          <t xml:space="preserve">            Fleje e=0,9 × 106 (paso 103)</t>
        </is>
      </c>
      <c r="D18" s="27" t="n">
        <v>0.103</v>
      </c>
      <c r="E18" s="27" t="inlineStr">
        <is>
          <t>m</t>
        </is>
      </c>
      <c r="F18" s="29" t="n">
        <v>0.749</v>
      </c>
      <c r="G18" s="29">
        <f>D18*F18</f>
        <v/>
      </c>
      <c r="H18" s="27" t="inlineStr">
        <is>
          <t>Fleje SAE 1010</t>
        </is>
      </c>
      <c r="I18" s="28" t="inlineStr">
        <is>
          <t>disco Ø100 (kg por m de fleje)</t>
        </is>
      </c>
      <c r="J18" s="27" t="inlineStr">
        <is>
          <t>Compra (Pacheco / Pradecon)</t>
        </is>
      </c>
      <c r="K18" s="28" t="inlineStr">
        <is>
          <t>AL-1F porta-flejes</t>
        </is>
      </c>
      <c r="L18" s="28" t="n"/>
      <c r="M18" s="27" t="inlineStr">
        <is>
          <t>L</t>
        </is>
      </c>
      <c r="N18" s="27" t="inlineStr">
        <is>
          <t>FL_PI_04 h2</t>
        </is>
      </c>
      <c r="O18" s="28" t="inlineStr">
        <is>
          <t>OJO: el fleje es e=0,9 y el plano e=1,25</t>
        </is>
      </c>
    </row>
    <row r="19" outlineLevel="1">
      <c r="A19" s="25" t="n">
        <v>2</v>
      </c>
      <c r="B19" s="25" t="inlineStr">
        <is>
          <t>ABC1-04</t>
        </is>
      </c>
      <c r="C19" s="12" t="inlineStr">
        <is>
          <t xml:space="preserve">        Cuello roscado</t>
        </is>
      </c>
      <c r="D19" s="25" t="n">
        <v>1</v>
      </c>
      <c r="E19" s="25" t="inlineStr">
        <is>
          <t>u</t>
        </is>
      </c>
      <c r="F19" s="26" t="n">
        <v>0.0359</v>
      </c>
      <c r="G19" s="26">
        <f>D19*F19</f>
        <v/>
      </c>
      <c r="H19" s="25" t="inlineStr">
        <is>
          <t>Acero SAE 1010</t>
        </is>
      </c>
      <c r="I19" s="12" t="inlineStr">
        <is>
          <t>Ø29 × 12,5 de alto, rosca M22x1,5, asiento Ø26</t>
        </is>
      </c>
      <c r="J19" s="25" t="inlineStr">
        <is>
          <t>Fabricación</t>
        </is>
      </c>
      <c r="K19" s="12" t="inlineStr">
        <is>
          <t>7 Preparación de cuello -&gt; 8 soldadura de cuello</t>
        </is>
      </c>
      <c r="L19" s="12" t="n"/>
      <c r="M19" s="25" t="inlineStr">
        <is>
          <t>P</t>
        </is>
      </c>
      <c r="N19" s="25" t="inlineStr">
        <is>
          <t>FL_DES_ABC_1kg</t>
        </is>
      </c>
      <c r="O19" s="12" t="inlineStr">
        <is>
          <t>M22x1,5</t>
        </is>
      </c>
    </row>
    <row r="20" outlineLevel="2">
      <c r="A20" s="27" t="n">
        <v>3</v>
      </c>
      <c r="B20" s="27" t="inlineStr">
        <is>
          <t>MP-CUELLO</t>
        </is>
      </c>
      <c r="C20" s="28" t="inlineStr">
        <is>
          <t xml:space="preserve">            Cuello roscado mecanizado (pieza comprada lista para soldar)</t>
        </is>
      </c>
      <c r="D20" s="27" t="n">
        <v>1</v>
      </c>
      <c r="E20" s="27" t="inlineStr">
        <is>
          <t>u</t>
        </is>
      </c>
      <c r="F20" s="29" t="n">
        <v>0.036</v>
      </c>
      <c r="G20" s="29">
        <f>D20*F20</f>
        <v/>
      </c>
      <c r="H20" s="27" t="inlineStr">
        <is>
          <t>Acero SAE 1010 / 1020</t>
        </is>
      </c>
      <c r="I20" s="28" t="inlineStr">
        <is>
          <t>rosca M22x1,5</t>
        </is>
      </c>
      <c r="J20" s="27" t="inlineStr">
        <is>
          <t>Compra (Eli-Met)</t>
        </is>
      </c>
      <c r="K20" s="28" t="inlineStr">
        <is>
          <t>AL-1C cuellos y roscas</t>
        </is>
      </c>
      <c r="L20" s="28" t="n"/>
      <c r="M20" s="27" t="inlineStr">
        <is>
          <t>L</t>
        </is>
      </c>
      <c r="N20" s="27" t="n"/>
      <c r="O20" s="28" t="n"/>
    </row>
    <row r="21" outlineLevel="1">
      <c r="A21" s="25" t="n">
        <v>2</v>
      </c>
      <c r="B21" s="25" t="inlineStr">
        <is>
          <t>ABC1-C1</t>
        </is>
      </c>
      <c r="C21" s="12" t="inlineStr">
        <is>
          <t xml:space="preserve">        Aporte de soldadura: Alambre MAG ER70S-6 Ø0,9/1,2</t>
        </is>
      </c>
      <c r="D21" s="25" t="n">
        <v>0.0215</v>
      </c>
      <c r="E21" s="25" t="inlineStr">
        <is>
          <t>kg</t>
        </is>
      </c>
      <c r="F21" s="26" t="n">
        <v>0.92</v>
      </c>
      <c r="G21" s="26">
        <f>D21*F21</f>
        <v/>
      </c>
      <c r="H21" s="25" t="inlineStr">
        <is>
          <t>Alambre MAG ER70S-6 Ø0,9/1,2</t>
        </is>
      </c>
      <c r="I21" s="12" t="inlineStr">
        <is>
          <t>cordones del plano: 20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ABC1-C2</t>
        </is>
      </c>
      <c r="C22" s="12" t="inlineStr">
        <is>
          <t xml:space="preserve">        Gas de protección: Arcal 21 (Ar + 18 % CO₂)</t>
        </is>
      </c>
      <c r="D22" s="25" t="n">
        <v>9.699999999999999</v>
      </c>
      <c r="E22" s="25" t="inlineStr">
        <is>
          <t>L</t>
        </is>
      </c>
      <c r="F22" s="26" t="n"/>
      <c r="G22" s="26" t="n"/>
      <c r="H22" s="25" t="inlineStr">
        <is>
          <t>Arcal 21 (Ar + 18 % CO₂)</t>
        </is>
      </c>
      <c r="I22" s="12" t="inlineStr">
        <is>
          <t>0,6 min de arco × 15 L/min</t>
        </is>
      </c>
      <c r="J22" s="25" t="inlineStr">
        <is>
          <t>Compra</t>
        </is>
      </c>
      <c r="K22" s="12" t="inlineStr">
        <is>
          <t>Colector SC</t>
        </is>
      </c>
      <c r="L22" s="12" t="n"/>
      <c r="M22" s="25" t="inlineStr">
        <is>
          <t>R</t>
        </is>
      </c>
      <c r="N22" s="25" t="n"/>
      <c r="O22" s="12" t="n"/>
    </row>
    <row r="23" outlineLevel="1">
      <c r="A23" s="25" t="n">
        <v>2</v>
      </c>
      <c r="B23" s="25" t="inlineStr">
        <is>
          <t>ABC1-C3</t>
        </is>
      </c>
      <c r="C23" s="12" t="inlineStr">
        <is>
          <t xml:space="preserve">        Granalla de acero (consumo)</t>
        </is>
      </c>
      <c r="D23" s="25" t="n">
        <v>0.006</v>
      </c>
      <c r="E23" s="25" t="inlineStr">
        <is>
          <t>kg</t>
        </is>
      </c>
      <c r="F23" s="26" t="n"/>
      <c r="G23" s="26" t="n"/>
      <c r="H23" s="25" t="inlineStr">
        <is>
          <t>Granalla S-230</t>
        </is>
      </c>
      <c r="I23" s="12" t="inlineStr">
        <is>
          <t>0,07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ABC1-C4</t>
        </is>
      </c>
      <c r="C24" s="12" t="inlineStr">
        <is>
          <t xml:space="preserve">        Pintura en polvo poliéster rojo</t>
        </is>
      </c>
      <c r="D24" s="25" t="n">
        <v>0.013</v>
      </c>
      <c r="E24" s="25" t="inlineStr">
        <is>
          <t>kg</t>
        </is>
      </c>
      <c r="F24" s="26" t="n">
        <v>0.65</v>
      </c>
      <c r="G24" s="26">
        <f>D24*F24</f>
        <v/>
      </c>
      <c r="H24" s="25" t="inlineStr">
        <is>
          <t>Poliéster rojo 03-1-050</t>
        </is>
      </c>
      <c r="I24" s="12" t="inlineStr">
        <is>
          <t>0,07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c r="A25" s="22" t="n">
        <v>1</v>
      </c>
      <c r="B25" s="22" t="inlineStr">
        <is>
          <t>ABC1-S2</t>
        </is>
      </c>
      <c r="C25" s="23" t="inlineStr">
        <is>
          <t xml:space="preserve">    Conjunto de válvula</t>
        </is>
      </c>
      <c r="D25" s="22" t="n">
        <v>1</v>
      </c>
      <c r="E25" s="22" t="inlineStr">
        <is>
          <t>u</t>
        </is>
      </c>
      <c r="F25" s="24" t="n"/>
      <c r="G25" s="24">
        <f>G26+G27+G28+G29+G30+G31+G32+G33+G34+G35+G36+G37+G38</f>
        <v/>
      </c>
      <c r="H25" s="22" t="n"/>
      <c r="I25" s="23" t="n"/>
      <c r="J25" s="22" t="inlineStr">
        <is>
          <t>Compra / armado</t>
        </is>
      </c>
      <c r="K25" s="23" t="n"/>
      <c r="L25" s="23" t="inlineStr">
        <is>
          <t>Manómetro IRAM 3533</t>
        </is>
      </c>
      <c r="M25" s="22" t="inlineStr">
        <is>
          <t>P</t>
        </is>
      </c>
      <c r="N25" s="22" t="inlineStr">
        <is>
          <t>FL_DES_ABC_1kg</t>
        </is>
      </c>
      <c r="O25" s="23" t="n"/>
    </row>
    <row r="26" outlineLevel="1">
      <c r="A26" s="25" t="n">
        <v>2</v>
      </c>
      <c r="B26" s="25" t="inlineStr">
        <is>
          <t>ABC1-05</t>
        </is>
      </c>
      <c r="C26" s="12" t="inlineStr">
        <is>
          <t xml:space="preserve">        Collarín de válvula</t>
        </is>
      </c>
      <c r="D26" s="25" t="n">
        <v>1</v>
      </c>
      <c r="E26" s="25" t="inlineStr">
        <is>
          <t>u</t>
        </is>
      </c>
      <c r="F26" s="26" t="n">
        <v>0.0464</v>
      </c>
      <c r="G26" s="26">
        <f>D26*F26</f>
        <v/>
      </c>
      <c r="H26" s="25" t="inlineStr">
        <is>
          <t>Latón forjado</t>
        </is>
      </c>
      <c r="I26" s="12" t="inlineStr">
        <is>
          <t>33,8 × 33,8 × 8</t>
        </is>
      </c>
      <c r="J26" s="25" t="inlineStr">
        <is>
          <t>Compra</t>
        </is>
      </c>
      <c r="K26" s="12" t="inlineStr">
        <is>
          <t>19 Ensamblaje de válvula (T03/T04)</t>
        </is>
      </c>
      <c r="L26" s="12" t="n"/>
      <c r="M26" s="25" t="inlineStr">
        <is>
          <t>P</t>
        </is>
      </c>
      <c r="N26" s="25" t="inlineStr">
        <is>
          <t>FL_DES_ABC_1kg</t>
        </is>
      </c>
      <c r="O26" s="12" t="n"/>
    </row>
    <row r="27" outlineLevel="1">
      <c r="A27" s="25" t="n">
        <v>2</v>
      </c>
      <c r="B27" s="25" t="inlineStr">
        <is>
          <t>ABC1-06</t>
        </is>
      </c>
      <c r="C27" s="12" t="inlineStr">
        <is>
          <t xml:space="preserve">        Espiga roscada</t>
        </is>
      </c>
      <c r="D27" s="25" t="n">
        <v>1</v>
      </c>
      <c r="E27" s="25" t="inlineStr">
        <is>
          <t>u</t>
        </is>
      </c>
      <c r="F27" s="26" t="n">
        <v>0.011</v>
      </c>
      <c r="G27" s="26">
        <f>D27*F27</f>
        <v/>
      </c>
      <c r="H27" s="25" t="inlineStr">
        <is>
          <t>Latón forjado</t>
        </is>
      </c>
      <c r="I27" s="12" t="inlineStr">
        <is>
          <t>20,4 × 20,4 × 9,6</t>
        </is>
      </c>
      <c r="J27" s="25" t="inlineStr">
        <is>
          <t>Compra</t>
        </is>
      </c>
      <c r="K27" s="12" t="inlineStr">
        <is>
          <t>19 Ensamblaje de válvula (T03/T04)</t>
        </is>
      </c>
      <c r="L27" s="12" t="n"/>
      <c r="M27" s="25" t="inlineStr">
        <is>
          <t>P</t>
        </is>
      </c>
      <c r="N27" s="25" t="inlineStr">
        <is>
          <t>FL_DES_ABC_1kg</t>
        </is>
      </c>
      <c r="O27" s="12" t="n"/>
    </row>
    <row r="28" outlineLevel="1">
      <c r="A28" s="25" t="n">
        <v>2</v>
      </c>
      <c r="B28" s="25" t="inlineStr">
        <is>
          <t>ABC1-07</t>
        </is>
      </c>
      <c r="C28" s="12" t="inlineStr">
        <is>
          <t xml:space="preserve">        Cuerpo de válvula</t>
        </is>
      </c>
      <c r="D28" s="25" t="n">
        <v>1</v>
      </c>
      <c r="E28" s="25" t="inlineStr">
        <is>
          <t>u</t>
        </is>
      </c>
      <c r="F28" s="26" t="n">
        <v>0.1044</v>
      </c>
      <c r="G28" s="26">
        <f>D28*F28</f>
        <v/>
      </c>
      <c r="H28" s="25" t="inlineStr">
        <is>
          <t>Latón forjado</t>
        </is>
      </c>
      <c r="I28" s="12" t="inlineStr">
        <is>
          <t>34,2 × 27 × 21,1</t>
        </is>
      </c>
      <c r="J28" s="25" t="inlineStr">
        <is>
          <t>Compra</t>
        </is>
      </c>
      <c r="K28" s="12" t="inlineStr">
        <is>
          <t>19 Ensamblaje de válvula (T03/T04)</t>
        </is>
      </c>
      <c r="L28" s="12" t="n"/>
      <c r="M28" s="25" t="inlineStr">
        <is>
          <t>P</t>
        </is>
      </c>
      <c r="N28" s="25" t="inlineStr">
        <is>
          <t>FL_DES_ABC_1kg</t>
        </is>
      </c>
      <c r="O28" s="12" t="n"/>
    </row>
    <row r="29" outlineLevel="1">
      <c r="A29" s="25" t="n">
        <v>2</v>
      </c>
      <c r="B29" s="25" t="inlineStr">
        <is>
          <t>ABC1-08</t>
        </is>
      </c>
      <c r="C29" s="12" t="inlineStr">
        <is>
          <t xml:space="preserve">        Manómetro</t>
        </is>
      </c>
      <c r="D29" s="25" t="n">
        <v>1</v>
      </c>
      <c r="E29" s="25" t="inlineStr">
        <is>
          <t>u</t>
        </is>
      </c>
      <c r="F29" s="26" t="n">
        <v>0.04</v>
      </c>
      <c r="G29" s="26">
        <f>D29*F29</f>
        <v/>
      </c>
      <c r="H29" s="25" t="inlineStr">
        <is>
          <t>Comercial</t>
        </is>
      </c>
      <c r="I29" s="12" t="inlineStr">
        <is>
          <t>Ø28 esfera, rango 0-3,5 MPa, sector verde en 1,4</t>
        </is>
      </c>
      <c r="J29" s="25" t="inlineStr">
        <is>
          <t>Compra</t>
        </is>
      </c>
      <c r="K29" s="12" t="inlineStr">
        <is>
          <t>19 Ensamblaje de válvula (T03/T04)</t>
        </is>
      </c>
      <c r="L29" s="12" t="inlineStr">
        <is>
          <t>IRAM 3533</t>
        </is>
      </c>
      <c r="M29" s="25" t="inlineStr">
        <is>
          <t>R</t>
        </is>
      </c>
      <c r="N29" s="25" t="inlineStr">
        <is>
          <t>FL_DES_ABC_1kg</t>
        </is>
      </c>
      <c r="O29" s="12" t="inlineStr">
        <is>
          <t>Pieza comercial; sello IRAM 3533</t>
        </is>
      </c>
    </row>
    <row r="30" outlineLevel="1">
      <c r="A30" s="25" t="n">
        <v>2</v>
      </c>
      <c r="B30" s="25" t="inlineStr">
        <is>
          <t>ABC1-09</t>
        </is>
      </c>
      <c r="C30" s="12" t="inlineStr">
        <is>
          <t xml:space="preserve">        Manija de transporte</t>
        </is>
      </c>
      <c r="D30" s="25" t="n">
        <v>1</v>
      </c>
      <c r="E30" s="25" t="inlineStr">
        <is>
          <t>u</t>
        </is>
      </c>
      <c r="F30" s="26" t="n">
        <v>0.0106</v>
      </c>
      <c r="G30" s="26">
        <f>D30*F30</f>
        <v/>
      </c>
      <c r="H30" s="25" t="inlineStr">
        <is>
          <t>Chapa acero SAE 1010 pintada</t>
        </is>
      </c>
      <c r="I30" s="12" t="inlineStr">
        <is>
          <t>26,6 × 16 × 5,9</t>
        </is>
      </c>
      <c r="J30" s="25" t="inlineStr">
        <is>
          <t>Compra</t>
        </is>
      </c>
      <c r="K30" s="12" t="inlineStr">
        <is>
          <t>19 Ensamblaje de válvula (T03/T04)</t>
        </is>
      </c>
      <c r="L30" s="12" t="n"/>
      <c r="M30" s="25" t="inlineStr">
        <is>
          <t>P</t>
        </is>
      </c>
      <c r="N30" s="25" t="inlineStr">
        <is>
          <t>FL_DES_ABC_1kg</t>
        </is>
      </c>
      <c r="O30" s="12" t="n"/>
    </row>
    <row r="31" outlineLevel="1">
      <c r="A31" s="25" t="n">
        <v>2</v>
      </c>
      <c r="B31" s="25" t="inlineStr">
        <is>
          <t>ABC1-10</t>
        </is>
      </c>
      <c r="C31" s="12" t="inlineStr">
        <is>
          <t xml:space="preserve">        Manija de accionamiento</t>
        </is>
      </c>
      <c r="D31" s="25" t="n">
        <v>1</v>
      </c>
      <c r="E31" s="25" t="inlineStr">
        <is>
          <t>u</t>
        </is>
      </c>
      <c r="F31" s="26" t="n">
        <v>0.0241</v>
      </c>
      <c r="G31" s="26">
        <f>D31*F31</f>
        <v/>
      </c>
      <c r="H31" s="25" t="inlineStr">
        <is>
          <t>Chapa acero SAE 1010 pintada</t>
        </is>
      </c>
      <c r="I31" s="12" t="inlineStr">
        <is>
          <t>60 × 16 × 10,5</t>
        </is>
      </c>
      <c r="J31" s="25" t="inlineStr">
        <is>
          <t>Compra</t>
        </is>
      </c>
      <c r="K31" s="12" t="inlineStr">
        <is>
          <t>19 Ensamblaje de válvula (T03/T04)</t>
        </is>
      </c>
      <c r="L31" s="12" t="n"/>
      <c r="M31" s="25" t="inlineStr">
        <is>
          <t>P</t>
        </is>
      </c>
      <c r="N31" s="25" t="inlineStr">
        <is>
          <t>FL_DES_ABC_1kg</t>
        </is>
      </c>
      <c r="O31" s="12" t="n"/>
    </row>
    <row r="32" outlineLevel="1">
      <c r="A32" s="25" t="n">
        <v>2</v>
      </c>
      <c r="B32" s="25" t="inlineStr">
        <is>
          <t>ABC1-11</t>
        </is>
      </c>
      <c r="C32" s="12" t="inlineStr">
        <is>
          <t xml:space="preserve">        Eje de palanca</t>
        </is>
      </c>
      <c r="D32" s="25" t="n">
        <v>1</v>
      </c>
      <c r="E32" s="25" t="inlineStr">
        <is>
          <t>u</t>
        </is>
      </c>
      <c r="F32" s="26" t="n">
        <v>0.0041</v>
      </c>
      <c r="G32" s="26">
        <f>D32*F32</f>
        <v/>
      </c>
      <c r="H32" s="25" t="inlineStr">
        <is>
          <t>Acero inox. AISI 304</t>
        </is>
      </c>
      <c r="I32" s="12" t="inlineStr">
        <is>
          <t>28,8 × 4,8 × 4,8</t>
        </is>
      </c>
      <c r="J32" s="25" t="inlineStr">
        <is>
          <t>Compra</t>
        </is>
      </c>
      <c r="K32" s="12" t="inlineStr">
        <is>
          <t>19 Ensamblaje de válvula (T03/T04)</t>
        </is>
      </c>
      <c r="L32" s="12" t="n"/>
      <c r="M32" s="25" t="inlineStr">
        <is>
          <t>P</t>
        </is>
      </c>
      <c r="N32" s="25" t="inlineStr">
        <is>
          <t>FL_DES_ABC_1kg</t>
        </is>
      </c>
      <c r="O32" s="12" t="n"/>
    </row>
    <row r="33" outlineLevel="1">
      <c r="A33" s="25" t="n">
        <v>2</v>
      </c>
      <c r="B33" s="25" t="inlineStr">
        <is>
          <t>ABC1-12</t>
        </is>
      </c>
      <c r="C33" s="12" t="inlineStr">
        <is>
          <t xml:space="preserve">        Vástago</t>
        </is>
      </c>
      <c r="D33" s="25" t="n">
        <v>1</v>
      </c>
      <c r="E33" s="25" t="inlineStr">
        <is>
          <t>u</t>
        </is>
      </c>
      <c r="F33" s="26" t="n">
        <v>0.0009</v>
      </c>
      <c r="G33" s="26">
        <f>D33*F33</f>
        <v/>
      </c>
      <c r="H33" s="25" t="inlineStr">
        <is>
          <t>Latón</t>
        </is>
      </c>
      <c r="I33" s="12" t="inlineStr">
        <is>
          <t>6,4 × 6,4 × 3,4</t>
        </is>
      </c>
      <c r="J33" s="25" t="inlineStr">
        <is>
          <t>Compra</t>
        </is>
      </c>
      <c r="K33" s="12" t="inlineStr">
        <is>
          <t>19 Ensamblaje de válvula (T03/T04)</t>
        </is>
      </c>
      <c r="L33" s="12" t="n"/>
      <c r="M33" s="25" t="inlineStr">
        <is>
          <t>P</t>
        </is>
      </c>
      <c r="N33" s="25" t="inlineStr">
        <is>
          <t>FL_DES_ABC_1kg</t>
        </is>
      </c>
      <c r="O33" s="12" t="inlineStr">
        <is>
          <t>con junta tórica</t>
        </is>
      </c>
    </row>
    <row r="34" outlineLevel="1">
      <c r="A34" s="25" t="n">
        <v>2</v>
      </c>
      <c r="B34" s="25" t="inlineStr">
        <is>
          <t>ABC1-13</t>
        </is>
      </c>
      <c r="C34" s="12" t="inlineStr">
        <is>
          <t xml:space="preserve">        Pasador de seguridad</t>
        </is>
      </c>
      <c r="D34" s="25" t="n">
        <v>1</v>
      </c>
      <c r="E34" s="25" t="inlineStr">
        <is>
          <t>u</t>
        </is>
      </c>
      <c r="F34" s="26" t="n">
        <v>0.0028</v>
      </c>
      <c r="G34" s="26">
        <f>D34*F34</f>
        <v/>
      </c>
      <c r="H34" s="25" t="inlineStr">
        <is>
          <t>Alambre acero inox. AISI 304</t>
        </is>
      </c>
      <c r="I34" s="12" t="inlineStr">
        <is>
          <t>36,3 × 16,8 × 16,6</t>
        </is>
      </c>
      <c r="J34" s="25" t="inlineStr">
        <is>
          <t>Compra</t>
        </is>
      </c>
      <c r="K34" s="12" t="inlineStr">
        <is>
          <t>19 Ensamblaje de válvula (T03/T04)</t>
        </is>
      </c>
      <c r="L34" s="12" t="n"/>
      <c r="M34" s="25" t="inlineStr">
        <is>
          <t>P</t>
        </is>
      </c>
      <c r="N34" s="25" t="inlineStr">
        <is>
          <t>FL_DES_ABC_1kg</t>
        </is>
      </c>
      <c r="O34" s="12" t="inlineStr">
        <is>
          <t>con precinto</t>
        </is>
      </c>
    </row>
    <row r="35" outlineLevel="1">
      <c r="A35" s="25" t="n">
        <v>2</v>
      </c>
      <c r="B35" s="25" t="inlineStr">
        <is>
          <t>ABC1-14</t>
        </is>
      </c>
      <c r="C35" s="12" t="inlineStr">
        <is>
          <t xml:space="preserve">        Caño de pesca (sifón)</t>
        </is>
      </c>
      <c r="D35" s="25" t="n">
        <v>1</v>
      </c>
      <c r="E35" s="25" t="inlineStr">
        <is>
          <t>u</t>
        </is>
      </c>
      <c r="F35" s="26" t="n">
        <v>0.0119</v>
      </c>
      <c r="G35" s="26">
        <f>D35*F35</f>
        <v/>
      </c>
      <c r="H35" s="25" t="inlineStr">
        <is>
          <t>Tubo PVC rígido</t>
        </is>
      </c>
      <c r="I35" s="12" t="inlineStr">
        <is>
          <t>Ø9,6 × 269,1 de largo</t>
        </is>
      </c>
      <c r="J35" s="25" t="inlineStr">
        <is>
          <t>Compra</t>
        </is>
      </c>
      <c r="K35" s="12" t="inlineStr">
        <is>
          <t>19 Ensamblaje de válvula (T03/T04)</t>
        </is>
      </c>
      <c r="L35" s="12" t="n"/>
      <c r="M35" s="25" t="inlineStr">
        <is>
          <t>P</t>
        </is>
      </c>
      <c r="N35" s="25" t="inlineStr">
        <is>
          <t>FL_DES_ABC_1kg</t>
        </is>
      </c>
      <c r="O35" s="12" t="n"/>
    </row>
    <row r="36" outlineLevel="1">
      <c r="A36" s="25" t="n">
        <v>2</v>
      </c>
      <c r="B36" s="25" t="inlineStr">
        <is>
          <t>ABC1-19</t>
        </is>
      </c>
      <c r="C36" s="12" t="inlineStr">
        <is>
          <t xml:space="preserve">        Junta tórica de asiento</t>
        </is>
      </c>
      <c r="D36" s="25" t="n">
        <v>1</v>
      </c>
      <c r="E36" s="25" t="inlineStr">
        <is>
          <t>u</t>
        </is>
      </c>
      <c r="F36" s="26" t="n">
        <v>0.0007</v>
      </c>
      <c r="G36" s="26">
        <f>D36*F36</f>
        <v/>
      </c>
      <c r="H36" s="25" t="inlineStr">
        <is>
          <t>NBR 70 Shore A</t>
        </is>
      </c>
      <c r="I36" s="12" t="inlineStr">
        <is>
          <t>Ø23,4 ext. × cordón 3</t>
        </is>
      </c>
      <c r="J36" s="25" t="inlineStr">
        <is>
          <t>Compra</t>
        </is>
      </c>
      <c r="K36" s="12" t="inlineStr">
        <is>
          <t>19 Ensamblaje de válvula (T03/T04)</t>
        </is>
      </c>
      <c r="L36" s="12" t="n"/>
      <c r="M36" s="25" t="inlineStr">
        <is>
          <t>P</t>
        </is>
      </c>
      <c r="N36" s="25" t="inlineStr">
        <is>
          <t>FL_DES_ABC_1kg</t>
        </is>
      </c>
      <c r="O36" s="12" t="inlineStr">
        <is>
          <t>cambio c/recarga</t>
        </is>
      </c>
    </row>
    <row r="37" outlineLevel="1">
      <c r="A37" s="25" t="n">
        <v>2</v>
      </c>
      <c r="B37" s="25" t="inlineStr">
        <is>
          <t>ABC1-V2</t>
        </is>
      </c>
      <c r="C37" s="12" t="inlineStr">
        <is>
          <t xml:space="preserve">        Resorte de retorno del vástago</t>
        </is>
      </c>
      <c r="D37" s="25" t="n">
        <v>1</v>
      </c>
      <c r="E37" s="25" t="inlineStr">
        <is>
          <t>u</t>
        </is>
      </c>
      <c r="F37" s="26" t="n">
        <v>0.003</v>
      </c>
      <c r="G37" s="26">
        <f>D37*F37</f>
        <v/>
      </c>
      <c r="H37" s="25" t="inlineStr">
        <is>
          <t>Alambre acero inox. AISI 302</t>
        </is>
      </c>
      <c r="I37" s="12" t="inlineStr">
        <is>
          <t>según válvula</t>
        </is>
      </c>
      <c r="J37" s="25" t="inlineStr">
        <is>
          <t>Compra</t>
        </is>
      </c>
      <c r="K37" s="12" t="inlineStr">
        <is>
          <t>19 Ensamblaje</t>
        </is>
      </c>
      <c r="L37" s="12" t="n"/>
      <c r="M37" s="25" t="inlineStr">
        <is>
          <t>R</t>
        </is>
      </c>
      <c r="N37" s="25" t="n"/>
      <c r="O37" s="12" t="n"/>
    </row>
    <row r="38" outlineLevel="1">
      <c r="A38" s="25" t="n">
        <v>2</v>
      </c>
      <c r="B38" s="25" t="inlineStr">
        <is>
          <t>ABC1-V3</t>
        </is>
      </c>
      <c r="C38" s="12" t="inlineStr">
        <is>
          <t xml:space="preserve">        Junta tórica del vástago</t>
        </is>
      </c>
      <c r="D38" s="25" t="n">
        <v>1</v>
      </c>
      <c r="E38" s="25" t="inlineStr">
        <is>
          <t>u</t>
        </is>
      </c>
      <c r="F38" s="26" t="n">
        <v>0.001</v>
      </c>
      <c r="G38" s="26">
        <f>D38*F38</f>
        <v/>
      </c>
      <c r="H38" s="25" t="inlineStr">
        <is>
          <t>NBR 70 Shore A</t>
        </is>
      </c>
      <c r="I38" s="12" t="inlineStr">
        <is>
          <t>según válvula</t>
        </is>
      </c>
      <c r="J38" s="25" t="inlineStr">
        <is>
          <t>Compra</t>
        </is>
      </c>
      <c r="K38" s="12" t="inlineStr">
        <is>
          <t>19 Ensamblaje</t>
        </is>
      </c>
      <c r="L38" s="12" t="n"/>
      <c r="M38" s="25" t="inlineStr">
        <is>
          <t>P</t>
        </is>
      </c>
      <c r="N38" s="25" t="n"/>
      <c r="O38" s="12" t="inlineStr">
        <is>
          <t>Figura en el plano como «vástago con junta tórica»</t>
        </is>
      </c>
    </row>
    <row r="39">
      <c r="A39" s="22" t="n">
        <v>1</v>
      </c>
      <c r="B39" s="22" t="inlineStr">
        <is>
          <t>ABC1-S3</t>
        </is>
      </c>
      <c r="C39" s="23" t="inlineStr">
        <is>
          <t xml:space="preserve">    Dispositivo de descarga</t>
        </is>
      </c>
      <c r="D39" s="22" t="n">
        <v>1</v>
      </c>
      <c r="E39" s="22" t="inlineStr">
        <is>
          <t>u</t>
        </is>
      </c>
      <c r="F39" s="24" t="n"/>
      <c r="G39" s="24">
        <f>G40</f>
        <v/>
      </c>
      <c r="H39" s="22" t="n"/>
      <c r="I39" s="23" t="n"/>
      <c r="J39" s="22" t="inlineStr">
        <is>
          <t>Compra / armado</t>
        </is>
      </c>
      <c r="K39" s="23" t="n"/>
      <c r="L39" s="23" t="n"/>
      <c r="M39" s="22" t="inlineStr">
        <is>
          <t>P</t>
        </is>
      </c>
      <c r="N39" s="22" t="inlineStr">
        <is>
          <t>FL_DES_ABC_1kg</t>
        </is>
      </c>
      <c r="O39" s="23" t="n"/>
    </row>
    <row r="40" outlineLevel="1">
      <c r="A40" s="25" t="n">
        <v>2</v>
      </c>
      <c r="B40" s="25" t="inlineStr">
        <is>
          <t>ABC1-15</t>
        </is>
      </c>
      <c r="C40" s="12" t="inlineStr">
        <is>
          <t xml:space="preserve">        Tobera</t>
        </is>
      </c>
      <c r="D40" s="25" t="n">
        <v>1</v>
      </c>
      <c r="E40" s="25" t="inlineStr">
        <is>
          <t>u</t>
        </is>
      </c>
      <c r="F40" s="26" t="n">
        <v>0.0007</v>
      </c>
      <c r="G40" s="26">
        <f>D40*F40</f>
        <v/>
      </c>
      <c r="H40" s="25" t="inlineStr">
        <is>
          <t>Polipropileno</t>
        </is>
      </c>
      <c r="I40" s="12" t="inlineStr">
        <is>
          <t>26 × 9,6 × 9,6</t>
        </is>
      </c>
      <c r="J40" s="25" t="inlineStr">
        <is>
          <t>Compra</t>
        </is>
      </c>
      <c r="K40" s="12" t="inlineStr">
        <is>
          <t>19 Ensamblaje (T03/T04)</t>
        </is>
      </c>
      <c r="L40" s="12" t="n"/>
      <c r="M40" s="25" t="inlineStr">
        <is>
          <t>P</t>
        </is>
      </c>
      <c r="N40" s="25" t="inlineStr">
        <is>
          <t>FL_DES_ABC_1kg</t>
        </is>
      </c>
      <c r="O40" s="12" t="n"/>
    </row>
    <row r="41">
      <c r="A41" s="22" t="n">
        <v>1</v>
      </c>
      <c r="B41" s="22" t="inlineStr">
        <is>
          <t>ABC1-S5</t>
        </is>
      </c>
      <c r="C41" s="23" t="inlineStr">
        <is>
          <t xml:space="preserve">    Carga: agente extintor y gas impulsor</t>
        </is>
      </c>
      <c r="D41" s="22" t="n">
        <v>1</v>
      </c>
      <c r="E41" s="22" t="inlineStr">
        <is>
          <t>u</t>
        </is>
      </c>
      <c r="F41" s="24" t="n"/>
      <c r="G41" s="24">
        <f>G42+G43</f>
        <v/>
      </c>
      <c r="H41" s="22" t="n"/>
      <c r="I41" s="23" t="n"/>
      <c r="J41" s="22" t="inlineStr">
        <is>
          <t>Carga en planta</t>
        </is>
      </c>
      <c r="K41" s="23" t="inlineStr">
        <is>
          <t>18 Carga de polvo (T01) / C8 (T02)</t>
        </is>
      </c>
      <c r="L41" s="23" t="n"/>
      <c r="M41" s="22" t="n"/>
      <c r="N41" s="22" t="n"/>
      <c r="O41" s="23" t="n"/>
    </row>
    <row r="42" outlineLevel="1">
      <c r="A42" s="25" t="n">
        <v>2</v>
      </c>
      <c r="B42" s="25" t="inlineStr">
        <is>
          <t>ABC1-A1</t>
        </is>
      </c>
      <c r="C42" s="12" t="inlineStr">
        <is>
          <t xml:space="preserve">        Polvo químico seco ABC 60 (Sello IRAM 3569, DEMSA)</t>
        </is>
      </c>
      <c r="D42" s="25" t="n">
        <v>1.05</v>
      </c>
      <c r="E42" s="25" t="inlineStr">
        <is>
          <t>kg</t>
        </is>
      </c>
      <c r="F42" s="26" t="n">
        <v>1</v>
      </c>
      <c r="G42" s="26">
        <f>D42*F42</f>
        <v/>
      </c>
      <c r="H42" s="25" t="inlineStr">
        <is>
          <t>Polvo químico seco ABC 60 (Sello IRAM 3569, DEMSA)</t>
        </is>
      </c>
      <c r="I42" s="12" t="inlineStr">
        <is>
          <t>nominal 1 kg; tolerancia 0 / +100 g (IRAM 3517-2:2020 tabla 3 · IRAM 3523 tabla II)</t>
        </is>
      </c>
      <c r="J42" s="25" t="inlineStr">
        <is>
          <t>Compra</t>
        </is>
      </c>
      <c r="K42" s="12" t="inlineStr">
        <is>
          <t>SP-1 almacén previo a la carga</t>
        </is>
      </c>
      <c r="L42" s="12" t="inlineStr">
        <is>
          <t>IRAM 3569</t>
        </is>
      </c>
      <c r="M42" s="25" t="inlineStr">
        <is>
          <t>N</t>
        </is>
      </c>
      <c r="N42" s="25" t="n"/>
      <c r="O42" s="12" t="inlineStr">
        <is>
          <t>MAP 60 % (banda 57-63 %) = 0,63 kg MAP + 0,389 kg sulfato de amonio + 0,032 kg aditivos · potencial 1A-3B:C · Lote único por extintor; prohibido mezclar ABC con BC (3517-2 9.9.1.6)</t>
        </is>
      </c>
    </row>
    <row r="43" outlineLevel="1">
      <c r="A43" s="25" t="n">
        <v>2</v>
      </c>
      <c r="B43" s="25" t="inlineStr">
        <is>
          <t>ABC1-A2</t>
        </is>
      </c>
      <c r="C43" s="12" t="inlineStr">
        <is>
          <t xml:space="preserve">        Gas impulsor: N₂</t>
        </is>
      </c>
      <c r="D43" s="25" t="n">
        <v>0.0012</v>
      </c>
      <c r="E43" s="25" t="inlineStr">
        <is>
          <t>kg</t>
        </is>
      </c>
      <c r="F43" s="26" t="n">
        <v>1</v>
      </c>
      <c r="G43" s="26">
        <f>D43*F43</f>
        <v/>
      </c>
      <c r="H43" s="25" t="inlineStr">
        <is>
          <t>N₂</t>
        </is>
      </c>
      <c r="I43" s="12" t="inlineStr">
        <is>
          <t>1 L normales para 1,4 MPa a 20 °C en 0,07 dm³ libres</t>
        </is>
      </c>
      <c r="J43" s="25" t="inlineStr">
        <is>
          <t>Compra</t>
        </is>
      </c>
      <c r="K43" s="12" t="inlineStr">
        <is>
          <t>20 Presurización (T05) / C10</t>
        </is>
      </c>
      <c r="L43" s="12" t="inlineStr">
        <is>
          <t>IRAM 3517-2 9.4.9 (tabla 2) · IRAM 3523 2.3 y 3.10</t>
        </is>
      </c>
      <c r="M43" s="25" t="inlineStr">
        <is>
          <t>C</t>
        </is>
      </c>
      <c r="N43" s="25" t="n"/>
      <c r="O43" s="12" t="inlineStr">
        <is>
          <t>VOLUMEN LIBRE INSUFICIENTE con ρ típica (0,07 dm³): ver Carga_N2 - exigir densidad aparente mínima al polvo o agrandar el recipiente</t>
        </is>
      </c>
    </row>
    <row r="44">
      <c r="A44" s="22" t="n">
        <v>1</v>
      </c>
      <c r="B44" s="22" t="inlineStr">
        <is>
          <t>ABC1-S6</t>
        </is>
      </c>
      <c r="C44" s="23" t="inlineStr">
        <is>
          <t xml:space="preserve">    Identificación y precinto</t>
        </is>
      </c>
      <c r="D44" s="22" t="n">
        <v>1</v>
      </c>
      <c r="E44" s="22" t="inlineStr">
        <is>
          <t>u</t>
        </is>
      </c>
      <c r="F44" s="24" t="n"/>
      <c r="G44" s="24">
        <f>G45+G46+G47+G48+G49</f>
        <v/>
      </c>
      <c r="H44" s="22" t="n"/>
      <c r="I44" s="23" t="n"/>
      <c r="J44" s="22" t="inlineStr">
        <is>
          <t>Compra</t>
        </is>
      </c>
      <c r="K44" s="23" t="inlineStr">
        <is>
          <t>22 Etiquetado (T07)</t>
        </is>
      </c>
      <c r="L44" s="23" t="n"/>
      <c r="M44" s="22" t="n"/>
      <c r="N44" s="22" t="n"/>
      <c r="O44" s="23" t="n"/>
    </row>
    <row r="45" outlineLevel="1">
      <c r="A45" s="25" t="n">
        <v>2</v>
      </c>
      <c r="B45" s="25" t="inlineStr">
        <is>
          <t>ABC1-16</t>
        </is>
      </c>
      <c r="C45" s="12" t="inlineStr">
        <is>
          <t xml:space="preserve">        Placa de características</t>
        </is>
      </c>
      <c r="D45" s="25" t="n">
        <v>1</v>
      </c>
      <c r="E45" s="25" t="inlineStr">
        <is>
          <t>u</t>
        </is>
      </c>
      <c r="F45" s="26" t="n">
        <v>0.0043</v>
      </c>
      <c r="G45" s="26">
        <f>D45*F45</f>
        <v/>
      </c>
      <c r="H45" s="25" t="inlineStr">
        <is>
          <t>Vinilo autoadhesivo laminado</t>
        </is>
      </c>
      <c r="I45" s="12" t="inlineStr">
        <is>
          <t>72 × 143 (desarrollo × alto), e ≈ 0,3</t>
        </is>
      </c>
      <c r="J45" s="25" t="inlineStr">
        <is>
          <t>Compra</t>
        </is>
      </c>
      <c r="K45" s="12" t="inlineStr">
        <is>
          <t>22 Etiquetado (T07)</t>
        </is>
      </c>
      <c r="L45" s="12" t="inlineStr">
        <is>
          <t>IRAM 3534 · IRAM 3523 cap. 5</t>
        </is>
      </c>
      <c r="M45" s="25" t="inlineStr">
        <is>
          <t>P</t>
        </is>
      </c>
      <c r="N45" s="25" t="inlineStr">
        <is>
          <t>FL_DES_ABC_1kg</t>
        </is>
      </c>
      <c r="O45" s="12" t="inlineStr">
        <is>
          <t>IRAM 3534</t>
        </is>
      </c>
    </row>
    <row r="46" outlineLevel="1">
      <c r="A46" s="25" t="n">
        <v>2</v>
      </c>
      <c r="B46" s="25" t="inlineStr">
        <is>
          <t>ABC1-17</t>
        </is>
      </c>
      <c r="C46" s="12" t="inlineStr">
        <is>
          <t xml:space="preserve">        Oblea de fabricación (PBA)</t>
        </is>
      </c>
      <c r="D46" s="25" t="n">
        <v>1</v>
      </c>
      <c r="E46" s="25" t="inlineStr">
        <is>
          <t>u</t>
        </is>
      </c>
      <c r="F46" s="26" t="n">
        <v>0.0009</v>
      </c>
      <c r="G46" s="26">
        <f>D46*F46</f>
        <v/>
      </c>
      <c r="H46" s="25" t="inlineStr">
        <is>
          <t>Papel de seguridad autodestructible</t>
        </is>
      </c>
      <c r="I46" s="12" t="inlineStr">
        <is>
          <t>Ø46 (Res. OPDS 522/07), numerada, autodestructible</t>
        </is>
      </c>
      <c r="J46" s="25" t="inlineStr">
        <is>
          <t>Compra</t>
        </is>
      </c>
      <c r="K46" s="12" t="inlineStr">
        <is>
          <t>22 Etiquetado (T07)</t>
        </is>
      </c>
      <c r="L46" s="12" t="inlineStr">
        <is>
          <t>Res. OPDS 522/07 anexos 1, 2 y 6</t>
        </is>
      </c>
      <c r="M46" s="25" t="inlineStr">
        <is>
          <t>P</t>
        </is>
      </c>
      <c r="N46" s="25" t="inlineStr">
        <is>
          <t>FL_DES_ABC_1kg</t>
        </is>
      </c>
      <c r="O46" s="12" t="inlineStr">
        <is>
          <t>Res. 522/07</t>
        </is>
      </c>
    </row>
    <row r="47" outlineLevel="1">
      <c r="A47" s="25" t="n">
        <v>2</v>
      </c>
      <c r="B47" s="25" t="inlineStr">
        <is>
          <t>ABC1-18</t>
        </is>
      </c>
      <c r="C47" s="12" t="inlineStr">
        <is>
          <t xml:space="preserve">        Estampilla IRAM de conformidad</t>
        </is>
      </c>
      <c r="D47" s="25" t="n">
        <v>1</v>
      </c>
      <c r="E47" s="25" t="inlineStr">
        <is>
          <t>u</t>
        </is>
      </c>
      <c r="F47" s="26" t="n">
        <v>0.001</v>
      </c>
      <c r="G47" s="26">
        <f>D47*F47</f>
        <v/>
      </c>
      <c r="H47" s="25" t="inlineStr">
        <is>
          <t>Provista por IRAM (Anexo R)</t>
        </is>
      </c>
      <c r="I47" s="12" t="inlineStr">
        <is>
          <t>60 × 40</t>
        </is>
      </c>
      <c r="J47" s="25" t="inlineStr">
        <is>
          <t>Compra</t>
        </is>
      </c>
      <c r="K47" s="12" t="inlineStr">
        <is>
          <t>22 Etiquetado (T07)</t>
        </is>
      </c>
      <c r="L47" s="12" t="inlineStr">
        <is>
          <t>IRAM Anexo R (DC-PG-129)</t>
        </is>
      </c>
      <c r="M47" s="25" t="inlineStr">
        <is>
          <t>P</t>
        </is>
      </c>
      <c r="N47" s="25" t="inlineStr">
        <is>
          <t>FL_DES_ABC_1kg</t>
        </is>
      </c>
      <c r="O47" s="12" t="inlineStr">
        <is>
          <t>numerada</t>
        </is>
      </c>
    </row>
    <row r="48" outlineLevel="1">
      <c r="A48" s="25" t="n">
        <v>2</v>
      </c>
      <c r="B48" s="25" t="inlineStr">
        <is>
          <t>ABC1-20</t>
        </is>
      </c>
      <c r="C48" s="12" t="inlineStr">
        <is>
          <t xml:space="preserve">        Precinto de fábrica</t>
        </is>
      </c>
      <c r="D48" s="25" t="n">
        <v>1</v>
      </c>
      <c r="E48" s="25" t="inlineStr">
        <is>
          <t>u</t>
        </is>
      </c>
      <c r="F48" s="26" t="n">
        <v>0.0002</v>
      </c>
      <c r="G48" s="26">
        <f>D48*F48</f>
        <v/>
      </c>
      <c r="H48" s="25" t="inlineStr">
        <is>
          <t>Polipropileno</t>
        </is>
      </c>
      <c r="I48" s="12" t="inlineStr">
        <is>
          <t>Ø5 × 10, numerado, rotura 30-50 N</t>
        </is>
      </c>
      <c r="J48" s="25" t="inlineStr">
        <is>
          <t>Compra</t>
        </is>
      </c>
      <c r="K48" s="12" t="inlineStr">
        <is>
          <t>20 Presurización (T05)</t>
        </is>
      </c>
      <c r="L48" s="12" t="inlineStr">
        <is>
          <t>IRAM 3523 3.3.2 · IRAM 3517-2:2020 9.4.13</t>
        </is>
      </c>
      <c r="M48" s="25" t="inlineStr">
        <is>
          <t>P</t>
        </is>
      </c>
      <c r="N48" s="25" t="inlineStr">
        <is>
          <t>FL_DES_ABC_1kg</t>
        </is>
      </c>
      <c r="O48" s="12" t="inlineStr">
        <is>
          <t>id. FLAMA y lote</t>
        </is>
      </c>
    </row>
    <row r="49" outlineLevel="1">
      <c r="A49" s="25" t="n">
        <v>2</v>
      </c>
      <c r="B49" s="25" t="inlineStr">
        <is>
          <t>ABC1-I3</t>
        </is>
      </c>
      <c r="C49" s="12" t="inlineStr">
        <is>
          <t xml:space="preserve">        Tarjeta oficial de vigencia (CABA)</t>
        </is>
      </c>
      <c r="D49" s="25" t="n">
        <v>1</v>
      </c>
      <c r="E49" s="25" t="inlineStr">
        <is>
          <t>u</t>
        </is>
      </c>
      <c r="F49" s="26" t="n">
        <v>0.002</v>
      </c>
      <c r="G49" s="26">
        <f>D49*F49</f>
        <v/>
      </c>
      <c r="H49" s="25" t="inlineStr">
        <is>
          <t>Formulario oficial</t>
        </is>
      </c>
      <c r="I49" s="12" t="inlineStr">
        <is>
          <t>provista por DG Rentas GCBA</t>
        </is>
      </c>
      <c r="J49" s="25" t="inlineStr">
        <is>
          <t>Compra</t>
        </is>
      </c>
      <c r="K49" s="12" t="inlineStr">
        <is>
          <t>22 Etiquetado</t>
        </is>
      </c>
      <c r="L49" s="12" t="inlineStr">
        <is>
          <t>Ordenanza 40.473 art. 6</t>
        </is>
      </c>
      <c r="M49" s="25" t="inlineStr">
        <is>
          <t>N</t>
        </is>
      </c>
      <c r="N49" s="25" t="n"/>
      <c r="O49" s="12" t="inlineStr">
        <is>
          <t>Clase, capacidad, fecha de carga y vencimiento, garantía; se anexa al matafuego (no se dibuja)</t>
        </is>
      </c>
    </row>
    <row r="50">
      <c r="A50" s="22" t="n">
        <v>1</v>
      </c>
      <c r="B50" s="22" t="inlineStr">
        <is>
          <t>ABC1-S8</t>
        </is>
      </c>
      <c r="C50" s="23" t="inlineStr">
        <is>
          <t xml:space="preserve">    Soporte (accesorio de montaje)</t>
        </is>
      </c>
      <c r="D50" s="22" t="n">
        <v>1</v>
      </c>
      <c r="E50" s="22" t="inlineStr">
        <is>
          <t>u</t>
        </is>
      </c>
      <c r="F50" s="24" t="n"/>
      <c r="G50" s="24">
        <f>G51</f>
        <v/>
      </c>
      <c r="H50" s="22" t="n"/>
      <c r="I50" s="23" t="n"/>
      <c r="J50" s="22" t="inlineStr">
        <is>
          <t>Compra</t>
        </is>
      </c>
      <c r="K50" s="23" t="inlineStr">
        <is>
          <t>23 Embalaje (va dentro de la caja)</t>
        </is>
      </c>
      <c r="L50" s="23" t="inlineStr">
        <is>
          <t>IRAM 3517-2 7.4</t>
        </is>
      </c>
      <c r="M50" s="22" t="n"/>
      <c r="N50" s="22" t="n"/>
      <c r="O50" s="23" t="n"/>
    </row>
    <row r="51" outlineLevel="1">
      <c r="A51" s="25" t="n">
        <v>2</v>
      </c>
      <c r="B51" s="25" t="inlineStr">
        <is>
          <t>ABC1-I7</t>
        </is>
      </c>
      <c r="C51" s="12" t="inlineStr">
        <is>
          <t xml:space="preserve">        Soporte vehicular con cierre rápido (FL_ACC_02)</t>
        </is>
      </c>
      <c r="D51" s="25" t="n">
        <v>1</v>
      </c>
      <c r="E51" s="25" t="inlineStr">
        <is>
          <t>u</t>
        </is>
      </c>
      <c r="F51" s="26" t="n">
        <v>0.631</v>
      </c>
      <c r="G51" s="26">
        <f>D51*F51</f>
        <v/>
      </c>
      <c r="H51" s="25" t="inlineStr">
        <is>
          <t>Chapa acero SAE 1010 e=2,5 pintada</t>
        </is>
      </c>
      <c r="I51" s="12" t="inlineStr">
        <is>
          <t>base 80 de ancho, 2 aros con hebilla</t>
        </is>
      </c>
      <c r="J51" s="25" t="inlineStr">
        <is>
          <t>Compra</t>
        </is>
      </c>
      <c r="K51" s="12" t="inlineStr">
        <is>
          <t>23 Embalaje</t>
        </is>
      </c>
      <c r="L51" s="12" t="inlineStr">
        <is>
          <t>IRAM 3517-2 7.4</t>
        </is>
      </c>
      <c r="M51" s="25" t="inlineStr">
        <is>
          <t>P</t>
        </is>
      </c>
      <c r="N51" s="25" t="inlineStr">
        <is>
          <t>FL_ACC_02</t>
        </is>
      </c>
      <c r="O51" s="12" t="n"/>
    </row>
    <row r="52">
      <c r="A52" s="22" t="n">
        <v>1</v>
      </c>
      <c r="B52" s="22" t="inlineStr">
        <is>
          <t>ABC1-S7</t>
        </is>
      </c>
      <c r="C52" s="23" t="inlineStr">
        <is>
          <t xml:space="preserve">    Embalaje</t>
        </is>
      </c>
      <c r="D52" s="22" t="n">
        <v>1</v>
      </c>
      <c r="E52" s="22" t="inlineStr">
        <is>
          <t>u</t>
        </is>
      </c>
      <c r="F52" s="24" t="n"/>
      <c r="G52" s="24">
        <f>G53+G54+G55+G56+G57</f>
        <v/>
      </c>
      <c r="H52" s="22" t="n"/>
      <c r="I52" s="23" t="n"/>
      <c r="J52" s="22" t="inlineStr">
        <is>
          <t>Compra</t>
        </is>
      </c>
      <c r="K52" s="23" t="inlineStr">
        <is>
          <t>23 Embalaje -&gt; 24 envolvedora (T11)</t>
        </is>
      </c>
      <c r="L52" s="23" t="n"/>
      <c r="M52" s="22" t="n"/>
      <c r="N52" s="22" t="n"/>
      <c r="O52" s="23" t="n"/>
    </row>
    <row r="53" outlineLevel="1">
      <c r="A53" s="25" t="n">
        <v>2</v>
      </c>
      <c r="B53" s="25" t="inlineStr">
        <is>
          <t>ABC1-E1</t>
        </is>
      </c>
      <c r="C53" s="12" t="inlineStr">
        <is>
          <t xml:space="preserve">        Caja de cartón corrugado simple</t>
        </is>
      </c>
      <c r="D53" s="25" t="n">
        <v>1</v>
      </c>
      <c r="E53" s="25" t="inlineStr">
        <is>
          <t>u</t>
        </is>
      </c>
      <c r="F53" s="26" t="n">
        <v>0.25</v>
      </c>
      <c r="G53" s="26">
        <f>D53*F53</f>
        <v/>
      </c>
      <c r="H53" s="25" t="inlineStr">
        <is>
          <t>Cartón corrugado</t>
        </is>
      </c>
      <c r="I53" s="12" t="inlineStr">
        <is>
          <t>122 × 107 × 360 interior</t>
        </is>
      </c>
      <c r="J53" s="25" t="inlineStr">
        <is>
          <t>Compra</t>
        </is>
      </c>
      <c r="K53" s="12" t="inlineStr">
        <is>
          <t>23 Embalaje</t>
        </is>
      </c>
      <c r="L53" s="12" t="n"/>
      <c r="M53" s="25" t="inlineStr">
        <is>
          <t>R</t>
        </is>
      </c>
      <c r="N53" s="25" t="n"/>
      <c r="O53" s="12" t="n"/>
    </row>
    <row r="54" outlineLevel="1">
      <c r="A54" s="25" t="n">
        <v>2</v>
      </c>
      <c r="B54" s="25" t="inlineStr">
        <is>
          <t>ABC1-E2</t>
        </is>
      </c>
      <c r="C54" s="12" t="inlineStr">
        <is>
          <t xml:space="preserve">        Instructivo de uso y mantenimiento</t>
        </is>
      </c>
      <c r="D54" s="25" t="n">
        <v>1</v>
      </c>
      <c r="E54" s="25" t="inlineStr">
        <is>
          <t>u</t>
        </is>
      </c>
      <c r="F54" s="26" t="n">
        <v>0.01</v>
      </c>
      <c r="G54" s="26">
        <f>D54*F54</f>
        <v/>
      </c>
      <c r="H54" s="25" t="inlineStr">
        <is>
          <t>Papel</t>
        </is>
      </c>
      <c r="I54" s="12" t="inlineStr">
        <is>
          <t>A5</t>
        </is>
      </c>
      <c r="J54" s="25" t="inlineStr">
        <is>
          <t>Compra</t>
        </is>
      </c>
      <c r="K54" s="12" t="inlineStr">
        <is>
          <t>23 Embalaje</t>
        </is>
      </c>
      <c r="L54" s="12" t="inlineStr">
        <is>
          <t>IRAM 3517-2 (información al usuario)</t>
        </is>
      </c>
      <c r="M54" s="25" t="inlineStr">
        <is>
          <t>R</t>
        </is>
      </c>
      <c r="N54" s="25" t="n"/>
      <c r="O54" s="12" t="n"/>
    </row>
    <row r="55" outlineLevel="1">
      <c r="A55" s="25" t="n">
        <v>2</v>
      </c>
      <c r="B55" s="25" t="inlineStr">
        <is>
          <t>ABC1-E3</t>
        </is>
      </c>
      <c r="C55" s="12" t="inlineStr">
        <is>
          <t xml:space="preserve">        Pallet 1200 × 1000 (fracción)</t>
        </is>
      </c>
      <c r="D55" s="25" t="n">
        <v>0.0028</v>
      </c>
      <c r="E55" s="25" t="inlineStr">
        <is>
          <t>u</t>
        </is>
      </c>
      <c r="F55" s="26" t="n">
        <v>0.062</v>
      </c>
      <c r="G55" s="26">
        <f>D55*F55</f>
        <v/>
      </c>
      <c r="H55" s="25" t="inlineStr">
        <is>
          <t>Madera</t>
        </is>
      </c>
      <c r="I55" s="12" t="inlineStr">
        <is>
          <t>352 u por pallet</t>
        </is>
      </c>
      <c r="J55" s="25" t="inlineStr">
        <is>
          <t>Compra</t>
        </is>
      </c>
      <c r="K55" s="12" t="inlineStr">
        <is>
          <t>23 Embalaje</t>
        </is>
      </c>
      <c r="L55" s="12" t="n"/>
      <c r="M55" s="25" t="inlineStr">
        <is>
          <t>R</t>
        </is>
      </c>
      <c r="N55" s="25" t="n"/>
      <c r="O55" s="12" t="n"/>
    </row>
    <row r="56" outlineLevel="1">
      <c r="A56" s="25" t="n">
        <v>2</v>
      </c>
      <c r="B56" s="25" t="inlineStr">
        <is>
          <t>ABC1-E4</t>
        </is>
      </c>
      <c r="C56" s="12" t="inlineStr">
        <is>
          <t xml:space="preserve">        Film stretch (fracción del pallet)</t>
        </is>
      </c>
      <c r="D56" s="25" t="n">
        <v>0.001</v>
      </c>
      <c r="E56" s="25" t="inlineStr">
        <is>
          <t>kg</t>
        </is>
      </c>
      <c r="F56" s="26" t="n">
        <v>1</v>
      </c>
      <c r="G56" s="26">
        <f>D56*F56</f>
        <v/>
      </c>
      <c r="H56" s="25" t="inlineStr">
        <is>
          <t>PE lineal 23 µm</t>
        </is>
      </c>
      <c r="I56" s="12" t="inlineStr">
        <is>
          <t>envolvedora EDOS PS5</t>
        </is>
      </c>
      <c r="J56" s="25" t="inlineStr">
        <is>
          <t>Compra</t>
        </is>
      </c>
      <c r="K56" s="12" t="inlineStr">
        <is>
          <t>24 Envolvedora (T11)</t>
        </is>
      </c>
      <c r="L56" s="12" t="n"/>
      <c r="M56" s="25" t="inlineStr">
        <is>
          <t>R</t>
        </is>
      </c>
      <c r="N56" s="25" t="n"/>
      <c r="O56" s="12" t="n"/>
    </row>
    <row r="57" outlineLevel="1">
      <c r="A57" s="25" t="n">
        <v>2</v>
      </c>
      <c r="B57" s="25" t="inlineStr">
        <is>
          <t>ABC1-E5</t>
        </is>
      </c>
      <c r="C57" s="12" t="inlineStr">
        <is>
          <t xml:space="preserve">        Etiqueta de pallet (lote y destino, fracción)</t>
        </is>
      </c>
      <c r="D57" s="25" t="n">
        <v>0.0028</v>
      </c>
      <c r="E57" s="25" t="inlineStr">
        <is>
          <t>u</t>
        </is>
      </c>
      <c r="F57" s="26" t="n">
        <v>0</v>
      </c>
      <c r="G57" s="26">
        <f>D57*F57</f>
        <v/>
      </c>
      <c r="H57" s="25" t="inlineStr">
        <is>
          <t>Papel térmico</t>
        </is>
      </c>
      <c r="I57" s="12" t="inlineStr">
        <is>
          <t>100 × 150</t>
        </is>
      </c>
      <c r="J57" s="25" t="inlineStr">
        <is>
          <t>Compra</t>
        </is>
      </c>
      <c r="K57" s="12" t="inlineStr">
        <is>
          <t>24 Envolvedora</t>
        </is>
      </c>
      <c r="L57" s="12" t="n"/>
      <c r="M57" s="25" t="inlineStr">
        <is>
          <t>R</t>
        </is>
      </c>
      <c r="N57" s="25" t="n"/>
      <c r="O57" s="12" t="n"/>
    </row>
  </sheetData>
  <autoFilter ref="A10:O57"/>
  <pageMargins left="0.75" right="0.75" top="1" bottom="1" header="0.5" footer="0.5"/>
  <pageSetup orientation="landscape" fitToHeight="0" fitToWidth="1"/>
</worksheet>
</file>

<file path=xl/worksheets/sheet8.xml><?xml version="1.0" encoding="utf-8"?>
<worksheet xmlns="http://schemas.openxmlformats.org/spreadsheetml/2006/main">
  <sheetPr>
    <tabColor rgb="007F1D1D"/>
    <outlinePr summaryBelow="0" summaryRight="1"/>
    <pageSetUpPr fitToPage="1"/>
  </sheetPr>
  <dimension ref="A1:O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FL_MAT_ABC_2.5kg</t>
        </is>
      </c>
    </row>
    <row r="2">
      <c r="A2" s="2" t="inlineStr">
        <is>
          <t>Extintor ABC 2,5 kg</t>
        </is>
      </c>
    </row>
    <row r="3">
      <c r="A3" s="14" t="inlineStr">
        <is>
          <t>Plano de origen</t>
        </is>
      </c>
      <c r="C3" t="inlineStr">
        <is>
          <t>FL_MAT_ABC_2.5kg  (3 láminas)</t>
        </is>
      </c>
      <c r="E3" s="14" t="inlineStr">
        <is>
          <t>Peso vacío S1-S4 (kg)</t>
        </is>
      </c>
      <c r="G3" s="30">
        <f>G12+G25+G39</f>
        <v/>
      </c>
    </row>
    <row r="4">
      <c r="A4" s="14" t="inlineStr">
        <is>
          <t>Plano de despiece</t>
        </is>
      </c>
      <c r="C4" t="inlineStr">
        <is>
          <t>FL_DES_ABC_2.5kg (salida/despiece/)</t>
        </is>
      </c>
      <c r="E4" s="14" t="inlineStr">
        <is>
          <t>Peso cargado S1-S6 (kg)</t>
        </is>
      </c>
      <c r="G4" s="30">
        <f>G12+G25+G39+G44+G47</f>
        <v/>
      </c>
    </row>
    <row r="5">
      <c r="A5" s="14" t="inlineStr">
        <is>
          <t>Norma del producto</t>
        </is>
      </c>
      <c r="C5" t="inlineStr">
        <is>
          <t>IRAM 3523</t>
        </is>
      </c>
      <c r="E5" s="14" t="inlineStr">
        <is>
          <t>Peso con soporte y embalaje (kg)</t>
        </is>
      </c>
      <c r="G5" s="30">
        <f>G12+G25+G39+G44+G47+G57+G53</f>
        <v/>
      </c>
    </row>
    <row r="6">
      <c r="A6" s="14" t="inlineStr">
        <is>
          <t>Fabricación</t>
        </is>
      </c>
      <c r="C6" t="inlineStr">
        <is>
          <t>Fabricación propia</t>
        </is>
      </c>
      <c r="E6" s="14" t="inlineStr">
        <is>
          <t>Desvío cargado vs catálogo</t>
        </is>
      </c>
      <c r="G6" s="10">
        <f>G4/C7-1</f>
        <v/>
      </c>
    </row>
    <row r="7">
      <c r="A7" s="14" t="inlineStr">
        <is>
          <t>Peso catálogo cargado (kg)</t>
        </is>
      </c>
      <c r="C7" t="n">
        <v>4.6</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FL_MAT_ABC_2.5kg</t>
        </is>
      </c>
      <c r="C11" s="20" t="inlineStr">
        <is>
          <t>Extintor ABC 2,5 kg</t>
        </is>
      </c>
      <c r="D11" s="19" t="n">
        <v>1</v>
      </c>
      <c r="E11" s="19" t="inlineStr">
        <is>
          <t>u</t>
        </is>
      </c>
      <c r="F11" s="21" t="n"/>
      <c r="G11" s="21">
        <f>G5</f>
        <v/>
      </c>
      <c r="H11" s="19" t="n"/>
      <c r="I11" s="20" t="n"/>
      <c r="J11" s="19" t="n"/>
      <c r="K11" s="20" t="n"/>
      <c r="L11" s="20" t="inlineStr">
        <is>
          <t>IRAM 3523</t>
        </is>
      </c>
      <c r="M11" s="19" t="inlineStr">
        <is>
          <t>P</t>
        </is>
      </c>
      <c r="N11" s="19" t="inlineStr">
        <is>
          <t>FL_MAT_ABC_2.5kg</t>
        </is>
      </c>
      <c r="O11" s="20" t="inlineStr">
        <is>
          <t>Fabricación propia</t>
        </is>
      </c>
    </row>
    <row r="12">
      <c r="A12" s="22" t="n">
        <v>1</v>
      </c>
      <c r="B12" s="22" t="inlineStr">
        <is>
          <t>FL_REC_ABC_2.5kg</t>
        </is>
      </c>
      <c r="C12" s="23" t="inlineStr">
        <is>
          <t xml:space="preserve">    Recipiente (cilindro)</t>
        </is>
      </c>
      <c r="D12" s="22" t="n">
        <v>1</v>
      </c>
      <c r="E12" s="22" t="inlineStr">
        <is>
          <t>u</t>
        </is>
      </c>
      <c r="F12" s="24" t="n"/>
      <c r="G12" s="24">
        <f>G13+G15+G17+G19+G21+G24</f>
        <v/>
      </c>
      <c r="H12" s="22" t="n"/>
      <c r="I12" s="23" t="n"/>
      <c r="J12" s="22" t="inlineStr">
        <is>
          <t>Fabricación</t>
        </is>
      </c>
      <c r="K12" s="23" t="n"/>
      <c r="L12" s="23" t="inlineStr">
        <is>
          <t>IRAM 3523 / 3550 (recipiente)</t>
        </is>
      </c>
      <c r="M12" s="22" t="inlineStr">
        <is>
          <t>P</t>
        </is>
      </c>
      <c r="N12" s="22" t="inlineStr">
        <is>
          <t>FL_REC_ABC_2.5kg</t>
        </is>
      </c>
      <c r="O12" s="23" t="n"/>
    </row>
    <row r="13" outlineLevel="1">
      <c r="A13" s="25" t="n">
        <v>2</v>
      </c>
      <c r="B13" s="25" t="inlineStr">
        <is>
          <t>ABC2.5-01</t>
        </is>
      </c>
      <c r="C13" s="12" t="inlineStr">
        <is>
          <t xml:space="preserve">        Cuerpo (virola)</t>
        </is>
      </c>
      <c r="D13" s="25" t="n">
        <v>1</v>
      </c>
      <c r="E13" s="25" t="inlineStr">
        <is>
          <t>u</t>
        </is>
      </c>
      <c r="F13" s="26" t="n">
        <v>0.9899</v>
      </c>
      <c r="G13" s="26">
        <f>D13*F13</f>
        <v/>
      </c>
      <c r="H13" s="25" t="inlineStr">
        <is>
          <t>Chapa acero SAE 1010 e=1,25</t>
        </is>
      </c>
      <c r="I13" s="12" t="inlineStr">
        <is>
          <t>Ø124 × e1,25 × 261,6 de alto; desarrollo 385,6 × 261,6</t>
        </is>
      </c>
      <c r="J13" s="25" t="inlineStr">
        <is>
          <t>Fabricación</t>
        </is>
      </c>
      <c r="K13" s="12" t="inlineStr">
        <is>
          <t>1 Guillotina -&gt; 2 numerado -&gt; 3 cilindrado -&gt; 4 soldadura longitudinal</t>
        </is>
      </c>
      <c r="L13" s="12" t="n"/>
      <c r="M13" s="25" t="inlineStr">
        <is>
          <t>P</t>
        </is>
      </c>
      <c r="N13" s="25" t="inlineStr">
        <is>
          <t>FL_DES_ABC_2.5kg</t>
        </is>
      </c>
      <c r="O13" s="12" t="inlineStr">
        <is>
          <t>costura long. MIG</t>
        </is>
      </c>
    </row>
    <row r="14" outlineLevel="2">
      <c r="A14" s="27" t="n">
        <v>3</v>
      </c>
      <c r="B14" s="27" t="inlineStr">
        <is>
          <t>MP-HOJA</t>
        </is>
      </c>
      <c r="C14" s="28" t="inlineStr">
        <is>
          <t xml:space="preserve">            Recorte de hoja LAF 1220 × 2440 e=1,25</t>
        </is>
      </c>
      <c r="D14" s="27" t="n">
        <v>1</v>
      </c>
      <c r="E14" s="27" t="inlineStr">
        <is>
          <t>u</t>
        </is>
      </c>
      <c r="F14" s="29" t="n">
        <v>1.082</v>
      </c>
      <c r="G14" s="29">
        <f>D14*F14</f>
        <v/>
      </c>
      <c r="H14" s="27" t="inlineStr">
        <is>
          <t>Chapa SAE 1010 LAF</t>
        </is>
      </c>
      <c r="I14" s="28" t="inlineStr">
        <is>
          <t>385,5 × 269,5 (aprovech. 94,2 %)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ABC2.5-02</t>
        </is>
      </c>
      <c r="C15" s="12" t="inlineStr">
        <is>
          <t xml:space="preserve">        Cúpula</t>
        </is>
      </c>
      <c r="D15" s="25" t="n">
        <v>1</v>
      </c>
      <c r="E15" s="25" t="inlineStr">
        <is>
          <t>u</t>
        </is>
      </c>
      <c r="F15" s="26" t="n">
        <v>0.1642</v>
      </c>
      <c r="G15" s="26">
        <f>D15*F15</f>
        <v/>
      </c>
      <c r="H15" s="25" t="inlineStr">
        <is>
          <t>Chapa acero SAE 1010 e=1,25</t>
        </is>
      </c>
      <c r="I15" s="12" t="inlineStr">
        <is>
          <t>Ø124 × e1,25 × 37,9 de alto; disco Ø179</t>
        </is>
      </c>
      <c r="J15" s="25" t="inlineStr">
        <is>
          <t>Fabricación</t>
        </is>
      </c>
      <c r="K15" s="12" t="inlineStr">
        <is>
          <t>6 Desbobinado + embutido (M06-M08)</t>
        </is>
      </c>
      <c r="L15" s="12" t="n"/>
      <c r="M15" s="25" t="inlineStr">
        <is>
          <t>P</t>
        </is>
      </c>
      <c r="N15" s="25" t="inlineStr">
        <is>
          <t>FL_DES_ABC_2.5kg</t>
        </is>
      </c>
      <c r="O15" s="12" t="inlineStr">
        <is>
          <t>embutida</t>
        </is>
      </c>
    </row>
    <row r="16" outlineLevel="2">
      <c r="A16" s="27" t="n">
        <v>3</v>
      </c>
      <c r="B16" s="27" t="inlineStr">
        <is>
          <t>MP-FLEJE</t>
        </is>
      </c>
      <c r="C16" s="28" t="inlineStr">
        <is>
          <t xml:space="preserve">            Fleje e=1,25 × 200 (paso 182)</t>
        </is>
      </c>
      <c r="D16" s="27" t="n">
        <v>0.182</v>
      </c>
      <c r="E16" s="27" t="inlineStr">
        <is>
          <t>m</t>
        </is>
      </c>
      <c r="F16" s="29" t="n">
        <v>1.962</v>
      </c>
      <c r="G16" s="29">
        <f>D16*F16</f>
        <v/>
      </c>
      <c r="H16" s="27" t="inlineStr">
        <is>
          <t>Fleje SAE 1010</t>
        </is>
      </c>
      <c r="I16" s="28" t="inlineStr">
        <is>
          <t>disco Ø179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ABC2.5-03</t>
        </is>
      </c>
      <c r="C17" s="12" t="inlineStr">
        <is>
          <t xml:space="preserve">        Fondo</t>
        </is>
      </c>
      <c r="D17" s="25" t="n">
        <v>1</v>
      </c>
      <c r="E17" s="25" t="inlineStr">
        <is>
          <t>u</t>
        </is>
      </c>
      <c r="F17" s="26" t="n">
        <v>0.1138</v>
      </c>
      <c r="G17" s="26">
        <f>D17*F17</f>
        <v/>
      </c>
      <c r="H17" s="25" t="inlineStr">
        <is>
          <t>Chapa acero SAE 1010 e=1,25</t>
        </is>
      </c>
      <c r="I17" s="12" t="inlineStr">
        <is>
          <t>Ø124 × e1,25 × 11,8 de alto; disco Ø148</t>
        </is>
      </c>
      <c r="J17" s="25" t="inlineStr">
        <is>
          <t>Fabricación</t>
        </is>
      </c>
      <c r="K17" s="12" t="inlineStr">
        <is>
          <t>6 Desbobinado + embutido (M06-M08)</t>
        </is>
      </c>
      <c r="L17" s="12" t="n"/>
      <c r="M17" s="25" t="inlineStr">
        <is>
          <t>P</t>
        </is>
      </c>
      <c r="N17" s="25" t="inlineStr">
        <is>
          <t>FL_DES_ABC_2.5kg</t>
        </is>
      </c>
      <c r="O17" s="12" t="inlineStr">
        <is>
          <t>embutido</t>
        </is>
      </c>
    </row>
    <row r="18" outlineLevel="2">
      <c r="A18" s="27" t="n">
        <v>3</v>
      </c>
      <c r="B18" s="27" t="inlineStr">
        <is>
          <t>MP-FLEJE</t>
        </is>
      </c>
      <c r="C18" s="28" t="inlineStr">
        <is>
          <t xml:space="preserve">            Fleje e=1,25 × 200 (paso 151)</t>
        </is>
      </c>
      <c r="D18" s="27" t="n">
        <v>0.151</v>
      </c>
      <c r="E18" s="27" t="inlineStr">
        <is>
          <t>m</t>
        </is>
      </c>
      <c r="F18" s="29" t="n">
        <v>1.962</v>
      </c>
      <c r="G18" s="29">
        <f>D18*F18</f>
        <v/>
      </c>
      <c r="H18" s="27" t="inlineStr">
        <is>
          <t>Fleje SAE 1010</t>
        </is>
      </c>
      <c r="I18" s="28" t="inlineStr">
        <is>
          <t>disco Ø148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ABC2.5-04</t>
        </is>
      </c>
      <c r="C19" s="12" t="inlineStr">
        <is>
          <t xml:space="preserve">        Cuello roscado</t>
        </is>
      </c>
      <c r="D19" s="25" t="n">
        <v>1</v>
      </c>
      <c r="E19" s="25" t="inlineStr">
        <is>
          <t>u</t>
        </is>
      </c>
      <c r="F19" s="26" t="n">
        <v>0.0545</v>
      </c>
      <c r="G19" s="26">
        <f>D19*F19</f>
        <v/>
      </c>
      <c r="H19" s="25" t="inlineStr">
        <is>
          <t>Acero SAE 1010</t>
        </is>
      </c>
      <c r="I19" s="12" t="inlineStr">
        <is>
          <t>Ø37 × 14 de alto, rosca M30x1,5, asiento Ø35</t>
        </is>
      </c>
      <c r="J19" s="25" t="inlineStr">
        <is>
          <t>Fabricación</t>
        </is>
      </c>
      <c r="K19" s="12" t="inlineStr">
        <is>
          <t>7 Preparación de cuello -&gt; 8 soldadura de cuello</t>
        </is>
      </c>
      <c r="L19" s="12" t="n"/>
      <c r="M19" s="25" t="inlineStr">
        <is>
          <t>P</t>
        </is>
      </c>
      <c r="N19" s="25" t="inlineStr">
        <is>
          <t>FL_DES_ABC_2.5kg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0.055</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ABC2.5-C1</t>
        </is>
      </c>
      <c r="C21" s="12" t="inlineStr">
        <is>
          <t xml:space="preserve">        Aporte de soldadura: Alambre MAG ER70S-6 Ø0,9/1,2</t>
        </is>
      </c>
      <c r="D21" s="25" t="n">
        <v>0.0303</v>
      </c>
      <c r="E21" s="25" t="inlineStr">
        <is>
          <t>kg</t>
        </is>
      </c>
      <c r="F21" s="26" t="n">
        <v>0.92</v>
      </c>
      <c r="G21" s="26">
        <f>D21*F21</f>
        <v/>
      </c>
      <c r="H21" s="25" t="inlineStr">
        <is>
          <t>Alambre MAG ER70S-6 Ø0,9/1,2</t>
        </is>
      </c>
      <c r="I21" s="12" t="inlineStr">
        <is>
          <t>cordones del plano: 28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ABC2.5-C2</t>
        </is>
      </c>
      <c r="C22" s="12" t="inlineStr">
        <is>
          <t xml:space="preserve">        Gas de protección: Arcal 21 (Ar + 18 % CO₂)</t>
        </is>
      </c>
      <c r="D22" s="25" t="n">
        <v>13.6</v>
      </c>
      <c r="E22" s="25" t="inlineStr">
        <is>
          <t>L</t>
        </is>
      </c>
      <c r="F22" s="26" t="n"/>
      <c r="G22" s="26" t="n"/>
      <c r="H22" s="25" t="inlineStr">
        <is>
          <t>Arcal 21 (Ar + 18 % CO₂)</t>
        </is>
      </c>
      <c r="I22" s="12" t="inlineStr">
        <is>
          <t>0,9 min de arco × 15 L/min</t>
        </is>
      </c>
      <c r="J22" s="25" t="inlineStr">
        <is>
          <t>Compra</t>
        </is>
      </c>
      <c r="K22" s="12" t="inlineStr">
        <is>
          <t>Colector SC</t>
        </is>
      </c>
      <c r="L22" s="12" t="n"/>
      <c r="M22" s="25" t="inlineStr">
        <is>
          <t>R</t>
        </is>
      </c>
      <c r="N22" s="25" t="n"/>
      <c r="O22" s="12" t="n"/>
    </row>
    <row r="23" outlineLevel="1">
      <c r="A23" s="25" t="n">
        <v>2</v>
      </c>
      <c r="B23" s="25" t="inlineStr">
        <is>
          <t>ABC2.5-C3</t>
        </is>
      </c>
      <c r="C23" s="12" t="inlineStr">
        <is>
          <t xml:space="preserve">        Granalla de acero (consumo)</t>
        </is>
      </c>
      <c r="D23" s="25" t="n">
        <v>0.01</v>
      </c>
      <c r="E23" s="25" t="inlineStr">
        <is>
          <t>kg</t>
        </is>
      </c>
      <c r="F23" s="26" t="n"/>
      <c r="G23" s="26" t="n"/>
      <c r="H23" s="25" t="inlineStr">
        <is>
          <t>Granalla S-230</t>
        </is>
      </c>
      <c r="I23" s="12" t="inlineStr">
        <is>
          <t>0,129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ABC2.5-C4</t>
        </is>
      </c>
      <c r="C24" s="12" t="inlineStr">
        <is>
          <t xml:space="preserve">        Pintura en polvo poliéster rojo</t>
        </is>
      </c>
      <c r="D24" s="25" t="n">
        <v>0.024</v>
      </c>
      <c r="E24" s="25" t="inlineStr">
        <is>
          <t>kg</t>
        </is>
      </c>
      <c r="F24" s="26" t="n">
        <v>0.65</v>
      </c>
      <c r="G24" s="26">
        <f>D24*F24</f>
        <v/>
      </c>
      <c r="H24" s="25" t="inlineStr">
        <is>
          <t>Poliéster rojo 03-1-050</t>
        </is>
      </c>
      <c r="I24" s="12" t="inlineStr">
        <is>
          <t>0,129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c r="A25" s="22" t="n">
        <v>1</v>
      </c>
      <c r="B25" s="22" t="inlineStr">
        <is>
          <t>ABC2.5-S2</t>
        </is>
      </c>
      <c r="C25" s="23" t="inlineStr">
        <is>
          <t xml:space="preserve">    Conjunto de válvula</t>
        </is>
      </c>
      <c r="D25" s="22" t="n">
        <v>1</v>
      </c>
      <c r="E25" s="22" t="inlineStr">
        <is>
          <t>u</t>
        </is>
      </c>
      <c r="F25" s="24" t="n"/>
      <c r="G25" s="24">
        <f>G26+G27+G28+G29+G30+G31+G32+G33+G34+G35+G36+G37+G38</f>
        <v/>
      </c>
      <c r="H25" s="22" t="n"/>
      <c r="I25" s="23" t="n"/>
      <c r="J25" s="22" t="inlineStr">
        <is>
          <t>Compra / armado</t>
        </is>
      </c>
      <c r="K25" s="23" t="n"/>
      <c r="L25" s="23" t="inlineStr">
        <is>
          <t>Manómetro IRAM 3533</t>
        </is>
      </c>
      <c r="M25" s="22" t="inlineStr">
        <is>
          <t>P</t>
        </is>
      </c>
      <c r="N25" s="22" t="inlineStr">
        <is>
          <t>FL_DES_ABC_2.5kg</t>
        </is>
      </c>
      <c r="O25" s="23" t="n"/>
    </row>
    <row r="26" outlineLevel="1">
      <c r="A26" s="25" t="n">
        <v>2</v>
      </c>
      <c r="B26" s="25" t="inlineStr">
        <is>
          <t>ABC2.5-05</t>
        </is>
      </c>
      <c r="C26" s="12" t="inlineStr">
        <is>
          <t xml:space="preserve">        Collarín de válvula</t>
        </is>
      </c>
      <c r="D26" s="25" t="n">
        <v>1</v>
      </c>
      <c r="E26" s="25" t="inlineStr">
        <is>
          <t>u</t>
        </is>
      </c>
      <c r="F26" s="26" t="n">
        <v>0.0833</v>
      </c>
      <c r="G26" s="26">
        <f>D26*F26</f>
        <v/>
      </c>
      <c r="H26" s="25" t="inlineStr">
        <is>
          <t>Latón forjado</t>
        </is>
      </c>
      <c r="I26" s="12" t="inlineStr">
        <is>
          <t>43 × 43 × 10</t>
        </is>
      </c>
      <c r="J26" s="25" t="inlineStr">
        <is>
          <t>Compra</t>
        </is>
      </c>
      <c r="K26" s="12" t="inlineStr">
        <is>
          <t>19 Ensamblaje de válvula (T03/T04)</t>
        </is>
      </c>
      <c r="L26" s="12" t="n"/>
      <c r="M26" s="25" t="inlineStr">
        <is>
          <t>P</t>
        </is>
      </c>
      <c r="N26" s="25" t="inlineStr">
        <is>
          <t>FL_DES_ABC_2.5kg</t>
        </is>
      </c>
      <c r="O26" s="12" t="n"/>
    </row>
    <row r="27" outlineLevel="1">
      <c r="A27" s="25" t="n">
        <v>2</v>
      </c>
      <c r="B27" s="25" t="inlineStr">
        <is>
          <t>ABC2.5-06</t>
        </is>
      </c>
      <c r="C27" s="12" t="inlineStr">
        <is>
          <t xml:space="preserve">        Espiga roscada</t>
        </is>
      </c>
      <c r="D27" s="25" t="n">
        <v>1</v>
      </c>
      <c r="E27" s="25" t="inlineStr">
        <is>
          <t>u</t>
        </is>
      </c>
      <c r="F27" s="26" t="n">
        <v>0.0243</v>
      </c>
      <c r="G27" s="26">
        <f>D27*F27</f>
        <v/>
      </c>
      <c r="H27" s="25" t="inlineStr">
        <is>
          <t>Latón forjado</t>
        </is>
      </c>
      <c r="I27" s="12" t="inlineStr">
        <is>
          <t>28,4 × 28,4 × 12</t>
        </is>
      </c>
      <c r="J27" s="25" t="inlineStr">
        <is>
          <t>Compra</t>
        </is>
      </c>
      <c r="K27" s="12" t="inlineStr">
        <is>
          <t>19 Ensamblaje de válvula (T03/T04)</t>
        </is>
      </c>
      <c r="L27" s="12" t="n"/>
      <c r="M27" s="25" t="inlineStr">
        <is>
          <t>P</t>
        </is>
      </c>
      <c r="N27" s="25" t="inlineStr">
        <is>
          <t>FL_DES_ABC_2.5kg</t>
        </is>
      </c>
      <c r="O27" s="12" t="n"/>
    </row>
    <row r="28" outlineLevel="1">
      <c r="A28" s="25" t="n">
        <v>2</v>
      </c>
      <c r="B28" s="25" t="inlineStr">
        <is>
          <t>ABC2.5-07</t>
        </is>
      </c>
      <c r="C28" s="12" t="inlineStr">
        <is>
          <t xml:space="preserve">        Cuerpo de válvula</t>
        </is>
      </c>
      <c r="D28" s="25" t="n">
        <v>1</v>
      </c>
      <c r="E28" s="25" t="inlineStr">
        <is>
          <t>u</t>
        </is>
      </c>
      <c r="F28" s="26" t="n">
        <v>0.4817</v>
      </c>
      <c r="G28" s="26">
        <f>D28*F28</f>
        <v/>
      </c>
      <c r="H28" s="25" t="inlineStr">
        <is>
          <t>Latón forjado</t>
        </is>
      </c>
      <c r="I28" s="12" t="inlineStr">
        <is>
          <t>66,1 × 43 × 34</t>
        </is>
      </c>
      <c r="J28" s="25" t="inlineStr">
        <is>
          <t>Compra</t>
        </is>
      </c>
      <c r="K28" s="12" t="inlineStr">
        <is>
          <t>19 Ensamblaje de válvula (T03/T04)</t>
        </is>
      </c>
      <c r="L28" s="12" t="n"/>
      <c r="M28" s="25" t="inlineStr">
        <is>
          <t>P</t>
        </is>
      </c>
      <c r="N28" s="25" t="inlineStr">
        <is>
          <t>FL_DES_ABC_2.5kg</t>
        </is>
      </c>
      <c r="O28" s="12" t="n"/>
    </row>
    <row r="29" outlineLevel="1">
      <c r="A29" s="25" t="n">
        <v>2</v>
      </c>
      <c r="B29" s="25" t="inlineStr">
        <is>
          <t>ABC2.5-08</t>
        </is>
      </c>
      <c r="C29" s="12" t="inlineStr">
        <is>
          <t xml:space="preserve">        Manómetro</t>
        </is>
      </c>
      <c r="D29" s="25" t="n">
        <v>1</v>
      </c>
      <c r="E29" s="25" t="inlineStr">
        <is>
          <t>u</t>
        </is>
      </c>
      <c r="F29" s="26" t="n">
        <v>0.06</v>
      </c>
      <c r="G29" s="26">
        <f>D29*F29</f>
        <v/>
      </c>
      <c r="H29" s="25" t="inlineStr">
        <is>
          <t>Comercial</t>
        </is>
      </c>
      <c r="I29" s="12" t="inlineStr">
        <is>
          <t>Ø38 esfera, rango 0-3,5 MPa, sector verde en 1,4</t>
        </is>
      </c>
      <c r="J29" s="25" t="inlineStr">
        <is>
          <t>Compra</t>
        </is>
      </c>
      <c r="K29" s="12" t="inlineStr">
        <is>
          <t>19 Ensamblaje de válvula (T03/T04)</t>
        </is>
      </c>
      <c r="L29" s="12" t="inlineStr">
        <is>
          <t>IRAM 3533</t>
        </is>
      </c>
      <c r="M29" s="25" t="inlineStr">
        <is>
          <t>R</t>
        </is>
      </c>
      <c r="N29" s="25" t="inlineStr">
        <is>
          <t>FL_DES_ABC_2.5kg</t>
        </is>
      </c>
      <c r="O29" s="12" t="inlineStr">
        <is>
          <t>Pieza comercial; sello IRAM 3533</t>
        </is>
      </c>
    </row>
    <row r="30" outlineLevel="1">
      <c r="A30" s="25" t="n">
        <v>2</v>
      </c>
      <c r="B30" s="25" t="inlineStr">
        <is>
          <t>ABC2.5-09</t>
        </is>
      </c>
      <c r="C30" s="12" t="inlineStr">
        <is>
          <t xml:space="preserve">        Manija de transporte</t>
        </is>
      </c>
      <c r="D30" s="25" t="n">
        <v>1</v>
      </c>
      <c r="E30" s="25" t="inlineStr">
        <is>
          <t>u</t>
        </is>
      </c>
      <c r="F30" s="26" t="n">
        <v>0.0679</v>
      </c>
      <c r="G30" s="26">
        <f>D30*F30</f>
        <v/>
      </c>
      <c r="H30" s="25" t="inlineStr">
        <is>
          <t>Chapa acero SAE 1010 pintada</t>
        </is>
      </c>
      <c r="I30" s="12" t="inlineStr">
        <is>
          <t>107,9 × 20 × 15,3</t>
        </is>
      </c>
      <c r="J30" s="25" t="inlineStr">
        <is>
          <t>Compra</t>
        </is>
      </c>
      <c r="K30" s="12" t="inlineStr">
        <is>
          <t>19 Ensamblaje de válvula (T03/T04)</t>
        </is>
      </c>
      <c r="L30" s="12" t="n"/>
      <c r="M30" s="25" t="inlineStr">
        <is>
          <t>P</t>
        </is>
      </c>
      <c r="N30" s="25" t="inlineStr">
        <is>
          <t>FL_DES_ABC_2.5kg</t>
        </is>
      </c>
      <c r="O30" s="12" t="n"/>
    </row>
    <row r="31" outlineLevel="1">
      <c r="A31" s="25" t="n">
        <v>2</v>
      </c>
      <c r="B31" s="25" t="inlineStr">
        <is>
          <t>ABC2.5-10</t>
        </is>
      </c>
      <c r="C31" s="12" t="inlineStr">
        <is>
          <t xml:space="preserve">        Manija de accionamiento</t>
        </is>
      </c>
      <c r="D31" s="25" t="n">
        <v>1</v>
      </c>
      <c r="E31" s="25" t="inlineStr">
        <is>
          <t>u</t>
        </is>
      </c>
      <c r="F31" s="26" t="n">
        <v>0.0949</v>
      </c>
      <c r="G31" s="26">
        <f>D31*F31</f>
        <v/>
      </c>
      <c r="H31" s="25" t="inlineStr">
        <is>
          <t>Chapa acero SAE 1010 pintada</t>
        </is>
      </c>
      <c r="I31" s="12" t="inlineStr">
        <is>
          <t>150,5 × 22,4 × 20</t>
        </is>
      </c>
      <c r="J31" s="25" t="inlineStr">
        <is>
          <t>Compra</t>
        </is>
      </c>
      <c r="K31" s="12" t="inlineStr">
        <is>
          <t>19 Ensamblaje de válvula (T03/T04)</t>
        </is>
      </c>
      <c r="L31" s="12" t="n"/>
      <c r="M31" s="25" t="inlineStr">
        <is>
          <t>P</t>
        </is>
      </c>
      <c r="N31" s="25" t="inlineStr">
        <is>
          <t>FL_DES_ABC_2.5kg</t>
        </is>
      </c>
      <c r="O31" s="12" t="n"/>
    </row>
    <row r="32" outlineLevel="1">
      <c r="A32" s="25" t="n">
        <v>2</v>
      </c>
      <c r="B32" s="25" t="inlineStr">
        <is>
          <t>ABC2.5-11</t>
        </is>
      </c>
      <c r="C32" s="12" t="inlineStr">
        <is>
          <t xml:space="preserve">        Eje de palanca</t>
        </is>
      </c>
      <c r="D32" s="25" t="n">
        <v>1</v>
      </c>
      <c r="E32" s="25" t="inlineStr">
        <is>
          <t>u</t>
        </is>
      </c>
      <c r="F32" s="26" t="n">
        <v>0.0081</v>
      </c>
      <c r="G32" s="26">
        <f>D32*F32</f>
        <v/>
      </c>
      <c r="H32" s="25" t="inlineStr">
        <is>
          <t>Acero inox. AISI 304</t>
        </is>
      </c>
      <c r="I32" s="12" t="inlineStr">
        <is>
          <t>36 × 6 × 6</t>
        </is>
      </c>
      <c r="J32" s="25" t="inlineStr">
        <is>
          <t>Compra</t>
        </is>
      </c>
      <c r="K32" s="12" t="inlineStr">
        <is>
          <t>19 Ensamblaje de válvula (T03/T04)</t>
        </is>
      </c>
      <c r="L32" s="12" t="n"/>
      <c r="M32" s="25" t="inlineStr">
        <is>
          <t>P</t>
        </is>
      </c>
      <c r="N32" s="25" t="inlineStr">
        <is>
          <t>FL_DES_ABC_2.5kg</t>
        </is>
      </c>
      <c r="O32" s="12" t="n"/>
    </row>
    <row r="33" outlineLevel="1">
      <c r="A33" s="25" t="n">
        <v>2</v>
      </c>
      <c r="B33" s="25" t="inlineStr">
        <is>
          <t>ABC2.5-12</t>
        </is>
      </c>
      <c r="C33" s="12" t="inlineStr">
        <is>
          <t xml:space="preserve">        Vástago</t>
        </is>
      </c>
      <c r="D33" s="25" t="n">
        <v>1</v>
      </c>
      <c r="E33" s="25" t="inlineStr">
        <is>
          <t>u</t>
        </is>
      </c>
      <c r="F33" s="26" t="n">
        <v>0.0017</v>
      </c>
      <c r="G33" s="26">
        <f>D33*F33</f>
        <v/>
      </c>
      <c r="H33" s="25" t="inlineStr">
        <is>
          <t>Latón</t>
        </is>
      </c>
      <c r="I33" s="12" t="inlineStr">
        <is>
          <t>8 × 8 × 4</t>
        </is>
      </c>
      <c r="J33" s="25" t="inlineStr">
        <is>
          <t>Compra</t>
        </is>
      </c>
      <c r="K33" s="12" t="inlineStr">
        <is>
          <t>19 Ensamblaje de válvula (T03/T04)</t>
        </is>
      </c>
      <c r="L33" s="12" t="n"/>
      <c r="M33" s="25" t="inlineStr">
        <is>
          <t>P</t>
        </is>
      </c>
      <c r="N33" s="25" t="inlineStr">
        <is>
          <t>FL_DES_ABC_2.5kg</t>
        </is>
      </c>
      <c r="O33" s="12" t="inlineStr">
        <is>
          <t>con junta tórica</t>
        </is>
      </c>
    </row>
    <row r="34" outlineLevel="1">
      <c r="A34" s="25" t="n">
        <v>2</v>
      </c>
      <c r="B34" s="25" t="inlineStr">
        <is>
          <t>ABC2.5-13</t>
        </is>
      </c>
      <c r="C34" s="12" t="inlineStr">
        <is>
          <t xml:space="preserve">        Pasador de seguridad</t>
        </is>
      </c>
      <c r="D34" s="25" t="n">
        <v>1</v>
      </c>
      <c r="E34" s="25" t="inlineStr">
        <is>
          <t>u</t>
        </is>
      </c>
      <c r="F34" s="26" t="n">
        <v>0.0055</v>
      </c>
      <c r="G34" s="26">
        <f>D34*F34</f>
        <v/>
      </c>
      <c r="H34" s="25" t="inlineStr">
        <is>
          <t>Alambre acero inox. AISI 304</t>
        </is>
      </c>
      <c r="I34" s="12" t="inlineStr">
        <is>
          <t>45,4 × 21 × 20,8</t>
        </is>
      </c>
      <c r="J34" s="25" t="inlineStr">
        <is>
          <t>Compra</t>
        </is>
      </c>
      <c r="K34" s="12" t="inlineStr">
        <is>
          <t>19 Ensamblaje de válvula (T03/T04)</t>
        </is>
      </c>
      <c r="L34" s="12" t="n"/>
      <c r="M34" s="25" t="inlineStr">
        <is>
          <t>P</t>
        </is>
      </c>
      <c r="N34" s="25" t="inlineStr">
        <is>
          <t>FL_DES_ABC_2.5kg</t>
        </is>
      </c>
      <c r="O34" s="12" t="inlineStr">
        <is>
          <t>con precinto</t>
        </is>
      </c>
    </row>
    <row r="35" outlineLevel="1">
      <c r="A35" s="25" t="n">
        <v>2</v>
      </c>
      <c r="B35" s="25" t="inlineStr">
        <is>
          <t>ABC2.5-14</t>
        </is>
      </c>
      <c r="C35" s="12" t="inlineStr">
        <is>
          <t xml:space="preserve">        Caño de pesca (sifón)</t>
        </is>
      </c>
      <c r="D35" s="25" t="n">
        <v>1</v>
      </c>
      <c r="E35" s="25" t="inlineStr">
        <is>
          <t>u</t>
        </is>
      </c>
      <c r="F35" s="26" t="n">
        <v>0.0192</v>
      </c>
      <c r="G35" s="26">
        <f>D35*F35</f>
        <v/>
      </c>
      <c r="H35" s="25" t="inlineStr">
        <is>
          <t>Tubo PVC rígido</t>
        </is>
      </c>
      <c r="I35" s="12" t="inlineStr">
        <is>
          <t>Ø12 × 276,8 de largo</t>
        </is>
      </c>
      <c r="J35" s="25" t="inlineStr">
        <is>
          <t>Compra</t>
        </is>
      </c>
      <c r="K35" s="12" t="inlineStr">
        <is>
          <t>19 Ensamblaje de válvula (T03/T04)</t>
        </is>
      </c>
      <c r="L35" s="12" t="n"/>
      <c r="M35" s="25" t="inlineStr">
        <is>
          <t>P</t>
        </is>
      </c>
      <c r="N35" s="25" t="inlineStr">
        <is>
          <t>FL_DES_ABC_2.5kg</t>
        </is>
      </c>
      <c r="O35" s="12" t="n"/>
    </row>
    <row r="36" outlineLevel="1">
      <c r="A36" s="25" t="n">
        <v>2</v>
      </c>
      <c r="B36" s="25" t="inlineStr">
        <is>
          <t>ABC2.5-22</t>
        </is>
      </c>
      <c r="C36" s="12" t="inlineStr">
        <is>
          <t xml:space="preserve">        Junta tórica de asiento</t>
        </is>
      </c>
      <c r="D36" s="25" t="n">
        <v>1</v>
      </c>
      <c r="E36" s="25" t="inlineStr">
        <is>
          <t>u</t>
        </is>
      </c>
      <c r="F36" s="26" t="n">
        <v>0.001</v>
      </c>
      <c r="G36" s="26">
        <f>D36*F36</f>
        <v/>
      </c>
      <c r="H36" s="25" t="inlineStr">
        <is>
          <t>NBR 70 Shore A</t>
        </is>
      </c>
      <c r="I36" s="12" t="inlineStr">
        <is>
          <t>Ø31,4 ext. × cordón 3</t>
        </is>
      </c>
      <c r="J36" s="25" t="inlineStr">
        <is>
          <t>Compra</t>
        </is>
      </c>
      <c r="K36" s="12" t="inlineStr">
        <is>
          <t>19 Ensamblaje de válvula (T03/T04)</t>
        </is>
      </c>
      <c r="L36" s="12" t="n"/>
      <c r="M36" s="25" t="inlineStr">
        <is>
          <t>P</t>
        </is>
      </c>
      <c r="N36" s="25" t="inlineStr">
        <is>
          <t>FL_DES_ABC_2.5kg</t>
        </is>
      </c>
      <c r="O36" s="12" t="inlineStr">
        <is>
          <t>cambio c/recarga</t>
        </is>
      </c>
    </row>
    <row r="37" outlineLevel="1">
      <c r="A37" s="25" t="n">
        <v>2</v>
      </c>
      <c r="B37" s="25" t="inlineStr">
        <is>
          <t>ABC2.5-V2</t>
        </is>
      </c>
      <c r="C37" s="12" t="inlineStr">
        <is>
          <t xml:space="preserve">        Resorte de retorno del vástago</t>
        </is>
      </c>
      <c r="D37" s="25" t="n">
        <v>1</v>
      </c>
      <c r="E37" s="25" t="inlineStr">
        <is>
          <t>u</t>
        </is>
      </c>
      <c r="F37" s="26" t="n">
        <v>0.003</v>
      </c>
      <c r="G37" s="26">
        <f>D37*F37</f>
        <v/>
      </c>
      <c r="H37" s="25" t="inlineStr">
        <is>
          <t>Alambre acero inox. AISI 302</t>
        </is>
      </c>
      <c r="I37" s="12" t="inlineStr">
        <is>
          <t>según válvula</t>
        </is>
      </c>
      <c r="J37" s="25" t="inlineStr">
        <is>
          <t>Compra</t>
        </is>
      </c>
      <c r="K37" s="12" t="inlineStr">
        <is>
          <t>19 Ensamblaje</t>
        </is>
      </c>
      <c r="L37" s="12" t="n"/>
      <c r="M37" s="25" t="inlineStr">
        <is>
          <t>R</t>
        </is>
      </c>
      <c r="N37" s="25" t="n"/>
      <c r="O37" s="12" t="n"/>
    </row>
    <row r="38" outlineLevel="1">
      <c r="A38" s="25" t="n">
        <v>2</v>
      </c>
      <c r="B38" s="25" t="inlineStr">
        <is>
          <t>ABC2.5-V3</t>
        </is>
      </c>
      <c r="C38" s="12" t="inlineStr">
        <is>
          <t xml:space="preserve">        Junta tórica del vástago</t>
        </is>
      </c>
      <c r="D38" s="25" t="n">
        <v>1</v>
      </c>
      <c r="E38" s="25" t="inlineStr">
        <is>
          <t>u</t>
        </is>
      </c>
      <c r="F38" s="26" t="n">
        <v>0.001</v>
      </c>
      <c r="G38" s="26">
        <f>D38*F38</f>
        <v/>
      </c>
      <c r="H38" s="25" t="inlineStr">
        <is>
          <t>NBR 70 Shore A</t>
        </is>
      </c>
      <c r="I38" s="12" t="inlineStr">
        <is>
          <t>según válvula</t>
        </is>
      </c>
      <c r="J38" s="25" t="inlineStr">
        <is>
          <t>Compra</t>
        </is>
      </c>
      <c r="K38" s="12" t="inlineStr">
        <is>
          <t>19 Ensamblaje</t>
        </is>
      </c>
      <c r="L38" s="12" t="n"/>
      <c r="M38" s="25" t="inlineStr">
        <is>
          <t>P</t>
        </is>
      </c>
      <c r="N38" s="25" t="n"/>
      <c r="O38" s="12" t="inlineStr">
        <is>
          <t>Figura en el plano como «vástago con junta tórica»</t>
        </is>
      </c>
    </row>
    <row r="39">
      <c r="A39" s="22" t="n">
        <v>1</v>
      </c>
      <c r="B39" s="22" t="inlineStr">
        <is>
          <t>ABC2.5-S3</t>
        </is>
      </c>
      <c r="C39" s="23" t="inlineStr">
        <is>
          <t xml:space="preserve">    Dispositivo de descarga</t>
        </is>
      </c>
      <c r="D39" s="22" t="n">
        <v>1</v>
      </c>
      <c r="E39" s="22" t="inlineStr">
        <is>
          <t>u</t>
        </is>
      </c>
      <c r="F39" s="24" t="n"/>
      <c r="G39" s="24">
        <f>G40+G41+G42+G43</f>
        <v/>
      </c>
      <c r="H39" s="22" t="n"/>
      <c r="I39" s="23" t="n"/>
      <c r="J39" s="22" t="inlineStr">
        <is>
          <t>Compra / armado</t>
        </is>
      </c>
      <c r="K39" s="23" t="n"/>
      <c r="L39" s="23" t="n"/>
      <c r="M39" s="22" t="inlineStr">
        <is>
          <t>P</t>
        </is>
      </c>
      <c r="N39" s="22" t="inlineStr">
        <is>
          <t>FL_DES_ABC_2.5kg</t>
        </is>
      </c>
      <c r="O39" s="23" t="n"/>
    </row>
    <row r="40" outlineLevel="1">
      <c r="A40" s="25" t="n">
        <v>2</v>
      </c>
      <c r="B40" s="25" t="inlineStr">
        <is>
          <t>ABC2.5-15</t>
        </is>
      </c>
      <c r="C40" s="12" t="inlineStr">
        <is>
          <t xml:space="preserve">        Racor de manguera</t>
        </is>
      </c>
      <c r="D40" s="25" t="n">
        <v>1</v>
      </c>
      <c r="E40" s="25" t="inlineStr">
        <is>
          <t>u</t>
        </is>
      </c>
      <c r="F40" s="26" t="n">
        <v>0.0258</v>
      </c>
      <c r="G40" s="26">
        <f>D40*F40</f>
        <v/>
      </c>
      <c r="H40" s="25" t="inlineStr">
        <is>
          <t>Latón</t>
        </is>
      </c>
      <c r="I40" s="12" t="inlineStr">
        <is>
          <t>18 × 18 × 12</t>
        </is>
      </c>
      <c r="J40" s="25" t="inlineStr">
        <is>
          <t>Compra</t>
        </is>
      </c>
      <c r="K40" s="12" t="inlineStr">
        <is>
          <t>19 Ensamblaje (T03/T04)</t>
        </is>
      </c>
      <c r="L40" s="12" t="n"/>
      <c r="M40" s="25" t="inlineStr">
        <is>
          <t>P</t>
        </is>
      </c>
      <c r="N40" s="25" t="inlineStr">
        <is>
          <t>FL_DES_ABC_2.5kg</t>
        </is>
      </c>
      <c r="O40" s="12" t="n"/>
    </row>
    <row r="41" outlineLevel="1">
      <c r="A41" s="25" t="n">
        <v>2</v>
      </c>
      <c r="B41" s="25" t="inlineStr">
        <is>
          <t>ABC2.5-16</t>
        </is>
      </c>
      <c r="C41" s="12" t="inlineStr">
        <is>
          <t xml:space="preserve">        Manguera</t>
        </is>
      </c>
      <c r="D41" s="25" t="n">
        <v>1</v>
      </c>
      <c r="E41" s="25" t="inlineStr">
        <is>
          <t>u</t>
        </is>
      </c>
      <c r="F41" s="26" t="n">
        <v>0.0345</v>
      </c>
      <c r="G41" s="26">
        <f>D41*F41</f>
        <v/>
      </c>
      <c r="H41" s="25" t="inlineStr">
        <is>
          <t>Caucho sintético</t>
        </is>
      </c>
      <c r="I41" s="12" t="inlineStr">
        <is>
          <t>Ø16 × 224 de largo desarrollado</t>
        </is>
      </c>
      <c r="J41" s="25" t="inlineStr">
        <is>
          <t>Compra</t>
        </is>
      </c>
      <c r="K41" s="12" t="inlineStr">
        <is>
          <t>19 Ensamblaje (T03/T04)</t>
        </is>
      </c>
      <c r="L41" s="12" t="n"/>
      <c r="M41" s="25" t="inlineStr">
        <is>
          <t>P</t>
        </is>
      </c>
      <c r="N41" s="25" t="inlineStr">
        <is>
          <t>FL_DES_ABC_2.5kg</t>
        </is>
      </c>
      <c r="O41" s="12" t="n"/>
    </row>
    <row r="42" outlineLevel="1">
      <c r="A42" s="25" t="n">
        <v>2</v>
      </c>
      <c r="B42" s="25" t="inlineStr">
        <is>
          <t>ABC2.5-17</t>
        </is>
      </c>
      <c r="C42" s="12" t="inlineStr">
        <is>
          <t xml:space="preserve">        Tobera con portatobera</t>
        </is>
      </c>
      <c r="D42" s="25" t="n">
        <v>1</v>
      </c>
      <c r="E42" s="25" t="inlineStr">
        <is>
          <t>u</t>
        </is>
      </c>
      <c r="F42" s="26" t="n">
        <v>0.0166</v>
      </c>
      <c r="G42" s="26">
        <f>D42*F42</f>
        <v/>
      </c>
      <c r="H42" s="25" t="inlineStr">
        <is>
          <t>Polipropileno</t>
        </is>
      </c>
      <c r="I42" s="12" t="inlineStr">
        <is>
          <t>75 × 24 × 24</t>
        </is>
      </c>
      <c r="J42" s="25" t="inlineStr">
        <is>
          <t>Compra</t>
        </is>
      </c>
      <c r="K42" s="12" t="inlineStr">
        <is>
          <t>19 Ensamblaje (T03/T04)</t>
        </is>
      </c>
      <c r="L42" s="12" t="n"/>
      <c r="M42" s="25" t="inlineStr">
        <is>
          <t>P</t>
        </is>
      </c>
      <c r="N42" s="25" t="inlineStr">
        <is>
          <t>FL_DES_ABC_2.5kg</t>
        </is>
      </c>
      <c r="O42" s="12" t="n"/>
    </row>
    <row r="43" outlineLevel="1">
      <c r="A43" s="25" t="n">
        <v>2</v>
      </c>
      <c r="B43" s="25" t="inlineStr">
        <is>
          <t>ABC2.5-18</t>
        </is>
      </c>
      <c r="C43" s="12" t="inlineStr">
        <is>
          <t xml:space="preserve">        Suncho portatobera</t>
        </is>
      </c>
      <c r="D43" s="25" t="n">
        <v>1</v>
      </c>
      <c r="E43" s="25" t="inlineStr">
        <is>
          <t>u</t>
        </is>
      </c>
      <c r="F43" s="26" t="n">
        <v>0.11</v>
      </c>
      <c r="G43" s="26">
        <f>D43*F43</f>
        <v/>
      </c>
      <c r="H43" s="25" t="inlineStr">
        <is>
          <t>Fleje acero SAE 1010 pintado</t>
        </is>
      </c>
      <c r="I43" s="12" t="inlineStr">
        <is>
          <t>130,9 × 127 × 18</t>
        </is>
      </c>
      <c r="J43" s="25" t="inlineStr">
        <is>
          <t>Compra (estructura)</t>
        </is>
      </c>
      <c r="K43" s="12" t="inlineStr">
        <is>
          <t>19 Ensamblaje (T03/T04)</t>
        </is>
      </c>
      <c r="L43" s="12" t="n"/>
      <c r="M43" s="25" t="inlineStr">
        <is>
          <t>P</t>
        </is>
      </c>
      <c r="N43" s="25" t="inlineStr">
        <is>
          <t>FL_DES_ABC_2.5kg</t>
        </is>
      </c>
      <c r="O43" s="12" t="n"/>
    </row>
    <row r="44">
      <c r="A44" s="22" t="n">
        <v>1</v>
      </c>
      <c r="B44" s="22" t="inlineStr">
        <is>
          <t>ABC2.5-S5</t>
        </is>
      </c>
      <c r="C44" s="23" t="inlineStr">
        <is>
          <t xml:space="preserve">    Carga: agente extintor y gas impulsor</t>
        </is>
      </c>
      <c r="D44" s="22" t="n">
        <v>1</v>
      </c>
      <c r="E44" s="22" t="inlineStr">
        <is>
          <t>u</t>
        </is>
      </c>
      <c r="F44" s="24" t="n"/>
      <c r="G44" s="24">
        <f>G45+G46</f>
        <v/>
      </c>
      <c r="H44" s="22" t="n"/>
      <c r="I44" s="23" t="n"/>
      <c r="J44" s="22" t="inlineStr">
        <is>
          <t>Carga en planta</t>
        </is>
      </c>
      <c r="K44" s="23" t="inlineStr">
        <is>
          <t>18 Carga de polvo (T01) / C8 (T02)</t>
        </is>
      </c>
      <c r="L44" s="23" t="n"/>
      <c r="M44" s="22" t="n"/>
      <c r="N44" s="22" t="n"/>
      <c r="O44" s="23" t="n"/>
    </row>
    <row r="45" outlineLevel="1">
      <c r="A45" s="25" t="n">
        <v>2</v>
      </c>
      <c r="B45" s="25" t="inlineStr">
        <is>
          <t>ABC2.5-A1</t>
        </is>
      </c>
      <c r="C45" s="12" t="inlineStr">
        <is>
          <t xml:space="preserve">        Polvo químico seco ABC 60 (Sello IRAM 3569, DEMSA)</t>
        </is>
      </c>
      <c r="D45" s="25" t="n">
        <v>2.55</v>
      </c>
      <c r="E45" s="25" t="inlineStr">
        <is>
          <t>kg</t>
        </is>
      </c>
      <c r="F45" s="26" t="n">
        <v>1</v>
      </c>
      <c r="G45" s="26">
        <f>D45*F45</f>
        <v/>
      </c>
      <c r="H45" s="25" t="inlineStr">
        <is>
          <t>Polvo químico seco ABC 60 (Sello IRAM 3569, DEMSA)</t>
        </is>
      </c>
      <c r="I45" s="12" t="inlineStr">
        <is>
          <t>nominal 2,5 kg; tolerancia 0 / +100 g (IRAM 3517-2:2020 tabla 3 · IRAM 3523 tabla II)</t>
        </is>
      </c>
      <c r="J45" s="25" t="inlineStr">
        <is>
          <t>Compra</t>
        </is>
      </c>
      <c r="K45" s="12" t="inlineStr">
        <is>
          <t>SP-1 almacén previo a la carga</t>
        </is>
      </c>
      <c r="L45" s="12" t="inlineStr">
        <is>
          <t>IRAM 3569</t>
        </is>
      </c>
      <c r="M45" s="25" t="inlineStr">
        <is>
          <t>N</t>
        </is>
      </c>
      <c r="N45" s="25" t="n"/>
      <c r="O45" s="12" t="inlineStr">
        <is>
          <t>MAP 60 % (banda 57-63 %) = 1,53 kg MAP + 0,943 kg sulfato de amonio + 0,076 kg aditivos · potencial 3A-20B:C · Lote único por extintor; prohibido mezclar ABC con BC (3517-2 9.9.1.6)</t>
        </is>
      </c>
    </row>
    <row r="46" outlineLevel="1">
      <c r="A46" s="25" t="n">
        <v>2</v>
      </c>
      <c r="B46" s="25" t="inlineStr">
        <is>
          <t>ABC2.5-A2</t>
        </is>
      </c>
      <c r="C46" s="12" t="inlineStr">
        <is>
          <t xml:space="preserve">        Gas impulsor: N₂</t>
        </is>
      </c>
      <c r="D46" s="25" t="n">
        <v>0.0125</v>
      </c>
      <c r="E46" s="25" t="inlineStr">
        <is>
          <t>kg</t>
        </is>
      </c>
      <c r="F46" s="26" t="n">
        <v>1</v>
      </c>
      <c r="G46" s="26">
        <f>D46*F46</f>
        <v/>
      </c>
      <c r="H46" s="25" t="inlineStr">
        <is>
          <t>N₂</t>
        </is>
      </c>
      <c r="I46" s="12" t="inlineStr">
        <is>
          <t>10 L normales para 1,4 MPa a 20 °C en 0,72 dm³ libres</t>
        </is>
      </c>
      <c r="J46" s="25" t="inlineStr">
        <is>
          <t>Compra</t>
        </is>
      </c>
      <c r="K46" s="12" t="inlineStr">
        <is>
          <t>20 Presurización (T05) / C10</t>
        </is>
      </c>
      <c r="L46" s="12" t="inlineStr">
        <is>
          <t>IRAM 3517-2 9.4.9 (tabla 2) · IRAM 3523 2.3 y 3.10</t>
        </is>
      </c>
      <c r="M46" s="25" t="inlineStr">
        <is>
          <t>C</t>
        </is>
      </c>
      <c r="N46" s="25" t="n"/>
      <c r="O46" s="12" t="inlineStr">
        <is>
          <t>Batería en SP-1; punto de rocío ≤ -56,7 °C para gases limpios</t>
        </is>
      </c>
    </row>
    <row r="47">
      <c r="A47" s="22" t="n">
        <v>1</v>
      </c>
      <c r="B47" s="22" t="inlineStr">
        <is>
          <t>ABC2.5-S6</t>
        </is>
      </c>
      <c r="C47" s="23" t="inlineStr">
        <is>
          <t xml:space="preserve">    Identificación y precinto</t>
        </is>
      </c>
      <c r="D47" s="22" t="n">
        <v>1</v>
      </c>
      <c r="E47" s="22" t="inlineStr">
        <is>
          <t>u</t>
        </is>
      </c>
      <c r="F47" s="24" t="n"/>
      <c r="G47" s="24">
        <f>G48+G49+G50+G51+G52</f>
        <v/>
      </c>
      <c r="H47" s="22" t="n"/>
      <c r="I47" s="23" t="n"/>
      <c r="J47" s="22" t="inlineStr">
        <is>
          <t>Compra</t>
        </is>
      </c>
      <c r="K47" s="23" t="inlineStr">
        <is>
          <t>22 Etiquetado (T07)</t>
        </is>
      </c>
      <c r="L47" s="23" t="n"/>
      <c r="M47" s="22" t="n"/>
      <c r="N47" s="22" t="n"/>
      <c r="O47" s="23" t="n"/>
    </row>
    <row r="48" outlineLevel="1">
      <c r="A48" s="25" t="n">
        <v>2</v>
      </c>
      <c r="B48" s="25" t="inlineStr">
        <is>
          <t>ABC2.5-19</t>
        </is>
      </c>
      <c r="C48" s="12" t="inlineStr">
        <is>
          <t xml:space="preserve">        Placa de características</t>
        </is>
      </c>
      <c r="D48" s="25" t="n">
        <v>1</v>
      </c>
      <c r="E48" s="25" t="inlineStr">
        <is>
          <t>u</t>
        </is>
      </c>
      <c r="F48" s="26" t="n">
        <v>0.0071</v>
      </c>
      <c r="G48" s="26">
        <f>D48*F48</f>
        <v/>
      </c>
      <c r="H48" s="25" t="inlineStr">
        <is>
          <t>Vinilo autoadhesivo laminado</t>
        </is>
      </c>
      <c r="I48" s="12" t="inlineStr">
        <is>
          <t>117 × 144 (desarrollo × alto), e ≈ 0,3</t>
        </is>
      </c>
      <c r="J48" s="25" t="inlineStr">
        <is>
          <t>Compra</t>
        </is>
      </c>
      <c r="K48" s="12" t="inlineStr">
        <is>
          <t>22 Etiquetado (T07)</t>
        </is>
      </c>
      <c r="L48" s="12" t="inlineStr">
        <is>
          <t>IRAM 3534 · IRAM 3523 cap. 5</t>
        </is>
      </c>
      <c r="M48" s="25" t="inlineStr">
        <is>
          <t>P</t>
        </is>
      </c>
      <c r="N48" s="25" t="inlineStr">
        <is>
          <t>FL_DES_ABC_2.5kg</t>
        </is>
      </c>
      <c r="O48" s="12" t="inlineStr">
        <is>
          <t>IRAM 3534</t>
        </is>
      </c>
    </row>
    <row r="49" outlineLevel="1">
      <c r="A49" s="25" t="n">
        <v>2</v>
      </c>
      <c r="B49" s="25" t="inlineStr">
        <is>
          <t>ABC2.5-20</t>
        </is>
      </c>
      <c r="C49" s="12" t="inlineStr">
        <is>
          <t xml:space="preserve">        Oblea de fabricación (PBA)</t>
        </is>
      </c>
      <c r="D49" s="25" t="n">
        <v>1</v>
      </c>
      <c r="E49" s="25" t="inlineStr">
        <is>
          <t>u</t>
        </is>
      </c>
      <c r="F49" s="26" t="n">
        <v>0.0009</v>
      </c>
      <c r="G49" s="26">
        <f>D49*F49</f>
        <v/>
      </c>
      <c r="H49" s="25" t="inlineStr">
        <is>
          <t>Papel de seguridad autodestructible</t>
        </is>
      </c>
      <c r="I49" s="12" t="inlineStr">
        <is>
          <t>Ø46 (Res. OPDS 522/07), numerada, autodestructible</t>
        </is>
      </c>
      <c r="J49" s="25" t="inlineStr">
        <is>
          <t>Compra</t>
        </is>
      </c>
      <c r="K49" s="12" t="inlineStr">
        <is>
          <t>22 Etiquetado (T07)</t>
        </is>
      </c>
      <c r="L49" s="12" t="inlineStr">
        <is>
          <t>Res. OPDS 522/07 anexos 1, 2 y 6</t>
        </is>
      </c>
      <c r="M49" s="25" t="inlineStr">
        <is>
          <t>P</t>
        </is>
      </c>
      <c r="N49" s="25" t="inlineStr">
        <is>
          <t>FL_DES_ABC_2.5kg</t>
        </is>
      </c>
      <c r="O49" s="12" t="inlineStr">
        <is>
          <t>Res. 522/07</t>
        </is>
      </c>
    </row>
    <row r="50" outlineLevel="1">
      <c r="A50" s="25" t="n">
        <v>2</v>
      </c>
      <c r="B50" s="25" t="inlineStr">
        <is>
          <t>ABC2.5-21</t>
        </is>
      </c>
      <c r="C50" s="12" t="inlineStr">
        <is>
          <t xml:space="preserve">        Estampilla IRAM de conformidad</t>
        </is>
      </c>
      <c r="D50" s="25" t="n">
        <v>1</v>
      </c>
      <c r="E50" s="25" t="inlineStr">
        <is>
          <t>u</t>
        </is>
      </c>
      <c r="F50" s="26" t="n">
        <v>0.001</v>
      </c>
      <c r="G50" s="26">
        <f>D50*F50</f>
        <v/>
      </c>
      <c r="H50" s="25" t="inlineStr">
        <is>
          <t>Provista por IRAM (Anexo R)</t>
        </is>
      </c>
      <c r="I50" s="12" t="inlineStr">
        <is>
          <t>60 × 40</t>
        </is>
      </c>
      <c r="J50" s="25" t="inlineStr">
        <is>
          <t>Compra</t>
        </is>
      </c>
      <c r="K50" s="12" t="inlineStr">
        <is>
          <t>22 Etiquetado (T07)</t>
        </is>
      </c>
      <c r="L50" s="12" t="inlineStr">
        <is>
          <t>IRAM Anexo R (DC-PG-129)</t>
        </is>
      </c>
      <c r="M50" s="25" t="inlineStr">
        <is>
          <t>P</t>
        </is>
      </c>
      <c r="N50" s="25" t="inlineStr">
        <is>
          <t>FL_DES_ABC_2.5kg</t>
        </is>
      </c>
      <c r="O50" s="12" t="inlineStr">
        <is>
          <t>numerada</t>
        </is>
      </c>
    </row>
    <row r="51" outlineLevel="1">
      <c r="A51" s="25" t="n">
        <v>2</v>
      </c>
      <c r="B51" s="25" t="inlineStr">
        <is>
          <t>ABC2.5-23</t>
        </is>
      </c>
      <c r="C51" s="12" t="inlineStr">
        <is>
          <t xml:space="preserve">        Precinto de fábrica</t>
        </is>
      </c>
      <c r="D51" s="25" t="n">
        <v>1</v>
      </c>
      <c r="E51" s="25" t="inlineStr">
        <is>
          <t>u</t>
        </is>
      </c>
      <c r="F51" s="26" t="n">
        <v>0.0002</v>
      </c>
      <c r="G51" s="26">
        <f>D51*F51</f>
        <v/>
      </c>
      <c r="H51" s="25" t="inlineStr">
        <is>
          <t>Polipropileno</t>
        </is>
      </c>
      <c r="I51" s="12" t="inlineStr">
        <is>
          <t>Ø5 × 10, numerado, rotura 30-50 N</t>
        </is>
      </c>
      <c r="J51" s="25" t="inlineStr">
        <is>
          <t>Compra</t>
        </is>
      </c>
      <c r="K51" s="12" t="inlineStr">
        <is>
          <t>20 Presurización (T05)</t>
        </is>
      </c>
      <c r="L51" s="12" t="inlineStr">
        <is>
          <t>IRAM 3523 3.3.2 · IRAM 3517-2:2020 9.4.13</t>
        </is>
      </c>
      <c r="M51" s="25" t="inlineStr">
        <is>
          <t>P</t>
        </is>
      </c>
      <c r="N51" s="25" t="inlineStr">
        <is>
          <t>FL_DES_ABC_2.5kg</t>
        </is>
      </c>
      <c r="O51" s="12" t="inlineStr">
        <is>
          <t>id. FLAMA y lote</t>
        </is>
      </c>
    </row>
    <row r="52" outlineLevel="1">
      <c r="A52" s="25" t="n">
        <v>2</v>
      </c>
      <c r="B52" s="25" t="inlineStr">
        <is>
          <t>ABC2.5-I3</t>
        </is>
      </c>
      <c r="C52" s="12" t="inlineStr">
        <is>
          <t xml:space="preserve">        Tarjeta oficial de vigencia (CABA)</t>
        </is>
      </c>
      <c r="D52" s="25" t="n">
        <v>1</v>
      </c>
      <c r="E52" s="25" t="inlineStr">
        <is>
          <t>u</t>
        </is>
      </c>
      <c r="F52" s="26" t="n">
        <v>0.002</v>
      </c>
      <c r="G52" s="26">
        <f>D52*F52</f>
        <v/>
      </c>
      <c r="H52" s="25" t="inlineStr">
        <is>
          <t>Formulario oficial</t>
        </is>
      </c>
      <c r="I52" s="12" t="inlineStr">
        <is>
          <t>provista por DG Rentas GCBA</t>
        </is>
      </c>
      <c r="J52" s="25" t="inlineStr">
        <is>
          <t>Compra</t>
        </is>
      </c>
      <c r="K52" s="12" t="inlineStr">
        <is>
          <t>22 Etiquetado</t>
        </is>
      </c>
      <c r="L52" s="12" t="inlineStr">
        <is>
          <t>Ordenanza 40.473 art. 6</t>
        </is>
      </c>
      <c r="M52" s="25" t="inlineStr">
        <is>
          <t>N</t>
        </is>
      </c>
      <c r="N52" s="25" t="n"/>
      <c r="O52" s="12" t="inlineStr">
        <is>
          <t>Clase, capacidad, fecha de carga y vencimiento, garantía; se anexa al matafuego (no se dibuja)</t>
        </is>
      </c>
    </row>
    <row r="53">
      <c r="A53" s="22" t="n">
        <v>1</v>
      </c>
      <c r="B53" s="22" t="inlineStr">
        <is>
          <t>ABC2.5-S8</t>
        </is>
      </c>
      <c r="C53" s="23" t="inlineStr">
        <is>
          <t xml:space="preserve">    Soporte (accesorio de montaje)</t>
        </is>
      </c>
      <c r="D53" s="22" t="n">
        <v>1</v>
      </c>
      <c r="E53" s="22" t="inlineStr">
        <is>
          <t>u</t>
        </is>
      </c>
      <c r="F53" s="24" t="n"/>
      <c r="G53" s="24">
        <f>G54+G55</f>
        <v/>
      </c>
      <c r="H53" s="22" t="n"/>
      <c r="I53" s="23" t="n"/>
      <c r="J53" s="22" t="inlineStr">
        <is>
          <t>Compra</t>
        </is>
      </c>
      <c r="K53" s="23" t="inlineStr">
        <is>
          <t>23 Embalaje (va dentro de la caja)</t>
        </is>
      </c>
      <c r="L53" s="23" t="inlineStr">
        <is>
          <t>IRAM 3517-2 7.4</t>
        </is>
      </c>
      <c r="M53" s="22" t="n"/>
      <c r="N53" s="22" t="n"/>
      <c r="O53" s="23" t="n"/>
    </row>
    <row r="54" outlineLevel="1">
      <c r="A54" s="25" t="n">
        <v>2</v>
      </c>
      <c r="B54" s="25" t="inlineStr">
        <is>
          <t>ABC2.5-I5</t>
        </is>
      </c>
      <c r="C54" s="12" t="inlineStr">
        <is>
          <t xml:space="preserve">        Soporte de pared (FL_ACC_01)</t>
        </is>
      </c>
      <c r="D54" s="25" t="n">
        <v>1</v>
      </c>
      <c r="E54" s="25" t="inlineStr">
        <is>
          <t>u</t>
        </is>
      </c>
      <c r="F54" s="26" t="n">
        <v>0.264</v>
      </c>
      <c r="G54" s="26">
        <f>D54*F54</f>
        <v/>
      </c>
      <c r="H54" s="25" t="inlineStr">
        <is>
          <t>Chapa acero SAE 1010 e=2 pintada</t>
        </is>
      </c>
      <c r="I54" s="12" t="inlineStr">
        <is>
          <t>placa 60 × 180, ala con ranura Ø cuello + 3</t>
        </is>
      </c>
      <c r="J54" s="25" t="inlineStr">
        <is>
          <t>Compra</t>
        </is>
      </c>
      <c r="K54" s="12" t="inlineStr">
        <is>
          <t>23 Embalaje</t>
        </is>
      </c>
      <c r="L54" s="12" t="inlineStr">
        <is>
          <t>IRAM 3517-2 7.4</t>
        </is>
      </c>
      <c r="M54" s="25" t="inlineStr">
        <is>
          <t>P</t>
        </is>
      </c>
      <c r="N54" s="25" t="inlineStr">
        <is>
          <t>FL_ACC_01</t>
        </is>
      </c>
      <c r="O54" s="12" t="n"/>
    </row>
    <row r="55" outlineLevel="1">
      <c r="A55" s="25" t="n">
        <v>2</v>
      </c>
      <c r="B55" s="25" t="inlineStr">
        <is>
          <t>ABC2.5-I6</t>
        </is>
      </c>
      <c r="C55" s="12" t="inlineStr">
        <is>
          <t xml:space="preserve">        Tornillo y tarugo de fijación</t>
        </is>
      </c>
      <c r="D55" s="25" t="n">
        <v>2</v>
      </c>
      <c r="E55" s="25" t="inlineStr">
        <is>
          <t>u</t>
        </is>
      </c>
      <c r="F55" s="26" t="n">
        <v>0.01</v>
      </c>
      <c r="G55" s="26">
        <f>D55*F55</f>
        <v/>
      </c>
      <c r="H55" s="25" t="inlineStr">
        <is>
          <t>Acero cincado / nylon</t>
        </is>
      </c>
      <c r="I55" s="12" t="inlineStr">
        <is>
          <t>M6 × 50 + tarugo 8</t>
        </is>
      </c>
      <c r="J55" s="25" t="inlineStr">
        <is>
          <t>Compra</t>
        </is>
      </c>
      <c r="K55" s="12" t="inlineStr">
        <is>
          <t>23 Embalaje</t>
        </is>
      </c>
      <c r="L55" s="12" t="n"/>
      <c r="M55" s="25" t="inlineStr">
        <is>
          <t>R</t>
        </is>
      </c>
      <c r="N55" s="25" t="n"/>
      <c r="O55" s="12" t="n"/>
    </row>
    <row r="56" outlineLevel="1">
      <c r="A56" s="25" t="n">
        <v>2</v>
      </c>
      <c r="B56" s="25" t="inlineStr">
        <is>
          <t>ABC2.5-I8</t>
        </is>
      </c>
      <c r="C56" s="12" t="inlineStr">
        <is>
          <t xml:space="preserve">        Soporte opcional (pared o vehicular, según pedido)</t>
        </is>
      </c>
      <c r="D56" s="25" t="n">
        <v>0</v>
      </c>
      <c r="E56" s="25" t="inlineStr">
        <is>
          <t>u</t>
        </is>
      </c>
      <c r="F56" s="26" t="n"/>
      <c r="G56" s="26" t="n"/>
      <c r="H56" s="25" t="inlineStr">
        <is>
          <t>-</t>
        </is>
      </c>
      <c r="I56" s="12" t="inlineStr">
        <is>
          <t>-</t>
        </is>
      </c>
      <c r="J56" s="25" t="inlineStr">
        <is>
          <t>Compra</t>
        </is>
      </c>
      <c r="K56" s="12" t="n"/>
      <c r="L56" s="12" t="n"/>
      <c r="M56" s="25" t="inlineStr">
        <is>
          <t>C</t>
        </is>
      </c>
      <c r="N56" s="25" t="n"/>
      <c r="O56" s="12" t="inlineStr">
        <is>
          <t>Sólo si el pedido lo incluye</t>
        </is>
      </c>
    </row>
    <row r="57">
      <c r="A57" s="22" t="n">
        <v>1</v>
      </c>
      <c r="B57" s="22" t="inlineStr">
        <is>
          <t>ABC2.5-S7</t>
        </is>
      </c>
      <c r="C57" s="23" t="inlineStr">
        <is>
          <t xml:space="preserve">    Embalaje</t>
        </is>
      </c>
      <c r="D57" s="22" t="n">
        <v>1</v>
      </c>
      <c r="E57" s="22" t="inlineStr">
        <is>
          <t>u</t>
        </is>
      </c>
      <c r="F57" s="24" t="n"/>
      <c r="G57" s="24">
        <f>G58+G59+G60+G61+G62</f>
        <v/>
      </c>
      <c r="H57" s="22" t="n"/>
      <c r="I57" s="23" t="n"/>
      <c r="J57" s="22" t="inlineStr">
        <is>
          <t>Compra</t>
        </is>
      </c>
      <c r="K57" s="23" t="inlineStr">
        <is>
          <t>23 Embalaje -&gt; 24 envolvedora (T11)</t>
        </is>
      </c>
      <c r="L57" s="23" t="n"/>
      <c r="M57" s="22" t="n"/>
      <c r="N57" s="22" t="n"/>
      <c r="O57" s="23" t="n"/>
    </row>
    <row r="58" outlineLevel="1">
      <c r="A58" s="25" t="n">
        <v>2</v>
      </c>
      <c r="B58" s="25" t="inlineStr">
        <is>
          <t>ABC2.5-E1</t>
        </is>
      </c>
      <c r="C58" s="12" t="inlineStr">
        <is>
          <t xml:space="preserve">        Caja de cartón corrugado simple</t>
        </is>
      </c>
      <c r="D58" s="25" t="n">
        <v>1</v>
      </c>
      <c r="E58" s="25" t="inlineStr">
        <is>
          <t>u</t>
        </is>
      </c>
      <c r="F58" s="26" t="n">
        <v>0.25</v>
      </c>
      <c r="G58" s="26">
        <f>D58*F58</f>
        <v/>
      </c>
      <c r="H58" s="25" t="inlineStr">
        <is>
          <t>Cartón corrugado</t>
        </is>
      </c>
      <c r="I58" s="12" t="inlineStr">
        <is>
          <t>250 × 157 × 435 interior</t>
        </is>
      </c>
      <c r="J58" s="25" t="inlineStr">
        <is>
          <t>Compra</t>
        </is>
      </c>
      <c r="K58" s="12" t="inlineStr">
        <is>
          <t>23 Embalaje</t>
        </is>
      </c>
      <c r="L58" s="12" t="n"/>
      <c r="M58" s="25" t="inlineStr">
        <is>
          <t>R</t>
        </is>
      </c>
      <c r="N58" s="25" t="n"/>
      <c r="O58" s="12" t="n"/>
    </row>
    <row r="59" outlineLevel="1">
      <c r="A59" s="25" t="n">
        <v>2</v>
      </c>
      <c r="B59" s="25" t="inlineStr">
        <is>
          <t>ABC2.5-E2</t>
        </is>
      </c>
      <c r="C59" s="12" t="inlineStr">
        <is>
          <t xml:space="preserve">        Instructivo de uso y mantenimiento</t>
        </is>
      </c>
      <c r="D59" s="25" t="n">
        <v>1</v>
      </c>
      <c r="E59" s="25" t="inlineStr">
        <is>
          <t>u</t>
        </is>
      </c>
      <c r="F59" s="26" t="n">
        <v>0.01</v>
      </c>
      <c r="G59" s="26">
        <f>D59*F59</f>
        <v/>
      </c>
      <c r="H59" s="25" t="inlineStr">
        <is>
          <t>Papel</t>
        </is>
      </c>
      <c r="I59" s="12" t="inlineStr">
        <is>
          <t>A5</t>
        </is>
      </c>
      <c r="J59" s="25" t="inlineStr">
        <is>
          <t>Compra</t>
        </is>
      </c>
      <c r="K59" s="12" t="inlineStr">
        <is>
          <t>23 Embalaje</t>
        </is>
      </c>
      <c r="L59" s="12" t="inlineStr">
        <is>
          <t>IRAM 3517-2 (información al usuario)</t>
        </is>
      </c>
      <c r="M59" s="25" t="inlineStr">
        <is>
          <t>R</t>
        </is>
      </c>
      <c r="N59" s="25" t="n"/>
      <c r="O59" s="12" t="n"/>
    </row>
    <row r="60" outlineLevel="1">
      <c r="A60" s="25" t="n">
        <v>2</v>
      </c>
      <c r="B60" s="25" t="inlineStr">
        <is>
          <t>ABC2.5-E3</t>
        </is>
      </c>
      <c r="C60" s="12" t="inlineStr">
        <is>
          <t xml:space="preserve">        Pallet 1200 × 1000 (fracción)</t>
        </is>
      </c>
      <c r="D60" s="25" t="n">
        <v>0.0119</v>
      </c>
      <c r="E60" s="25" t="inlineStr">
        <is>
          <t>u</t>
        </is>
      </c>
      <c r="F60" s="26" t="n">
        <v>0.262</v>
      </c>
      <c r="G60" s="26">
        <f>D60*F60</f>
        <v/>
      </c>
      <c r="H60" s="25" t="inlineStr">
        <is>
          <t>Madera</t>
        </is>
      </c>
      <c r="I60" s="12" t="inlineStr">
        <is>
          <t>84 u por pallet</t>
        </is>
      </c>
      <c r="J60" s="25" t="inlineStr">
        <is>
          <t>Compra</t>
        </is>
      </c>
      <c r="K60" s="12" t="inlineStr">
        <is>
          <t>23 Embalaje</t>
        </is>
      </c>
      <c r="L60" s="12" t="n"/>
      <c r="M60" s="25" t="inlineStr">
        <is>
          <t>R</t>
        </is>
      </c>
      <c r="N60" s="25" t="n"/>
      <c r="O60" s="12" t="n"/>
    </row>
    <row r="61" outlineLevel="1">
      <c r="A61" s="25" t="n">
        <v>2</v>
      </c>
      <c r="B61" s="25" t="inlineStr">
        <is>
          <t>ABC2.5-E4</t>
        </is>
      </c>
      <c r="C61" s="12" t="inlineStr">
        <is>
          <t xml:space="preserve">        Film stretch (fracción del pallet)</t>
        </is>
      </c>
      <c r="D61" s="25" t="n">
        <v>0.0042</v>
      </c>
      <c r="E61" s="25" t="inlineStr">
        <is>
          <t>kg</t>
        </is>
      </c>
      <c r="F61" s="26" t="n">
        <v>1</v>
      </c>
      <c r="G61" s="26">
        <f>D61*F61</f>
        <v/>
      </c>
      <c r="H61" s="25" t="inlineStr">
        <is>
          <t>PE lineal 23 µm</t>
        </is>
      </c>
      <c r="I61" s="12" t="inlineStr">
        <is>
          <t>envolvedora EDOS PS5</t>
        </is>
      </c>
      <c r="J61" s="25" t="inlineStr">
        <is>
          <t>Compra</t>
        </is>
      </c>
      <c r="K61" s="12" t="inlineStr">
        <is>
          <t>24 Envolvedora (T11)</t>
        </is>
      </c>
      <c r="L61" s="12" t="n"/>
      <c r="M61" s="25" t="inlineStr">
        <is>
          <t>R</t>
        </is>
      </c>
      <c r="N61" s="25" t="n"/>
      <c r="O61" s="12" t="n"/>
    </row>
    <row r="62" outlineLevel="1">
      <c r="A62" s="25" t="n">
        <v>2</v>
      </c>
      <c r="B62" s="25" t="inlineStr">
        <is>
          <t>ABC2.5-E5</t>
        </is>
      </c>
      <c r="C62" s="12" t="inlineStr">
        <is>
          <t xml:space="preserve">        Etiqueta de pallet (lote y destino, fracción)</t>
        </is>
      </c>
      <c r="D62" s="25" t="n">
        <v>0.0119</v>
      </c>
      <c r="E62" s="25" t="inlineStr">
        <is>
          <t>u</t>
        </is>
      </c>
      <c r="F62" s="26" t="n">
        <v>0</v>
      </c>
      <c r="G62" s="26">
        <f>D62*F62</f>
        <v/>
      </c>
      <c r="H62" s="25" t="inlineStr">
        <is>
          <t>Papel térmico</t>
        </is>
      </c>
      <c r="I62" s="12" t="inlineStr">
        <is>
          <t>100 × 150</t>
        </is>
      </c>
      <c r="J62" s="25" t="inlineStr">
        <is>
          <t>Compra</t>
        </is>
      </c>
      <c r="K62" s="12" t="inlineStr">
        <is>
          <t>24 Envolvedora</t>
        </is>
      </c>
      <c r="L62" s="12" t="n"/>
      <c r="M62" s="25" t="inlineStr">
        <is>
          <t>R</t>
        </is>
      </c>
      <c r="N62" s="25" t="n"/>
      <c r="O62" s="12" t="n"/>
    </row>
  </sheetData>
  <autoFilter ref="A10:O62"/>
  <pageMargins left="0.75" right="0.75" top="1" bottom="1" header="0.5" footer="0.5"/>
  <pageSetup orientation="landscape" fitToHeight="0" fitToWidth="1"/>
</worksheet>
</file>

<file path=xl/worksheets/sheet9.xml><?xml version="1.0" encoding="utf-8"?>
<worksheet xmlns="http://schemas.openxmlformats.org/spreadsheetml/2006/main">
  <sheetPr>
    <tabColor rgb="007F1D1D"/>
    <outlinePr summaryBelow="0" summaryRight="1"/>
    <pageSetUpPr fitToPage="1"/>
  </sheetPr>
  <dimension ref="A1:O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FL_MAT_ABC_5kg</t>
        </is>
      </c>
    </row>
    <row r="2">
      <c r="A2" s="2" t="inlineStr">
        <is>
          <t>Extintor ABC 5 kg</t>
        </is>
      </c>
    </row>
    <row r="3">
      <c r="A3" s="14" t="inlineStr">
        <is>
          <t>Plano de origen</t>
        </is>
      </c>
      <c r="C3" t="inlineStr">
        <is>
          <t>FL_MAT_ABC_5kg  (3 láminas)</t>
        </is>
      </c>
      <c r="E3" s="14" t="inlineStr">
        <is>
          <t>Peso vacío S1-S4 (kg)</t>
        </is>
      </c>
      <c r="G3" s="30">
        <f>G12+G25+G39</f>
        <v/>
      </c>
    </row>
    <row r="4">
      <c r="A4" s="14" t="inlineStr">
        <is>
          <t>Plano de despiece</t>
        </is>
      </c>
      <c r="C4" t="inlineStr">
        <is>
          <t>FL_DES_ABC_5kg (salida/despiece/)</t>
        </is>
      </c>
      <c r="E4" s="14" t="inlineStr">
        <is>
          <t>Peso cargado S1-S6 (kg)</t>
        </is>
      </c>
      <c r="G4" s="30">
        <f>G12+G25+G39+G44+G47</f>
        <v/>
      </c>
    </row>
    <row r="5">
      <c r="A5" s="14" t="inlineStr">
        <is>
          <t>Norma del producto</t>
        </is>
      </c>
      <c r="C5" t="inlineStr">
        <is>
          <t>IRAM 3523</t>
        </is>
      </c>
      <c r="E5" s="14" t="inlineStr">
        <is>
          <t>Peso con soporte y embalaje (kg)</t>
        </is>
      </c>
      <c r="G5" s="30">
        <f>G12+G25+G39+G44+G47+G57+G53</f>
        <v/>
      </c>
    </row>
    <row r="6">
      <c r="A6" s="14" t="inlineStr">
        <is>
          <t>Fabricación</t>
        </is>
      </c>
      <c r="C6" t="inlineStr">
        <is>
          <t>Fabricación propia</t>
        </is>
      </c>
      <c r="E6" s="14" t="inlineStr">
        <is>
          <t>Desvío cargado vs catálogo</t>
        </is>
      </c>
      <c r="G6" s="10">
        <f>G4/C7-1</f>
        <v/>
      </c>
    </row>
    <row r="7">
      <c r="A7" s="14" t="inlineStr">
        <is>
          <t>Peso catálogo cargado (kg)</t>
        </is>
      </c>
      <c r="C7" t="n">
        <v>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FL_MAT_ABC_5kg</t>
        </is>
      </c>
      <c r="C11" s="20" t="inlineStr">
        <is>
          <t>Extintor ABC 5 kg</t>
        </is>
      </c>
      <c r="D11" s="19" t="n">
        <v>1</v>
      </c>
      <c r="E11" s="19" t="inlineStr">
        <is>
          <t>u</t>
        </is>
      </c>
      <c r="F11" s="21" t="n"/>
      <c r="G11" s="21">
        <f>G5</f>
        <v/>
      </c>
      <c r="H11" s="19" t="n"/>
      <c r="I11" s="20" t="n"/>
      <c r="J11" s="19" t="n"/>
      <c r="K11" s="20" t="n"/>
      <c r="L11" s="20" t="inlineStr">
        <is>
          <t>IRAM 3523</t>
        </is>
      </c>
      <c r="M11" s="19" t="inlineStr">
        <is>
          <t>P</t>
        </is>
      </c>
      <c r="N11" s="19" t="inlineStr">
        <is>
          <t>FL_MAT_ABC_5kg</t>
        </is>
      </c>
      <c r="O11" s="20" t="inlineStr">
        <is>
          <t>Fabricación propia</t>
        </is>
      </c>
    </row>
    <row r="12">
      <c r="A12" s="22" t="n">
        <v>1</v>
      </c>
      <c r="B12" s="22" t="inlineStr">
        <is>
          <t>FL_REC_ABC_5kg</t>
        </is>
      </c>
      <c r="C12" s="23" t="inlineStr">
        <is>
          <t xml:space="preserve">    Recipiente (cilindro)</t>
        </is>
      </c>
      <c r="D12" s="22" t="n">
        <v>1</v>
      </c>
      <c r="E12" s="22" t="inlineStr">
        <is>
          <t>u</t>
        </is>
      </c>
      <c r="F12" s="24" t="n"/>
      <c r="G12" s="24">
        <f>G13+G15+G17+G19+G21+G24</f>
        <v/>
      </c>
      <c r="H12" s="22" t="n"/>
      <c r="I12" s="23" t="n"/>
      <c r="J12" s="22" t="inlineStr">
        <is>
          <t>Fabricación</t>
        </is>
      </c>
      <c r="K12" s="23" t="n"/>
      <c r="L12" s="23" t="inlineStr">
        <is>
          <t>IRAM 3523 / 3550 (recipiente)</t>
        </is>
      </c>
      <c r="M12" s="22" t="inlineStr">
        <is>
          <t>P</t>
        </is>
      </c>
      <c r="N12" s="22" t="inlineStr">
        <is>
          <t>FL_REC_ABC_5kg</t>
        </is>
      </c>
      <c r="O12" s="23" t="n"/>
    </row>
    <row r="13" outlineLevel="1">
      <c r="A13" s="25" t="n">
        <v>2</v>
      </c>
      <c r="B13" s="25" t="inlineStr">
        <is>
          <t>ABC5-01</t>
        </is>
      </c>
      <c r="C13" s="12" t="inlineStr">
        <is>
          <t xml:space="preserve">        Cuerpo (virola)</t>
        </is>
      </c>
      <c r="D13" s="25" t="n">
        <v>1</v>
      </c>
      <c r="E13" s="25" t="inlineStr">
        <is>
          <t>u</t>
        </is>
      </c>
      <c r="F13" s="26" t="n">
        <v>1.9203</v>
      </c>
      <c r="G13" s="26">
        <f>D13*F13</f>
        <v/>
      </c>
      <c r="H13" s="25" t="inlineStr">
        <is>
          <t>Chapa acero SAE 1010 e=1,6</t>
        </is>
      </c>
      <c r="I13" s="12" t="inlineStr">
        <is>
          <t>Ø153 × e1,6 × 321,4 de alto; desarrollo 475,6 × 321,4</t>
        </is>
      </c>
      <c r="J13" s="25" t="inlineStr">
        <is>
          <t>Fabricación</t>
        </is>
      </c>
      <c r="K13" s="12" t="inlineStr">
        <is>
          <t>1 Guillotina -&gt; 2 numerado -&gt; 3 cilindrado -&gt; 4 soldadura longitudinal</t>
        </is>
      </c>
      <c r="L13" s="12" t="n"/>
      <c r="M13" s="25" t="inlineStr">
        <is>
          <t>P</t>
        </is>
      </c>
      <c r="N13" s="25" t="inlineStr">
        <is>
          <t>FL_DES_ABC_5kg</t>
        </is>
      </c>
      <c r="O13" s="12" t="inlineStr">
        <is>
          <t>costura long. MIG</t>
        </is>
      </c>
    </row>
    <row r="14" outlineLevel="2">
      <c r="A14" s="27" t="n">
        <v>3</v>
      </c>
      <c r="B14" s="27" t="inlineStr">
        <is>
          <t>MP-HOJA</t>
        </is>
      </c>
      <c r="C14" s="28" t="inlineStr">
        <is>
          <t xml:space="preserve">            Recorte de hoja LAF 1000 × 2000 e=1,6</t>
        </is>
      </c>
      <c r="D14" s="27" t="n">
        <v>1</v>
      </c>
      <c r="E14" s="27" t="inlineStr">
        <is>
          <t>u</t>
        </is>
      </c>
      <c r="F14" s="29" t="n">
        <v>2.092</v>
      </c>
      <c r="G14" s="29">
        <f>D14*F14</f>
        <v/>
      </c>
      <c r="H14" s="27" t="inlineStr">
        <is>
          <t>Chapa SAE 1010 LAF</t>
        </is>
      </c>
      <c r="I14" s="28" t="inlineStr">
        <is>
          <t>330 × 474,5 (aprovech. 94 %)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ABC5-02</t>
        </is>
      </c>
      <c r="C15" s="12" t="inlineStr">
        <is>
          <t xml:space="preserve">        Cúpula</t>
        </is>
      </c>
      <c r="D15" s="25" t="n">
        <v>1</v>
      </c>
      <c r="E15" s="25" t="inlineStr">
        <is>
          <t>u</t>
        </is>
      </c>
      <c r="F15" s="26" t="n">
        <v>0.3505</v>
      </c>
      <c r="G15" s="26">
        <f>D15*F15</f>
        <v/>
      </c>
      <c r="H15" s="25" t="inlineStr">
        <is>
          <t>Chapa acero SAE 1010 e=1,6</t>
        </is>
      </c>
      <c r="I15" s="12" t="inlineStr">
        <is>
          <t>Ø153 × e1,6 × 53,1 de alto; disco Ø221</t>
        </is>
      </c>
      <c r="J15" s="25" t="inlineStr">
        <is>
          <t>Fabricación</t>
        </is>
      </c>
      <c r="K15" s="12" t="inlineStr">
        <is>
          <t>6 Desbobinado + embutido (M06-M08)</t>
        </is>
      </c>
      <c r="L15" s="12" t="n"/>
      <c r="M15" s="25" t="inlineStr">
        <is>
          <t>P</t>
        </is>
      </c>
      <c r="N15" s="25" t="inlineStr">
        <is>
          <t>FL_DES_ABC_5kg</t>
        </is>
      </c>
      <c r="O15" s="12" t="inlineStr">
        <is>
          <t>embutida</t>
        </is>
      </c>
    </row>
    <row r="16" outlineLevel="2">
      <c r="A16" s="27" t="n">
        <v>3</v>
      </c>
      <c r="B16" s="27" t="inlineStr">
        <is>
          <t>MP-FLEJE</t>
        </is>
      </c>
      <c r="C16" s="28" t="inlineStr">
        <is>
          <t xml:space="preserve">            Fleje e=1,6 × 250 (paso 224)</t>
        </is>
      </c>
      <c r="D16" s="27" t="n">
        <v>0.224</v>
      </c>
      <c r="E16" s="27" t="inlineStr">
        <is>
          <t>m</t>
        </is>
      </c>
      <c r="F16" s="29" t="n">
        <v>3.14</v>
      </c>
      <c r="G16" s="29">
        <f>D16*F16</f>
        <v/>
      </c>
      <c r="H16" s="27" t="inlineStr">
        <is>
          <t>Fleje SAE 1010</t>
        </is>
      </c>
      <c r="I16" s="28" t="inlineStr">
        <is>
          <t>disco Ø221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ABC5-03</t>
        </is>
      </c>
      <c r="C17" s="12" t="inlineStr">
        <is>
          <t xml:space="preserve">        Fondo</t>
        </is>
      </c>
      <c r="D17" s="25" t="n">
        <v>1</v>
      </c>
      <c r="E17" s="25" t="inlineStr">
        <is>
          <t>u</t>
        </is>
      </c>
      <c r="F17" s="26" t="n">
        <v>0.2214</v>
      </c>
      <c r="G17" s="26">
        <f>D17*F17</f>
        <v/>
      </c>
      <c r="H17" s="25" t="inlineStr">
        <is>
          <t>Chapa acero SAE 1010 e=1,6</t>
        </is>
      </c>
      <c r="I17" s="12" t="inlineStr">
        <is>
          <t>Ø153 × e1,6 × 17,6 de alto; disco Ø177</t>
        </is>
      </c>
      <c r="J17" s="25" t="inlineStr">
        <is>
          <t>Fabricación</t>
        </is>
      </c>
      <c r="K17" s="12" t="inlineStr">
        <is>
          <t>6 Desbobinado + embutido (M06-M08)</t>
        </is>
      </c>
      <c r="L17" s="12" t="n"/>
      <c r="M17" s="25" t="inlineStr">
        <is>
          <t>P</t>
        </is>
      </c>
      <c r="N17" s="25" t="inlineStr">
        <is>
          <t>FL_DES_ABC_5kg</t>
        </is>
      </c>
      <c r="O17" s="12" t="inlineStr">
        <is>
          <t>embutido</t>
        </is>
      </c>
    </row>
    <row r="18" outlineLevel="2">
      <c r="A18" s="27" t="n">
        <v>3</v>
      </c>
      <c r="B18" s="27" t="inlineStr">
        <is>
          <t>MP-FLEJE</t>
        </is>
      </c>
      <c r="C18" s="28" t="inlineStr">
        <is>
          <t xml:space="preserve">            Fleje e=1,6 × 200 (paso 180)</t>
        </is>
      </c>
      <c r="D18" s="27" t="n">
        <v>0.18</v>
      </c>
      <c r="E18" s="27" t="inlineStr">
        <is>
          <t>m</t>
        </is>
      </c>
      <c r="F18" s="29" t="n">
        <v>2.512</v>
      </c>
      <c r="G18" s="29">
        <f>D18*F18</f>
        <v/>
      </c>
      <c r="H18" s="27" t="inlineStr">
        <is>
          <t>Fleje SAE 1010</t>
        </is>
      </c>
      <c r="I18" s="28" t="inlineStr">
        <is>
          <t>disco Ø177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ABC5-04</t>
        </is>
      </c>
      <c r="C19" s="12" t="inlineStr">
        <is>
          <t xml:space="preserve">        Cuello roscado</t>
        </is>
      </c>
      <c r="D19" s="25" t="n">
        <v>1</v>
      </c>
      <c r="E19" s="25" t="inlineStr">
        <is>
          <t>u</t>
        </is>
      </c>
      <c r="F19" s="26" t="n">
        <v>0.0589</v>
      </c>
      <c r="G19" s="26">
        <f>D19*F19</f>
        <v/>
      </c>
      <c r="H19" s="25" t="inlineStr">
        <is>
          <t>Acero SAE 1010</t>
        </is>
      </c>
      <c r="I19" s="12" t="inlineStr">
        <is>
          <t>Ø37 × 15 de alto, rosca M30x1,5, asiento Ø35</t>
        </is>
      </c>
      <c r="J19" s="25" t="inlineStr">
        <is>
          <t>Fabricación</t>
        </is>
      </c>
      <c r="K19" s="12" t="inlineStr">
        <is>
          <t>7 Preparación de cuello -&gt; 8 soldadura de cuello</t>
        </is>
      </c>
      <c r="L19" s="12" t="n"/>
      <c r="M19" s="25" t="inlineStr">
        <is>
          <t>P</t>
        </is>
      </c>
      <c r="N19" s="25" t="inlineStr">
        <is>
          <t>FL_DES_ABC_5kg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0.059</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ABC5-C1</t>
        </is>
      </c>
      <c r="C21" s="12" t="inlineStr">
        <is>
          <t xml:space="preserve">        Aporte de soldadura: Alambre MAG ER70S-6 Ø0,9/1,2</t>
        </is>
      </c>
      <c r="D21" s="25" t="n">
        <v>0.0571</v>
      </c>
      <c r="E21" s="25" t="inlineStr">
        <is>
          <t>kg</t>
        </is>
      </c>
      <c r="F21" s="26" t="n">
        <v>0.92</v>
      </c>
      <c r="G21" s="26">
        <f>D21*F21</f>
        <v/>
      </c>
      <c r="H21" s="25" t="inlineStr">
        <is>
          <t>Alambre MAG ER70S-6 Ø0,9/1,2</t>
        </is>
      </c>
      <c r="I21" s="12" t="inlineStr">
        <is>
          <t>cordones del plano: 53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ABC5-C2</t>
        </is>
      </c>
      <c r="C22" s="12" t="inlineStr">
        <is>
          <t xml:space="preserve">        Gas de protección: Arcal 21 (Ar + 18 % CO₂)</t>
        </is>
      </c>
      <c r="D22" s="25" t="n">
        <v>25.7</v>
      </c>
      <c r="E22" s="25" t="inlineStr">
        <is>
          <t>L</t>
        </is>
      </c>
      <c r="F22" s="26" t="n"/>
      <c r="G22" s="26" t="n"/>
      <c r="H22" s="25" t="inlineStr">
        <is>
          <t>Arcal 21 (Ar + 18 % CO₂)</t>
        </is>
      </c>
      <c r="I22" s="12" t="inlineStr">
        <is>
          <t>1,7 min de arco × 15 L/min</t>
        </is>
      </c>
      <c r="J22" s="25" t="inlineStr">
        <is>
          <t>Compra</t>
        </is>
      </c>
      <c r="K22" s="12" t="inlineStr">
        <is>
          <t>Colector SC</t>
        </is>
      </c>
      <c r="L22" s="12" t="n"/>
      <c r="M22" s="25" t="inlineStr">
        <is>
          <t>R</t>
        </is>
      </c>
      <c r="N22" s="25" t="n"/>
      <c r="O22" s="12" t="n"/>
    </row>
    <row r="23" outlineLevel="1">
      <c r="A23" s="25" t="n">
        <v>2</v>
      </c>
      <c r="B23" s="25" t="inlineStr">
        <is>
          <t>ABC5-C3</t>
        </is>
      </c>
      <c r="C23" s="12" t="inlineStr">
        <is>
          <t xml:space="preserve">        Granalla de acero (consumo)</t>
        </is>
      </c>
      <c r="D23" s="25" t="n">
        <v>0.016</v>
      </c>
      <c r="E23" s="25" t="inlineStr">
        <is>
          <t>kg</t>
        </is>
      </c>
      <c r="F23" s="26" t="n"/>
      <c r="G23" s="26" t="n"/>
      <c r="H23" s="25" t="inlineStr">
        <is>
          <t>Granalla S-230</t>
        </is>
      </c>
      <c r="I23" s="12" t="inlineStr">
        <is>
          <t>0,198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ABC5-C4</t>
        </is>
      </c>
      <c r="C24" s="12" t="inlineStr">
        <is>
          <t xml:space="preserve">        Pintura en polvo poliéster rojo</t>
        </is>
      </c>
      <c r="D24" s="25" t="n">
        <v>0.037</v>
      </c>
      <c r="E24" s="25" t="inlineStr">
        <is>
          <t>kg</t>
        </is>
      </c>
      <c r="F24" s="26" t="n">
        <v>0.65</v>
      </c>
      <c r="G24" s="26">
        <f>D24*F24</f>
        <v/>
      </c>
      <c r="H24" s="25" t="inlineStr">
        <is>
          <t>Poliéster rojo 03-1-050</t>
        </is>
      </c>
      <c r="I24" s="12" t="inlineStr">
        <is>
          <t>0,198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c r="A25" s="22" t="n">
        <v>1</v>
      </c>
      <c r="B25" s="22" t="inlineStr">
        <is>
          <t>ABC5-S2</t>
        </is>
      </c>
      <c r="C25" s="23" t="inlineStr">
        <is>
          <t xml:space="preserve">    Conjunto de válvula</t>
        </is>
      </c>
      <c r="D25" s="22" t="n">
        <v>1</v>
      </c>
      <c r="E25" s="22" t="inlineStr">
        <is>
          <t>u</t>
        </is>
      </c>
      <c r="F25" s="24" t="n"/>
      <c r="G25" s="24">
        <f>G26+G27+G28+G29+G30+G31+G32+G33+G34+G35+G36+G37+G38</f>
        <v/>
      </c>
      <c r="H25" s="22" t="n"/>
      <c r="I25" s="23" t="n"/>
      <c r="J25" s="22" t="inlineStr">
        <is>
          <t>Compra / armado</t>
        </is>
      </c>
      <c r="K25" s="23" t="n"/>
      <c r="L25" s="23" t="inlineStr">
        <is>
          <t>Manómetro IRAM 3533</t>
        </is>
      </c>
      <c r="M25" s="22" t="inlineStr">
        <is>
          <t>P</t>
        </is>
      </c>
      <c r="N25" s="22" t="inlineStr">
        <is>
          <t>FL_DES_ABC_5kg</t>
        </is>
      </c>
      <c r="O25" s="23" t="n"/>
    </row>
    <row r="26" outlineLevel="1">
      <c r="A26" s="25" t="n">
        <v>2</v>
      </c>
      <c r="B26" s="25" t="inlineStr">
        <is>
          <t>ABC5-05</t>
        </is>
      </c>
      <c r="C26" s="12" t="inlineStr">
        <is>
          <t xml:space="preserve">        Collarín de válvula</t>
        </is>
      </c>
      <c r="D26" s="25" t="n">
        <v>1</v>
      </c>
      <c r="E26" s="25" t="inlineStr">
        <is>
          <t>u</t>
        </is>
      </c>
      <c r="F26" s="26" t="n">
        <v>0.0833</v>
      </c>
      <c r="G26" s="26">
        <f>D26*F26</f>
        <v/>
      </c>
      <c r="H26" s="25" t="inlineStr">
        <is>
          <t>Latón forjado</t>
        </is>
      </c>
      <c r="I26" s="12" t="inlineStr">
        <is>
          <t>43 × 43 × 10</t>
        </is>
      </c>
      <c r="J26" s="25" t="inlineStr">
        <is>
          <t>Compra</t>
        </is>
      </c>
      <c r="K26" s="12" t="inlineStr">
        <is>
          <t>19 Ensamblaje de válvula (T03/T04)</t>
        </is>
      </c>
      <c r="L26" s="12" t="n"/>
      <c r="M26" s="25" t="inlineStr">
        <is>
          <t>P</t>
        </is>
      </c>
      <c r="N26" s="25" t="inlineStr">
        <is>
          <t>FL_DES_ABC_5kg</t>
        </is>
      </c>
      <c r="O26" s="12" t="n"/>
    </row>
    <row r="27" outlineLevel="1">
      <c r="A27" s="25" t="n">
        <v>2</v>
      </c>
      <c r="B27" s="25" t="inlineStr">
        <is>
          <t>ABC5-06</t>
        </is>
      </c>
      <c r="C27" s="12" t="inlineStr">
        <is>
          <t xml:space="preserve">        Espiga roscada</t>
        </is>
      </c>
      <c r="D27" s="25" t="n">
        <v>1</v>
      </c>
      <c r="E27" s="25" t="inlineStr">
        <is>
          <t>u</t>
        </is>
      </c>
      <c r="F27" s="26" t="n">
        <v>0.0243</v>
      </c>
      <c r="G27" s="26">
        <f>D27*F27</f>
        <v/>
      </c>
      <c r="H27" s="25" t="inlineStr">
        <is>
          <t>Latón forjado</t>
        </is>
      </c>
      <c r="I27" s="12" t="inlineStr">
        <is>
          <t>28,4 × 28,4 × 12</t>
        </is>
      </c>
      <c r="J27" s="25" t="inlineStr">
        <is>
          <t>Compra</t>
        </is>
      </c>
      <c r="K27" s="12" t="inlineStr">
        <is>
          <t>19 Ensamblaje de válvula (T03/T04)</t>
        </is>
      </c>
      <c r="L27" s="12" t="n"/>
      <c r="M27" s="25" t="inlineStr">
        <is>
          <t>P</t>
        </is>
      </c>
      <c r="N27" s="25" t="inlineStr">
        <is>
          <t>FL_DES_ABC_5kg</t>
        </is>
      </c>
      <c r="O27" s="12" t="n"/>
    </row>
    <row r="28" outlineLevel="1">
      <c r="A28" s="25" t="n">
        <v>2</v>
      </c>
      <c r="B28" s="25" t="inlineStr">
        <is>
          <t>ABC5-07</t>
        </is>
      </c>
      <c r="C28" s="12" t="inlineStr">
        <is>
          <t xml:space="preserve">        Cuerpo de válvula</t>
        </is>
      </c>
      <c r="D28" s="25" t="n">
        <v>1</v>
      </c>
      <c r="E28" s="25" t="inlineStr">
        <is>
          <t>u</t>
        </is>
      </c>
      <c r="F28" s="26" t="n">
        <v>0.4131</v>
      </c>
      <c r="G28" s="26">
        <f>D28*F28</f>
        <v/>
      </c>
      <c r="H28" s="25" t="inlineStr">
        <is>
          <t>Latón forjado</t>
        </is>
      </c>
      <c r="I28" s="12" t="inlineStr">
        <is>
          <t>56,3 × 43 × 34</t>
        </is>
      </c>
      <c r="J28" s="25" t="inlineStr">
        <is>
          <t>Compra</t>
        </is>
      </c>
      <c r="K28" s="12" t="inlineStr">
        <is>
          <t>19 Ensamblaje de válvula (T03/T04)</t>
        </is>
      </c>
      <c r="L28" s="12" t="n"/>
      <c r="M28" s="25" t="inlineStr">
        <is>
          <t>P</t>
        </is>
      </c>
      <c r="N28" s="25" t="inlineStr">
        <is>
          <t>FL_DES_ABC_5kg</t>
        </is>
      </c>
      <c r="O28" s="12" t="n"/>
    </row>
    <row r="29" outlineLevel="1">
      <c r="A29" s="25" t="n">
        <v>2</v>
      </c>
      <c r="B29" s="25" t="inlineStr">
        <is>
          <t>ABC5-08</t>
        </is>
      </c>
      <c r="C29" s="12" t="inlineStr">
        <is>
          <t xml:space="preserve">        Manómetro</t>
        </is>
      </c>
      <c r="D29" s="25" t="n">
        <v>1</v>
      </c>
      <c r="E29" s="25" t="inlineStr">
        <is>
          <t>u</t>
        </is>
      </c>
      <c r="F29" s="26" t="n">
        <v>0.06</v>
      </c>
      <c r="G29" s="26">
        <f>D29*F29</f>
        <v/>
      </c>
      <c r="H29" s="25" t="inlineStr">
        <is>
          <t>Comercial</t>
        </is>
      </c>
      <c r="I29" s="12" t="inlineStr">
        <is>
          <t>Ø38 esfera, rango 0-3,5 MPa, sector verde en 1,4</t>
        </is>
      </c>
      <c r="J29" s="25" t="inlineStr">
        <is>
          <t>Compra</t>
        </is>
      </c>
      <c r="K29" s="12" t="inlineStr">
        <is>
          <t>19 Ensamblaje de válvula (T03/T04)</t>
        </is>
      </c>
      <c r="L29" s="12" t="inlineStr">
        <is>
          <t>IRAM 3533</t>
        </is>
      </c>
      <c r="M29" s="25" t="inlineStr">
        <is>
          <t>R</t>
        </is>
      </c>
      <c r="N29" s="25" t="inlineStr">
        <is>
          <t>FL_DES_ABC_5kg</t>
        </is>
      </c>
      <c r="O29" s="12" t="inlineStr">
        <is>
          <t>Pieza comercial; sello IRAM 3533</t>
        </is>
      </c>
    </row>
    <row r="30" outlineLevel="1">
      <c r="A30" s="25" t="n">
        <v>2</v>
      </c>
      <c r="B30" s="25" t="inlineStr">
        <is>
          <t>ABC5-09</t>
        </is>
      </c>
      <c r="C30" s="12" t="inlineStr">
        <is>
          <t xml:space="preserve">        Manija de transporte</t>
        </is>
      </c>
      <c r="D30" s="25" t="n">
        <v>1</v>
      </c>
      <c r="E30" s="25" t="inlineStr">
        <is>
          <t>u</t>
        </is>
      </c>
      <c r="F30" s="26" t="n">
        <v>0.0619</v>
      </c>
      <c r="G30" s="26">
        <f>D30*F30</f>
        <v/>
      </c>
      <c r="H30" s="25" t="inlineStr">
        <is>
          <t>Chapa acero SAE 1010 pintada</t>
        </is>
      </c>
      <c r="I30" s="12" t="inlineStr">
        <is>
          <t>98,4 × 20 × 14,3</t>
        </is>
      </c>
      <c r="J30" s="25" t="inlineStr">
        <is>
          <t>Compra</t>
        </is>
      </c>
      <c r="K30" s="12" t="inlineStr">
        <is>
          <t>19 Ensamblaje de válvula (T03/T04)</t>
        </is>
      </c>
      <c r="L30" s="12" t="n"/>
      <c r="M30" s="25" t="inlineStr">
        <is>
          <t>P</t>
        </is>
      </c>
      <c r="N30" s="25" t="inlineStr">
        <is>
          <t>FL_DES_ABC_5kg</t>
        </is>
      </c>
      <c r="O30" s="12" t="n"/>
    </row>
    <row r="31" outlineLevel="1">
      <c r="A31" s="25" t="n">
        <v>2</v>
      </c>
      <c r="B31" s="25" t="inlineStr">
        <is>
          <t>ABC5-10</t>
        </is>
      </c>
      <c r="C31" s="12" t="inlineStr">
        <is>
          <t xml:space="preserve">        Manija de accionamiento</t>
        </is>
      </c>
      <c r="D31" s="25" t="n">
        <v>1</v>
      </c>
      <c r="E31" s="25" t="inlineStr">
        <is>
          <t>u</t>
        </is>
      </c>
      <c r="F31" s="26" t="n">
        <v>0.08890000000000001</v>
      </c>
      <c r="G31" s="26">
        <f>D31*F31</f>
        <v/>
      </c>
      <c r="H31" s="25" t="inlineStr">
        <is>
          <t>Chapa acero SAE 1010 pintada</t>
        </is>
      </c>
      <c r="I31" s="12" t="inlineStr">
        <is>
          <t>141 × 21,2 × 20</t>
        </is>
      </c>
      <c r="J31" s="25" t="inlineStr">
        <is>
          <t>Compra</t>
        </is>
      </c>
      <c r="K31" s="12" t="inlineStr">
        <is>
          <t>19 Ensamblaje de válvula (T03/T04)</t>
        </is>
      </c>
      <c r="L31" s="12" t="n"/>
      <c r="M31" s="25" t="inlineStr">
        <is>
          <t>P</t>
        </is>
      </c>
      <c r="N31" s="25" t="inlineStr">
        <is>
          <t>FL_DES_ABC_5kg</t>
        </is>
      </c>
      <c r="O31" s="12" t="n"/>
    </row>
    <row r="32" outlineLevel="1">
      <c r="A32" s="25" t="n">
        <v>2</v>
      </c>
      <c r="B32" s="25" t="inlineStr">
        <is>
          <t>ABC5-11</t>
        </is>
      </c>
      <c r="C32" s="12" t="inlineStr">
        <is>
          <t xml:space="preserve">        Eje de palanca</t>
        </is>
      </c>
      <c r="D32" s="25" t="n">
        <v>1</v>
      </c>
      <c r="E32" s="25" t="inlineStr">
        <is>
          <t>u</t>
        </is>
      </c>
      <c r="F32" s="26" t="n">
        <v>0.0081</v>
      </c>
      <c r="G32" s="26">
        <f>D32*F32</f>
        <v/>
      </c>
      <c r="H32" s="25" t="inlineStr">
        <is>
          <t>Acero inox. AISI 304</t>
        </is>
      </c>
      <c r="I32" s="12" t="inlineStr">
        <is>
          <t>36 × 6 × 6</t>
        </is>
      </c>
      <c r="J32" s="25" t="inlineStr">
        <is>
          <t>Compra</t>
        </is>
      </c>
      <c r="K32" s="12" t="inlineStr">
        <is>
          <t>19 Ensamblaje de válvula (T03/T04)</t>
        </is>
      </c>
      <c r="L32" s="12" t="n"/>
      <c r="M32" s="25" t="inlineStr">
        <is>
          <t>P</t>
        </is>
      </c>
      <c r="N32" s="25" t="inlineStr">
        <is>
          <t>FL_DES_ABC_5kg</t>
        </is>
      </c>
      <c r="O32" s="12" t="n"/>
    </row>
    <row r="33" outlineLevel="1">
      <c r="A33" s="25" t="n">
        <v>2</v>
      </c>
      <c r="B33" s="25" t="inlineStr">
        <is>
          <t>ABC5-12</t>
        </is>
      </c>
      <c r="C33" s="12" t="inlineStr">
        <is>
          <t xml:space="preserve">        Vástago</t>
        </is>
      </c>
      <c r="D33" s="25" t="n">
        <v>1</v>
      </c>
      <c r="E33" s="25" t="inlineStr">
        <is>
          <t>u</t>
        </is>
      </c>
      <c r="F33" s="26" t="n">
        <v>0.0017</v>
      </c>
      <c r="G33" s="26">
        <f>D33*F33</f>
        <v/>
      </c>
      <c r="H33" s="25" t="inlineStr">
        <is>
          <t>Latón</t>
        </is>
      </c>
      <c r="I33" s="12" t="inlineStr">
        <is>
          <t>8 × 8 × 4</t>
        </is>
      </c>
      <c r="J33" s="25" t="inlineStr">
        <is>
          <t>Compra</t>
        </is>
      </c>
      <c r="K33" s="12" t="inlineStr">
        <is>
          <t>19 Ensamblaje de válvula (T03/T04)</t>
        </is>
      </c>
      <c r="L33" s="12" t="n"/>
      <c r="M33" s="25" t="inlineStr">
        <is>
          <t>P</t>
        </is>
      </c>
      <c r="N33" s="25" t="inlineStr">
        <is>
          <t>FL_DES_ABC_5kg</t>
        </is>
      </c>
      <c r="O33" s="12" t="inlineStr">
        <is>
          <t>con junta tórica</t>
        </is>
      </c>
    </row>
    <row r="34" outlineLevel="1">
      <c r="A34" s="25" t="n">
        <v>2</v>
      </c>
      <c r="B34" s="25" t="inlineStr">
        <is>
          <t>ABC5-13</t>
        </is>
      </c>
      <c r="C34" s="12" t="inlineStr">
        <is>
          <t xml:space="preserve">        Pasador de seguridad</t>
        </is>
      </c>
      <c r="D34" s="25" t="n">
        <v>1</v>
      </c>
      <c r="E34" s="25" t="inlineStr">
        <is>
          <t>u</t>
        </is>
      </c>
      <c r="F34" s="26" t="n">
        <v>0.0055</v>
      </c>
      <c r="G34" s="26">
        <f>D34*F34</f>
        <v/>
      </c>
      <c r="H34" s="25" t="inlineStr">
        <is>
          <t>Alambre acero inox. AISI 304</t>
        </is>
      </c>
      <c r="I34" s="12" t="inlineStr">
        <is>
          <t>45,4 × 21 × 20,8</t>
        </is>
      </c>
      <c r="J34" s="25" t="inlineStr">
        <is>
          <t>Compra</t>
        </is>
      </c>
      <c r="K34" s="12" t="inlineStr">
        <is>
          <t>19 Ensamblaje de válvula (T03/T04)</t>
        </is>
      </c>
      <c r="L34" s="12" t="n"/>
      <c r="M34" s="25" t="inlineStr">
        <is>
          <t>P</t>
        </is>
      </c>
      <c r="N34" s="25" t="inlineStr">
        <is>
          <t>FL_DES_ABC_5kg</t>
        </is>
      </c>
      <c r="O34" s="12" t="inlineStr">
        <is>
          <t>con precinto</t>
        </is>
      </c>
    </row>
    <row r="35" outlineLevel="1">
      <c r="A35" s="25" t="n">
        <v>2</v>
      </c>
      <c r="B35" s="25" t="inlineStr">
        <is>
          <t>ABC5-14</t>
        </is>
      </c>
      <c r="C35" s="12" t="inlineStr">
        <is>
          <t xml:space="preserve">        Caño de pesca (sifón)</t>
        </is>
      </c>
      <c r="D35" s="25" t="n">
        <v>1</v>
      </c>
      <c r="E35" s="25" t="inlineStr">
        <is>
          <t>u</t>
        </is>
      </c>
      <c r="F35" s="26" t="n">
        <v>0.0244</v>
      </c>
      <c r="G35" s="26">
        <f>D35*F35</f>
        <v/>
      </c>
      <c r="H35" s="25" t="inlineStr">
        <is>
          <t>Tubo PVC rígido</t>
        </is>
      </c>
      <c r="I35" s="12" t="inlineStr">
        <is>
          <t>Ø12 × 352,4 de largo</t>
        </is>
      </c>
      <c r="J35" s="25" t="inlineStr">
        <is>
          <t>Compra</t>
        </is>
      </c>
      <c r="K35" s="12" t="inlineStr">
        <is>
          <t>19 Ensamblaje de válvula (T03/T04)</t>
        </is>
      </c>
      <c r="L35" s="12" t="n"/>
      <c r="M35" s="25" t="inlineStr">
        <is>
          <t>P</t>
        </is>
      </c>
      <c r="N35" s="25" t="inlineStr">
        <is>
          <t>FL_DES_ABC_5kg</t>
        </is>
      </c>
      <c r="O35" s="12" t="n"/>
    </row>
    <row r="36" outlineLevel="1">
      <c r="A36" s="25" t="n">
        <v>2</v>
      </c>
      <c r="B36" s="25" t="inlineStr">
        <is>
          <t>ABC5-22</t>
        </is>
      </c>
      <c r="C36" s="12" t="inlineStr">
        <is>
          <t xml:space="preserve">        Junta tórica de asiento</t>
        </is>
      </c>
      <c r="D36" s="25" t="n">
        <v>1</v>
      </c>
      <c r="E36" s="25" t="inlineStr">
        <is>
          <t>u</t>
        </is>
      </c>
      <c r="F36" s="26" t="n">
        <v>0.001</v>
      </c>
      <c r="G36" s="26">
        <f>D36*F36</f>
        <v/>
      </c>
      <c r="H36" s="25" t="inlineStr">
        <is>
          <t>NBR 70 Shore A</t>
        </is>
      </c>
      <c r="I36" s="12" t="inlineStr">
        <is>
          <t>Ø31,4 ext. × cordón 3</t>
        </is>
      </c>
      <c r="J36" s="25" t="inlineStr">
        <is>
          <t>Compra</t>
        </is>
      </c>
      <c r="K36" s="12" t="inlineStr">
        <is>
          <t>19 Ensamblaje de válvula (T03/T04)</t>
        </is>
      </c>
      <c r="L36" s="12" t="n"/>
      <c r="M36" s="25" t="inlineStr">
        <is>
          <t>P</t>
        </is>
      </c>
      <c r="N36" s="25" t="inlineStr">
        <is>
          <t>FL_DES_ABC_5kg</t>
        </is>
      </c>
      <c r="O36" s="12" t="inlineStr">
        <is>
          <t>cambio c/recarga</t>
        </is>
      </c>
    </row>
    <row r="37" outlineLevel="1">
      <c r="A37" s="25" t="n">
        <v>2</v>
      </c>
      <c r="B37" s="25" t="inlineStr">
        <is>
          <t>ABC5-V2</t>
        </is>
      </c>
      <c r="C37" s="12" t="inlineStr">
        <is>
          <t xml:space="preserve">        Resorte de retorno del vástago</t>
        </is>
      </c>
      <c r="D37" s="25" t="n">
        <v>1</v>
      </c>
      <c r="E37" s="25" t="inlineStr">
        <is>
          <t>u</t>
        </is>
      </c>
      <c r="F37" s="26" t="n">
        <v>0.003</v>
      </c>
      <c r="G37" s="26">
        <f>D37*F37</f>
        <v/>
      </c>
      <c r="H37" s="25" t="inlineStr">
        <is>
          <t>Alambre acero inox. AISI 302</t>
        </is>
      </c>
      <c r="I37" s="12" t="inlineStr">
        <is>
          <t>según válvula</t>
        </is>
      </c>
      <c r="J37" s="25" t="inlineStr">
        <is>
          <t>Compra</t>
        </is>
      </c>
      <c r="K37" s="12" t="inlineStr">
        <is>
          <t>19 Ensamblaje</t>
        </is>
      </c>
      <c r="L37" s="12" t="n"/>
      <c r="M37" s="25" t="inlineStr">
        <is>
          <t>R</t>
        </is>
      </c>
      <c r="N37" s="25" t="n"/>
      <c r="O37" s="12" t="n"/>
    </row>
    <row r="38" outlineLevel="1">
      <c r="A38" s="25" t="n">
        <v>2</v>
      </c>
      <c r="B38" s="25" t="inlineStr">
        <is>
          <t>ABC5-V3</t>
        </is>
      </c>
      <c r="C38" s="12" t="inlineStr">
        <is>
          <t xml:space="preserve">        Junta tórica del vástago</t>
        </is>
      </c>
      <c r="D38" s="25" t="n">
        <v>1</v>
      </c>
      <c r="E38" s="25" t="inlineStr">
        <is>
          <t>u</t>
        </is>
      </c>
      <c r="F38" s="26" t="n">
        <v>0.001</v>
      </c>
      <c r="G38" s="26">
        <f>D38*F38</f>
        <v/>
      </c>
      <c r="H38" s="25" t="inlineStr">
        <is>
          <t>NBR 70 Shore A</t>
        </is>
      </c>
      <c r="I38" s="12" t="inlineStr">
        <is>
          <t>según válvula</t>
        </is>
      </c>
      <c r="J38" s="25" t="inlineStr">
        <is>
          <t>Compra</t>
        </is>
      </c>
      <c r="K38" s="12" t="inlineStr">
        <is>
          <t>19 Ensamblaje</t>
        </is>
      </c>
      <c r="L38" s="12" t="n"/>
      <c r="M38" s="25" t="inlineStr">
        <is>
          <t>P</t>
        </is>
      </c>
      <c r="N38" s="25" t="n"/>
      <c r="O38" s="12" t="inlineStr">
        <is>
          <t>Figura en el plano como «vástago con junta tórica»</t>
        </is>
      </c>
    </row>
    <row r="39">
      <c r="A39" s="22" t="n">
        <v>1</v>
      </c>
      <c r="B39" s="22" t="inlineStr">
        <is>
          <t>ABC5-S3</t>
        </is>
      </c>
      <c r="C39" s="23" t="inlineStr">
        <is>
          <t xml:space="preserve">    Dispositivo de descarga</t>
        </is>
      </c>
      <c r="D39" s="22" t="n">
        <v>1</v>
      </c>
      <c r="E39" s="22" t="inlineStr">
        <is>
          <t>u</t>
        </is>
      </c>
      <c r="F39" s="24" t="n"/>
      <c r="G39" s="24">
        <f>G40+G41+G42+G43</f>
        <v/>
      </c>
      <c r="H39" s="22" t="n"/>
      <c r="I39" s="23" t="n"/>
      <c r="J39" s="22" t="inlineStr">
        <is>
          <t>Compra / armado</t>
        </is>
      </c>
      <c r="K39" s="23" t="n"/>
      <c r="L39" s="23" t="n"/>
      <c r="M39" s="22" t="inlineStr">
        <is>
          <t>P</t>
        </is>
      </c>
      <c r="N39" s="22" t="inlineStr">
        <is>
          <t>FL_DES_ABC_5kg</t>
        </is>
      </c>
      <c r="O39" s="23" t="n"/>
    </row>
    <row r="40" outlineLevel="1">
      <c r="A40" s="25" t="n">
        <v>2</v>
      </c>
      <c r="B40" s="25" t="inlineStr">
        <is>
          <t>ABC5-15</t>
        </is>
      </c>
      <c r="C40" s="12" t="inlineStr">
        <is>
          <t xml:space="preserve">        Racor de manguera</t>
        </is>
      </c>
      <c r="D40" s="25" t="n">
        <v>1</v>
      </c>
      <c r="E40" s="25" t="inlineStr">
        <is>
          <t>u</t>
        </is>
      </c>
      <c r="F40" s="26" t="n">
        <v>0.0258</v>
      </c>
      <c r="G40" s="26">
        <f>D40*F40</f>
        <v/>
      </c>
      <c r="H40" s="25" t="inlineStr">
        <is>
          <t>Latón</t>
        </is>
      </c>
      <c r="I40" s="12" t="inlineStr">
        <is>
          <t>18 × 18 × 12</t>
        </is>
      </c>
      <c r="J40" s="25" t="inlineStr">
        <is>
          <t>Compra</t>
        </is>
      </c>
      <c r="K40" s="12" t="inlineStr">
        <is>
          <t>19 Ensamblaje (T03/T04)</t>
        </is>
      </c>
      <c r="L40" s="12" t="n"/>
      <c r="M40" s="25" t="inlineStr">
        <is>
          <t>P</t>
        </is>
      </c>
      <c r="N40" s="25" t="inlineStr">
        <is>
          <t>FL_DES_ABC_5kg</t>
        </is>
      </c>
      <c r="O40" s="12" t="n"/>
    </row>
    <row r="41" outlineLevel="1">
      <c r="A41" s="25" t="n">
        <v>2</v>
      </c>
      <c r="B41" s="25" t="inlineStr">
        <is>
          <t>ABC5-16</t>
        </is>
      </c>
      <c r="C41" s="12" t="inlineStr">
        <is>
          <t xml:space="preserve">        Manguera</t>
        </is>
      </c>
      <c r="D41" s="25" t="n">
        <v>1</v>
      </c>
      <c r="E41" s="25" t="inlineStr">
        <is>
          <t>u</t>
        </is>
      </c>
      <c r="F41" s="26" t="n">
        <v>0.046</v>
      </c>
      <c r="G41" s="26">
        <f>D41*F41</f>
        <v/>
      </c>
      <c r="H41" s="25" t="inlineStr">
        <is>
          <t>Caucho sintético</t>
        </is>
      </c>
      <c r="I41" s="12" t="inlineStr">
        <is>
          <t>Ø16 × 298 de largo desarrollado</t>
        </is>
      </c>
      <c r="J41" s="25" t="inlineStr">
        <is>
          <t>Compra</t>
        </is>
      </c>
      <c r="K41" s="12" t="inlineStr">
        <is>
          <t>19 Ensamblaje (T03/T04)</t>
        </is>
      </c>
      <c r="L41" s="12" t="n"/>
      <c r="M41" s="25" t="inlineStr">
        <is>
          <t>P</t>
        </is>
      </c>
      <c r="N41" s="25" t="inlineStr">
        <is>
          <t>FL_DES_ABC_5kg</t>
        </is>
      </c>
      <c r="O41" s="12" t="n"/>
    </row>
    <row r="42" outlineLevel="1">
      <c r="A42" s="25" t="n">
        <v>2</v>
      </c>
      <c r="B42" s="25" t="inlineStr">
        <is>
          <t>ABC5-17</t>
        </is>
      </c>
      <c r="C42" s="12" t="inlineStr">
        <is>
          <t xml:space="preserve">        Tobera con portatobera</t>
        </is>
      </c>
      <c r="D42" s="25" t="n">
        <v>1</v>
      </c>
      <c r="E42" s="25" t="inlineStr">
        <is>
          <t>u</t>
        </is>
      </c>
      <c r="F42" s="26" t="n">
        <v>0.0166</v>
      </c>
      <c r="G42" s="26">
        <f>D42*F42</f>
        <v/>
      </c>
      <c r="H42" s="25" t="inlineStr">
        <is>
          <t>Polipropileno</t>
        </is>
      </c>
      <c r="I42" s="12" t="inlineStr">
        <is>
          <t>75 × 24 × 24</t>
        </is>
      </c>
      <c r="J42" s="25" t="inlineStr">
        <is>
          <t>Compra</t>
        </is>
      </c>
      <c r="K42" s="12" t="inlineStr">
        <is>
          <t>19 Ensamblaje (T03/T04)</t>
        </is>
      </c>
      <c r="L42" s="12" t="n"/>
      <c r="M42" s="25" t="inlineStr">
        <is>
          <t>P</t>
        </is>
      </c>
      <c r="N42" s="25" t="inlineStr">
        <is>
          <t>FL_DES_ABC_5kg</t>
        </is>
      </c>
      <c r="O42" s="12" t="n"/>
    </row>
    <row r="43" outlineLevel="1">
      <c r="A43" s="25" t="n">
        <v>2</v>
      </c>
      <c r="B43" s="25" t="inlineStr">
        <is>
          <t>ABC5-18</t>
        </is>
      </c>
      <c r="C43" s="12" t="inlineStr">
        <is>
          <t xml:space="preserve">        Suncho portatobera</t>
        </is>
      </c>
      <c r="D43" s="25" t="n">
        <v>1</v>
      </c>
      <c r="E43" s="25" t="inlineStr">
        <is>
          <t>u</t>
        </is>
      </c>
      <c r="F43" s="26" t="n">
        <v>0.1319</v>
      </c>
      <c r="G43" s="26">
        <f>D43*F43</f>
        <v/>
      </c>
      <c r="H43" s="25" t="inlineStr">
        <is>
          <t>Fleje acero SAE 1010 pintado</t>
        </is>
      </c>
      <c r="I43" s="12" t="inlineStr">
        <is>
          <t>159,9 × 156 × 18</t>
        </is>
      </c>
      <c r="J43" s="25" t="inlineStr">
        <is>
          <t>Compra (estructura)</t>
        </is>
      </c>
      <c r="K43" s="12" t="inlineStr">
        <is>
          <t>19 Ensamblaje (T03/T04)</t>
        </is>
      </c>
      <c r="L43" s="12" t="n"/>
      <c r="M43" s="25" t="inlineStr">
        <is>
          <t>P</t>
        </is>
      </c>
      <c r="N43" s="25" t="inlineStr">
        <is>
          <t>FL_DES_ABC_5kg</t>
        </is>
      </c>
      <c r="O43" s="12" t="n"/>
    </row>
    <row r="44">
      <c r="A44" s="22" t="n">
        <v>1</v>
      </c>
      <c r="B44" s="22" t="inlineStr">
        <is>
          <t>ABC5-S5</t>
        </is>
      </c>
      <c r="C44" s="23" t="inlineStr">
        <is>
          <t xml:space="preserve">    Carga: agente extintor y gas impulsor</t>
        </is>
      </c>
      <c r="D44" s="22" t="n">
        <v>1</v>
      </c>
      <c r="E44" s="22" t="inlineStr">
        <is>
          <t>u</t>
        </is>
      </c>
      <c r="F44" s="24" t="n"/>
      <c r="G44" s="24">
        <f>G45+G46</f>
        <v/>
      </c>
      <c r="H44" s="22" t="n"/>
      <c r="I44" s="23" t="n"/>
      <c r="J44" s="22" t="inlineStr">
        <is>
          <t>Carga en planta</t>
        </is>
      </c>
      <c r="K44" s="23" t="inlineStr">
        <is>
          <t>18 Carga de polvo (T01) / C8 (T02)</t>
        </is>
      </c>
      <c r="L44" s="23" t="n"/>
      <c r="M44" s="22" t="n"/>
      <c r="N44" s="22" t="n"/>
      <c r="O44" s="23" t="n"/>
    </row>
    <row r="45" outlineLevel="1">
      <c r="A45" s="25" t="n">
        <v>2</v>
      </c>
      <c r="B45" s="25" t="inlineStr">
        <is>
          <t>ABC5-A1</t>
        </is>
      </c>
      <c r="C45" s="12" t="inlineStr">
        <is>
          <t xml:space="preserve">        Polvo químico seco ABC 60 (Sello IRAM 3569, DEMSA)</t>
        </is>
      </c>
      <c r="D45" s="25" t="n">
        <v>5.15</v>
      </c>
      <c r="E45" s="25" t="inlineStr">
        <is>
          <t>kg</t>
        </is>
      </c>
      <c r="F45" s="26" t="n">
        <v>1</v>
      </c>
      <c r="G45" s="26">
        <f>D45*F45</f>
        <v/>
      </c>
      <c r="H45" s="25" t="inlineStr">
        <is>
          <t>Polvo químico seco ABC 60 (Sello IRAM 3569, DEMSA)</t>
        </is>
      </c>
      <c r="I45" s="12" t="inlineStr">
        <is>
          <t>nominal 5 kg; tolerancia 0 / +300 g (IRAM 3517-2:2020 tabla 3 · IRAM 3523 tabla II)</t>
        </is>
      </c>
      <c r="J45" s="25" t="inlineStr">
        <is>
          <t>Compra</t>
        </is>
      </c>
      <c r="K45" s="12" t="inlineStr">
        <is>
          <t>SP-1 almacén previo a la carga</t>
        </is>
      </c>
      <c r="L45" s="12" t="inlineStr">
        <is>
          <t>IRAM 3569</t>
        </is>
      </c>
      <c r="M45" s="25" t="inlineStr">
        <is>
          <t>N</t>
        </is>
      </c>
      <c r="N45" s="25" t="n"/>
      <c r="O45" s="12" t="inlineStr">
        <is>
          <t>MAP 60 % (banda 57-63 %) = 3,09 kg MAP + 1,906 kg sulfato de amonio + 0,154 kg aditivos · potencial 6A-40B:C · alternativa ABC 90: 10A-40B:C · Lote único por extintor; prohibido mezclar ABC con BC (3517-2 9.9.1.6)</t>
        </is>
      </c>
    </row>
    <row r="46" outlineLevel="1">
      <c r="A46" s="25" t="n">
        <v>2</v>
      </c>
      <c r="B46" s="25" t="inlineStr">
        <is>
          <t>ABC5-A2</t>
        </is>
      </c>
      <c r="C46" s="12" t="inlineStr">
        <is>
          <t xml:space="preserve">        Gas impulsor: N₂</t>
        </is>
      </c>
      <c r="D46" s="25" t="n">
        <v>0.0077</v>
      </c>
      <c r="E46" s="25" t="inlineStr">
        <is>
          <t>kg</t>
        </is>
      </c>
      <c r="F46" s="26" t="n">
        <v>1</v>
      </c>
      <c r="G46" s="26">
        <f>D46*F46</f>
        <v/>
      </c>
      <c r="H46" s="25" t="inlineStr">
        <is>
          <t>N₂</t>
        </is>
      </c>
      <c r="I46" s="12" t="inlineStr">
        <is>
          <t>6,1 L normales para 1,4 MPa a 20 °C en 0,44 dm³ libres</t>
        </is>
      </c>
      <c r="J46" s="25" t="inlineStr">
        <is>
          <t>Compra</t>
        </is>
      </c>
      <c r="K46" s="12" t="inlineStr">
        <is>
          <t>20 Presurización (T05) / C10</t>
        </is>
      </c>
      <c r="L46" s="12" t="inlineStr">
        <is>
          <t>IRAM 3517-2 9.4.9 (tabla 2) · IRAM 3523 2.3 y 3.10</t>
        </is>
      </c>
      <c r="M46" s="25" t="inlineStr">
        <is>
          <t>C</t>
        </is>
      </c>
      <c r="N46" s="25" t="n"/>
      <c r="O46" s="12" t="inlineStr">
        <is>
          <t>VOLUMEN LIBRE INSUFICIENTE con ρ típica (0,44 dm³): ver Carga_N2 - exigir densidad aparente mínima al polvo o agrandar el recipiente</t>
        </is>
      </c>
    </row>
    <row r="47">
      <c r="A47" s="22" t="n">
        <v>1</v>
      </c>
      <c r="B47" s="22" t="inlineStr">
        <is>
          <t>ABC5-S6</t>
        </is>
      </c>
      <c r="C47" s="23" t="inlineStr">
        <is>
          <t xml:space="preserve">    Identificación y precinto</t>
        </is>
      </c>
      <c r="D47" s="22" t="n">
        <v>1</v>
      </c>
      <c r="E47" s="22" t="inlineStr">
        <is>
          <t>u</t>
        </is>
      </c>
      <c r="F47" s="24" t="n"/>
      <c r="G47" s="24">
        <f>G48+G49+G50+G51+G52</f>
        <v/>
      </c>
      <c r="H47" s="22" t="n"/>
      <c r="I47" s="23" t="n"/>
      <c r="J47" s="22" t="inlineStr">
        <is>
          <t>Compra</t>
        </is>
      </c>
      <c r="K47" s="23" t="inlineStr">
        <is>
          <t>22 Etiquetado (T07)</t>
        </is>
      </c>
      <c r="L47" s="23" t="n"/>
      <c r="M47" s="22" t="n"/>
      <c r="N47" s="22" t="n"/>
      <c r="O47" s="23" t="n"/>
    </row>
    <row r="48" outlineLevel="1">
      <c r="A48" s="25" t="n">
        <v>2</v>
      </c>
      <c r="B48" s="25" t="inlineStr">
        <is>
          <t>ABC5-19</t>
        </is>
      </c>
      <c r="C48" s="12" t="inlineStr">
        <is>
          <t xml:space="preserve">        Placa de características</t>
        </is>
      </c>
      <c r="D48" s="25" t="n">
        <v>1</v>
      </c>
      <c r="E48" s="25" t="inlineStr">
        <is>
          <t>u</t>
        </is>
      </c>
      <c r="F48" s="26" t="n">
        <v>0.0091</v>
      </c>
      <c r="G48" s="26">
        <f>D48*F48</f>
        <v/>
      </c>
      <c r="H48" s="25" t="inlineStr">
        <is>
          <t>Vinilo autoadhesivo laminado</t>
        </is>
      </c>
      <c r="I48" s="12" t="inlineStr">
        <is>
          <t>144 × 149 (desarrollo × alto), e ≈ 0,3</t>
        </is>
      </c>
      <c r="J48" s="25" t="inlineStr">
        <is>
          <t>Compra</t>
        </is>
      </c>
      <c r="K48" s="12" t="inlineStr">
        <is>
          <t>22 Etiquetado (T07)</t>
        </is>
      </c>
      <c r="L48" s="12" t="inlineStr">
        <is>
          <t>IRAM 3534 · IRAM 3523 cap. 5</t>
        </is>
      </c>
      <c r="M48" s="25" t="inlineStr">
        <is>
          <t>P</t>
        </is>
      </c>
      <c r="N48" s="25" t="inlineStr">
        <is>
          <t>FL_DES_ABC_5kg</t>
        </is>
      </c>
      <c r="O48" s="12" t="inlineStr">
        <is>
          <t>IRAM 3534</t>
        </is>
      </c>
    </row>
    <row r="49" outlineLevel="1">
      <c r="A49" s="25" t="n">
        <v>2</v>
      </c>
      <c r="B49" s="25" t="inlineStr">
        <is>
          <t>ABC5-20</t>
        </is>
      </c>
      <c r="C49" s="12" t="inlineStr">
        <is>
          <t xml:space="preserve">        Oblea de fabricación (PBA)</t>
        </is>
      </c>
      <c r="D49" s="25" t="n">
        <v>1</v>
      </c>
      <c r="E49" s="25" t="inlineStr">
        <is>
          <t>u</t>
        </is>
      </c>
      <c r="F49" s="26" t="n">
        <v>0.0009</v>
      </c>
      <c r="G49" s="26">
        <f>D49*F49</f>
        <v/>
      </c>
      <c r="H49" s="25" t="inlineStr">
        <is>
          <t>Papel de seguridad autodestructible</t>
        </is>
      </c>
      <c r="I49" s="12" t="inlineStr">
        <is>
          <t>Ø46 (Res. OPDS 522/07), numerada, autodestructible</t>
        </is>
      </c>
      <c r="J49" s="25" t="inlineStr">
        <is>
          <t>Compra</t>
        </is>
      </c>
      <c r="K49" s="12" t="inlineStr">
        <is>
          <t>22 Etiquetado (T07)</t>
        </is>
      </c>
      <c r="L49" s="12" t="inlineStr">
        <is>
          <t>Res. OPDS 522/07 anexos 1, 2 y 6</t>
        </is>
      </c>
      <c r="M49" s="25" t="inlineStr">
        <is>
          <t>P</t>
        </is>
      </c>
      <c r="N49" s="25" t="inlineStr">
        <is>
          <t>FL_DES_ABC_5kg</t>
        </is>
      </c>
      <c r="O49" s="12" t="inlineStr">
        <is>
          <t>Res. 522/07</t>
        </is>
      </c>
    </row>
    <row r="50" outlineLevel="1">
      <c r="A50" s="25" t="n">
        <v>2</v>
      </c>
      <c r="B50" s="25" t="inlineStr">
        <is>
          <t>ABC5-21</t>
        </is>
      </c>
      <c r="C50" s="12" t="inlineStr">
        <is>
          <t xml:space="preserve">        Estampilla IRAM de conformidad</t>
        </is>
      </c>
      <c r="D50" s="25" t="n">
        <v>1</v>
      </c>
      <c r="E50" s="25" t="inlineStr">
        <is>
          <t>u</t>
        </is>
      </c>
      <c r="F50" s="26" t="n">
        <v>0.001</v>
      </c>
      <c r="G50" s="26">
        <f>D50*F50</f>
        <v/>
      </c>
      <c r="H50" s="25" t="inlineStr">
        <is>
          <t>Provista por IRAM (Anexo R)</t>
        </is>
      </c>
      <c r="I50" s="12" t="inlineStr">
        <is>
          <t>60 × 40</t>
        </is>
      </c>
      <c r="J50" s="25" t="inlineStr">
        <is>
          <t>Compra</t>
        </is>
      </c>
      <c r="K50" s="12" t="inlineStr">
        <is>
          <t>22 Etiquetado (T07)</t>
        </is>
      </c>
      <c r="L50" s="12" t="inlineStr">
        <is>
          <t>IRAM Anexo R (DC-PG-129)</t>
        </is>
      </c>
      <c r="M50" s="25" t="inlineStr">
        <is>
          <t>P</t>
        </is>
      </c>
      <c r="N50" s="25" t="inlineStr">
        <is>
          <t>FL_DES_ABC_5kg</t>
        </is>
      </c>
      <c r="O50" s="12" t="inlineStr">
        <is>
          <t>numerada</t>
        </is>
      </c>
    </row>
    <row r="51" outlineLevel="1">
      <c r="A51" s="25" t="n">
        <v>2</v>
      </c>
      <c r="B51" s="25" t="inlineStr">
        <is>
          <t>ABC5-23</t>
        </is>
      </c>
      <c r="C51" s="12" t="inlineStr">
        <is>
          <t xml:space="preserve">        Precinto de fábrica</t>
        </is>
      </c>
      <c r="D51" s="25" t="n">
        <v>1</v>
      </c>
      <c r="E51" s="25" t="inlineStr">
        <is>
          <t>u</t>
        </is>
      </c>
      <c r="F51" s="26" t="n">
        <v>0.0002</v>
      </c>
      <c r="G51" s="26">
        <f>D51*F51</f>
        <v/>
      </c>
      <c r="H51" s="25" t="inlineStr">
        <is>
          <t>Polipropileno</t>
        </is>
      </c>
      <c r="I51" s="12" t="inlineStr">
        <is>
          <t>Ø5 × 10, numerado, rotura 30-50 N</t>
        </is>
      </c>
      <c r="J51" s="25" t="inlineStr">
        <is>
          <t>Compra</t>
        </is>
      </c>
      <c r="K51" s="12" t="inlineStr">
        <is>
          <t>20 Presurización (T05)</t>
        </is>
      </c>
      <c r="L51" s="12" t="inlineStr">
        <is>
          <t>IRAM 3523 3.3.2 · IRAM 3517-2:2020 9.4.13</t>
        </is>
      </c>
      <c r="M51" s="25" t="inlineStr">
        <is>
          <t>P</t>
        </is>
      </c>
      <c r="N51" s="25" t="inlineStr">
        <is>
          <t>FL_DES_ABC_5kg</t>
        </is>
      </c>
      <c r="O51" s="12" t="inlineStr">
        <is>
          <t>id. FLAMA y lote</t>
        </is>
      </c>
    </row>
    <row r="52" outlineLevel="1">
      <c r="A52" s="25" t="n">
        <v>2</v>
      </c>
      <c r="B52" s="25" t="inlineStr">
        <is>
          <t>ABC5-I3</t>
        </is>
      </c>
      <c r="C52" s="12" t="inlineStr">
        <is>
          <t xml:space="preserve">        Tarjeta oficial de vigencia (CABA)</t>
        </is>
      </c>
      <c r="D52" s="25" t="n">
        <v>1</v>
      </c>
      <c r="E52" s="25" t="inlineStr">
        <is>
          <t>u</t>
        </is>
      </c>
      <c r="F52" s="26" t="n">
        <v>0.002</v>
      </c>
      <c r="G52" s="26">
        <f>D52*F52</f>
        <v/>
      </c>
      <c r="H52" s="25" t="inlineStr">
        <is>
          <t>Formulario oficial</t>
        </is>
      </c>
      <c r="I52" s="12" t="inlineStr">
        <is>
          <t>provista por DG Rentas GCBA</t>
        </is>
      </c>
      <c r="J52" s="25" t="inlineStr">
        <is>
          <t>Compra</t>
        </is>
      </c>
      <c r="K52" s="12" t="inlineStr">
        <is>
          <t>22 Etiquetado</t>
        </is>
      </c>
      <c r="L52" s="12" t="inlineStr">
        <is>
          <t>Ordenanza 40.473 art. 6</t>
        </is>
      </c>
      <c r="M52" s="25" t="inlineStr">
        <is>
          <t>N</t>
        </is>
      </c>
      <c r="N52" s="25" t="n"/>
      <c r="O52" s="12" t="inlineStr">
        <is>
          <t>Clase, capacidad, fecha de carga y vencimiento, garantía; se anexa al matafuego (no se dibuja)</t>
        </is>
      </c>
    </row>
    <row r="53">
      <c r="A53" s="22" t="n">
        <v>1</v>
      </c>
      <c r="B53" s="22" t="inlineStr">
        <is>
          <t>ABC5-S8</t>
        </is>
      </c>
      <c r="C53" s="23" t="inlineStr">
        <is>
          <t xml:space="preserve">    Soporte (accesorio de montaje)</t>
        </is>
      </c>
      <c r="D53" s="22" t="n">
        <v>1</v>
      </c>
      <c r="E53" s="22" t="inlineStr">
        <is>
          <t>u</t>
        </is>
      </c>
      <c r="F53" s="24" t="n"/>
      <c r="G53" s="24">
        <f>G54+G55</f>
        <v/>
      </c>
      <c r="H53" s="22" t="n"/>
      <c r="I53" s="23" t="n"/>
      <c r="J53" s="22" t="inlineStr">
        <is>
          <t>Compra</t>
        </is>
      </c>
      <c r="K53" s="23" t="inlineStr">
        <is>
          <t>23 Embalaje (va dentro de la caja)</t>
        </is>
      </c>
      <c r="L53" s="23" t="inlineStr">
        <is>
          <t>IRAM 3517-2 7.4</t>
        </is>
      </c>
      <c r="M53" s="22" t="n"/>
      <c r="N53" s="22" t="n"/>
      <c r="O53" s="23" t="n"/>
    </row>
    <row r="54" outlineLevel="1">
      <c r="A54" s="25" t="n">
        <v>2</v>
      </c>
      <c r="B54" s="25" t="inlineStr">
        <is>
          <t>ABC5-I5</t>
        </is>
      </c>
      <c r="C54" s="12" t="inlineStr">
        <is>
          <t xml:space="preserve">        Soporte de pared (FL_ACC_01)</t>
        </is>
      </c>
      <c r="D54" s="25" t="n">
        <v>1</v>
      </c>
      <c r="E54" s="25" t="inlineStr">
        <is>
          <t>u</t>
        </is>
      </c>
      <c r="F54" s="26" t="n">
        <v>0.29</v>
      </c>
      <c r="G54" s="26">
        <f>D54*F54</f>
        <v/>
      </c>
      <c r="H54" s="25" t="inlineStr">
        <is>
          <t>Chapa acero SAE 1010 e=2 pintada</t>
        </is>
      </c>
      <c r="I54" s="12" t="inlineStr">
        <is>
          <t>placa 60 × 180, ala con ranura Ø cuello + 3</t>
        </is>
      </c>
      <c r="J54" s="25" t="inlineStr">
        <is>
          <t>Compra</t>
        </is>
      </c>
      <c r="K54" s="12" t="inlineStr">
        <is>
          <t>23 Embalaje</t>
        </is>
      </c>
      <c r="L54" s="12" t="inlineStr">
        <is>
          <t>IRAM 3517-2 7.4</t>
        </is>
      </c>
      <c r="M54" s="25" t="inlineStr">
        <is>
          <t>P</t>
        </is>
      </c>
      <c r="N54" s="25" t="inlineStr">
        <is>
          <t>FL_ACC_01</t>
        </is>
      </c>
      <c r="O54" s="12" t="n"/>
    </row>
    <row r="55" outlineLevel="1">
      <c r="A55" s="25" t="n">
        <v>2</v>
      </c>
      <c r="B55" s="25" t="inlineStr">
        <is>
          <t>ABC5-I6</t>
        </is>
      </c>
      <c r="C55" s="12" t="inlineStr">
        <is>
          <t xml:space="preserve">        Tornillo y tarugo de fijación</t>
        </is>
      </c>
      <c r="D55" s="25" t="n">
        <v>2</v>
      </c>
      <c r="E55" s="25" t="inlineStr">
        <is>
          <t>u</t>
        </is>
      </c>
      <c r="F55" s="26" t="n">
        <v>0.01</v>
      </c>
      <c r="G55" s="26">
        <f>D55*F55</f>
        <v/>
      </c>
      <c r="H55" s="25" t="inlineStr">
        <is>
          <t>Acero cincado / nylon</t>
        </is>
      </c>
      <c r="I55" s="12" t="inlineStr">
        <is>
          <t>M6 × 50 + tarugo 8</t>
        </is>
      </c>
      <c r="J55" s="25" t="inlineStr">
        <is>
          <t>Compra</t>
        </is>
      </c>
      <c r="K55" s="12" t="inlineStr">
        <is>
          <t>23 Embalaje</t>
        </is>
      </c>
      <c r="L55" s="12" t="n"/>
      <c r="M55" s="25" t="inlineStr">
        <is>
          <t>R</t>
        </is>
      </c>
      <c r="N55" s="25" t="n"/>
      <c r="O55" s="12" t="n"/>
    </row>
    <row r="56" outlineLevel="1">
      <c r="A56" s="25" t="n">
        <v>2</v>
      </c>
      <c r="B56" s="25" t="inlineStr">
        <is>
          <t>ABC5-I8</t>
        </is>
      </c>
      <c r="C56" s="12" t="inlineStr">
        <is>
          <t xml:space="preserve">        Soporte opcional (pared o vehicular, según pedido)</t>
        </is>
      </c>
      <c r="D56" s="25" t="n">
        <v>0</v>
      </c>
      <c r="E56" s="25" t="inlineStr">
        <is>
          <t>u</t>
        </is>
      </c>
      <c r="F56" s="26" t="n"/>
      <c r="G56" s="26" t="n"/>
      <c r="H56" s="25" t="inlineStr">
        <is>
          <t>-</t>
        </is>
      </c>
      <c r="I56" s="12" t="inlineStr">
        <is>
          <t>-</t>
        </is>
      </c>
      <c r="J56" s="25" t="inlineStr">
        <is>
          <t>Compra</t>
        </is>
      </c>
      <c r="K56" s="12" t="n"/>
      <c r="L56" s="12" t="n"/>
      <c r="M56" s="25" t="inlineStr">
        <is>
          <t>C</t>
        </is>
      </c>
      <c r="N56" s="25" t="n"/>
      <c r="O56" s="12" t="inlineStr">
        <is>
          <t>Sólo si el pedido lo incluye</t>
        </is>
      </c>
    </row>
    <row r="57">
      <c r="A57" s="22" t="n">
        <v>1</v>
      </c>
      <c r="B57" s="22" t="inlineStr">
        <is>
          <t>ABC5-S7</t>
        </is>
      </c>
      <c r="C57" s="23" t="inlineStr">
        <is>
          <t xml:space="preserve">    Embalaje</t>
        </is>
      </c>
      <c r="D57" s="22" t="n">
        <v>1</v>
      </c>
      <c r="E57" s="22" t="inlineStr">
        <is>
          <t>u</t>
        </is>
      </c>
      <c r="F57" s="24" t="n"/>
      <c r="G57" s="24">
        <f>G58+G59+G60+G61+G62</f>
        <v/>
      </c>
      <c r="H57" s="22" t="n"/>
      <c r="I57" s="23" t="n"/>
      <c r="J57" s="22" t="inlineStr">
        <is>
          <t>Compra</t>
        </is>
      </c>
      <c r="K57" s="23" t="inlineStr">
        <is>
          <t>23 Embalaje -&gt; 24 envolvedora (T11)</t>
        </is>
      </c>
      <c r="L57" s="23" t="n"/>
      <c r="M57" s="22" t="n"/>
      <c r="N57" s="22" t="n"/>
      <c r="O57" s="23" t="n"/>
    </row>
    <row r="58" outlineLevel="1">
      <c r="A58" s="25" t="n">
        <v>2</v>
      </c>
      <c r="B58" s="25" t="inlineStr">
        <is>
          <t>ABC5-E1</t>
        </is>
      </c>
      <c r="C58" s="12" t="inlineStr">
        <is>
          <t xml:space="preserve">        Caja de cartón corrugado simple</t>
        </is>
      </c>
      <c r="D58" s="25" t="n">
        <v>1</v>
      </c>
      <c r="E58" s="25" t="inlineStr">
        <is>
          <t>u</t>
        </is>
      </c>
      <c r="F58" s="26" t="n">
        <v>0.25</v>
      </c>
      <c r="G58" s="26">
        <f>D58*F58</f>
        <v/>
      </c>
      <c r="H58" s="25" t="inlineStr">
        <is>
          <t>Cartón corrugado</t>
        </is>
      </c>
      <c r="I58" s="12" t="inlineStr">
        <is>
          <t>255 × 186 × 500 interior</t>
        </is>
      </c>
      <c r="J58" s="25" t="inlineStr">
        <is>
          <t>Compra</t>
        </is>
      </c>
      <c r="K58" s="12" t="inlineStr">
        <is>
          <t>23 Embalaje</t>
        </is>
      </c>
      <c r="L58" s="12" t="n"/>
      <c r="M58" s="25" t="inlineStr">
        <is>
          <t>R</t>
        </is>
      </c>
      <c r="N58" s="25" t="n"/>
      <c r="O58" s="12" t="n"/>
    </row>
    <row r="59" outlineLevel="1">
      <c r="A59" s="25" t="n">
        <v>2</v>
      </c>
      <c r="B59" s="25" t="inlineStr">
        <is>
          <t>ABC5-E2</t>
        </is>
      </c>
      <c r="C59" s="12" t="inlineStr">
        <is>
          <t xml:space="preserve">        Instructivo de uso y mantenimiento</t>
        </is>
      </c>
      <c r="D59" s="25" t="n">
        <v>1</v>
      </c>
      <c r="E59" s="25" t="inlineStr">
        <is>
          <t>u</t>
        </is>
      </c>
      <c r="F59" s="26" t="n">
        <v>0.01</v>
      </c>
      <c r="G59" s="26">
        <f>D59*F59</f>
        <v/>
      </c>
      <c r="H59" s="25" t="inlineStr">
        <is>
          <t>Papel</t>
        </is>
      </c>
      <c r="I59" s="12" t="inlineStr">
        <is>
          <t>A5</t>
        </is>
      </c>
      <c r="J59" s="25" t="inlineStr">
        <is>
          <t>Compra</t>
        </is>
      </c>
      <c r="K59" s="12" t="inlineStr">
        <is>
          <t>23 Embalaje</t>
        </is>
      </c>
      <c r="L59" s="12" t="inlineStr">
        <is>
          <t>IRAM 3517-2 (información al usuario)</t>
        </is>
      </c>
      <c r="M59" s="25" t="inlineStr">
        <is>
          <t>R</t>
        </is>
      </c>
      <c r="N59" s="25" t="n"/>
      <c r="O59" s="12" t="n"/>
    </row>
    <row r="60" outlineLevel="1">
      <c r="A60" s="25" t="n">
        <v>2</v>
      </c>
      <c r="B60" s="25" t="inlineStr">
        <is>
          <t>ABC5-E3</t>
        </is>
      </c>
      <c r="C60" s="12" t="inlineStr">
        <is>
          <t xml:space="preserve">        Pallet 1200 × 1000 (fracción)</t>
        </is>
      </c>
      <c r="D60" s="25" t="n">
        <v>0.025</v>
      </c>
      <c r="E60" s="25" t="inlineStr">
        <is>
          <t>u</t>
        </is>
      </c>
      <c r="F60" s="26" t="n">
        <v>0.55</v>
      </c>
      <c r="G60" s="26">
        <f>D60*F60</f>
        <v/>
      </c>
      <c r="H60" s="25" t="inlineStr">
        <is>
          <t>Madera</t>
        </is>
      </c>
      <c r="I60" s="12" t="inlineStr">
        <is>
          <t>40 u por pallet</t>
        </is>
      </c>
      <c r="J60" s="25" t="inlineStr">
        <is>
          <t>Compra</t>
        </is>
      </c>
      <c r="K60" s="12" t="inlineStr">
        <is>
          <t>23 Embalaje</t>
        </is>
      </c>
      <c r="L60" s="12" t="n"/>
      <c r="M60" s="25" t="inlineStr">
        <is>
          <t>R</t>
        </is>
      </c>
      <c r="N60" s="25" t="n"/>
      <c r="O60" s="12" t="n"/>
    </row>
    <row r="61" outlineLevel="1">
      <c r="A61" s="25" t="n">
        <v>2</v>
      </c>
      <c r="B61" s="25" t="inlineStr">
        <is>
          <t>ABC5-E4</t>
        </is>
      </c>
      <c r="C61" s="12" t="inlineStr">
        <is>
          <t xml:space="preserve">        Film stretch (fracción del pallet)</t>
        </is>
      </c>
      <c r="D61" s="25" t="n">
        <v>0.008699999999999999</v>
      </c>
      <c r="E61" s="25" t="inlineStr">
        <is>
          <t>kg</t>
        </is>
      </c>
      <c r="F61" s="26" t="n">
        <v>1</v>
      </c>
      <c r="G61" s="26">
        <f>D61*F61</f>
        <v/>
      </c>
      <c r="H61" s="25" t="inlineStr">
        <is>
          <t>PE lineal 23 µm</t>
        </is>
      </c>
      <c r="I61" s="12" t="inlineStr">
        <is>
          <t>envolvedora EDOS PS5</t>
        </is>
      </c>
      <c r="J61" s="25" t="inlineStr">
        <is>
          <t>Compra</t>
        </is>
      </c>
      <c r="K61" s="12" t="inlineStr">
        <is>
          <t>24 Envolvedora (T11)</t>
        </is>
      </c>
      <c r="L61" s="12" t="n"/>
      <c r="M61" s="25" t="inlineStr">
        <is>
          <t>R</t>
        </is>
      </c>
      <c r="N61" s="25" t="n"/>
      <c r="O61" s="12" t="n"/>
    </row>
    <row r="62" outlineLevel="1">
      <c r="A62" s="25" t="n">
        <v>2</v>
      </c>
      <c r="B62" s="25" t="inlineStr">
        <is>
          <t>ABC5-E5</t>
        </is>
      </c>
      <c r="C62" s="12" t="inlineStr">
        <is>
          <t xml:space="preserve">        Etiqueta de pallet (lote y destino, fracción)</t>
        </is>
      </c>
      <c r="D62" s="25" t="n">
        <v>0.025</v>
      </c>
      <c r="E62" s="25" t="inlineStr">
        <is>
          <t>u</t>
        </is>
      </c>
      <c r="F62" s="26" t="n">
        <v>0</v>
      </c>
      <c r="G62" s="26">
        <f>D62*F62</f>
        <v/>
      </c>
      <c r="H62" s="25" t="inlineStr">
        <is>
          <t>Papel térmico</t>
        </is>
      </c>
      <c r="I62" s="12" t="inlineStr">
        <is>
          <t>100 × 150</t>
        </is>
      </c>
      <c r="J62" s="25" t="inlineStr">
        <is>
          <t>Compra</t>
        </is>
      </c>
      <c r="K62" s="12" t="inlineStr">
        <is>
          <t>24 Envolvedora</t>
        </is>
      </c>
      <c r="L62" s="12" t="n"/>
      <c r="M62" s="25" t="inlineStr">
        <is>
          <t>R</t>
        </is>
      </c>
      <c r="N62" s="25" t="n"/>
      <c r="O62" s="12" t="n"/>
    </row>
  </sheetData>
  <autoFilter ref="A10:O62"/>
  <pageMargins left="0.75" right="0.75" top="1" bottom="1" header="0.5" footer="0.5"/>
  <pageSetup orientation="landscape" fitToHeight="0" fitToWidth="1"/>
</worksheet>
</file>

<file path=xl/worksheets/sheet10.xml><?xml version="1.0" encoding="utf-8"?>
<worksheet xmlns="http://schemas.openxmlformats.org/spreadsheetml/2006/main">
  <sheetPr>
    <tabColor rgb="007F1D1D"/>
    <outlinePr summaryBelow="0" summaryRight="1"/>
    <pageSetUpPr fitToPage="1"/>
  </sheetPr>
  <dimension ref="A1:O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FL_MAT_ABC_10kg</t>
        </is>
      </c>
    </row>
    <row r="2">
      <c r="A2" s="2" t="inlineStr">
        <is>
          <t>Extintor ABC 10 kg</t>
        </is>
      </c>
    </row>
    <row r="3">
      <c r="A3" s="14" t="inlineStr">
        <is>
          <t>Plano de origen</t>
        </is>
      </c>
      <c r="C3" t="inlineStr">
        <is>
          <t>FL_MAT_ABC_10kg  (3 láminas)</t>
        </is>
      </c>
      <c r="E3" s="14" t="inlineStr">
        <is>
          <t>Peso vacío S1-S4 (kg)</t>
        </is>
      </c>
      <c r="G3" s="30">
        <f>G12+G25+G39</f>
        <v/>
      </c>
    </row>
    <row r="4">
      <c r="A4" s="14" t="inlineStr">
        <is>
          <t>Plano de despiece</t>
        </is>
      </c>
      <c r="C4" t="inlineStr">
        <is>
          <t>FL_DES_ABC_10kg (salida/despiece/)</t>
        </is>
      </c>
      <c r="E4" s="14" t="inlineStr">
        <is>
          <t>Peso cargado S1-S6 (kg)</t>
        </is>
      </c>
      <c r="G4" s="30">
        <f>G12+G25+G39+G44+G47</f>
        <v/>
      </c>
    </row>
    <row r="5">
      <c r="A5" s="14" t="inlineStr">
        <is>
          <t>Norma del producto</t>
        </is>
      </c>
      <c r="C5" t="inlineStr">
        <is>
          <t>IRAM 3523</t>
        </is>
      </c>
      <c r="E5" s="14" t="inlineStr">
        <is>
          <t>Peso con soporte y embalaje (kg)</t>
        </is>
      </c>
      <c r="G5" s="30">
        <f>G12+G25+G39+G44+G47+G57+G53</f>
        <v/>
      </c>
    </row>
    <row r="6">
      <c r="A6" s="14" t="inlineStr">
        <is>
          <t>Fabricación</t>
        </is>
      </c>
      <c r="C6" t="inlineStr">
        <is>
          <t>Fabricación propia</t>
        </is>
      </c>
      <c r="E6" s="14" t="inlineStr">
        <is>
          <t>Desvío cargado vs catálogo</t>
        </is>
      </c>
      <c r="G6" s="10">
        <f>G4/C7-1</f>
        <v/>
      </c>
    </row>
    <row r="7">
      <c r="A7" s="14" t="inlineStr">
        <is>
          <t>Peso catálogo cargado (kg)</t>
        </is>
      </c>
      <c r="C7" t="n">
        <v>16.5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FL_MAT_ABC_10kg</t>
        </is>
      </c>
      <c r="C11" s="20" t="inlineStr">
        <is>
          <t>Extintor ABC 10 kg</t>
        </is>
      </c>
      <c r="D11" s="19" t="n">
        <v>1</v>
      </c>
      <c r="E11" s="19" t="inlineStr">
        <is>
          <t>u</t>
        </is>
      </c>
      <c r="F11" s="21" t="n"/>
      <c r="G11" s="21">
        <f>G5</f>
        <v/>
      </c>
      <c r="H11" s="19" t="n"/>
      <c r="I11" s="20" t="n"/>
      <c r="J11" s="19" t="n"/>
      <c r="K11" s="20" t="n"/>
      <c r="L11" s="20" t="inlineStr">
        <is>
          <t>IRAM 3523</t>
        </is>
      </c>
      <c r="M11" s="19" t="inlineStr">
        <is>
          <t>P</t>
        </is>
      </c>
      <c r="N11" s="19" t="inlineStr">
        <is>
          <t>FL_MAT_ABC_10kg</t>
        </is>
      </c>
      <c r="O11" s="20" t="inlineStr">
        <is>
          <t>Fabricación propia</t>
        </is>
      </c>
    </row>
    <row r="12">
      <c r="A12" s="22" t="n">
        <v>1</v>
      </c>
      <c r="B12" s="22" t="inlineStr">
        <is>
          <t>FL_REC_ABC_10kg</t>
        </is>
      </c>
      <c r="C12" s="23" t="inlineStr">
        <is>
          <t xml:space="preserve">    Recipiente (cilindro)</t>
        </is>
      </c>
      <c r="D12" s="22" t="n">
        <v>1</v>
      </c>
      <c r="E12" s="22" t="inlineStr">
        <is>
          <t>u</t>
        </is>
      </c>
      <c r="F12" s="24" t="n"/>
      <c r="G12" s="24">
        <f>G13+G15+G17+G19+G21+G24</f>
        <v/>
      </c>
      <c r="H12" s="22" t="n"/>
      <c r="I12" s="23" t="n"/>
      <c r="J12" s="22" t="inlineStr">
        <is>
          <t>Fabricación</t>
        </is>
      </c>
      <c r="K12" s="23" t="n"/>
      <c r="L12" s="23" t="inlineStr">
        <is>
          <t>IRAM 3523 / 3550 (recipiente)</t>
        </is>
      </c>
      <c r="M12" s="22" t="inlineStr">
        <is>
          <t>P</t>
        </is>
      </c>
      <c r="N12" s="22" t="inlineStr">
        <is>
          <t>FL_REC_ABC_10kg</t>
        </is>
      </c>
      <c r="O12" s="23" t="n"/>
    </row>
    <row r="13" outlineLevel="1">
      <c r="A13" s="25" t="n">
        <v>2</v>
      </c>
      <c r="B13" s="25" t="inlineStr">
        <is>
          <t>ABC10-01</t>
        </is>
      </c>
      <c r="C13" s="12" t="inlineStr">
        <is>
          <t xml:space="preserve">        Cuerpo (virola)</t>
        </is>
      </c>
      <c r="D13" s="25" t="n">
        <v>1</v>
      </c>
      <c r="E13" s="25" t="inlineStr">
        <is>
          <t>u</t>
        </is>
      </c>
      <c r="F13" s="26" t="n">
        <v>4.3132</v>
      </c>
      <c r="G13" s="26">
        <f>D13*F13</f>
        <v/>
      </c>
      <c r="H13" s="25" t="inlineStr">
        <is>
          <t>Chapa acero SAE 1010 e=2</t>
        </is>
      </c>
      <c r="I13" s="12" t="inlineStr">
        <is>
          <t>Ø181,5 × e2 × 487,2 de alto; desarrollo 563,9 × 487,2</t>
        </is>
      </c>
      <c r="J13" s="25" t="inlineStr">
        <is>
          <t>Fabricación</t>
        </is>
      </c>
      <c r="K13" s="12" t="inlineStr">
        <is>
          <t>1 Guillotina -&gt; 2 numerado -&gt; 3 cilindrado -&gt; 4 soldadura longitudinal</t>
        </is>
      </c>
      <c r="L13" s="12" t="n"/>
      <c r="M13" s="25" t="inlineStr">
        <is>
          <t>P</t>
        </is>
      </c>
      <c r="N13" s="25" t="inlineStr">
        <is>
          <t>FL_DES_ABC_10kg</t>
        </is>
      </c>
      <c r="O13" s="12" t="inlineStr">
        <is>
          <t>costura long. MIG</t>
        </is>
      </c>
    </row>
    <row r="14" outlineLevel="2">
      <c r="A14" s="27" t="n">
        <v>3</v>
      </c>
      <c r="B14" s="27" t="inlineStr">
        <is>
          <t>MP-HOJA</t>
        </is>
      </c>
      <c r="C14" s="28" t="inlineStr">
        <is>
          <t xml:space="preserve">            Recorte de hoja LAF 1500 × 3000 e=2</t>
        </is>
      </c>
      <c r="D14" s="27" t="n">
        <v>1</v>
      </c>
      <c r="E14" s="27" t="inlineStr">
        <is>
          <t>u</t>
        </is>
      </c>
      <c r="F14" s="29" t="n">
        <v>4.71</v>
      </c>
      <c r="G14" s="29">
        <f>D14*F14</f>
        <v/>
      </c>
      <c r="H14" s="27" t="inlineStr">
        <is>
          <t>Chapa SAE 1010 LAF</t>
        </is>
      </c>
      <c r="I14" s="28" t="inlineStr">
        <is>
          <t>495 × 563 (aprovech. 92,9 %)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ABC10-02</t>
        </is>
      </c>
      <c r="C15" s="12" t="inlineStr">
        <is>
          <t xml:space="preserve">        Cúpula</t>
        </is>
      </c>
      <c r="D15" s="25" t="n">
        <v>1</v>
      </c>
      <c r="E15" s="25" t="inlineStr">
        <is>
          <t>u</t>
        </is>
      </c>
      <c r="F15" s="26" t="n">
        <v>0.4871</v>
      </c>
      <c r="G15" s="26">
        <f>D15*F15</f>
        <v/>
      </c>
      <c r="H15" s="25" t="inlineStr">
        <is>
          <t>Chapa acero SAE 1010 e=1,6</t>
        </is>
      </c>
      <c r="I15" s="12" t="inlineStr">
        <is>
          <t>Ø181,5 × e1,6 × 61,3 de alto; disco Ø258</t>
        </is>
      </c>
      <c r="J15" s="25" t="inlineStr">
        <is>
          <t>Fabricación</t>
        </is>
      </c>
      <c r="K15" s="12" t="inlineStr">
        <is>
          <t>6 Desbobinado + embutido (M06-M08)</t>
        </is>
      </c>
      <c r="L15" s="12" t="n"/>
      <c r="M15" s="25" t="inlineStr">
        <is>
          <t>P</t>
        </is>
      </c>
      <c r="N15" s="25" t="inlineStr">
        <is>
          <t>FL_DES_ABC_10kg</t>
        </is>
      </c>
      <c r="O15" s="12" t="inlineStr">
        <is>
          <t>embutida</t>
        </is>
      </c>
    </row>
    <row r="16" outlineLevel="2">
      <c r="A16" s="27" t="n">
        <v>3</v>
      </c>
      <c r="B16" s="27" t="inlineStr">
        <is>
          <t>MP-FLEJE</t>
        </is>
      </c>
      <c r="C16" s="28" t="inlineStr">
        <is>
          <t xml:space="preserve">            Fleje e=2 × 300 (paso 261)</t>
        </is>
      </c>
      <c r="D16" s="27" t="n">
        <v>0.261</v>
      </c>
      <c r="E16" s="27" t="inlineStr">
        <is>
          <t>m</t>
        </is>
      </c>
      <c r="F16" s="29" t="n">
        <v>4.71</v>
      </c>
      <c r="G16" s="29">
        <f>D16*F16</f>
        <v/>
      </c>
      <c r="H16" s="27" t="inlineStr">
        <is>
          <t>Fleje SAE 1010</t>
        </is>
      </c>
      <c r="I16" s="28" t="inlineStr">
        <is>
          <t>disco Ø258 (kg por m de fleje)</t>
        </is>
      </c>
      <c r="J16" s="27" t="inlineStr">
        <is>
          <t>Compra (Pacheco / Pradecon)</t>
        </is>
      </c>
      <c r="K16" s="28" t="inlineStr">
        <is>
          <t>AL-1F porta-flejes</t>
        </is>
      </c>
      <c r="L16" s="28" t="n"/>
      <c r="M16" s="27" t="inlineStr">
        <is>
          <t>L</t>
        </is>
      </c>
      <c r="N16" s="27" t="inlineStr">
        <is>
          <t>FL_PI_04 h2</t>
        </is>
      </c>
      <c r="O16" s="28" t="inlineStr">
        <is>
          <t>OJO: el fleje es e=2 y el plano e=1,6</t>
        </is>
      </c>
    </row>
    <row r="17" outlineLevel="1">
      <c r="A17" s="25" t="n">
        <v>2</v>
      </c>
      <c r="B17" s="25" t="inlineStr">
        <is>
          <t>ABC10-03</t>
        </is>
      </c>
      <c r="C17" s="12" t="inlineStr">
        <is>
          <t xml:space="preserve">        Fondo</t>
        </is>
      </c>
      <c r="D17" s="25" t="n">
        <v>1</v>
      </c>
      <c r="E17" s="25" t="inlineStr">
        <is>
          <t>u</t>
        </is>
      </c>
      <c r="F17" s="26" t="n">
        <v>0.3885</v>
      </c>
      <c r="G17" s="26">
        <f>D17*F17</f>
        <v/>
      </c>
      <c r="H17" s="25" t="inlineStr">
        <is>
          <t>Chapa acero SAE 1010 e=2</t>
        </is>
      </c>
      <c r="I17" s="12" t="inlineStr">
        <is>
          <t>Ø181,5 × e2 × 13,7 de alto; disco Ø205</t>
        </is>
      </c>
      <c r="J17" s="25" t="inlineStr">
        <is>
          <t>Fabricación</t>
        </is>
      </c>
      <c r="K17" s="12" t="inlineStr">
        <is>
          <t>6 Desbobinado + embutido (M06-M08)</t>
        </is>
      </c>
      <c r="L17" s="12" t="n"/>
      <c r="M17" s="25" t="inlineStr">
        <is>
          <t>P</t>
        </is>
      </c>
      <c r="N17" s="25" t="inlineStr">
        <is>
          <t>FL_DES_ABC_10kg</t>
        </is>
      </c>
      <c r="O17" s="12" t="inlineStr">
        <is>
          <t>embutido</t>
        </is>
      </c>
    </row>
    <row r="18" outlineLevel="2">
      <c r="A18" s="27" t="n">
        <v>3</v>
      </c>
      <c r="B18" s="27" t="inlineStr">
        <is>
          <t>MP-FLEJE</t>
        </is>
      </c>
      <c r="C18" s="28" t="inlineStr">
        <is>
          <t xml:space="preserve">            Fleje e=2 × 249 (paso 208)</t>
        </is>
      </c>
      <c r="D18" s="27" t="n">
        <v>0.208</v>
      </c>
      <c r="E18" s="27" t="inlineStr">
        <is>
          <t>m</t>
        </is>
      </c>
      <c r="F18" s="29" t="n">
        <v>3.909</v>
      </c>
      <c r="G18" s="29">
        <f>D18*F18</f>
        <v/>
      </c>
      <c r="H18" s="27" t="inlineStr">
        <is>
          <t>Fleje SAE 1010</t>
        </is>
      </c>
      <c r="I18" s="28" t="inlineStr">
        <is>
          <t>disco Ø205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ABC10-04</t>
        </is>
      </c>
      <c r="C19" s="12" t="inlineStr">
        <is>
          <t xml:space="preserve">        Cuello roscado</t>
        </is>
      </c>
      <c r="D19" s="25" t="n">
        <v>1</v>
      </c>
      <c r="E19" s="25" t="inlineStr">
        <is>
          <t>u</t>
        </is>
      </c>
      <c r="F19" s="26" t="n">
        <v>0.0542</v>
      </c>
      <c r="G19" s="26">
        <f>D19*F19</f>
        <v/>
      </c>
      <c r="H19" s="25" t="inlineStr">
        <is>
          <t>Acero SAE 1010</t>
        </is>
      </c>
      <c r="I19" s="12" t="inlineStr">
        <is>
          <t>Ø36,8 × 14 de alto, rosca M30x1,5, asiento Ø35</t>
        </is>
      </c>
      <c r="J19" s="25" t="inlineStr">
        <is>
          <t>Fabricación</t>
        </is>
      </c>
      <c r="K19" s="12" t="inlineStr">
        <is>
          <t>7 Preparación de cuello -&gt; 8 soldadura de cuello</t>
        </is>
      </c>
      <c r="L19" s="12" t="n"/>
      <c r="M19" s="25" t="inlineStr">
        <is>
          <t>P</t>
        </is>
      </c>
      <c r="N19" s="25" t="inlineStr">
        <is>
          <t>FL_DES_ABC_10kg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0.054</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ABC10-C1</t>
        </is>
      </c>
      <c r="C21" s="12" t="inlineStr">
        <is>
          <t xml:space="preserve">        Aporte de soldadura: Alambre MAG ER70S-6 Ø0,9/1,2</t>
        </is>
      </c>
      <c r="D21" s="25" t="n">
        <v>0.1019</v>
      </c>
      <c r="E21" s="25" t="inlineStr">
        <is>
          <t>kg</t>
        </is>
      </c>
      <c r="F21" s="26" t="n">
        <v>0.92</v>
      </c>
      <c r="G21" s="26">
        <f>D21*F21</f>
        <v/>
      </c>
      <c r="H21" s="25" t="inlineStr">
        <is>
          <t>Alambre MAG ER70S-6 Ø0,9/1,2</t>
        </is>
      </c>
      <c r="I21" s="12" t="inlineStr">
        <is>
          <t>cordones del plano: 94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ABC10-C2</t>
        </is>
      </c>
      <c r="C22" s="12" t="inlineStr">
        <is>
          <t xml:space="preserve">        Gas de protección: Arcal 21 (Ar + 18 % CO₂)</t>
        </is>
      </c>
      <c r="D22" s="25" t="n">
        <v>45.8</v>
      </c>
      <c r="E22" s="25" t="inlineStr">
        <is>
          <t>L</t>
        </is>
      </c>
      <c r="F22" s="26" t="n"/>
      <c r="G22" s="26" t="n"/>
      <c r="H22" s="25" t="inlineStr">
        <is>
          <t>Arcal 21 (Ar + 18 % CO₂)</t>
        </is>
      </c>
      <c r="I22" s="12" t="inlineStr">
        <is>
          <t>3,1 min de arco × 15 L/min</t>
        </is>
      </c>
      <c r="J22" s="25" t="inlineStr">
        <is>
          <t>Compra</t>
        </is>
      </c>
      <c r="K22" s="12" t="inlineStr">
        <is>
          <t>Colector SC</t>
        </is>
      </c>
      <c r="L22" s="12" t="n"/>
      <c r="M22" s="25" t="inlineStr">
        <is>
          <t>R</t>
        </is>
      </c>
      <c r="N22" s="25" t="n"/>
      <c r="O22" s="12" t="n"/>
    </row>
    <row r="23" outlineLevel="1">
      <c r="A23" s="25" t="n">
        <v>2</v>
      </c>
      <c r="B23" s="25" t="inlineStr">
        <is>
          <t>ABC10-C3</t>
        </is>
      </c>
      <c r="C23" s="12" t="inlineStr">
        <is>
          <t xml:space="preserve">        Granalla de acero (consumo)</t>
        </is>
      </c>
      <c r="D23" s="25" t="n">
        <v>0.027</v>
      </c>
      <c r="E23" s="25" t="inlineStr">
        <is>
          <t>kg</t>
        </is>
      </c>
      <c r="F23" s="26" t="n"/>
      <c r="G23" s="26" t="n"/>
      <c r="H23" s="25" t="inlineStr">
        <is>
          <t>Granalla S-230</t>
        </is>
      </c>
      <c r="I23" s="12" t="inlineStr">
        <is>
          <t>0,338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ABC10-C4</t>
        </is>
      </c>
      <c r="C24" s="12" t="inlineStr">
        <is>
          <t xml:space="preserve">        Pintura en polvo poliéster rojo</t>
        </is>
      </c>
      <c r="D24" s="25" t="n">
        <v>0.063</v>
      </c>
      <c r="E24" s="25" t="inlineStr">
        <is>
          <t>kg</t>
        </is>
      </c>
      <c r="F24" s="26" t="n">
        <v>0.65</v>
      </c>
      <c r="G24" s="26">
        <f>D24*F24</f>
        <v/>
      </c>
      <c r="H24" s="25" t="inlineStr">
        <is>
          <t>Poliéster rojo 03-1-050</t>
        </is>
      </c>
      <c r="I24" s="12" t="inlineStr">
        <is>
          <t>0,338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c r="A25" s="22" t="n">
        <v>1</v>
      </c>
      <c r="B25" s="22" t="inlineStr">
        <is>
          <t>ABC10-S2</t>
        </is>
      </c>
      <c r="C25" s="23" t="inlineStr">
        <is>
          <t xml:space="preserve">    Conjunto de válvula</t>
        </is>
      </c>
      <c r="D25" s="22" t="n">
        <v>1</v>
      </c>
      <c r="E25" s="22" t="inlineStr">
        <is>
          <t>u</t>
        </is>
      </c>
      <c r="F25" s="24" t="n"/>
      <c r="G25" s="24">
        <f>G26+G27+G28+G29+G30+G31+G32+G33+G34+G35+G36+G37+G38</f>
        <v/>
      </c>
      <c r="H25" s="22" t="n"/>
      <c r="I25" s="23" t="n"/>
      <c r="J25" s="22" t="inlineStr">
        <is>
          <t>Compra / armado</t>
        </is>
      </c>
      <c r="K25" s="23" t="n"/>
      <c r="L25" s="23" t="inlineStr">
        <is>
          <t>Manómetro IRAM 3533</t>
        </is>
      </c>
      <c r="M25" s="22" t="inlineStr">
        <is>
          <t>P</t>
        </is>
      </c>
      <c r="N25" s="22" t="inlineStr">
        <is>
          <t>FL_DES_ABC_10kg</t>
        </is>
      </c>
      <c r="O25" s="23" t="n"/>
    </row>
    <row r="26" outlineLevel="1">
      <c r="A26" s="25" t="n">
        <v>2</v>
      </c>
      <c r="B26" s="25" t="inlineStr">
        <is>
          <t>ABC10-05</t>
        </is>
      </c>
      <c r="C26" s="12" t="inlineStr">
        <is>
          <t xml:space="preserve">        Collarín de válvula</t>
        </is>
      </c>
      <c r="D26" s="25" t="n">
        <v>1</v>
      </c>
      <c r="E26" s="25" t="inlineStr">
        <is>
          <t>u</t>
        </is>
      </c>
      <c r="F26" s="26" t="n">
        <v>0.08210000000000001</v>
      </c>
      <c r="G26" s="26">
        <f>D26*F26</f>
        <v/>
      </c>
      <c r="H26" s="25" t="inlineStr">
        <is>
          <t>Latón forjado</t>
        </is>
      </c>
      <c r="I26" s="12" t="inlineStr">
        <is>
          <t>42,8 × 42,8 × 10</t>
        </is>
      </c>
      <c r="J26" s="25" t="inlineStr">
        <is>
          <t>Compra</t>
        </is>
      </c>
      <c r="K26" s="12" t="inlineStr">
        <is>
          <t>19 Ensamblaje de válvula (T03/T04)</t>
        </is>
      </c>
      <c r="L26" s="12" t="n"/>
      <c r="M26" s="25" t="inlineStr">
        <is>
          <t>P</t>
        </is>
      </c>
      <c r="N26" s="25" t="inlineStr">
        <is>
          <t>FL_DES_ABC_10kg</t>
        </is>
      </c>
      <c r="O26" s="12" t="n"/>
    </row>
    <row r="27" outlineLevel="1">
      <c r="A27" s="25" t="n">
        <v>2</v>
      </c>
      <c r="B27" s="25" t="inlineStr">
        <is>
          <t>ABC10-06</t>
        </is>
      </c>
      <c r="C27" s="12" t="inlineStr">
        <is>
          <t xml:space="preserve">        Espiga roscada</t>
        </is>
      </c>
      <c r="D27" s="25" t="n">
        <v>1</v>
      </c>
      <c r="E27" s="25" t="inlineStr">
        <is>
          <t>u</t>
        </is>
      </c>
      <c r="F27" s="26" t="n">
        <v>0.0243</v>
      </c>
      <c r="G27" s="26">
        <f>D27*F27</f>
        <v/>
      </c>
      <c r="H27" s="25" t="inlineStr">
        <is>
          <t>Latón forjado</t>
        </is>
      </c>
      <c r="I27" s="12" t="inlineStr">
        <is>
          <t>28,4 × 28,4 × 12</t>
        </is>
      </c>
      <c r="J27" s="25" t="inlineStr">
        <is>
          <t>Compra</t>
        </is>
      </c>
      <c r="K27" s="12" t="inlineStr">
        <is>
          <t>19 Ensamblaje de válvula (T03/T04)</t>
        </is>
      </c>
      <c r="L27" s="12" t="n"/>
      <c r="M27" s="25" t="inlineStr">
        <is>
          <t>P</t>
        </is>
      </c>
      <c r="N27" s="25" t="inlineStr">
        <is>
          <t>FL_DES_ABC_10kg</t>
        </is>
      </c>
      <c r="O27" s="12" t="n"/>
    </row>
    <row r="28" outlineLevel="1">
      <c r="A28" s="25" t="n">
        <v>2</v>
      </c>
      <c r="B28" s="25" t="inlineStr">
        <is>
          <t>ABC10-07</t>
        </is>
      </c>
      <c r="C28" s="12" t="inlineStr">
        <is>
          <t xml:space="preserve">        Cuerpo de válvula</t>
        </is>
      </c>
      <c r="D28" s="25" t="n">
        <v>1</v>
      </c>
      <c r="E28" s="25" t="inlineStr">
        <is>
          <t>u</t>
        </is>
      </c>
      <c r="F28" s="26" t="n">
        <v>0.435</v>
      </c>
      <c r="G28" s="26">
        <f>D28*F28</f>
        <v/>
      </c>
      <c r="H28" s="25" t="inlineStr">
        <is>
          <t>Latón forjado</t>
        </is>
      </c>
      <c r="I28" s="12" t="inlineStr">
        <is>
          <t>59,4 × 43 × 34</t>
        </is>
      </c>
      <c r="J28" s="25" t="inlineStr">
        <is>
          <t>Compra</t>
        </is>
      </c>
      <c r="K28" s="12" t="inlineStr">
        <is>
          <t>19 Ensamblaje de válvula (T03/T04)</t>
        </is>
      </c>
      <c r="L28" s="12" t="n"/>
      <c r="M28" s="25" t="inlineStr">
        <is>
          <t>P</t>
        </is>
      </c>
      <c r="N28" s="25" t="inlineStr">
        <is>
          <t>FL_DES_ABC_10kg</t>
        </is>
      </c>
      <c r="O28" s="12" t="n"/>
    </row>
    <row r="29" outlineLevel="1">
      <c r="A29" s="25" t="n">
        <v>2</v>
      </c>
      <c r="B29" s="25" t="inlineStr">
        <is>
          <t>ABC10-08</t>
        </is>
      </c>
      <c r="C29" s="12" t="inlineStr">
        <is>
          <t xml:space="preserve">        Manómetro</t>
        </is>
      </c>
      <c r="D29" s="25" t="n">
        <v>1</v>
      </c>
      <c r="E29" s="25" t="inlineStr">
        <is>
          <t>u</t>
        </is>
      </c>
      <c r="F29" s="26" t="n">
        <v>0.06</v>
      </c>
      <c r="G29" s="26">
        <f>D29*F29</f>
        <v/>
      </c>
      <c r="H29" s="25" t="inlineStr">
        <is>
          <t>Comercial</t>
        </is>
      </c>
      <c r="I29" s="12" t="inlineStr">
        <is>
          <t>Ø38 esfera, rango 0-3,5 MPa, sector verde en 1,4</t>
        </is>
      </c>
      <c r="J29" s="25" t="inlineStr">
        <is>
          <t>Compra</t>
        </is>
      </c>
      <c r="K29" s="12" t="inlineStr">
        <is>
          <t>19 Ensamblaje de válvula (T03/T04)</t>
        </is>
      </c>
      <c r="L29" s="12" t="inlineStr">
        <is>
          <t>IRAM 3533</t>
        </is>
      </c>
      <c r="M29" s="25" t="inlineStr">
        <is>
          <t>R</t>
        </is>
      </c>
      <c r="N29" s="25" t="inlineStr">
        <is>
          <t>FL_DES_ABC_10kg</t>
        </is>
      </c>
      <c r="O29" s="12" t="inlineStr">
        <is>
          <t>Pieza comercial; sello IRAM 3533</t>
        </is>
      </c>
    </row>
    <row r="30" outlineLevel="1">
      <c r="A30" s="25" t="n">
        <v>2</v>
      </c>
      <c r="B30" s="25" t="inlineStr">
        <is>
          <t>ABC10-09</t>
        </is>
      </c>
      <c r="C30" s="12" t="inlineStr">
        <is>
          <t xml:space="preserve">        Manija de transporte</t>
        </is>
      </c>
      <c r="D30" s="25" t="n">
        <v>1</v>
      </c>
      <c r="E30" s="25" t="inlineStr">
        <is>
          <t>u</t>
        </is>
      </c>
      <c r="F30" s="26" t="n">
        <v>0.056</v>
      </c>
      <c r="G30" s="26">
        <f>D30*F30</f>
        <v/>
      </c>
      <c r="H30" s="25" t="inlineStr">
        <is>
          <t>Chapa acero SAE 1010 pintada</t>
        </is>
      </c>
      <c r="I30" s="12" t="inlineStr">
        <is>
          <t>89,2 × 20 × 13,3</t>
        </is>
      </c>
      <c r="J30" s="25" t="inlineStr">
        <is>
          <t>Compra</t>
        </is>
      </c>
      <c r="K30" s="12" t="inlineStr">
        <is>
          <t>19 Ensamblaje de válvula (T03/T04)</t>
        </is>
      </c>
      <c r="L30" s="12" t="n"/>
      <c r="M30" s="25" t="inlineStr">
        <is>
          <t>P</t>
        </is>
      </c>
      <c r="N30" s="25" t="inlineStr">
        <is>
          <t>FL_DES_ABC_10kg</t>
        </is>
      </c>
      <c r="O30" s="12" t="n"/>
    </row>
    <row r="31" outlineLevel="1">
      <c r="A31" s="25" t="n">
        <v>2</v>
      </c>
      <c r="B31" s="25" t="inlineStr">
        <is>
          <t>ABC10-10</t>
        </is>
      </c>
      <c r="C31" s="12" t="inlineStr">
        <is>
          <t xml:space="preserve">        Manija de accionamiento</t>
        </is>
      </c>
      <c r="D31" s="25" t="n">
        <v>1</v>
      </c>
      <c r="E31" s="25" t="inlineStr">
        <is>
          <t>u</t>
        </is>
      </c>
      <c r="F31" s="26" t="n">
        <v>0.083</v>
      </c>
      <c r="G31" s="26">
        <f>D31*F31</f>
        <v/>
      </c>
      <c r="H31" s="25" t="inlineStr">
        <is>
          <t>Chapa acero SAE 1010 pintada</t>
        </is>
      </c>
      <c r="I31" s="12" t="inlineStr">
        <is>
          <t>131,7 × 20,1 × 20</t>
        </is>
      </c>
      <c r="J31" s="25" t="inlineStr">
        <is>
          <t>Compra</t>
        </is>
      </c>
      <c r="K31" s="12" t="inlineStr">
        <is>
          <t>19 Ensamblaje de válvula (T03/T04)</t>
        </is>
      </c>
      <c r="L31" s="12" t="n"/>
      <c r="M31" s="25" t="inlineStr">
        <is>
          <t>P</t>
        </is>
      </c>
      <c r="N31" s="25" t="inlineStr">
        <is>
          <t>FL_DES_ABC_10kg</t>
        </is>
      </c>
      <c r="O31" s="12" t="n"/>
    </row>
    <row r="32" outlineLevel="1">
      <c r="A32" s="25" t="n">
        <v>2</v>
      </c>
      <c r="B32" s="25" t="inlineStr">
        <is>
          <t>ABC10-11</t>
        </is>
      </c>
      <c r="C32" s="12" t="inlineStr">
        <is>
          <t xml:space="preserve">        Eje de palanca</t>
        </is>
      </c>
      <c r="D32" s="25" t="n">
        <v>1</v>
      </c>
      <c r="E32" s="25" t="inlineStr">
        <is>
          <t>u</t>
        </is>
      </c>
      <c r="F32" s="26" t="n">
        <v>0.0081</v>
      </c>
      <c r="G32" s="26">
        <f>D32*F32</f>
        <v/>
      </c>
      <c r="H32" s="25" t="inlineStr">
        <is>
          <t>Acero inox. AISI 304</t>
        </is>
      </c>
      <c r="I32" s="12" t="inlineStr">
        <is>
          <t>36 × 6 × 6</t>
        </is>
      </c>
      <c r="J32" s="25" t="inlineStr">
        <is>
          <t>Compra</t>
        </is>
      </c>
      <c r="K32" s="12" t="inlineStr">
        <is>
          <t>19 Ensamblaje de válvula (T03/T04)</t>
        </is>
      </c>
      <c r="L32" s="12" t="n"/>
      <c r="M32" s="25" t="inlineStr">
        <is>
          <t>P</t>
        </is>
      </c>
      <c r="N32" s="25" t="inlineStr">
        <is>
          <t>FL_DES_ABC_10kg</t>
        </is>
      </c>
      <c r="O32" s="12" t="n"/>
    </row>
    <row r="33" outlineLevel="1">
      <c r="A33" s="25" t="n">
        <v>2</v>
      </c>
      <c r="B33" s="25" t="inlineStr">
        <is>
          <t>ABC10-12</t>
        </is>
      </c>
      <c r="C33" s="12" t="inlineStr">
        <is>
          <t xml:space="preserve">        Vástago</t>
        </is>
      </c>
      <c r="D33" s="25" t="n">
        <v>1</v>
      </c>
      <c r="E33" s="25" t="inlineStr">
        <is>
          <t>u</t>
        </is>
      </c>
      <c r="F33" s="26" t="n">
        <v>0.0017</v>
      </c>
      <c r="G33" s="26">
        <f>D33*F33</f>
        <v/>
      </c>
      <c r="H33" s="25" t="inlineStr">
        <is>
          <t>Latón</t>
        </is>
      </c>
      <c r="I33" s="12" t="inlineStr">
        <is>
          <t>8 × 8 × 4</t>
        </is>
      </c>
      <c r="J33" s="25" t="inlineStr">
        <is>
          <t>Compra</t>
        </is>
      </c>
      <c r="K33" s="12" t="inlineStr">
        <is>
          <t>19 Ensamblaje de válvula (T03/T04)</t>
        </is>
      </c>
      <c r="L33" s="12" t="n"/>
      <c r="M33" s="25" t="inlineStr">
        <is>
          <t>P</t>
        </is>
      </c>
      <c r="N33" s="25" t="inlineStr">
        <is>
          <t>FL_DES_ABC_10kg</t>
        </is>
      </c>
      <c r="O33" s="12" t="inlineStr">
        <is>
          <t>con junta tórica</t>
        </is>
      </c>
    </row>
    <row r="34" outlineLevel="1">
      <c r="A34" s="25" t="n">
        <v>2</v>
      </c>
      <c r="B34" s="25" t="inlineStr">
        <is>
          <t>ABC10-13</t>
        </is>
      </c>
      <c r="C34" s="12" t="inlineStr">
        <is>
          <t xml:space="preserve">        Pasador de seguridad</t>
        </is>
      </c>
      <c r="D34" s="25" t="n">
        <v>1</v>
      </c>
      <c r="E34" s="25" t="inlineStr">
        <is>
          <t>u</t>
        </is>
      </c>
      <c r="F34" s="26" t="n">
        <v>0.0055</v>
      </c>
      <c r="G34" s="26">
        <f>D34*F34</f>
        <v/>
      </c>
      <c r="H34" s="25" t="inlineStr">
        <is>
          <t>Alambre acero inox. AISI 304</t>
        </is>
      </c>
      <c r="I34" s="12" t="inlineStr">
        <is>
          <t>45,4 × 21 × 20,8</t>
        </is>
      </c>
      <c r="J34" s="25" t="inlineStr">
        <is>
          <t>Compra</t>
        </is>
      </c>
      <c r="K34" s="12" t="inlineStr">
        <is>
          <t>19 Ensamblaje de válvula (T03/T04)</t>
        </is>
      </c>
      <c r="L34" s="12" t="n"/>
      <c r="M34" s="25" t="inlineStr">
        <is>
          <t>P</t>
        </is>
      </c>
      <c r="N34" s="25" t="inlineStr">
        <is>
          <t>FL_DES_ABC_10kg</t>
        </is>
      </c>
      <c r="O34" s="12" t="inlineStr">
        <is>
          <t>con precinto</t>
        </is>
      </c>
    </row>
    <row r="35" outlineLevel="1">
      <c r="A35" s="25" t="n">
        <v>2</v>
      </c>
      <c r="B35" s="25" t="inlineStr">
        <is>
          <t>ABC10-14</t>
        </is>
      </c>
      <c r="C35" s="12" t="inlineStr">
        <is>
          <t xml:space="preserve">        Caño de pesca (sifón)</t>
        </is>
      </c>
      <c r="D35" s="25" t="n">
        <v>1</v>
      </c>
      <c r="E35" s="25" t="inlineStr">
        <is>
          <t>u</t>
        </is>
      </c>
      <c r="F35" s="26" t="n">
        <v>0.0364</v>
      </c>
      <c r="G35" s="26">
        <f>D35*F35</f>
        <v/>
      </c>
      <c r="H35" s="25" t="inlineStr">
        <is>
          <t>Tubo PVC rígido</t>
        </is>
      </c>
      <c r="I35" s="12" t="inlineStr">
        <is>
          <t>Ø12 × 525,7 de largo</t>
        </is>
      </c>
      <c r="J35" s="25" t="inlineStr">
        <is>
          <t>Compra</t>
        </is>
      </c>
      <c r="K35" s="12" t="inlineStr">
        <is>
          <t>19 Ensamblaje de válvula (T03/T04)</t>
        </is>
      </c>
      <c r="L35" s="12" t="n"/>
      <c r="M35" s="25" t="inlineStr">
        <is>
          <t>P</t>
        </is>
      </c>
      <c r="N35" s="25" t="inlineStr">
        <is>
          <t>FL_DES_ABC_10kg</t>
        </is>
      </c>
      <c r="O35" s="12" t="n"/>
    </row>
    <row r="36" outlineLevel="1">
      <c r="A36" s="25" t="n">
        <v>2</v>
      </c>
      <c r="B36" s="25" t="inlineStr">
        <is>
          <t>ABC10-22</t>
        </is>
      </c>
      <c r="C36" s="12" t="inlineStr">
        <is>
          <t xml:space="preserve">        Junta tórica de asiento</t>
        </is>
      </c>
      <c r="D36" s="25" t="n">
        <v>1</v>
      </c>
      <c r="E36" s="25" t="inlineStr">
        <is>
          <t>u</t>
        </is>
      </c>
      <c r="F36" s="26" t="n">
        <v>0.001</v>
      </c>
      <c r="G36" s="26">
        <f>D36*F36</f>
        <v/>
      </c>
      <c r="H36" s="25" t="inlineStr">
        <is>
          <t>NBR 70 Shore A</t>
        </is>
      </c>
      <c r="I36" s="12" t="inlineStr">
        <is>
          <t>Ø31,4 ext. × cordón 3</t>
        </is>
      </c>
      <c r="J36" s="25" t="inlineStr">
        <is>
          <t>Compra</t>
        </is>
      </c>
      <c r="K36" s="12" t="inlineStr">
        <is>
          <t>19 Ensamblaje de válvula (T03/T04)</t>
        </is>
      </c>
      <c r="L36" s="12" t="n"/>
      <c r="M36" s="25" t="inlineStr">
        <is>
          <t>P</t>
        </is>
      </c>
      <c r="N36" s="25" t="inlineStr">
        <is>
          <t>FL_DES_ABC_10kg</t>
        </is>
      </c>
      <c r="O36" s="12" t="inlineStr">
        <is>
          <t>cambio c/recarga</t>
        </is>
      </c>
    </row>
    <row r="37" outlineLevel="1">
      <c r="A37" s="25" t="n">
        <v>2</v>
      </c>
      <c r="B37" s="25" t="inlineStr">
        <is>
          <t>ABC10-V2</t>
        </is>
      </c>
      <c r="C37" s="12" t="inlineStr">
        <is>
          <t xml:space="preserve">        Resorte de retorno del vástago</t>
        </is>
      </c>
      <c r="D37" s="25" t="n">
        <v>1</v>
      </c>
      <c r="E37" s="25" t="inlineStr">
        <is>
          <t>u</t>
        </is>
      </c>
      <c r="F37" s="26" t="n">
        <v>0.003</v>
      </c>
      <c r="G37" s="26">
        <f>D37*F37</f>
        <v/>
      </c>
      <c r="H37" s="25" t="inlineStr">
        <is>
          <t>Alambre acero inox. AISI 302</t>
        </is>
      </c>
      <c r="I37" s="12" t="inlineStr">
        <is>
          <t>según válvula</t>
        </is>
      </c>
      <c r="J37" s="25" t="inlineStr">
        <is>
          <t>Compra</t>
        </is>
      </c>
      <c r="K37" s="12" t="inlineStr">
        <is>
          <t>19 Ensamblaje</t>
        </is>
      </c>
      <c r="L37" s="12" t="n"/>
      <c r="M37" s="25" t="inlineStr">
        <is>
          <t>R</t>
        </is>
      </c>
      <c r="N37" s="25" t="n"/>
      <c r="O37" s="12" t="n"/>
    </row>
    <row r="38" outlineLevel="1">
      <c r="A38" s="25" t="n">
        <v>2</v>
      </c>
      <c r="B38" s="25" t="inlineStr">
        <is>
          <t>ABC10-V3</t>
        </is>
      </c>
      <c r="C38" s="12" t="inlineStr">
        <is>
          <t xml:space="preserve">        Junta tórica del vástago</t>
        </is>
      </c>
      <c r="D38" s="25" t="n">
        <v>1</v>
      </c>
      <c r="E38" s="25" t="inlineStr">
        <is>
          <t>u</t>
        </is>
      </c>
      <c r="F38" s="26" t="n">
        <v>0.001</v>
      </c>
      <c r="G38" s="26">
        <f>D38*F38</f>
        <v/>
      </c>
      <c r="H38" s="25" t="inlineStr">
        <is>
          <t>NBR 70 Shore A</t>
        </is>
      </c>
      <c r="I38" s="12" t="inlineStr">
        <is>
          <t>según válvula</t>
        </is>
      </c>
      <c r="J38" s="25" t="inlineStr">
        <is>
          <t>Compra</t>
        </is>
      </c>
      <c r="K38" s="12" t="inlineStr">
        <is>
          <t>19 Ensamblaje</t>
        </is>
      </c>
      <c r="L38" s="12" t="n"/>
      <c r="M38" s="25" t="inlineStr">
        <is>
          <t>P</t>
        </is>
      </c>
      <c r="N38" s="25" t="n"/>
      <c r="O38" s="12" t="inlineStr">
        <is>
          <t>Figura en el plano como «vástago con junta tórica»</t>
        </is>
      </c>
    </row>
    <row r="39">
      <c r="A39" s="22" t="n">
        <v>1</v>
      </c>
      <c r="B39" s="22" t="inlineStr">
        <is>
          <t>ABC10-S3</t>
        </is>
      </c>
      <c r="C39" s="23" t="inlineStr">
        <is>
          <t xml:space="preserve">    Dispositivo de descarga</t>
        </is>
      </c>
      <c r="D39" s="22" t="n">
        <v>1</v>
      </c>
      <c r="E39" s="22" t="inlineStr">
        <is>
          <t>u</t>
        </is>
      </c>
      <c r="F39" s="24" t="n"/>
      <c r="G39" s="24">
        <f>G40+G41+G42+G43</f>
        <v/>
      </c>
      <c r="H39" s="22" t="n"/>
      <c r="I39" s="23" t="n"/>
      <c r="J39" s="22" t="inlineStr">
        <is>
          <t>Compra / armado</t>
        </is>
      </c>
      <c r="K39" s="23" t="n"/>
      <c r="L39" s="23" t="n"/>
      <c r="M39" s="22" t="inlineStr">
        <is>
          <t>P</t>
        </is>
      </c>
      <c r="N39" s="22" t="inlineStr">
        <is>
          <t>FL_DES_ABC_10kg</t>
        </is>
      </c>
      <c r="O39" s="23" t="n"/>
    </row>
    <row r="40" outlineLevel="1">
      <c r="A40" s="25" t="n">
        <v>2</v>
      </c>
      <c r="B40" s="25" t="inlineStr">
        <is>
          <t>ABC10-15</t>
        </is>
      </c>
      <c r="C40" s="12" t="inlineStr">
        <is>
          <t xml:space="preserve">        Racor de manguera</t>
        </is>
      </c>
      <c r="D40" s="25" t="n">
        <v>1</v>
      </c>
      <c r="E40" s="25" t="inlineStr">
        <is>
          <t>u</t>
        </is>
      </c>
      <c r="F40" s="26" t="n">
        <v>0.0258</v>
      </c>
      <c r="G40" s="26">
        <f>D40*F40</f>
        <v/>
      </c>
      <c r="H40" s="25" t="inlineStr">
        <is>
          <t>Latón</t>
        </is>
      </c>
      <c r="I40" s="12" t="inlineStr">
        <is>
          <t>18 × 18 × 12</t>
        </is>
      </c>
      <c r="J40" s="25" t="inlineStr">
        <is>
          <t>Compra</t>
        </is>
      </c>
      <c r="K40" s="12" t="inlineStr">
        <is>
          <t>19 Ensamblaje (T03/T04)</t>
        </is>
      </c>
      <c r="L40" s="12" t="n"/>
      <c r="M40" s="25" t="inlineStr">
        <is>
          <t>P</t>
        </is>
      </c>
      <c r="N40" s="25" t="inlineStr">
        <is>
          <t>FL_DES_ABC_10kg</t>
        </is>
      </c>
      <c r="O40" s="12" t="n"/>
    </row>
    <row r="41" outlineLevel="1">
      <c r="A41" s="25" t="n">
        <v>2</v>
      </c>
      <c r="B41" s="25" t="inlineStr">
        <is>
          <t>ABC10-16</t>
        </is>
      </c>
      <c r="C41" s="12" t="inlineStr">
        <is>
          <t xml:space="preserve">        Manguera</t>
        </is>
      </c>
      <c r="D41" s="25" t="n">
        <v>1</v>
      </c>
      <c r="E41" s="25" t="inlineStr">
        <is>
          <t>u</t>
        </is>
      </c>
      <c r="F41" s="26" t="n">
        <v>0.0707</v>
      </c>
      <c r="G41" s="26">
        <f>D41*F41</f>
        <v/>
      </c>
      <c r="H41" s="25" t="inlineStr">
        <is>
          <t>Caucho sintético</t>
        </is>
      </c>
      <c r="I41" s="12" t="inlineStr">
        <is>
          <t>Ø16 × 458 de largo desarrollado</t>
        </is>
      </c>
      <c r="J41" s="25" t="inlineStr">
        <is>
          <t>Compra</t>
        </is>
      </c>
      <c r="K41" s="12" t="inlineStr">
        <is>
          <t>19 Ensamblaje (T03/T04)</t>
        </is>
      </c>
      <c r="L41" s="12" t="n"/>
      <c r="M41" s="25" t="inlineStr">
        <is>
          <t>P</t>
        </is>
      </c>
      <c r="N41" s="25" t="inlineStr">
        <is>
          <t>FL_DES_ABC_10kg</t>
        </is>
      </c>
      <c r="O41" s="12" t="n"/>
    </row>
    <row r="42" outlineLevel="1">
      <c r="A42" s="25" t="n">
        <v>2</v>
      </c>
      <c r="B42" s="25" t="inlineStr">
        <is>
          <t>ABC10-17</t>
        </is>
      </c>
      <c r="C42" s="12" t="inlineStr">
        <is>
          <t xml:space="preserve">        Tobera con portatobera</t>
        </is>
      </c>
      <c r="D42" s="25" t="n">
        <v>1</v>
      </c>
      <c r="E42" s="25" t="inlineStr">
        <is>
          <t>u</t>
        </is>
      </c>
      <c r="F42" s="26" t="n">
        <v>0.0166</v>
      </c>
      <c r="G42" s="26">
        <f>D42*F42</f>
        <v/>
      </c>
      <c r="H42" s="25" t="inlineStr">
        <is>
          <t>Polipropileno</t>
        </is>
      </c>
      <c r="I42" s="12" t="inlineStr">
        <is>
          <t>75 × 24 × 24</t>
        </is>
      </c>
      <c r="J42" s="25" t="inlineStr">
        <is>
          <t>Compra</t>
        </is>
      </c>
      <c r="K42" s="12" t="inlineStr">
        <is>
          <t>19 Ensamblaje (T03/T04)</t>
        </is>
      </c>
      <c r="L42" s="12" t="n"/>
      <c r="M42" s="25" t="inlineStr">
        <is>
          <t>P</t>
        </is>
      </c>
      <c r="N42" s="25" t="inlineStr">
        <is>
          <t>FL_DES_ABC_10kg</t>
        </is>
      </c>
      <c r="O42" s="12" t="n"/>
    </row>
    <row r="43" outlineLevel="1">
      <c r="A43" s="25" t="n">
        <v>2</v>
      </c>
      <c r="B43" s="25" t="inlineStr">
        <is>
          <t>ABC10-18</t>
        </is>
      </c>
      <c r="C43" s="12" t="inlineStr">
        <is>
          <t xml:space="preserve">        Suncho portatobera</t>
        </is>
      </c>
      <c r="D43" s="25" t="n">
        <v>1</v>
      </c>
      <c r="E43" s="25" t="inlineStr">
        <is>
          <t>u</t>
        </is>
      </c>
      <c r="F43" s="26" t="n">
        <v>0.1534</v>
      </c>
      <c r="G43" s="26">
        <f>D43*F43</f>
        <v/>
      </c>
      <c r="H43" s="25" t="inlineStr">
        <is>
          <t>Fleje acero SAE 1010 pintado</t>
        </is>
      </c>
      <c r="I43" s="12" t="inlineStr">
        <is>
          <t>188,4 × 184,5 × 18</t>
        </is>
      </c>
      <c r="J43" s="25" t="inlineStr">
        <is>
          <t>Compra (estructura)</t>
        </is>
      </c>
      <c r="K43" s="12" t="inlineStr">
        <is>
          <t>19 Ensamblaje (T03/T04)</t>
        </is>
      </c>
      <c r="L43" s="12" t="n"/>
      <c r="M43" s="25" t="inlineStr">
        <is>
          <t>P</t>
        </is>
      </c>
      <c r="N43" s="25" t="inlineStr">
        <is>
          <t>FL_DES_ABC_10kg</t>
        </is>
      </c>
      <c r="O43" s="12" t="n"/>
    </row>
    <row r="44">
      <c r="A44" s="22" t="n">
        <v>1</v>
      </c>
      <c r="B44" s="22" t="inlineStr">
        <is>
          <t>ABC10-S5</t>
        </is>
      </c>
      <c r="C44" s="23" t="inlineStr">
        <is>
          <t xml:space="preserve">    Carga: agente extintor y gas impulsor</t>
        </is>
      </c>
      <c r="D44" s="22" t="n">
        <v>1</v>
      </c>
      <c r="E44" s="22" t="inlineStr">
        <is>
          <t>u</t>
        </is>
      </c>
      <c r="F44" s="24" t="n"/>
      <c r="G44" s="24">
        <f>G45+G46</f>
        <v/>
      </c>
      <c r="H44" s="22" t="n"/>
      <c r="I44" s="23" t="n"/>
      <c r="J44" s="22" t="inlineStr">
        <is>
          <t>Carga en planta</t>
        </is>
      </c>
      <c r="K44" s="23" t="inlineStr">
        <is>
          <t>18 Carga de polvo (T01) / C8 (T02)</t>
        </is>
      </c>
      <c r="L44" s="23" t="n"/>
      <c r="M44" s="22" t="n"/>
      <c r="N44" s="22" t="n"/>
      <c r="O44" s="23" t="n"/>
    </row>
    <row r="45" outlineLevel="1">
      <c r="A45" s="25" t="n">
        <v>2</v>
      </c>
      <c r="B45" s="25" t="inlineStr">
        <is>
          <t>ABC10-A1</t>
        </is>
      </c>
      <c r="C45" s="12" t="inlineStr">
        <is>
          <t xml:space="preserve">        Polvo químico seco ABC 60 (Sello IRAM 3569, DEMSA)</t>
        </is>
      </c>
      <c r="D45" s="25" t="n">
        <v>10.15</v>
      </c>
      <c r="E45" s="25" t="inlineStr">
        <is>
          <t>kg</t>
        </is>
      </c>
      <c r="F45" s="26" t="n">
        <v>1</v>
      </c>
      <c r="G45" s="26">
        <f>D45*F45</f>
        <v/>
      </c>
      <c r="H45" s="25" t="inlineStr">
        <is>
          <t>Polvo químico seco ABC 60 (Sello IRAM 3569, DEMSA)</t>
        </is>
      </c>
      <c r="I45" s="12" t="inlineStr">
        <is>
          <t>nominal 10 kg; tolerancia 0 / +300 g (IRAM 3517-2:2020 tabla 3 · IRAM 3523 tabla II)</t>
        </is>
      </c>
      <c r="J45" s="25" t="inlineStr">
        <is>
          <t>Compra</t>
        </is>
      </c>
      <c r="K45" s="12" t="inlineStr">
        <is>
          <t>SP-1 almacén previo a la carga</t>
        </is>
      </c>
      <c r="L45" s="12" t="inlineStr">
        <is>
          <t>IRAM 3569</t>
        </is>
      </c>
      <c r="M45" s="25" t="inlineStr">
        <is>
          <t>N</t>
        </is>
      </c>
      <c r="N45" s="25" t="n"/>
      <c r="O45" s="12" t="inlineStr">
        <is>
          <t>MAP 60 % (banda 57-63 %) = 6,09 kg MAP + 3,756 kg sulfato de amonio + 0,305 kg aditivos · potencial 6A-60B:C · alternativa ABC 90: 10A-60B:C · Lote único por extintor; prohibido mezclar ABC con BC (3517-2 9.9.1.6)</t>
        </is>
      </c>
    </row>
    <row r="46" outlineLevel="1">
      <c r="A46" s="25" t="n">
        <v>2</v>
      </c>
      <c r="B46" s="25" t="inlineStr">
        <is>
          <t>ABC10-A2</t>
        </is>
      </c>
      <c r="C46" s="12" t="inlineStr">
        <is>
          <t xml:space="preserve">        Gas impulsor: N₂</t>
        </is>
      </c>
      <c r="D46" s="25" t="n">
        <v>0.024</v>
      </c>
      <c r="E46" s="25" t="inlineStr">
        <is>
          <t>kg</t>
        </is>
      </c>
      <c r="F46" s="26" t="n">
        <v>1</v>
      </c>
      <c r="G46" s="26">
        <f>D46*F46</f>
        <v/>
      </c>
      <c r="H46" s="25" t="inlineStr">
        <is>
          <t>N₂</t>
        </is>
      </c>
      <c r="I46" s="12" t="inlineStr">
        <is>
          <t>19,2 L normales para 1,4 MPa a 20 °C en 1,39 dm³ libres</t>
        </is>
      </c>
      <c r="J46" s="25" t="inlineStr">
        <is>
          <t>Compra</t>
        </is>
      </c>
      <c r="K46" s="12" t="inlineStr">
        <is>
          <t>20 Presurización (T05) / C10</t>
        </is>
      </c>
      <c r="L46" s="12" t="inlineStr">
        <is>
          <t>IRAM 3517-2 9.4.9 (tabla 2) · IRAM 3523 2.3 y 3.10</t>
        </is>
      </c>
      <c r="M46" s="25" t="inlineStr">
        <is>
          <t>C</t>
        </is>
      </c>
      <c r="N46" s="25" t="n"/>
      <c r="O46" s="12" t="inlineStr">
        <is>
          <t>Batería en SP-1; punto de rocío ≤ -56,7 °C para gases limpios</t>
        </is>
      </c>
    </row>
    <row r="47">
      <c r="A47" s="22" t="n">
        <v>1</v>
      </c>
      <c r="B47" s="22" t="inlineStr">
        <is>
          <t>ABC10-S6</t>
        </is>
      </c>
      <c r="C47" s="23" t="inlineStr">
        <is>
          <t xml:space="preserve">    Identificación y precinto</t>
        </is>
      </c>
      <c r="D47" s="22" t="n">
        <v>1</v>
      </c>
      <c r="E47" s="22" t="inlineStr">
        <is>
          <t>u</t>
        </is>
      </c>
      <c r="F47" s="24" t="n"/>
      <c r="G47" s="24">
        <f>G48+G49+G50+G51+G52</f>
        <v/>
      </c>
      <c r="H47" s="22" t="n"/>
      <c r="I47" s="23" t="n"/>
      <c r="J47" s="22" t="inlineStr">
        <is>
          <t>Compra</t>
        </is>
      </c>
      <c r="K47" s="23" t="inlineStr">
        <is>
          <t>22 Etiquetado (T07)</t>
        </is>
      </c>
      <c r="L47" s="23" t="n"/>
      <c r="M47" s="22" t="n"/>
      <c r="N47" s="22" t="n"/>
      <c r="O47" s="23" t="n"/>
    </row>
    <row r="48" outlineLevel="1">
      <c r="A48" s="25" t="n">
        <v>2</v>
      </c>
      <c r="B48" s="25" t="inlineStr">
        <is>
          <t>ABC10-19</t>
        </is>
      </c>
      <c r="C48" s="12" t="inlineStr">
        <is>
          <t xml:space="preserve">        Placa de características</t>
        </is>
      </c>
      <c r="D48" s="25" t="n">
        <v>1</v>
      </c>
      <c r="E48" s="25" t="inlineStr">
        <is>
          <t>u</t>
        </is>
      </c>
      <c r="F48" s="26" t="n">
        <v>0.0131</v>
      </c>
      <c r="G48" s="26">
        <f>D48*F48</f>
        <v/>
      </c>
      <c r="H48" s="25" t="inlineStr">
        <is>
          <t>Vinilo autoadhesivo laminado</t>
        </is>
      </c>
      <c r="I48" s="12" t="inlineStr">
        <is>
          <t>171 × 182 (desarrollo × alto), e ≈ 0,3</t>
        </is>
      </c>
      <c r="J48" s="25" t="inlineStr">
        <is>
          <t>Compra</t>
        </is>
      </c>
      <c r="K48" s="12" t="inlineStr">
        <is>
          <t>22 Etiquetado (T07)</t>
        </is>
      </c>
      <c r="L48" s="12" t="inlineStr">
        <is>
          <t>IRAM 3534 · IRAM 3523 cap. 5</t>
        </is>
      </c>
      <c r="M48" s="25" t="inlineStr">
        <is>
          <t>P</t>
        </is>
      </c>
      <c r="N48" s="25" t="inlineStr">
        <is>
          <t>FL_DES_ABC_10kg</t>
        </is>
      </c>
      <c r="O48" s="12" t="inlineStr">
        <is>
          <t>IRAM 3534</t>
        </is>
      </c>
    </row>
    <row r="49" outlineLevel="1">
      <c r="A49" s="25" t="n">
        <v>2</v>
      </c>
      <c r="B49" s="25" t="inlineStr">
        <is>
          <t>ABC10-20</t>
        </is>
      </c>
      <c r="C49" s="12" t="inlineStr">
        <is>
          <t xml:space="preserve">        Oblea de fabricación (PBA)</t>
        </is>
      </c>
      <c r="D49" s="25" t="n">
        <v>1</v>
      </c>
      <c r="E49" s="25" t="inlineStr">
        <is>
          <t>u</t>
        </is>
      </c>
      <c r="F49" s="26" t="n">
        <v>0.0009</v>
      </c>
      <c r="G49" s="26">
        <f>D49*F49</f>
        <v/>
      </c>
      <c r="H49" s="25" t="inlineStr">
        <is>
          <t>Papel de seguridad autodestructible</t>
        </is>
      </c>
      <c r="I49" s="12" t="inlineStr">
        <is>
          <t>Ø46 (Res. OPDS 522/07), numerada, autodestructible</t>
        </is>
      </c>
      <c r="J49" s="25" t="inlineStr">
        <is>
          <t>Compra</t>
        </is>
      </c>
      <c r="K49" s="12" t="inlineStr">
        <is>
          <t>22 Etiquetado (T07)</t>
        </is>
      </c>
      <c r="L49" s="12" t="inlineStr">
        <is>
          <t>Res. OPDS 522/07 anexos 1, 2 y 6</t>
        </is>
      </c>
      <c r="M49" s="25" t="inlineStr">
        <is>
          <t>P</t>
        </is>
      </c>
      <c r="N49" s="25" t="inlineStr">
        <is>
          <t>FL_DES_ABC_10kg</t>
        </is>
      </c>
      <c r="O49" s="12" t="inlineStr">
        <is>
          <t>Res. 522/07</t>
        </is>
      </c>
    </row>
    <row r="50" outlineLevel="1">
      <c r="A50" s="25" t="n">
        <v>2</v>
      </c>
      <c r="B50" s="25" t="inlineStr">
        <is>
          <t>ABC10-21</t>
        </is>
      </c>
      <c r="C50" s="12" t="inlineStr">
        <is>
          <t xml:space="preserve">        Estampilla IRAM de conformidad</t>
        </is>
      </c>
      <c r="D50" s="25" t="n">
        <v>1</v>
      </c>
      <c r="E50" s="25" t="inlineStr">
        <is>
          <t>u</t>
        </is>
      </c>
      <c r="F50" s="26" t="n">
        <v>0.001</v>
      </c>
      <c r="G50" s="26">
        <f>D50*F50</f>
        <v/>
      </c>
      <c r="H50" s="25" t="inlineStr">
        <is>
          <t>Provista por IRAM (Anexo R)</t>
        </is>
      </c>
      <c r="I50" s="12" t="inlineStr">
        <is>
          <t>60 × 40</t>
        </is>
      </c>
      <c r="J50" s="25" t="inlineStr">
        <is>
          <t>Compra</t>
        </is>
      </c>
      <c r="K50" s="12" t="inlineStr">
        <is>
          <t>22 Etiquetado (T07)</t>
        </is>
      </c>
      <c r="L50" s="12" t="inlineStr">
        <is>
          <t>IRAM Anexo R (DC-PG-129)</t>
        </is>
      </c>
      <c r="M50" s="25" t="inlineStr">
        <is>
          <t>P</t>
        </is>
      </c>
      <c r="N50" s="25" t="inlineStr">
        <is>
          <t>FL_DES_ABC_10kg</t>
        </is>
      </c>
      <c r="O50" s="12" t="inlineStr">
        <is>
          <t>numerada</t>
        </is>
      </c>
    </row>
    <row r="51" outlineLevel="1">
      <c r="A51" s="25" t="n">
        <v>2</v>
      </c>
      <c r="B51" s="25" t="inlineStr">
        <is>
          <t>ABC10-23</t>
        </is>
      </c>
      <c r="C51" s="12" t="inlineStr">
        <is>
          <t xml:space="preserve">        Precinto de fábrica</t>
        </is>
      </c>
      <c r="D51" s="25" t="n">
        <v>1</v>
      </c>
      <c r="E51" s="25" t="inlineStr">
        <is>
          <t>u</t>
        </is>
      </c>
      <c r="F51" s="26" t="n">
        <v>0.0002</v>
      </c>
      <c r="G51" s="26">
        <f>D51*F51</f>
        <v/>
      </c>
      <c r="H51" s="25" t="inlineStr">
        <is>
          <t>Polipropileno</t>
        </is>
      </c>
      <c r="I51" s="12" t="inlineStr">
        <is>
          <t>Ø5 × 10, numerado, rotura 30-50 N</t>
        </is>
      </c>
      <c r="J51" s="25" t="inlineStr">
        <is>
          <t>Compra</t>
        </is>
      </c>
      <c r="K51" s="12" t="inlineStr">
        <is>
          <t>20 Presurización (T05)</t>
        </is>
      </c>
      <c r="L51" s="12" t="inlineStr">
        <is>
          <t>IRAM 3523 3.3.2 · IRAM 3517-2:2020 9.4.13</t>
        </is>
      </c>
      <c r="M51" s="25" t="inlineStr">
        <is>
          <t>P</t>
        </is>
      </c>
      <c r="N51" s="25" t="inlineStr">
        <is>
          <t>FL_DES_ABC_10kg</t>
        </is>
      </c>
      <c r="O51" s="12" t="inlineStr">
        <is>
          <t>id. FLAMA y lote</t>
        </is>
      </c>
    </row>
    <row r="52" outlineLevel="1">
      <c r="A52" s="25" t="n">
        <v>2</v>
      </c>
      <c r="B52" s="25" t="inlineStr">
        <is>
          <t>ABC10-I3</t>
        </is>
      </c>
      <c r="C52" s="12" t="inlineStr">
        <is>
          <t xml:space="preserve">        Tarjeta oficial de vigencia (CABA)</t>
        </is>
      </c>
      <c r="D52" s="25" t="n">
        <v>1</v>
      </c>
      <c r="E52" s="25" t="inlineStr">
        <is>
          <t>u</t>
        </is>
      </c>
      <c r="F52" s="26" t="n">
        <v>0.002</v>
      </c>
      <c r="G52" s="26">
        <f>D52*F52</f>
        <v/>
      </c>
      <c r="H52" s="25" t="inlineStr">
        <is>
          <t>Formulario oficial</t>
        </is>
      </c>
      <c r="I52" s="12" t="inlineStr">
        <is>
          <t>provista por DG Rentas GCBA</t>
        </is>
      </c>
      <c r="J52" s="25" t="inlineStr">
        <is>
          <t>Compra</t>
        </is>
      </c>
      <c r="K52" s="12" t="inlineStr">
        <is>
          <t>22 Etiquetado</t>
        </is>
      </c>
      <c r="L52" s="12" t="inlineStr">
        <is>
          <t>Ordenanza 40.473 art. 6</t>
        </is>
      </c>
      <c r="M52" s="25" t="inlineStr">
        <is>
          <t>N</t>
        </is>
      </c>
      <c r="N52" s="25" t="n"/>
      <c r="O52" s="12" t="inlineStr">
        <is>
          <t>Clase, capacidad, fecha de carga y vencimiento, garantía; se anexa al matafuego (no se dibuja)</t>
        </is>
      </c>
    </row>
    <row r="53">
      <c r="A53" s="22" t="n">
        <v>1</v>
      </c>
      <c r="B53" s="22" t="inlineStr">
        <is>
          <t>ABC10-S8</t>
        </is>
      </c>
      <c r="C53" s="23" t="inlineStr">
        <is>
          <t xml:space="preserve">    Soporte (accesorio de montaje)</t>
        </is>
      </c>
      <c r="D53" s="22" t="n">
        <v>1</v>
      </c>
      <c r="E53" s="22" t="inlineStr">
        <is>
          <t>u</t>
        </is>
      </c>
      <c r="F53" s="24" t="n"/>
      <c r="G53" s="24">
        <f>G54+G55</f>
        <v/>
      </c>
      <c r="H53" s="22" t="n"/>
      <c r="I53" s="23" t="n"/>
      <c r="J53" s="22" t="inlineStr">
        <is>
          <t>Compra</t>
        </is>
      </c>
      <c r="K53" s="23" t="inlineStr">
        <is>
          <t>23 Embalaje (va dentro de la caja)</t>
        </is>
      </c>
      <c r="L53" s="23" t="inlineStr">
        <is>
          <t>IRAM 3517-2 7.4</t>
        </is>
      </c>
      <c r="M53" s="22" t="n"/>
      <c r="N53" s="22" t="n"/>
      <c r="O53" s="23" t="n"/>
    </row>
    <row r="54" outlineLevel="1">
      <c r="A54" s="25" t="n">
        <v>2</v>
      </c>
      <c r="B54" s="25" t="inlineStr">
        <is>
          <t>ABC10-I5</t>
        </is>
      </c>
      <c r="C54" s="12" t="inlineStr">
        <is>
          <t xml:space="preserve">        Soporte de pared (FL_ACC_01)</t>
        </is>
      </c>
      <c r="D54" s="25" t="n">
        <v>1</v>
      </c>
      <c r="E54" s="25" t="inlineStr">
        <is>
          <t>u</t>
        </is>
      </c>
      <c r="F54" s="26" t="n">
        <v>0.319</v>
      </c>
      <c r="G54" s="26">
        <f>D54*F54</f>
        <v/>
      </c>
      <c r="H54" s="25" t="inlineStr">
        <is>
          <t>Chapa acero SAE 1010 e=2 pintada</t>
        </is>
      </c>
      <c r="I54" s="12" t="inlineStr">
        <is>
          <t>placa 60 × 180, ala con ranura Ø cuello + 3</t>
        </is>
      </c>
      <c r="J54" s="25" t="inlineStr">
        <is>
          <t>Compra</t>
        </is>
      </c>
      <c r="K54" s="12" t="inlineStr">
        <is>
          <t>23 Embalaje</t>
        </is>
      </c>
      <c r="L54" s="12" t="inlineStr">
        <is>
          <t>IRAM 3517-2 7.4</t>
        </is>
      </c>
      <c r="M54" s="25" t="inlineStr">
        <is>
          <t>P</t>
        </is>
      </c>
      <c r="N54" s="25" t="inlineStr">
        <is>
          <t>FL_ACC_01</t>
        </is>
      </c>
      <c r="O54" s="12" t="n"/>
    </row>
    <row r="55" outlineLevel="1">
      <c r="A55" s="25" t="n">
        <v>2</v>
      </c>
      <c r="B55" s="25" t="inlineStr">
        <is>
          <t>ABC10-I6</t>
        </is>
      </c>
      <c r="C55" s="12" t="inlineStr">
        <is>
          <t xml:space="preserve">        Tornillo y tarugo de fijación</t>
        </is>
      </c>
      <c r="D55" s="25" t="n">
        <v>2</v>
      </c>
      <c r="E55" s="25" t="inlineStr">
        <is>
          <t>u</t>
        </is>
      </c>
      <c r="F55" s="26" t="n">
        <v>0.01</v>
      </c>
      <c r="G55" s="26">
        <f>D55*F55</f>
        <v/>
      </c>
      <c r="H55" s="25" t="inlineStr">
        <is>
          <t>Acero cincado / nylon</t>
        </is>
      </c>
      <c r="I55" s="12" t="inlineStr">
        <is>
          <t>M6 × 50 + tarugo 8</t>
        </is>
      </c>
      <c r="J55" s="25" t="inlineStr">
        <is>
          <t>Compra</t>
        </is>
      </c>
      <c r="K55" s="12" t="inlineStr">
        <is>
          <t>23 Embalaje</t>
        </is>
      </c>
      <c r="L55" s="12" t="n"/>
      <c r="M55" s="25" t="inlineStr">
        <is>
          <t>R</t>
        </is>
      </c>
      <c r="N55" s="25" t="n"/>
      <c r="O55" s="12" t="n"/>
    </row>
    <row r="56" outlineLevel="1">
      <c r="A56" s="25" t="n">
        <v>2</v>
      </c>
      <c r="B56" s="25" t="inlineStr">
        <is>
          <t>ABC10-I8</t>
        </is>
      </c>
      <c r="C56" s="12" t="inlineStr">
        <is>
          <t xml:space="preserve">        Soporte opcional (pared o vehicular, según pedido)</t>
        </is>
      </c>
      <c r="D56" s="25" t="n">
        <v>0</v>
      </c>
      <c r="E56" s="25" t="inlineStr">
        <is>
          <t>u</t>
        </is>
      </c>
      <c r="F56" s="26" t="n"/>
      <c r="G56" s="26" t="n"/>
      <c r="H56" s="25" t="inlineStr">
        <is>
          <t>-</t>
        </is>
      </c>
      <c r="I56" s="12" t="inlineStr">
        <is>
          <t>-</t>
        </is>
      </c>
      <c r="J56" s="25" t="inlineStr">
        <is>
          <t>Compra</t>
        </is>
      </c>
      <c r="K56" s="12" t="n"/>
      <c r="L56" s="12" t="n"/>
      <c r="M56" s="25" t="inlineStr">
        <is>
          <t>C</t>
        </is>
      </c>
      <c r="N56" s="25" t="n"/>
      <c r="O56" s="12" t="inlineStr">
        <is>
          <t>Sólo si el pedido lo incluye</t>
        </is>
      </c>
    </row>
    <row r="57">
      <c r="A57" s="22" t="n">
        <v>1</v>
      </c>
      <c r="B57" s="22" t="inlineStr">
        <is>
          <t>ABC10-S7</t>
        </is>
      </c>
      <c r="C57" s="23" t="inlineStr">
        <is>
          <t xml:space="preserve">    Embalaje</t>
        </is>
      </c>
      <c r="D57" s="22" t="n">
        <v>1</v>
      </c>
      <c r="E57" s="22" t="inlineStr">
        <is>
          <t>u</t>
        </is>
      </c>
      <c r="F57" s="24" t="n"/>
      <c r="G57" s="24">
        <f>G58+G59+G60+G61+G62</f>
        <v/>
      </c>
      <c r="H57" s="22" t="n"/>
      <c r="I57" s="23" t="n"/>
      <c r="J57" s="22" t="inlineStr">
        <is>
          <t>Compra</t>
        </is>
      </c>
      <c r="K57" s="23" t="inlineStr">
        <is>
          <t>23 Embalaje -&gt; 24 envolvedora (T11)</t>
        </is>
      </c>
      <c r="L57" s="23" t="n"/>
      <c r="M57" s="22" t="n"/>
      <c r="N57" s="22" t="n"/>
      <c r="O57" s="23" t="n"/>
    </row>
    <row r="58" outlineLevel="1">
      <c r="A58" s="25" t="n">
        <v>2</v>
      </c>
      <c r="B58" s="25" t="inlineStr">
        <is>
          <t>ABC10-E1</t>
        </is>
      </c>
      <c r="C58" s="12" t="inlineStr">
        <is>
          <t xml:space="preserve">        Caja de cartón corrugado doble</t>
        </is>
      </c>
      <c r="D58" s="25" t="n">
        <v>1</v>
      </c>
      <c r="E58" s="25" t="inlineStr">
        <is>
          <t>u</t>
        </is>
      </c>
      <c r="F58" s="26" t="n">
        <v>0.5</v>
      </c>
      <c r="G58" s="26">
        <f>D58*F58</f>
        <v/>
      </c>
      <c r="H58" s="25" t="inlineStr">
        <is>
          <t>Cartón corrugado</t>
        </is>
      </c>
      <c r="I58" s="12" t="inlineStr">
        <is>
          <t>260 × 214 × 675 interior</t>
        </is>
      </c>
      <c r="J58" s="25" t="inlineStr">
        <is>
          <t>Compra</t>
        </is>
      </c>
      <c r="K58" s="12" t="inlineStr">
        <is>
          <t>23 Embalaje</t>
        </is>
      </c>
      <c r="L58" s="12" t="n"/>
      <c r="M58" s="25" t="inlineStr">
        <is>
          <t>R</t>
        </is>
      </c>
      <c r="N58" s="25" t="n"/>
      <c r="O58" s="12" t="n"/>
    </row>
    <row r="59" outlineLevel="1">
      <c r="A59" s="25" t="n">
        <v>2</v>
      </c>
      <c r="B59" s="25" t="inlineStr">
        <is>
          <t>ABC10-E2</t>
        </is>
      </c>
      <c r="C59" s="12" t="inlineStr">
        <is>
          <t xml:space="preserve">        Instructivo de uso y mantenimiento</t>
        </is>
      </c>
      <c r="D59" s="25" t="n">
        <v>1</v>
      </c>
      <c r="E59" s="25" t="inlineStr">
        <is>
          <t>u</t>
        </is>
      </c>
      <c r="F59" s="26" t="n">
        <v>0.01</v>
      </c>
      <c r="G59" s="26">
        <f>D59*F59</f>
        <v/>
      </c>
      <c r="H59" s="25" t="inlineStr">
        <is>
          <t>Papel</t>
        </is>
      </c>
      <c r="I59" s="12" t="inlineStr">
        <is>
          <t>A5</t>
        </is>
      </c>
      <c r="J59" s="25" t="inlineStr">
        <is>
          <t>Compra</t>
        </is>
      </c>
      <c r="K59" s="12" t="inlineStr">
        <is>
          <t>23 Embalaje</t>
        </is>
      </c>
      <c r="L59" s="12" t="inlineStr">
        <is>
          <t>IRAM 3517-2 (información al usuario)</t>
        </is>
      </c>
      <c r="M59" s="25" t="inlineStr">
        <is>
          <t>R</t>
        </is>
      </c>
      <c r="N59" s="25" t="n"/>
      <c r="O59" s="12" t="n"/>
    </row>
    <row r="60" outlineLevel="1">
      <c r="A60" s="25" t="n">
        <v>2</v>
      </c>
      <c r="B60" s="25" t="inlineStr">
        <is>
          <t>ABC10-E3</t>
        </is>
      </c>
      <c r="C60" s="12" t="inlineStr">
        <is>
          <t xml:space="preserve">        Pallet 1200 × 1000 (fracción)</t>
        </is>
      </c>
      <c r="D60" s="25" t="n">
        <v>0.0312</v>
      </c>
      <c r="E60" s="25" t="inlineStr">
        <is>
          <t>u</t>
        </is>
      </c>
      <c r="F60" s="26" t="n">
        <v>0.6879999999999999</v>
      </c>
      <c r="G60" s="26">
        <f>D60*F60</f>
        <v/>
      </c>
      <c r="H60" s="25" t="inlineStr">
        <is>
          <t>Madera</t>
        </is>
      </c>
      <c r="I60" s="12" t="inlineStr">
        <is>
          <t>32 u por pallet</t>
        </is>
      </c>
      <c r="J60" s="25" t="inlineStr">
        <is>
          <t>Compra</t>
        </is>
      </c>
      <c r="K60" s="12" t="inlineStr">
        <is>
          <t>23 Embalaje</t>
        </is>
      </c>
      <c r="L60" s="12" t="n"/>
      <c r="M60" s="25" t="inlineStr">
        <is>
          <t>R</t>
        </is>
      </c>
      <c r="N60" s="25" t="n"/>
      <c r="O60" s="12" t="n"/>
    </row>
    <row r="61" outlineLevel="1">
      <c r="A61" s="25" t="n">
        <v>2</v>
      </c>
      <c r="B61" s="25" t="inlineStr">
        <is>
          <t>ABC10-E4</t>
        </is>
      </c>
      <c r="C61" s="12" t="inlineStr">
        <is>
          <t xml:space="preserve">        Film stretch (fracción del pallet)</t>
        </is>
      </c>
      <c r="D61" s="25" t="n">
        <v>0.0109</v>
      </c>
      <c r="E61" s="25" t="inlineStr">
        <is>
          <t>kg</t>
        </is>
      </c>
      <c r="F61" s="26" t="n">
        <v>1</v>
      </c>
      <c r="G61" s="26">
        <f>D61*F61</f>
        <v/>
      </c>
      <c r="H61" s="25" t="inlineStr">
        <is>
          <t>PE lineal 23 µm</t>
        </is>
      </c>
      <c r="I61" s="12" t="inlineStr">
        <is>
          <t>envolvedora EDOS PS5</t>
        </is>
      </c>
      <c r="J61" s="25" t="inlineStr">
        <is>
          <t>Compra</t>
        </is>
      </c>
      <c r="K61" s="12" t="inlineStr">
        <is>
          <t>24 Envolvedora (T11)</t>
        </is>
      </c>
      <c r="L61" s="12" t="n"/>
      <c r="M61" s="25" t="inlineStr">
        <is>
          <t>R</t>
        </is>
      </c>
      <c r="N61" s="25" t="n"/>
      <c r="O61" s="12" t="n"/>
    </row>
    <row r="62" outlineLevel="1">
      <c r="A62" s="25" t="n">
        <v>2</v>
      </c>
      <c r="B62" s="25" t="inlineStr">
        <is>
          <t>ABC10-E5</t>
        </is>
      </c>
      <c r="C62" s="12" t="inlineStr">
        <is>
          <t xml:space="preserve">        Etiqueta de pallet (lote y destino, fracción)</t>
        </is>
      </c>
      <c r="D62" s="25" t="n">
        <v>0.0312</v>
      </c>
      <c r="E62" s="25" t="inlineStr">
        <is>
          <t>u</t>
        </is>
      </c>
      <c r="F62" s="26" t="n">
        <v>0</v>
      </c>
      <c r="G62" s="26">
        <f>D62*F62</f>
        <v/>
      </c>
      <c r="H62" s="25" t="inlineStr">
        <is>
          <t>Papel térmico</t>
        </is>
      </c>
      <c r="I62" s="12" t="inlineStr">
        <is>
          <t>100 × 150</t>
        </is>
      </c>
      <c r="J62" s="25" t="inlineStr">
        <is>
          <t>Compra</t>
        </is>
      </c>
      <c r="K62" s="12" t="inlineStr">
        <is>
          <t>24 Envolvedora</t>
        </is>
      </c>
      <c r="L62" s="12" t="n"/>
      <c r="M62" s="25" t="inlineStr">
        <is>
          <t>R</t>
        </is>
      </c>
      <c r="N62" s="25" t="n"/>
      <c r="O62" s="12" t="n"/>
    </row>
  </sheetData>
  <autoFilter ref="A10:O62"/>
  <pageMargins left="0.75" right="0.75" top="1" bottom="1" header="0.5" footer="0.5"/>
  <pageSetup orientation="landscape" fitToHeight="0" fitToWidth="1"/>
</worksheet>
</file>

<file path=xl/worksheets/sheet11.xml><?xml version="1.0" encoding="utf-8"?>
<worksheet xmlns="http://schemas.openxmlformats.org/spreadsheetml/2006/main">
  <sheetPr>
    <tabColor rgb="007F1D1D"/>
    <outlinePr summaryBelow="0" summaryRight="1"/>
    <pageSetUpPr fitToPage="1"/>
  </sheetPr>
  <dimension ref="A1:O5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FL_MAT_AGUA_10l</t>
        </is>
      </c>
    </row>
    <row r="2">
      <c r="A2" s="2" t="inlineStr">
        <is>
          <t>Extintor Agua 10 l</t>
        </is>
      </c>
    </row>
    <row r="3">
      <c r="A3" s="14" t="inlineStr">
        <is>
          <t>Plano de origen</t>
        </is>
      </c>
      <c r="C3" t="inlineStr">
        <is>
          <t>FL_MAT_AGUA_10l  (3 láminas)</t>
        </is>
      </c>
      <c r="E3" s="14" t="inlineStr">
        <is>
          <t>Peso vacío S1-S4 (kg)</t>
        </is>
      </c>
      <c r="G3" s="30">
        <f>G12+G19+G33</f>
        <v/>
      </c>
    </row>
    <row r="4">
      <c r="A4" s="14" t="inlineStr">
        <is>
          <t>Plano de despiece</t>
        </is>
      </c>
      <c r="C4" t="inlineStr">
        <is>
          <t>FL_DES_AGUA_10l (salida/despiece/)</t>
        </is>
      </c>
      <c r="E4" s="14" t="inlineStr">
        <is>
          <t>Peso cargado S1-S6 (kg)</t>
        </is>
      </c>
      <c r="G4" s="30">
        <f>G12+G19+G33+G38+G41</f>
        <v/>
      </c>
    </row>
    <row r="5">
      <c r="A5" s="14" t="inlineStr">
        <is>
          <t>Norma del producto</t>
        </is>
      </c>
      <c r="C5" t="inlineStr">
        <is>
          <t>IRAM 3525</t>
        </is>
      </c>
      <c r="E5" s="14" t="inlineStr">
        <is>
          <t>Peso con soporte y embalaje (kg)</t>
        </is>
      </c>
      <c r="G5" s="30">
        <f>G12+G19+G33+G38+G41+G50+G47</f>
        <v/>
      </c>
    </row>
    <row r="6">
      <c r="A6" s="14" t="inlineStr">
        <is>
          <t>Fabricación</t>
        </is>
      </c>
      <c r="C6" t="inlineStr">
        <is>
          <t>Tercerizado revendido (S4)</t>
        </is>
      </c>
      <c r="E6" s="14" t="inlineStr">
        <is>
          <t>Desvío cargado vs catálogo</t>
        </is>
      </c>
      <c r="G6" s="10">
        <f>G4/C7-1</f>
        <v/>
      </c>
    </row>
    <row r="7">
      <c r="A7" s="14" t="inlineStr">
        <is>
          <t>Peso catálogo cargado (kg)</t>
        </is>
      </c>
      <c r="C7" t="n">
        <v>12.55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FL_MAT_AGUA_10l</t>
        </is>
      </c>
      <c r="C11" s="20" t="inlineStr">
        <is>
          <t>Extintor Agua 10 l</t>
        </is>
      </c>
      <c r="D11" s="19" t="n">
        <v>1</v>
      </c>
      <c r="E11" s="19" t="inlineStr">
        <is>
          <t>u</t>
        </is>
      </c>
      <c r="F11" s="21" t="n"/>
      <c r="G11" s="21">
        <f>G5</f>
        <v/>
      </c>
      <c r="H11" s="19" t="n"/>
      <c r="I11" s="20" t="n"/>
      <c r="J11" s="19" t="n"/>
      <c r="K11" s="20" t="n"/>
      <c r="L11" s="20" t="inlineStr">
        <is>
          <t>IRAM 3525</t>
        </is>
      </c>
      <c r="M11" s="19" t="inlineStr">
        <is>
          <t>P</t>
        </is>
      </c>
      <c r="N11" s="19" t="inlineStr">
        <is>
          <t>FL_MAT_AGUA_10l</t>
        </is>
      </c>
      <c r="O11" s="20" t="inlineStr">
        <is>
          <t>Tercerizado revendido (S4)</t>
        </is>
      </c>
    </row>
    <row r="12">
      <c r="A12" s="22" t="n">
        <v>1</v>
      </c>
      <c r="B12" s="22" t="inlineStr">
        <is>
          <t>AGUA10-S1</t>
        </is>
      </c>
      <c r="C12" s="23" t="inlineStr">
        <is>
          <t xml:space="preserve">    Recipiente (cilindro)</t>
        </is>
      </c>
      <c r="D12" s="22" t="n">
        <v>1</v>
      </c>
      <c r="E12" s="22" t="inlineStr">
        <is>
          <t>u</t>
        </is>
      </c>
      <c r="F12" s="24" t="n"/>
      <c r="G12" s="24">
        <f>G13+G14+G15+G16+G17</f>
        <v/>
      </c>
      <c r="H12" s="22" t="n"/>
      <c r="I12" s="23" t="n"/>
      <c r="J12" s="22" t="inlineStr">
        <is>
          <t>Compra / armado</t>
        </is>
      </c>
      <c r="K12" s="23" t="n"/>
      <c r="L12" s="23" t="inlineStr">
        <is>
          <t>IRAM 3523 / 3550 (recipiente)</t>
        </is>
      </c>
      <c r="M12" s="22" t="inlineStr">
        <is>
          <t>P</t>
        </is>
      </c>
      <c r="N12" s="22" t="inlineStr">
        <is>
          <t>FL_DES_AGUA_10l</t>
        </is>
      </c>
      <c r="O12" s="23" t="n"/>
    </row>
    <row r="13" outlineLevel="1">
      <c r="A13" s="25" t="n">
        <v>2</v>
      </c>
      <c r="B13" s="25" t="inlineStr">
        <is>
          <t>AGUA10-01</t>
        </is>
      </c>
      <c r="C13" s="12" t="inlineStr">
        <is>
          <t xml:space="preserve">        Cuerpo (virola)</t>
        </is>
      </c>
      <c r="D13" s="25" t="n">
        <v>1</v>
      </c>
      <c r="E13" s="25" t="inlineStr">
        <is>
          <t>u</t>
        </is>
      </c>
      <c r="F13" s="26" t="n">
        <v>1.7949</v>
      </c>
      <c r="G13" s="26">
        <f>D13*F13</f>
        <v/>
      </c>
      <c r="H13" s="25" t="inlineStr">
        <is>
          <t>Chapa acero inox. AISI 304 e=0,8</t>
        </is>
      </c>
      <c r="I13" s="12" t="inlineStr">
        <is>
          <t>Ø190 × e0,8 × 476 de alto; desarrollo 594,4 × 476</t>
        </is>
      </c>
      <c r="J13" s="25" t="inlineStr">
        <is>
          <t>Compra (en el conjunto)</t>
        </is>
      </c>
      <c r="K13" s="12" t="inlineStr">
        <is>
          <t>S4 - se compra terminado (tercerizado con sello IRAM)</t>
        </is>
      </c>
      <c r="L13" s="12" t="n"/>
      <c r="M13" s="25" t="inlineStr">
        <is>
          <t>P</t>
        </is>
      </c>
      <c r="N13" s="25" t="inlineStr">
        <is>
          <t>FL_DES_AGUA_10l</t>
        </is>
      </c>
      <c r="O13" s="12" t="inlineStr">
        <is>
          <t>costura long. TIG</t>
        </is>
      </c>
    </row>
    <row r="14" outlineLevel="1">
      <c r="A14" s="25" t="n">
        <v>2</v>
      </c>
      <c r="B14" s="25" t="inlineStr">
        <is>
          <t>AGUA10-02</t>
        </is>
      </c>
      <c r="C14" s="12" t="inlineStr">
        <is>
          <t xml:space="preserve">        Cúpula</t>
        </is>
      </c>
      <c r="D14" s="25" t="n">
        <v>1</v>
      </c>
      <c r="E14" s="25" t="inlineStr">
        <is>
          <t>u</t>
        </is>
      </c>
      <c r="F14" s="26" t="n">
        <v>0.2544</v>
      </c>
      <c r="G14" s="26">
        <f>D14*F14</f>
        <v/>
      </c>
      <c r="H14" s="25" t="inlineStr">
        <is>
          <t>Chapa acero inox. AISI 304 e=0,8</t>
        </is>
      </c>
      <c r="I14" s="12" t="inlineStr">
        <is>
          <t>Ø190 × e0,8 × 59 de alto; disco Ø232,7</t>
        </is>
      </c>
      <c r="J14" s="25" t="inlineStr">
        <is>
          <t>Compra (en el conjunto)</t>
        </is>
      </c>
      <c r="K14" s="12" t="inlineStr">
        <is>
          <t>S4 - se compra terminado (tercerizado con sello IRAM)</t>
        </is>
      </c>
      <c r="L14" s="12" t="n"/>
      <c r="M14" s="25" t="inlineStr">
        <is>
          <t>P</t>
        </is>
      </c>
      <c r="N14" s="25" t="inlineStr">
        <is>
          <t>FL_DES_AGUA_10l</t>
        </is>
      </c>
      <c r="O14" s="12" t="inlineStr">
        <is>
          <t>embutida</t>
        </is>
      </c>
    </row>
    <row r="15" outlineLevel="1">
      <c r="A15" s="25" t="n">
        <v>2</v>
      </c>
      <c r="B15" s="25" t="inlineStr">
        <is>
          <t>AGUA10-03</t>
        </is>
      </c>
      <c r="C15" s="12" t="inlineStr">
        <is>
          <t xml:space="preserve">        Fondo</t>
        </is>
      </c>
      <c r="D15" s="25" t="n">
        <v>1</v>
      </c>
      <c r="E15" s="25" t="inlineStr">
        <is>
          <t>u</t>
        </is>
      </c>
      <c r="F15" s="26" t="n">
        <v>0.1769</v>
      </c>
      <c r="G15" s="26">
        <f>D15*F15</f>
        <v/>
      </c>
      <c r="H15" s="25" t="inlineStr">
        <is>
          <t>Chapa acero inox. AISI 304 e=0,8</t>
        </is>
      </c>
      <c r="I15" s="12" t="inlineStr">
        <is>
          <t>Ø190 × e0,8 × 10,8 de alto; disco Ø194,1</t>
        </is>
      </c>
      <c r="J15" s="25" t="inlineStr">
        <is>
          <t>Compra (en el conjunto)</t>
        </is>
      </c>
      <c r="K15" s="12" t="inlineStr">
        <is>
          <t>S4 - se compra terminado (tercerizado con sello IRAM)</t>
        </is>
      </c>
      <c r="L15" s="12" t="n"/>
      <c r="M15" s="25" t="inlineStr">
        <is>
          <t>P</t>
        </is>
      </c>
      <c r="N15" s="25" t="inlineStr">
        <is>
          <t>FL_DES_AGUA_10l</t>
        </is>
      </c>
      <c r="O15" s="12" t="inlineStr">
        <is>
          <t>embutido</t>
        </is>
      </c>
    </row>
    <row r="16" outlineLevel="1">
      <c r="A16" s="25" t="n">
        <v>2</v>
      </c>
      <c r="B16" s="25" t="inlineStr">
        <is>
          <t>AGUA10-04</t>
        </is>
      </c>
      <c r="C16" s="12" t="inlineStr">
        <is>
          <t xml:space="preserve">        Cuello roscado</t>
        </is>
      </c>
      <c r="D16" s="25" t="n">
        <v>1</v>
      </c>
      <c r="E16" s="25" t="inlineStr">
        <is>
          <t>u</t>
        </is>
      </c>
      <c r="F16" s="26" t="n">
        <v>0.0539</v>
      </c>
      <c r="G16" s="26">
        <f>D16*F16</f>
        <v/>
      </c>
      <c r="H16" s="25" t="inlineStr">
        <is>
          <t>Acero inox. AISI 304</t>
        </is>
      </c>
      <c r="I16" s="12" t="inlineStr">
        <is>
          <t>Ø37 × 14 de alto, rosca M30x1,5, asiento Ø35</t>
        </is>
      </c>
      <c r="J16" s="25" t="inlineStr">
        <is>
          <t>Compra (en el conjunto)</t>
        </is>
      </c>
      <c r="K16" s="12" t="inlineStr">
        <is>
          <t>S4 - se compra terminado (tercerizado con sello IRAM)</t>
        </is>
      </c>
      <c r="L16" s="12" t="n"/>
      <c r="M16" s="25" t="inlineStr">
        <is>
          <t>P</t>
        </is>
      </c>
      <c r="N16" s="25" t="inlineStr">
        <is>
          <t>FL_DES_AGUA_10l</t>
        </is>
      </c>
      <c r="O16" s="12" t="inlineStr">
        <is>
          <t>M30x1,5</t>
        </is>
      </c>
    </row>
    <row r="17" outlineLevel="1">
      <c r="A17" s="25" t="n">
        <v>2</v>
      </c>
      <c r="B17" s="25" t="inlineStr">
        <is>
          <t>AGUA10-C1</t>
        </is>
      </c>
      <c r="C17" s="12" t="inlineStr">
        <is>
          <t xml:space="preserve">        Aporte de soldadura: Varilla TIG ER308L Ø1,6</t>
        </is>
      </c>
      <c r="D17" s="25" t="n">
        <v>0.0413</v>
      </c>
      <c r="E17" s="25" t="inlineStr">
        <is>
          <t>kg</t>
        </is>
      </c>
      <c r="F17" s="26" t="n">
        <v>0.95</v>
      </c>
      <c r="G17" s="26">
        <f>D17*F17</f>
        <v/>
      </c>
      <c r="H17" s="25" t="inlineStr">
        <is>
          <t>Varilla TIG ER308L Ø1,6</t>
        </is>
      </c>
      <c r="I17" s="12" t="inlineStr">
        <is>
          <t>cordones del plano: 39 g depositados (rend. 95 %)</t>
        </is>
      </c>
      <c r="J17" s="25" t="inlineStr">
        <is>
          <t>Compra</t>
        </is>
      </c>
      <c r="K17" s="12" t="inlineStr">
        <is>
          <t>4 sold. long. / 8 cuello / 11 circunferencial</t>
        </is>
      </c>
      <c r="L17" s="12" t="inlineStr">
        <is>
          <t>ISO 4063 131 / 141</t>
        </is>
      </c>
      <c r="M17" s="25" t="inlineStr">
        <is>
          <t>P</t>
        </is>
      </c>
      <c r="N17" s="25" t="n"/>
      <c r="O17" s="12" t="n"/>
    </row>
    <row r="18" outlineLevel="1">
      <c r="A18" s="25" t="n">
        <v>2</v>
      </c>
      <c r="B18" s="25" t="inlineStr">
        <is>
          <t>AGUA10-C2</t>
        </is>
      </c>
      <c r="C18" s="12" t="inlineStr">
        <is>
          <t xml:space="preserve">        Gas de protección: Argón</t>
        </is>
      </c>
      <c r="D18" s="25" t="n">
        <v>31</v>
      </c>
      <c r="E18" s="25" t="inlineStr">
        <is>
          <t>L</t>
        </is>
      </c>
      <c r="F18" s="26" t="n"/>
      <c r="G18" s="26" t="n"/>
      <c r="H18" s="25" t="inlineStr">
        <is>
          <t>Argón</t>
        </is>
      </c>
      <c r="I18" s="12" t="inlineStr">
        <is>
          <t>3,1 min de arco × 10 L/min</t>
        </is>
      </c>
      <c r="J18" s="25" t="inlineStr">
        <is>
          <t>Compra</t>
        </is>
      </c>
      <c r="K18" s="12" t="inlineStr">
        <is>
          <t>Botellón</t>
        </is>
      </c>
      <c r="L18" s="12" t="n"/>
      <c r="M18" s="25" t="inlineStr">
        <is>
          <t>R</t>
        </is>
      </c>
      <c r="N18" s="25" t="n"/>
      <c r="O18" s="12" t="n"/>
    </row>
    <row r="19">
      <c r="A19" s="22" t="n">
        <v>1</v>
      </c>
      <c r="B19" s="22" t="inlineStr">
        <is>
          <t>AGUA10-S2</t>
        </is>
      </c>
      <c r="C19" s="23" t="inlineStr">
        <is>
          <t xml:space="preserve">    Conjunto de válvula</t>
        </is>
      </c>
      <c r="D19" s="22" t="n">
        <v>1</v>
      </c>
      <c r="E19" s="22" t="inlineStr">
        <is>
          <t>u</t>
        </is>
      </c>
      <c r="F19" s="24" t="n"/>
      <c r="G19" s="24">
        <f>G20+G21+G22+G23+G24+G25+G26+G27+G28+G29+G30+G31+G32</f>
        <v/>
      </c>
      <c r="H19" s="22" t="n"/>
      <c r="I19" s="23" t="n"/>
      <c r="J19" s="22" t="inlineStr">
        <is>
          <t>Compra / armado</t>
        </is>
      </c>
      <c r="K19" s="23" t="n"/>
      <c r="L19" s="23" t="inlineStr">
        <is>
          <t>Manómetro IRAM 3533</t>
        </is>
      </c>
      <c r="M19" s="22" t="inlineStr">
        <is>
          <t>P</t>
        </is>
      </c>
      <c r="N19" s="22" t="inlineStr">
        <is>
          <t>FL_DES_AGUA_10l</t>
        </is>
      </c>
      <c r="O19" s="23" t="n"/>
    </row>
    <row r="20" outlineLevel="1">
      <c r="A20" s="25" t="n">
        <v>2</v>
      </c>
      <c r="B20" s="25" t="inlineStr">
        <is>
          <t>AGUA10-05</t>
        </is>
      </c>
      <c r="C20" s="12" t="inlineStr">
        <is>
          <t xml:space="preserve">        Collarín de válvula</t>
        </is>
      </c>
      <c r="D20" s="25" t="n">
        <v>1</v>
      </c>
      <c r="E20" s="25" t="inlineStr">
        <is>
          <t>u</t>
        </is>
      </c>
      <c r="F20" s="26" t="n">
        <v>0.0833</v>
      </c>
      <c r="G20" s="26">
        <f>D20*F20</f>
        <v/>
      </c>
      <c r="H20" s="25" t="inlineStr">
        <is>
          <t>Latón forjado</t>
        </is>
      </c>
      <c r="I20" s="12" t="inlineStr">
        <is>
          <t>43 × 43 × 10</t>
        </is>
      </c>
      <c r="J20" s="25" t="inlineStr">
        <is>
          <t>Compra (en el conjunto)</t>
        </is>
      </c>
      <c r="K20" s="12" t="inlineStr">
        <is>
          <t>S4 - se compra terminado (tercerizado con sello IRAM)</t>
        </is>
      </c>
      <c r="L20" s="12" t="n"/>
      <c r="M20" s="25" t="inlineStr">
        <is>
          <t>P</t>
        </is>
      </c>
      <c r="N20" s="25" t="inlineStr">
        <is>
          <t>FL_DES_AGUA_10l</t>
        </is>
      </c>
      <c r="O20" s="12" t="n"/>
    </row>
    <row r="21" outlineLevel="1">
      <c r="A21" s="25" t="n">
        <v>2</v>
      </c>
      <c r="B21" s="25" t="inlineStr">
        <is>
          <t>AGUA10-06</t>
        </is>
      </c>
      <c r="C21" s="12" t="inlineStr">
        <is>
          <t xml:space="preserve">        Espiga roscada</t>
        </is>
      </c>
      <c r="D21" s="25" t="n">
        <v>1</v>
      </c>
      <c r="E21" s="25" t="inlineStr">
        <is>
          <t>u</t>
        </is>
      </c>
      <c r="F21" s="26" t="n">
        <v>0.0243</v>
      </c>
      <c r="G21" s="26">
        <f>D21*F21</f>
        <v/>
      </c>
      <c r="H21" s="25" t="inlineStr">
        <is>
          <t>Latón forjado</t>
        </is>
      </c>
      <c r="I21" s="12" t="inlineStr">
        <is>
          <t>28,4 × 28,4 × 12</t>
        </is>
      </c>
      <c r="J21" s="25" t="inlineStr">
        <is>
          <t>Compra (en el conjunto)</t>
        </is>
      </c>
      <c r="K21" s="12" t="inlineStr">
        <is>
          <t>S4 - se compra terminado (tercerizado con sello IRAM)</t>
        </is>
      </c>
      <c r="L21" s="12" t="n"/>
      <c r="M21" s="25" t="inlineStr">
        <is>
          <t>P</t>
        </is>
      </c>
      <c r="N21" s="25" t="inlineStr">
        <is>
          <t>FL_DES_AGUA_10l</t>
        </is>
      </c>
      <c r="O21" s="12" t="n"/>
    </row>
    <row r="22" outlineLevel="1">
      <c r="A22" s="25" t="n">
        <v>2</v>
      </c>
      <c r="B22" s="25" t="inlineStr">
        <is>
          <t>AGUA10-07</t>
        </is>
      </c>
      <c r="C22" s="12" t="inlineStr">
        <is>
          <t xml:space="preserve">        Cuerpo de válvula</t>
        </is>
      </c>
      <c r="D22" s="25" t="n">
        <v>1</v>
      </c>
      <c r="E22" s="25" t="inlineStr">
        <is>
          <t>u</t>
        </is>
      </c>
      <c r="F22" s="26" t="n">
        <v>0.4879</v>
      </c>
      <c r="G22" s="26">
        <f>D22*F22</f>
        <v/>
      </c>
      <c r="H22" s="25" t="inlineStr">
        <is>
          <t>Latón forjado</t>
        </is>
      </c>
      <c r="I22" s="12" t="inlineStr">
        <is>
          <t>67 × 43 × 34</t>
        </is>
      </c>
      <c r="J22" s="25" t="inlineStr">
        <is>
          <t>Compra (en el conjunto)</t>
        </is>
      </c>
      <c r="K22" s="12" t="inlineStr">
        <is>
          <t>S4 - se compra terminado (tercerizado con sello IRAM)</t>
        </is>
      </c>
      <c r="L22" s="12" t="n"/>
      <c r="M22" s="25" t="inlineStr">
        <is>
          <t>P</t>
        </is>
      </c>
      <c r="N22" s="25" t="inlineStr">
        <is>
          <t>FL_DES_AGUA_10l</t>
        </is>
      </c>
      <c r="O22" s="12" t="n"/>
    </row>
    <row r="23" outlineLevel="1">
      <c r="A23" s="25" t="n">
        <v>2</v>
      </c>
      <c r="B23" s="25" t="inlineStr">
        <is>
          <t>AGUA10-08</t>
        </is>
      </c>
      <c r="C23" s="12" t="inlineStr">
        <is>
          <t xml:space="preserve">        Manómetro</t>
        </is>
      </c>
      <c r="D23" s="25" t="n">
        <v>1</v>
      </c>
      <c r="E23" s="25" t="inlineStr">
        <is>
          <t>u</t>
        </is>
      </c>
      <c r="F23" s="26" t="n">
        <v>0.06</v>
      </c>
      <c r="G23" s="26">
        <f>D23*F23</f>
        <v/>
      </c>
      <c r="H23" s="25" t="inlineStr">
        <is>
          <t>Comercial</t>
        </is>
      </c>
      <c r="I23" s="12" t="inlineStr">
        <is>
          <t>Ø38 esfera, rango 0-2 MPa, sector verde en 0,8</t>
        </is>
      </c>
      <c r="J23" s="25" t="inlineStr">
        <is>
          <t>Compra (en el conjunto)</t>
        </is>
      </c>
      <c r="K23" s="12" t="inlineStr">
        <is>
          <t>S4 - se compra terminado (tercerizado con sello IRAM)</t>
        </is>
      </c>
      <c r="L23" s="12" t="inlineStr">
        <is>
          <t>IRAM 3533</t>
        </is>
      </c>
      <c r="M23" s="25" t="inlineStr">
        <is>
          <t>R</t>
        </is>
      </c>
      <c r="N23" s="25" t="inlineStr">
        <is>
          <t>FL_DES_AGUA_10l</t>
        </is>
      </c>
      <c r="O23" s="12" t="inlineStr">
        <is>
          <t>Pieza comercial; sello IRAM 3533</t>
        </is>
      </c>
    </row>
    <row r="24" outlineLevel="1">
      <c r="A24" s="25" t="n">
        <v>2</v>
      </c>
      <c r="B24" s="25" t="inlineStr">
        <is>
          <t>AGUA10-09</t>
        </is>
      </c>
      <c r="C24" s="12" t="inlineStr">
        <is>
          <t xml:space="preserve">        Manija de transporte</t>
        </is>
      </c>
      <c r="D24" s="25" t="n">
        <v>1</v>
      </c>
      <c r="E24" s="25" t="inlineStr">
        <is>
          <t>u</t>
        </is>
      </c>
      <c r="F24" s="26" t="n">
        <v>0.0609</v>
      </c>
      <c r="G24" s="26">
        <f>D24*F24</f>
        <v/>
      </c>
      <c r="H24" s="25" t="inlineStr">
        <is>
          <t>Chapa acero SAE 1010 pintada</t>
        </is>
      </c>
      <c r="I24" s="12" t="inlineStr">
        <is>
          <t>96,9 × 20 × 14,1</t>
        </is>
      </c>
      <c r="J24" s="25" t="inlineStr">
        <is>
          <t>Compra (en el conjunto)</t>
        </is>
      </c>
      <c r="K24" s="12" t="inlineStr">
        <is>
          <t>S4 - se compra terminado (tercerizado con sello IRAM)</t>
        </is>
      </c>
      <c r="L24" s="12" t="n"/>
      <c r="M24" s="25" t="inlineStr">
        <is>
          <t>P</t>
        </is>
      </c>
      <c r="N24" s="25" t="inlineStr">
        <is>
          <t>FL_DES_AGUA_10l</t>
        </is>
      </c>
      <c r="O24" s="12" t="n"/>
    </row>
    <row r="25" outlineLevel="1">
      <c r="A25" s="25" t="n">
        <v>2</v>
      </c>
      <c r="B25" s="25" t="inlineStr">
        <is>
          <t>AGUA10-10</t>
        </is>
      </c>
      <c r="C25" s="12" t="inlineStr">
        <is>
          <t xml:space="preserve">        Manija de accionamiento</t>
        </is>
      </c>
      <c r="D25" s="25" t="n">
        <v>1</v>
      </c>
      <c r="E25" s="25" t="inlineStr">
        <is>
          <t>u</t>
        </is>
      </c>
      <c r="F25" s="26" t="n">
        <v>0.08790000000000001</v>
      </c>
      <c r="G25" s="26">
        <f>D25*F25</f>
        <v/>
      </c>
      <c r="H25" s="25" t="inlineStr">
        <is>
          <t>Chapa acero SAE 1010 pintada</t>
        </is>
      </c>
      <c r="I25" s="12" t="inlineStr">
        <is>
          <t>139,5 × 21 × 20</t>
        </is>
      </c>
      <c r="J25" s="25" t="inlineStr">
        <is>
          <t>Compra (en el conjunto)</t>
        </is>
      </c>
      <c r="K25" s="12" t="inlineStr">
        <is>
          <t>S4 - se compra terminado (tercerizado con sello IRAM)</t>
        </is>
      </c>
      <c r="L25" s="12" t="n"/>
      <c r="M25" s="25" t="inlineStr">
        <is>
          <t>P</t>
        </is>
      </c>
      <c r="N25" s="25" t="inlineStr">
        <is>
          <t>FL_DES_AGUA_10l</t>
        </is>
      </c>
      <c r="O25" s="12" t="n"/>
    </row>
    <row r="26" outlineLevel="1">
      <c r="A26" s="25" t="n">
        <v>2</v>
      </c>
      <c r="B26" s="25" t="inlineStr">
        <is>
          <t>AGUA10-11</t>
        </is>
      </c>
      <c r="C26" s="12" t="inlineStr">
        <is>
          <t xml:space="preserve">        Eje de palanca</t>
        </is>
      </c>
      <c r="D26" s="25" t="n">
        <v>1</v>
      </c>
      <c r="E26" s="25" t="inlineStr">
        <is>
          <t>u</t>
        </is>
      </c>
      <c r="F26" s="26" t="n">
        <v>0.0081</v>
      </c>
      <c r="G26" s="26">
        <f>D26*F26</f>
        <v/>
      </c>
      <c r="H26" s="25" t="inlineStr">
        <is>
          <t>Acero inox. AISI 304</t>
        </is>
      </c>
      <c r="I26" s="12" t="inlineStr">
        <is>
          <t>36 × 6 × 6</t>
        </is>
      </c>
      <c r="J26" s="25" t="inlineStr">
        <is>
          <t>Compra (en el conjunto)</t>
        </is>
      </c>
      <c r="K26" s="12" t="inlineStr">
        <is>
          <t>S4 - se compra terminado (tercerizado con sello IRAM)</t>
        </is>
      </c>
      <c r="L26" s="12" t="n"/>
      <c r="M26" s="25" t="inlineStr">
        <is>
          <t>P</t>
        </is>
      </c>
      <c r="N26" s="25" t="inlineStr">
        <is>
          <t>FL_DES_AGUA_10l</t>
        </is>
      </c>
      <c r="O26" s="12" t="n"/>
    </row>
    <row r="27" outlineLevel="1">
      <c r="A27" s="25" t="n">
        <v>2</v>
      </c>
      <c r="B27" s="25" t="inlineStr">
        <is>
          <t>AGUA10-12</t>
        </is>
      </c>
      <c r="C27" s="12" t="inlineStr">
        <is>
          <t xml:space="preserve">        Vástago</t>
        </is>
      </c>
      <c r="D27" s="25" t="n">
        <v>1</v>
      </c>
      <c r="E27" s="25" t="inlineStr">
        <is>
          <t>u</t>
        </is>
      </c>
      <c r="F27" s="26" t="n">
        <v>0.0017</v>
      </c>
      <c r="G27" s="26">
        <f>D27*F27</f>
        <v/>
      </c>
      <c r="H27" s="25" t="inlineStr">
        <is>
          <t>Latón</t>
        </is>
      </c>
      <c r="I27" s="12" t="inlineStr">
        <is>
          <t>8 × 8 × 4</t>
        </is>
      </c>
      <c r="J27" s="25" t="inlineStr">
        <is>
          <t>Compra (en el conjunto)</t>
        </is>
      </c>
      <c r="K27" s="12" t="inlineStr">
        <is>
          <t>S4 - se compra terminado (tercerizado con sello IRAM)</t>
        </is>
      </c>
      <c r="L27" s="12" t="n"/>
      <c r="M27" s="25" t="inlineStr">
        <is>
          <t>P</t>
        </is>
      </c>
      <c r="N27" s="25" t="inlineStr">
        <is>
          <t>FL_DES_AGUA_10l</t>
        </is>
      </c>
      <c r="O27" s="12" t="inlineStr">
        <is>
          <t>con junta tórica</t>
        </is>
      </c>
    </row>
    <row r="28" outlineLevel="1">
      <c r="A28" s="25" t="n">
        <v>2</v>
      </c>
      <c r="B28" s="25" t="inlineStr">
        <is>
          <t>AGUA10-13</t>
        </is>
      </c>
      <c r="C28" s="12" t="inlineStr">
        <is>
          <t xml:space="preserve">        Pasador de seguridad</t>
        </is>
      </c>
      <c r="D28" s="25" t="n">
        <v>1</v>
      </c>
      <c r="E28" s="25" t="inlineStr">
        <is>
          <t>u</t>
        </is>
      </c>
      <c r="F28" s="26" t="n">
        <v>0.0055</v>
      </c>
      <c r="G28" s="26">
        <f>D28*F28</f>
        <v/>
      </c>
      <c r="H28" s="25" t="inlineStr">
        <is>
          <t>Alambre acero inox. AISI 304</t>
        </is>
      </c>
      <c r="I28" s="12" t="inlineStr">
        <is>
          <t>45,4 × 21 × 20,8</t>
        </is>
      </c>
      <c r="J28" s="25" t="inlineStr">
        <is>
          <t>Compra (en el conjunto)</t>
        </is>
      </c>
      <c r="K28" s="12" t="inlineStr">
        <is>
          <t>S4 - se compra terminado (tercerizado con sello IRAM)</t>
        </is>
      </c>
      <c r="L28" s="12" t="n"/>
      <c r="M28" s="25" t="inlineStr">
        <is>
          <t>P</t>
        </is>
      </c>
      <c r="N28" s="25" t="inlineStr">
        <is>
          <t>FL_DES_AGUA_10l</t>
        </is>
      </c>
      <c r="O28" s="12" t="inlineStr">
        <is>
          <t>con precinto</t>
        </is>
      </c>
    </row>
    <row r="29" outlineLevel="1">
      <c r="A29" s="25" t="n">
        <v>2</v>
      </c>
      <c r="B29" s="25" t="inlineStr">
        <is>
          <t>AGUA10-14</t>
        </is>
      </c>
      <c r="C29" s="12" t="inlineStr">
        <is>
          <t xml:space="preserve">        Caño de pesca (sifón)</t>
        </is>
      </c>
      <c r="D29" s="25" t="n">
        <v>1</v>
      </c>
      <c r="E29" s="25" t="inlineStr">
        <is>
          <t>u</t>
        </is>
      </c>
      <c r="F29" s="26" t="n">
        <v>0.0229</v>
      </c>
      <c r="G29" s="26">
        <f>D29*F29</f>
        <v/>
      </c>
      <c r="H29" s="25" t="inlineStr">
        <is>
          <t>Tubo polipropileno</t>
        </is>
      </c>
      <c r="I29" s="12" t="inlineStr">
        <is>
          <t>Ø12 × 514,2 de largo</t>
        </is>
      </c>
      <c r="J29" s="25" t="inlineStr">
        <is>
          <t>Compra (en el conjunto)</t>
        </is>
      </c>
      <c r="K29" s="12" t="inlineStr">
        <is>
          <t>S4 - se compra terminado (tercerizado con sello IRAM)</t>
        </is>
      </c>
      <c r="L29" s="12" t="n"/>
      <c r="M29" s="25" t="inlineStr">
        <is>
          <t>P</t>
        </is>
      </c>
      <c r="N29" s="25" t="inlineStr">
        <is>
          <t>FL_DES_AGUA_10l</t>
        </is>
      </c>
      <c r="O29" s="12" t="n"/>
    </row>
    <row r="30" outlineLevel="1">
      <c r="A30" s="25" t="n">
        <v>2</v>
      </c>
      <c r="B30" s="25" t="inlineStr">
        <is>
          <t>AGUA10-22</t>
        </is>
      </c>
      <c r="C30" s="12" t="inlineStr">
        <is>
          <t xml:space="preserve">        Junta tórica de asiento</t>
        </is>
      </c>
      <c r="D30" s="25" t="n">
        <v>1</v>
      </c>
      <c r="E30" s="25" t="inlineStr">
        <is>
          <t>u</t>
        </is>
      </c>
      <c r="F30" s="26" t="n">
        <v>0.001</v>
      </c>
      <c r="G30" s="26">
        <f>D30*F30</f>
        <v/>
      </c>
      <c r="H30" s="25" t="inlineStr">
        <is>
          <t>NBR 70 Shore A</t>
        </is>
      </c>
      <c r="I30" s="12" t="inlineStr">
        <is>
          <t>Ø31,4 ext. × cordón 3</t>
        </is>
      </c>
      <c r="J30" s="25" t="inlineStr">
        <is>
          <t>Compra (en el conjunto)</t>
        </is>
      </c>
      <c r="K30" s="12" t="inlineStr">
        <is>
          <t>S4 - se compra terminado (tercerizado con sello IRAM)</t>
        </is>
      </c>
      <c r="L30" s="12" t="n"/>
      <c r="M30" s="25" t="inlineStr">
        <is>
          <t>P</t>
        </is>
      </c>
      <c r="N30" s="25" t="inlineStr">
        <is>
          <t>FL_DES_AGUA_10l</t>
        </is>
      </c>
      <c r="O30" s="12" t="inlineStr">
        <is>
          <t>cambio c/recarga</t>
        </is>
      </c>
    </row>
    <row r="31" outlineLevel="1">
      <c r="A31" s="25" t="n">
        <v>2</v>
      </c>
      <c r="B31" s="25" t="inlineStr">
        <is>
          <t>AGUA10-V2</t>
        </is>
      </c>
      <c r="C31" s="12" t="inlineStr">
        <is>
          <t xml:space="preserve">        Resorte de retorno del vástago</t>
        </is>
      </c>
      <c r="D31" s="25" t="n">
        <v>1</v>
      </c>
      <c r="E31" s="25" t="inlineStr">
        <is>
          <t>u</t>
        </is>
      </c>
      <c r="F31" s="26" t="n">
        <v>0.003</v>
      </c>
      <c r="G31" s="26">
        <f>D31*F31</f>
        <v/>
      </c>
      <c r="H31" s="25" t="inlineStr">
        <is>
          <t>Alambre acero inox. AISI 302</t>
        </is>
      </c>
      <c r="I31" s="12" t="inlineStr">
        <is>
          <t>según válvula</t>
        </is>
      </c>
      <c r="J31" s="25" t="inlineStr">
        <is>
          <t>Compra</t>
        </is>
      </c>
      <c r="K31" s="12" t="inlineStr">
        <is>
          <t>19 Ensamblaje</t>
        </is>
      </c>
      <c r="L31" s="12" t="n"/>
      <c r="M31" s="25" t="inlineStr">
        <is>
          <t>R</t>
        </is>
      </c>
      <c r="N31" s="25" t="n"/>
      <c r="O31" s="12" t="n"/>
    </row>
    <row r="32" outlineLevel="1">
      <c r="A32" s="25" t="n">
        <v>2</v>
      </c>
      <c r="B32" s="25" t="inlineStr">
        <is>
          <t>AGUA10-V3</t>
        </is>
      </c>
      <c r="C32" s="12" t="inlineStr">
        <is>
          <t xml:space="preserve">        Junta tórica del vástago</t>
        </is>
      </c>
      <c r="D32" s="25" t="n">
        <v>1</v>
      </c>
      <c r="E32" s="25" t="inlineStr">
        <is>
          <t>u</t>
        </is>
      </c>
      <c r="F32" s="26" t="n">
        <v>0.001</v>
      </c>
      <c r="G32" s="26">
        <f>D32*F32</f>
        <v/>
      </c>
      <c r="H32" s="25" t="inlineStr">
        <is>
          <t>NBR 70 Shore A</t>
        </is>
      </c>
      <c r="I32" s="12" t="inlineStr">
        <is>
          <t>según válvula</t>
        </is>
      </c>
      <c r="J32" s="25" t="inlineStr">
        <is>
          <t>Compra</t>
        </is>
      </c>
      <c r="K32" s="12" t="inlineStr">
        <is>
          <t>19 Ensamblaje</t>
        </is>
      </c>
      <c r="L32" s="12" t="n"/>
      <c r="M32" s="25" t="inlineStr">
        <is>
          <t>P</t>
        </is>
      </c>
      <c r="N32" s="25" t="n"/>
      <c r="O32" s="12" t="inlineStr">
        <is>
          <t>Figura en el plano como «vástago con junta tórica»</t>
        </is>
      </c>
    </row>
    <row r="33">
      <c r="A33" s="22" t="n">
        <v>1</v>
      </c>
      <c r="B33" s="22" t="inlineStr">
        <is>
          <t>AGUA10-S3</t>
        </is>
      </c>
      <c r="C33" s="23" t="inlineStr">
        <is>
          <t xml:space="preserve">    Dispositivo de descarga</t>
        </is>
      </c>
      <c r="D33" s="22" t="n">
        <v>1</v>
      </c>
      <c r="E33" s="22" t="inlineStr">
        <is>
          <t>u</t>
        </is>
      </c>
      <c r="F33" s="24" t="n"/>
      <c r="G33" s="24">
        <f>G34+G35+G36+G37</f>
        <v/>
      </c>
      <c r="H33" s="22" t="n"/>
      <c r="I33" s="23" t="n"/>
      <c r="J33" s="22" t="inlineStr">
        <is>
          <t>Compra / armado</t>
        </is>
      </c>
      <c r="K33" s="23" t="n"/>
      <c r="L33" s="23" t="n"/>
      <c r="M33" s="22" t="inlineStr">
        <is>
          <t>P</t>
        </is>
      </c>
      <c r="N33" s="22" t="inlineStr">
        <is>
          <t>FL_DES_AGUA_10l</t>
        </is>
      </c>
      <c r="O33" s="23" t="n"/>
    </row>
    <row r="34" outlineLevel="1">
      <c r="A34" s="25" t="n">
        <v>2</v>
      </c>
      <c r="B34" s="25" t="inlineStr">
        <is>
          <t>AGUA10-15</t>
        </is>
      </c>
      <c r="C34" s="12" t="inlineStr">
        <is>
          <t xml:space="preserve">        Racor de manguera</t>
        </is>
      </c>
      <c r="D34" s="25" t="n">
        <v>1</v>
      </c>
      <c r="E34" s="25" t="inlineStr">
        <is>
          <t>u</t>
        </is>
      </c>
      <c r="F34" s="26" t="n">
        <v>0.0258</v>
      </c>
      <c r="G34" s="26">
        <f>D34*F34</f>
        <v/>
      </c>
      <c r="H34" s="25" t="inlineStr">
        <is>
          <t>Latón</t>
        </is>
      </c>
      <c r="I34" s="12" t="inlineStr">
        <is>
          <t>18 × 18 × 12</t>
        </is>
      </c>
      <c r="J34" s="25" t="inlineStr">
        <is>
          <t>Compra (en el conjunto)</t>
        </is>
      </c>
      <c r="K34" s="12" t="inlineStr">
        <is>
          <t>S4 - se compra terminado (tercerizado con sello IRAM)</t>
        </is>
      </c>
      <c r="L34" s="12" t="n"/>
      <c r="M34" s="25" t="inlineStr">
        <is>
          <t>P</t>
        </is>
      </c>
      <c r="N34" s="25" t="inlineStr">
        <is>
          <t>FL_DES_AGUA_10l</t>
        </is>
      </c>
      <c r="O34" s="12" t="n"/>
    </row>
    <row r="35" outlineLevel="1">
      <c r="A35" s="25" t="n">
        <v>2</v>
      </c>
      <c r="B35" s="25" t="inlineStr">
        <is>
          <t>AGUA10-16</t>
        </is>
      </c>
      <c r="C35" s="12" t="inlineStr">
        <is>
          <t xml:space="preserve">        Manguera</t>
        </is>
      </c>
      <c r="D35" s="25" t="n">
        <v>1</v>
      </c>
      <c r="E35" s="25" t="inlineStr">
        <is>
          <t>u</t>
        </is>
      </c>
      <c r="F35" s="26" t="n">
        <v>0.06809999999999999</v>
      </c>
      <c r="G35" s="26">
        <f>D35*F35</f>
        <v/>
      </c>
      <c r="H35" s="25" t="inlineStr">
        <is>
          <t>Caucho sintético</t>
        </is>
      </c>
      <c r="I35" s="12" t="inlineStr">
        <is>
          <t>Ø16 × 441 de largo desarrollado</t>
        </is>
      </c>
      <c r="J35" s="25" t="inlineStr">
        <is>
          <t>Compra (en el conjunto)</t>
        </is>
      </c>
      <c r="K35" s="12" t="inlineStr">
        <is>
          <t>S4 - se compra terminado (tercerizado con sello IRAM)</t>
        </is>
      </c>
      <c r="L35" s="12" t="n"/>
      <c r="M35" s="25" t="inlineStr">
        <is>
          <t>P</t>
        </is>
      </c>
      <c r="N35" s="25" t="inlineStr">
        <is>
          <t>FL_DES_AGUA_10l</t>
        </is>
      </c>
      <c r="O35" s="12" t="n"/>
    </row>
    <row r="36" outlineLevel="1">
      <c r="A36" s="25" t="n">
        <v>2</v>
      </c>
      <c r="B36" s="25" t="inlineStr">
        <is>
          <t>AGUA10-17</t>
        </is>
      </c>
      <c r="C36" s="12" t="inlineStr">
        <is>
          <t xml:space="preserve">        Tobera de chorro pleno</t>
        </is>
      </c>
      <c r="D36" s="25" t="n">
        <v>1</v>
      </c>
      <c r="E36" s="25" t="inlineStr">
        <is>
          <t>u</t>
        </is>
      </c>
      <c r="F36" s="26" t="n">
        <v>0.0219</v>
      </c>
      <c r="G36" s="26">
        <f>D36*F36</f>
        <v/>
      </c>
      <c r="H36" s="25" t="inlineStr">
        <is>
          <t>Polipropileno</t>
        </is>
      </c>
      <c r="I36" s="12" t="inlineStr">
        <is>
          <t>85 × 22 × 22</t>
        </is>
      </c>
      <c r="J36" s="25" t="inlineStr">
        <is>
          <t>Compra (en el conjunto)</t>
        </is>
      </c>
      <c r="K36" s="12" t="inlineStr">
        <is>
          <t>S4 - se compra terminado (tercerizado con sello IRAM)</t>
        </is>
      </c>
      <c r="L36" s="12" t="n"/>
      <c r="M36" s="25" t="inlineStr">
        <is>
          <t>P</t>
        </is>
      </c>
      <c r="N36" s="25" t="inlineStr">
        <is>
          <t>FL_DES_AGUA_10l</t>
        </is>
      </c>
      <c r="O36" s="12" t="n"/>
    </row>
    <row r="37" outlineLevel="1">
      <c r="A37" s="25" t="n">
        <v>2</v>
      </c>
      <c r="B37" s="25" t="inlineStr">
        <is>
          <t>AGUA10-18</t>
        </is>
      </c>
      <c r="C37" s="12" t="inlineStr">
        <is>
          <t xml:space="preserve">        Suncho portatobera</t>
        </is>
      </c>
      <c r="D37" s="25" t="n">
        <v>1</v>
      </c>
      <c r="E37" s="25" t="inlineStr">
        <is>
          <t>u</t>
        </is>
      </c>
      <c r="F37" s="26" t="n">
        <v>0.159</v>
      </c>
      <c r="G37" s="26">
        <f>D37*F37</f>
        <v/>
      </c>
      <c r="H37" s="25" t="inlineStr">
        <is>
          <t>Fleje acero SAE 1010 pintado</t>
        </is>
      </c>
      <c r="I37" s="12" t="inlineStr">
        <is>
          <t>197 × 193 × 18</t>
        </is>
      </c>
      <c r="J37" s="25" t="inlineStr">
        <is>
          <t>Compra (en el conjunto)</t>
        </is>
      </c>
      <c r="K37" s="12" t="inlineStr">
        <is>
          <t>S4 - se compra terminado (tercerizado con sello IRAM)</t>
        </is>
      </c>
      <c r="L37" s="12" t="n"/>
      <c r="M37" s="25" t="inlineStr">
        <is>
          <t>P</t>
        </is>
      </c>
      <c r="N37" s="25" t="inlineStr">
        <is>
          <t>FL_DES_AGUA_10l</t>
        </is>
      </c>
      <c r="O37" s="12" t="n"/>
    </row>
    <row r="38">
      <c r="A38" s="22" t="n">
        <v>1</v>
      </c>
      <c r="B38" s="22" t="inlineStr">
        <is>
          <t>AGUA10-S5</t>
        </is>
      </c>
      <c r="C38" s="23" t="inlineStr">
        <is>
          <t xml:space="preserve">    Carga: agente extintor y gas impulsor</t>
        </is>
      </c>
      <c r="D38" s="22" t="n">
        <v>1</v>
      </c>
      <c r="E38" s="22" t="inlineStr">
        <is>
          <t>u</t>
        </is>
      </c>
      <c r="F38" s="24" t="n"/>
      <c r="G38" s="24">
        <f>G39+G40</f>
        <v/>
      </c>
      <c r="H38" s="22" t="n"/>
      <c r="I38" s="23" t="n"/>
      <c r="J38" s="22" t="inlineStr">
        <is>
          <t>Compra</t>
        </is>
      </c>
      <c r="K38" s="23" t="n"/>
      <c r="L38" s="23" t="n"/>
      <c r="M38" s="22" t="n"/>
      <c r="N38" s="22" t="n"/>
      <c r="O38" s="23" t="n"/>
    </row>
    <row r="39" outlineLevel="1">
      <c r="A39" s="25" t="n">
        <v>2</v>
      </c>
      <c r="B39" s="25" t="inlineStr">
        <is>
          <t>AGUA10-A1</t>
        </is>
      </c>
      <c r="C39" s="12" t="inlineStr">
        <is>
          <t xml:space="preserve">        Agua</t>
        </is>
      </c>
      <c r="D39" s="25" t="n">
        <v>10</v>
      </c>
      <c r="E39" s="25" t="inlineStr">
        <is>
          <t>L</t>
        </is>
      </c>
      <c r="F39" s="26" t="n">
        <v>1</v>
      </c>
      <c r="G39" s="26">
        <f>D39*F39</f>
        <v/>
      </c>
      <c r="H39" s="25" t="inlineStr">
        <is>
          <t>Agua</t>
        </is>
      </c>
      <c r="I39" s="12" t="inlineStr">
        <is>
          <t>nominal 10 L; tolerancia ± 3 % (IRAM 3517-2:2020 tabla 3)</t>
        </is>
      </c>
      <c r="J39" s="25" t="inlineStr">
        <is>
          <t>Compra</t>
        </is>
      </c>
      <c r="K39" s="12" t="inlineStr">
        <is>
          <t>SP-1 almacén previo a la carga</t>
        </is>
      </c>
      <c r="L39" s="12" t="inlineStr">
        <is>
          <t>-</t>
        </is>
      </c>
      <c r="M39" s="25" t="inlineStr">
        <is>
          <t>N</t>
        </is>
      </c>
      <c r="N39" s="25" t="n"/>
      <c r="O39" s="12" t="n"/>
    </row>
    <row r="40" outlineLevel="1">
      <c r="A40" s="25" t="n">
        <v>2</v>
      </c>
      <c r="B40" s="25" t="inlineStr">
        <is>
          <t>AGUA10-A2</t>
        </is>
      </c>
      <c r="C40" s="12" t="inlineStr">
        <is>
          <t xml:space="preserve">        Gas impulsor: Aire comprimido</t>
        </is>
      </c>
      <c r="D40" s="25" t="n">
        <v>0.0427</v>
      </c>
      <c r="E40" s="25" t="inlineStr">
        <is>
          <t>kg</t>
        </is>
      </c>
      <c r="F40" s="26" t="n">
        <v>1</v>
      </c>
      <c r="G40" s="26">
        <f>D40*F40</f>
        <v/>
      </c>
      <c r="H40" s="25" t="inlineStr">
        <is>
          <t>Aire comprimido</t>
        </is>
      </c>
      <c r="I40" s="12" t="inlineStr">
        <is>
          <t>33 L normales para 0,8 MPa a 20 °C en 3,98 dm³ libres</t>
        </is>
      </c>
      <c r="J40" s="25" t="inlineStr">
        <is>
          <t>Compra</t>
        </is>
      </c>
      <c r="K40" s="12" t="inlineStr">
        <is>
          <t>20 Presurización (T05) / C10</t>
        </is>
      </c>
      <c r="L40" s="12" t="inlineStr">
        <is>
          <t>IRAM 3517-2 9.4.9 (tabla 2) · IRAM 3523 2.3 y 3.10</t>
        </is>
      </c>
      <c r="M40" s="25" t="inlineStr">
        <is>
          <t>C</t>
        </is>
      </c>
      <c r="N40" s="25" t="n"/>
      <c r="O40" s="12" t="inlineStr">
        <is>
          <t>Batería en SP-1; punto de rocío ≤ -56,7 °C para gases limpios</t>
        </is>
      </c>
    </row>
    <row r="41">
      <c r="A41" s="22" t="n">
        <v>1</v>
      </c>
      <c r="B41" s="22" t="inlineStr">
        <is>
          <t>AGUA10-S6</t>
        </is>
      </c>
      <c r="C41" s="23" t="inlineStr">
        <is>
          <t xml:space="preserve">    Identificación y precinto</t>
        </is>
      </c>
      <c r="D41" s="22" t="n">
        <v>1</v>
      </c>
      <c r="E41" s="22" t="inlineStr">
        <is>
          <t>u</t>
        </is>
      </c>
      <c r="F41" s="24" t="n"/>
      <c r="G41" s="24">
        <f>G42+G43+G44+G45+G46</f>
        <v/>
      </c>
      <c r="H41" s="22" t="n"/>
      <c r="I41" s="23" t="n"/>
      <c r="J41" s="22" t="inlineStr">
        <is>
          <t>Compra</t>
        </is>
      </c>
      <c r="K41" s="23" t="inlineStr">
        <is>
          <t>22 Etiquetado (T07)</t>
        </is>
      </c>
      <c r="L41" s="23" t="n"/>
      <c r="M41" s="22" t="n"/>
      <c r="N41" s="22" t="n"/>
      <c r="O41" s="23" t="n"/>
    </row>
    <row r="42" outlineLevel="1">
      <c r="A42" s="25" t="n">
        <v>2</v>
      </c>
      <c r="B42" s="25" t="inlineStr">
        <is>
          <t>AGUA10-19</t>
        </is>
      </c>
      <c r="C42" s="12" t="inlineStr">
        <is>
          <t xml:space="preserve">        Placa de características</t>
        </is>
      </c>
      <c r="D42" s="25" t="n">
        <v>1</v>
      </c>
      <c r="E42" s="25" t="inlineStr">
        <is>
          <t>u</t>
        </is>
      </c>
      <c r="F42" s="26" t="n">
        <v>0.01</v>
      </c>
      <c r="G42" s="26">
        <f>D42*F42</f>
        <v/>
      </c>
      <c r="H42" s="25" t="inlineStr">
        <is>
          <t>Vinilo autoadhesivo laminado</t>
        </is>
      </c>
      <c r="I42" s="12" t="inlineStr">
        <is>
          <t>179 × 132 (desarrollo × alto), e ≈ 0,3</t>
        </is>
      </c>
      <c r="J42" s="25" t="inlineStr">
        <is>
          <t>Compra</t>
        </is>
      </c>
      <c r="K42" s="12" t="inlineStr">
        <is>
          <t>22 Etiquetado (T07)</t>
        </is>
      </c>
      <c r="L42" s="12" t="inlineStr">
        <is>
          <t>IRAM 3534 · IRAM 3525 cap. 5</t>
        </is>
      </c>
      <c r="M42" s="25" t="inlineStr">
        <is>
          <t>P</t>
        </is>
      </c>
      <c r="N42" s="25" t="inlineStr">
        <is>
          <t>FL_DES_AGUA_10l</t>
        </is>
      </c>
      <c r="O42" s="12" t="inlineStr">
        <is>
          <t>IRAM 3534</t>
        </is>
      </c>
    </row>
    <row r="43" outlineLevel="1">
      <c r="A43" s="25" t="n">
        <v>2</v>
      </c>
      <c r="B43" s="25" t="inlineStr">
        <is>
          <t>AGUA10-20</t>
        </is>
      </c>
      <c r="C43" s="12" t="inlineStr">
        <is>
          <t xml:space="preserve">        Oblea de fabricación (PBA)</t>
        </is>
      </c>
      <c r="D43" s="25" t="n">
        <v>1</v>
      </c>
      <c r="E43" s="25" t="inlineStr">
        <is>
          <t>u</t>
        </is>
      </c>
      <c r="F43" s="26" t="n">
        <v>0.0009</v>
      </c>
      <c r="G43" s="26">
        <f>D43*F43</f>
        <v/>
      </c>
      <c r="H43" s="25" t="inlineStr">
        <is>
          <t>Papel de seguridad autodestructible</t>
        </is>
      </c>
      <c r="I43" s="12" t="inlineStr">
        <is>
          <t>Ø46 (Res. OPDS 522/07), numerada, autodestructible</t>
        </is>
      </c>
      <c r="J43" s="25" t="inlineStr">
        <is>
          <t>Compra</t>
        </is>
      </c>
      <c r="K43" s="12" t="inlineStr">
        <is>
          <t>22 Etiquetado (T07)</t>
        </is>
      </c>
      <c r="L43" s="12" t="inlineStr">
        <is>
          <t>Res. OPDS 522/07 anexos 1, 2 y 6</t>
        </is>
      </c>
      <c r="M43" s="25" t="inlineStr">
        <is>
          <t>P</t>
        </is>
      </c>
      <c r="N43" s="25" t="inlineStr">
        <is>
          <t>FL_DES_AGUA_10l</t>
        </is>
      </c>
      <c r="O43" s="12" t="inlineStr">
        <is>
          <t>Res. 522/07</t>
        </is>
      </c>
    </row>
    <row r="44" outlineLevel="1">
      <c r="A44" s="25" t="n">
        <v>2</v>
      </c>
      <c r="B44" s="25" t="inlineStr">
        <is>
          <t>AGUA10-21</t>
        </is>
      </c>
      <c r="C44" s="12" t="inlineStr">
        <is>
          <t xml:space="preserve">        Estampilla IRAM de conformidad</t>
        </is>
      </c>
      <c r="D44" s="25" t="n">
        <v>1</v>
      </c>
      <c r="E44" s="25" t="inlineStr">
        <is>
          <t>u</t>
        </is>
      </c>
      <c r="F44" s="26" t="n">
        <v>0.001</v>
      </c>
      <c r="G44" s="26">
        <f>D44*F44</f>
        <v/>
      </c>
      <c r="H44" s="25" t="inlineStr">
        <is>
          <t>Provista por IRAM (Anexo R)</t>
        </is>
      </c>
      <c r="I44" s="12" t="inlineStr">
        <is>
          <t>60 × 40</t>
        </is>
      </c>
      <c r="J44" s="25" t="inlineStr">
        <is>
          <t>Compra</t>
        </is>
      </c>
      <c r="K44" s="12" t="inlineStr">
        <is>
          <t>22 Etiquetado (T07)</t>
        </is>
      </c>
      <c r="L44" s="12" t="inlineStr">
        <is>
          <t>IRAM Anexo R (DC-PG-129)</t>
        </is>
      </c>
      <c r="M44" s="25" t="inlineStr">
        <is>
          <t>P</t>
        </is>
      </c>
      <c r="N44" s="25" t="inlineStr">
        <is>
          <t>FL_DES_AGUA_10l</t>
        </is>
      </c>
      <c r="O44" s="12" t="inlineStr">
        <is>
          <t>numerada</t>
        </is>
      </c>
    </row>
    <row r="45" outlineLevel="1">
      <c r="A45" s="25" t="n">
        <v>2</v>
      </c>
      <c r="B45" s="25" t="inlineStr">
        <is>
          <t>AGUA10-23</t>
        </is>
      </c>
      <c r="C45" s="12" t="inlineStr">
        <is>
          <t xml:space="preserve">        Precinto de fábrica</t>
        </is>
      </c>
      <c r="D45" s="25" t="n">
        <v>1</v>
      </c>
      <c r="E45" s="25" t="inlineStr">
        <is>
          <t>u</t>
        </is>
      </c>
      <c r="F45" s="26" t="n">
        <v>0.0002</v>
      </c>
      <c r="G45" s="26">
        <f>D45*F45</f>
        <v/>
      </c>
      <c r="H45" s="25" t="inlineStr">
        <is>
          <t>Polipropileno</t>
        </is>
      </c>
      <c r="I45" s="12" t="inlineStr">
        <is>
          <t>Ø5 × 10, numerado, rotura 30-50 N</t>
        </is>
      </c>
      <c r="J45" s="25" t="inlineStr">
        <is>
          <t>Compra</t>
        </is>
      </c>
      <c r="K45" s="12" t="inlineStr">
        <is>
          <t>20 Presurización (T05)</t>
        </is>
      </c>
      <c r="L45" s="12" t="inlineStr">
        <is>
          <t>IRAM 3523 3.3.2 · IRAM 3517-2:2020 9.4.13</t>
        </is>
      </c>
      <c r="M45" s="25" t="inlineStr">
        <is>
          <t>P</t>
        </is>
      </c>
      <c r="N45" s="25" t="inlineStr">
        <is>
          <t>FL_DES_AGUA_10l</t>
        </is>
      </c>
      <c r="O45" s="12" t="inlineStr">
        <is>
          <t>id. FLAMA y lote</t>
        </is>
      </c>
    </row>
    <row r="46" outlineLevel="1">
      <c r="A46" s="25" t="n">
        <v>2</v>
      </c>
      <c r="B46" s="25" t="inlineStr">
        <is>
          <t>AGUA10-I3</t>
        </is>
      </c>
      <c r="C46" s="12" t="inlineStr">
        <is>
          <t xml:space="preserve">        Tarjeta oficial de vigencia (CABA)</t>
        </is>
      </c>
      <c r="D46" s="25" t="n">
        <v>1</v>
      </c>
      <c r="E46" s="25" t="inlineStr">
        <is>
          <t>u</t>
        </is>
      </c>
      <c r="F46" s="26" t="n">
        <v>0.002</v>
      </c>
      <c r="G46" s="26">
        <f>D46*F46</f>
        <v/>
      </c>
      <c r="H46" s="25" t="inlineStr">
        <is>
          <t>Formulario oficial</t>
        </is>
      </c>
      <c r="I46" s="12" t="inlineStr">
        <is>
          <t>provista por DG Rentas GCBA</t>
        </is>
      </c>
      <c r="J46" s="25" t="inlineStr">
        <is>
          <t>Compra</t>
        </is>
      </c>
      <c r="K46" s="12" t="inlineStr">
        <is>
          <t>22 Etiquetado</t>
        </is>
      </c>
      <c r="L46" s="12" t="inlineStr">
        <is>
          <t>Ordenanza 40.473 art. 6</t>
        </is>
      </c>
      <c r="M46" s="25" t="inlineStr">
        <is>
          <t>N</t>
        </is>
      </c>
      <c r="N46" s="25" t="n"/>
      <c r="O46" s="12" t="inlineStr">
        <is>
          <t>Clase, capacidad, fecha de carga y vencimiento, garantía; se anexa al matafuego (no se dibuja)</t>
        </is>
      </c>
    </row>
    <row r="47">
      <c r="A47" s="22" t="n">
        <v>1</v>
      </c>
      <c r="B47" s="22" t="inlineStr">
        <is>
          <t>AGUA10-S8</t>
        </is>
      </c>
      <c r="C47" s="23" t="inlineStr">
        <is>
          <t xml:space="preserve">    Soporte (accesorio de montaje)</t>
        </is>
      </c>
      <c r="D47" s="22" t="n">
        <v>1</v>
      </c>
      <c r="E47" s="22" t="inlineStr">
        <is>
          <t>u</t>
        </is>
      </c>
      <c r="F47" s="24" t="n"/>
      <c r="G47" s="24">
        <f>G48+G49</f>
        <v/>
      </c>
      <c r="H47" s="22" t="n"/>
      <c r="I47" s="23" t="n"/>
      <c r="J47" s="22" t="inlineStr">
        <is>
          <t>Compra</t>
        </is>
      </c>
      <c r="K47" s="23" t="inlineStr">
        <is>
          <t>23 Embalaje (va dentro de la caja)</t>
        </is>
      </c>
      <c r="L47" s="23" t="inlineStr">
        <is>
          <t>IRAM 3517-2 7.4</t>
        </is>
      </c>
      <c r="M47" s="22" t="n"/>
      <c r="N47" s="22" t="n"/>
      <c r="O47" s="23" t="n"/>
    </row>
    <row r="48" outlineLevel="1">
      <c r="A48" s="25" t="n">
        <v>2</v>
      </c>
      <c r="B48" s="25" t="inlineStr">
        <is>
          <t>AGUA10-I5</t>
        </is>
      </c>
      <c r="C48" s="12" t="inlineStr">
        <is>
          <t xml:space="preserve">        Soporte de pared (FL_ACC_01)</t>
        </is>
      </c>
      <c r="D48" s="25" t="n">
        <v>1</v>
      </c>
      <c r="E48" s="25" t="inlineStr">
        <is>
          <t>u</t>
        </is>
      </c>
      <c r="F48" s="26" t="n">
        <v>0.327</v>
      </c>
      <c r="G48" s="26">
        <f>D48*F48</f>
        <v/>
      </c>
      <c r="H48" s="25" t="inlineStr">
        <is>
          <t>Chapa acero SAE 1010 e=2 pintada</t>
        </is>
      </c>
      <c r="I48" s="12" t="inlineStr">
        <is>
          <t>placa 60 × 180, ala con ranura Ø cuello + 3</t>
        </is>
      </c>
      <c r="J48" s="25" t="inlineStr">
        <is>
          <t>Compra</t>
        </is>
      </c>
      <c r="K48" s="12" t="inlineStr">
        <is>
          <t>23 Embalaje</t>
        </is>
      </c>
      <c r="L48" s="12" t="inlineStr">
        <is>
          <t>IRAM 3517-2 7.4</t>
        </is>
      </c>
      <c r="M48" s="25" t="inlineStr">
        <is>
          <t>P</t>
        </is>
      </c>
      <c r="N48" s="25" t="inlineStr">
        <is>
          <t>FL_ACC_01</t>
        </is>
      </c>
      <c r="O48" s="12" t="n"/>
    </row>
    <row r="49" outlineLevel="1">
      <c r="A49" s="25" t="n">
        <v>2</v>
      </c>
      <c r="B49" s="25" t="inlineStr">
        <is>
          <t>AGUA10-I6</t>
        </is>
      </c>
      <c r="C49" s="12" t="inlineStr">
        <is>
          <t xml:space="preserve">        Tornillo y tarugo de fijación</t>
        </is>
      </c>
      <c r="D49" s="25" t="n">
        <v>2</v>
      </c>
      <c r="E49" s="25" t="inlineStr">
        <is>
          <t>u</t>
        </is>
      </c>
      <c r="F49" s="26" t="n">
        <v>0.01</v>
      </c>
      <c r="G49" s="26">
        <f>D49*F49</f>
        <v/>
      </c>
      <c r="H49" s="25" t="inlineStr">
        <is>
          <t>Acero cincado / nylon</t>
        </is>
      </c>
      <c r="I49" s="12" t="inlineStr">
        <is>
          <t>M6 × 50 + tarugo 8</t>
        </is>
      </c>
      <c r="J49" s="25" t="inlineStr">
        <is>
          <t>Compra</t>
        </is>
      </c>
      <c r="K49" s="12" t="inlineStr">
        <is>
          <t>23 Embalaje</t>
        </is>
      </c>
      <c r="L49" s="12" t="n"/>
      <c r="M49" s="25" t="inlineStr">
        <is>
          <t>R</t>
        </is>
      </c>
      <c r="N49" s="25" t="n"/>
      <c r="O49" s="12" t="n"/>
    </row>
    <row r="50">
      <c r="A50" s="22" t="n">
        <v>1</v>
      </c>
      <c r="B50" s="22" t="inlineStr">
        <is>
          <t>AGUA10-S7</t>
        </is>
      </c>
      <c r="C50" s="23" t="inlineStr">
        <is>
          <t xml:space="preserve">    Embalaje</t>
        </is>
      </c>
      <c r="D50" s="22" t="n">
        <v>1</v>
      </c>
      <c r="E50" s="22" t="inlineStr">
        <is>
          <t>u</t>
        </is>
      </c>
      <c r="F50" s="24" t="n"/>
      <c r="G50" s="24">
        <f>G51+G52+G53+G54+G55</f>
        <v/>
      </c>
      <c r="H50" s="22" t="n"/>
      <c r="I50" s="23" t="n"/>
      <c r="J50" s="22" t="inlineStr">
        <is>
          <t>Compra</t>
        </is>
      </c>
      <c r="K50" s="23" t="inlineStr">
        <is>
          <t>23 Embalaje -&gt; 24 envolvedora (T11)</t>
        </is>
      </c>
      <c r="L50" s="23" t="n"/>
      <c r="M50" s="22" t="n"/>
      <c r="N50" s="22" t="n"/>
      <c r="O50" s="23" t="n"/>
    </row>
    <row r="51" outlineLevel="1">
      <c r="A51" s="25" t="n">
        <v>2</v>
      </c>
      <c r="B51" s="25" t="inlineStr">
        <is>
          <t>AGUA10-E1</t>
        </is>
      </c>
      <c r="C51" s="12" t="inlineStr">
        <is>
          <t xml:space="preserve">        Caja de cartón corrugado doble</t>
        </is>
      </c>
      <c r="D51" s="25" t="n">
        <v>1</v>
      </c>
      <c r="E51" s="25" t="inlineStr">
        <is>
          <t>u</t>
        </is>
      </c>
      <c r="F51" s="26" t="n">
        <v>0.5</v>
      </c>
      <c r="G51" s="26">
        <f>D51*F51</f>
        <v/>
      </c>
      <c r="H51" s="25" t="inlineStr">
        <is>
          <t>Cartón corrugado</t>
        </is>
      </c>
      <c r="I51" s="12" t="inlineStr">
        <is>
          <t>270 × 223 × 670 interior</t>
        </is>
      </c>
      <c r="J51" s="25" t="inlineStr">
        <is>
          <t>Compra</t>
        </is>
      </c>
      <c r="K51" s="12" t="inlineStr">
        <is>
          <t>23 Embalaje</t>
        </is>
      </c>
      <c r="L51" s="12" t="n"/>
      <c r="M51" s="25" t="inlineStr">
        <is>
          <t>R</t>
        </is>
      </c>
      <c r="N51" s="25" t="n"/>
      <c r="O51" s="12" t="n"/>
    </row>
    <row r="52" outlineLevel="1">
      <c r="A52" s="25" t="n">
        <v>2</v>
      </c>
      <c r="B52" s="25" t="inlineStr">
        <is>
          <t>AGUA10-E2</t>
        </is>
      </c>
      <c r="C52" s="12" t="inlineStr">
        <is>
          <t xml:space="preserve">        Instructivo de uso y mantenimiento</t>
        </is>
      </c>
      <c r="D52" s="25" t="n">
        <v>1</v>
      </c>
      <c r="E52" s="25" t="inlineStr">
        <is>
          <t>u</t>
        </is>
      </c>
      <c r="F52" s="26" t="n">
        <v>0.01</v>
      </c>
      <c r="G52" s="26">
        <f>D52*F52</f>
        <v/>
      </c>
      <c r="H52" s="25" t="inlineStr">
        <is>
          <t>Papel</t>
        </is>
      </c>
      <c r="I52" s="12" t="inlineStr">
        <is>
          <t>A5</t>
        </is>
      </c>
      <c r="J52" s="25" t="inlineStr">
        <is>
          <t>Compra</t>
        </is>
      </c>
      <c r="K52" s="12" t="inlineStr">
        <is>
          <t>23 Embalaje</t>
        </is>
      </c>
      <c r="L52" s="12" t="inlineStr">
        <is>
          <t>IRAM 3517-2 (información al usuario)</t>
        </is>
      </c>
      <c r="M52" s="25" t="inlineStr">
        <is>
          <t>R</t>
        </is>
      </c>
      <c r="N52" s="25" t="n"/>
      <c r="O52" s="12" t="n"/>
    </row>
    <row r="53" outlineLevel="1">
      <c r="A53" s="25" t="n">
        <v>2</v>
      </c>
      <c r="B53" s="25" t="inlineStr">
        <is>
          <t>AGUA10-E3</t>
        </is>
      </c>
      <c r="C53" s="12" t="inlineStr">
        <is>
          <t xml:space="preserve">        Pallet 1200 × 1000 (fracción)</t>
        </is>
      </c>
      <c r="D53" s="25" t="n">
        <v>0.0312</v>
      </c>
      <c r="E53" s="25" t="inlineStr">
        <is>
          <t>u</t>
        </is>
      </c>
      <c r="F53" s="26" t="n">
        <v>0.6879999999999999</v>
      </c>
      <c r="G53" s="26">
        <f>D53*F53</f>
        <v/>
      </c>
      <c r="H53" s="25" t="inlineStr">
        <is>
          <t>Madera</t>
        </is>
      </c>
      <c r="I53" s="12" t="inlineStr">
        <is>
          <t>32 u por pallet</t>
        </is>
      </c>
      <c r="J53" s="25" t="inlineStr">
        <is>
          <t>Compra</t>
        </is>
      </c>
      <c r="K53" s="12" t="inlineStr">
        <is>
          <t>23 Embalaje</t>
        </is>
      </c>
      <c r="L53" s="12" t="n"/>
      <c r="M53" s="25" t="inlineStr">
        <is>
          <t>R</t>
        </is>
      </c>
      <c r="N53" s="25" t="n"/>
      <c r="O53" s="12" t="n"/>
    </row>
    <row r="54" outlineLevel="1">
      <c r="A54" s="25" t="n">
        <v>2</v>
      </c>
      <c r="B54" s="25" t="inlineStr">
        <is>
          <t>AGUA10-E4</t>
        </is>
      </c>
      <c r="C54" s="12" t="inlineStr">
        <is>
          <t xml:space="preserve">        Film stretch (fracción del pallet)</t>
        </is>
      </c>
      <c r="D54" s="25" t="n">
        <v>0.0109</v>
      </c>
      <c r="E54" s="25" t="inlineStr">
        <is>
          <t>kg</t>
        </is>
      </c>
      <c r="F54" s="26" t="n">
        <v>1</v>
      </c>
      <c r="G54" s="26">
        <f>D54*F54</f>
        <v/>
      </c>
      <c r="H54" s="25" t="inlineStr">
        <is>
          <t>PE lineal 23 µm</t>
        </is>
      </c>
      <c r="I54" s="12" t="inlineStr">
        <is>
          <t>envolvedora EDOS PS5</t>
        </is>
      </c>
      <c r="J54" s="25" t="inlineStr">
        <is>
          <t>Compra</t>
        </is>
      </c>
      <c r="K54" s="12" t="inlineStr">
        <is>
          <t>24 Envolvedora (T11)</t>
        </is>
      </c>
      <c r="L54" s="12" t="n"/>
      <c r="M54" s="25" t="inlineStr">
        <is>
          <t>R</t>
        </is>
      </c>
      <c r="N54" s="25" t="n"/>
      <c r="O54" s="12" t="n"/>
    </row>
    <row r="55" outlineLevel="1">
      <c r="A55" s="25" t="n">
        <v>2</v>
      </c>
      <c r="B55" s="25" t="inlineStr">
        <is>
          <t>AGUA10-E5</t>
        </is>
      </c>
      <c r="C55" s="12" t="inlineStr">
        <is>
          <t xml:space="preserve">        Etiqueta de pallet (lote y destino, fracción)</t>
        </is>
      </c>
      <c r="D55" s="25" t="n">
        <v>0.0312</v>
      </c>
      <c r="E55" s="25" t="inlineStr">
        <is>
          <t>u</t>
        </is>
      </c>
      <c r="F55" s="26" t="n">
        <v>0</v>
      </c>
      <c r="G55" s="26">
        <f>D55*F55</f>
        <v/>
      </c>
      <c r="H55" s="25" t="inlineStr">
        <is>
          <t>Papel térmico</t>
        </is>
      </c>
      <c r="I55" s="12" t="inlineStr">
        <is>
          <t>100 × 150</t>
        </is>
      </c>
      <c r="J55" s="25" t="inlineStr">
        <is>
          <t>Compra</t>
        </is>
      </c>
      <c r="K55" s="12" t="inlineStr">
        <is>
          <t>24 Envolvedora</t>
        </is>
      </c>
      <c r="L55" s="12" t="n"/>
      <c r="M55" s="25" t="inlineStr">
        <is>
          <t>R</t>
        </is>
      </c>
      <c r="N55" s="25" t="n"/>
      <c r="O55" s="12" t="n"/>
    </row>
  </sheetData>
  <autoFilter ref="A10:O55"/>
  <pageMargins left="0.75" right="0.75" top="1" bottom="1" header="0.5" footer="0.5"/>
  <pageSetup orientation="landscape" fitToHeight="0" fitToWidth="1"/>
</worksheet>
</file>

<file path=xl/worksheets/sheet12.xml><?xml version="1.0" encoding="utf-8"?>
<worksheet xmlns="http://schemas.openxmlformats.org/spreadsheetml/2006/main">
  <sheetPr>
    <tabColor rgb="007F1D1D"/>
    <outlinePr summaryBelow="0" summaryRight="1"/>
    <pageSetUpPr fitToPage="1"/>
  </sheetPr>
  <dimension ref="A1:O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FL_MAT_AFFF_10l</t>
        </is>
      </c>
    </row>
    <row r="2">
      <c r="A2" s="2" t="inlineStr">
        <is>
          <t>Extintor AFFF 10 l</t>
        </is>
      </c>
    </row>
    <row r="3">
      <c r="A3" s="14" t="inlineStr">
        <is>
          <t>Plano de origen</t>
        </is>
      </c>
      <c r="C3" t="inlineStr">
        <is>
          <t>FL_MAT_AFFF_10l  (3 láminas)</t>
        </is>
      </c>
      <c r="E3" s="14" t="inlineStr">
        <is>
          <t>Peso vacío S1-S4 (kg)</t>
        </is>
      </c>
      <c r="G3" s="30">
        <f>G12+G19+G33</f>
        <v/>
      </c>
    </row>
    <row r="4">
      <c r="A4" s="14" t="inlineStr">
        <is>
          <t>Plano de despiece</t>
        </is>
      </c>
      <c r="C4" t="inlineStr">
        <is>
          <t>FL_DES_AFFF_10l (salida/despiece/)</t>
        </is>
      </c>
      <c r="E4" s="14" t="inlineStr">
        <is>
          <t>Peso cargado S1-S6 (kg)</t>
        </is>
      </c>
      <c r="G4" s="30">
        <f>G12+G19+G33+G38+G42</f>
        <v/>
      </c>
    </row>
    <row r="5">
      <c r="A5" s="14" t="inlineStr">
        <is>
          <t>Norma del producto</t>
        </is>
      </c>
      <c r="C5" t="inlineStr">
        <is>
          <t>IRAM 3527</t>
        </is>
      </c>
      <c r="E5" s="14" t="inlineStr">
        <is>
          <t>Peso con soporte y embalaje (kg)</t>
        </is>
      </c>
      <c r="G5" s="30">
        <f>G12+G19+G33+G38+G42+G51+G48</f>
        <v/>
      </c>
    </row>
    <row r="6">
      <c r="A6" s="14" t="inlineStr">
        <is>
          <t>Fabricación</t>
        </is>
      </c>
      <c r="C6" t="inlineStr">
        <is>
          <t>Tercerizado revendido (S4)</t>
        </is>
      </c>
      <c r="E6" s="14" t="inlineStr">
        <is>
          <t>Desvío cargado vs catálogo</t>
        </is>
      </c>
      <c r="G6" s="10">
        <f>G4/C7-1</f>
        <v/>
      </c>
    </row>
    <row r="7">
      <c r="A7" s="14" t="inlineStr">
        <is>
          <t>Peso catálogo cargado (kg)</t>
        </is>
      </c>
      <c r="C7" t="n">
        <v>12.6</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FL_MAT_AFFF_10l</t>
        </is>
      </c>
      <c r="C11" s="20" t="inlineStr">
        <is>
          <t>Extintor AFFF 10 l</t>
        </is>
      </c>
      <c r="D11" s="19" t="n">
        <v>1</v>
      </c>
      <c r="E11" s="19" t="inlineStr">
        <is>
          <t>u</t>
        </is>
      </c>
      <c r="F11" s="21" t="n"/>
      <c r="G11" s="21">
        <f>G5</f>
        <v/>
      </c>
      <c r="H11" s="19" t="n"/>
      <c r="I11" s="20" t="n"/>
      <c r="J11" s="19" t="n"/>
      <c r="K11" s="20" t="n"/>
      <c r="L11" s="20" t="inlineStr">
        <is>
          <t>IRAM 3527</t>
        </is>
      </c>
      <c r="M11" s="19" t="inlineStr">
        <is>
          <t>P</t>
        </is>
      </c>
      <c r="N11" s="19" t="inlineStr">
        <is>
          <t>FL_MAT_AFFF_10l</t>
        </is>
      </c>
      <c r="O11" s="20" t="inlineStr">
        <is>
          <t>Tercerizado revendido (S4)</t>
        </is>
      </c>
    </row>
    <row r="12">
      <c r="A12" s="22" t="n">
        <v>1</v>
      </c>
      <c r="B12" s="22" t="inlineStr">
        <is>
          <t>AFFF10-S1</t>
        </is>
      </c>
      <c r="C12" s="23" t="inlineStr">
        <is>
          <t xml:space="preserve">    Recipiente (cilindro)</t>
        </is>
      </c>
      <c r="D12" s="22" t="n">
        <v>1</v>
      </c>
      <c r="E12" s="22" t="inlineStr">
        <is>
          <t>u</t>
        </is>
      </c>
      <c r="F12" s="24" t="n"/>
      <c r="G12" s="24">
        <f>G13+G14+G15+G16+G17</f>
        <v/>
      </c>
      <c r="H12" s="22" t="n"/>
      <c r="I12" s="23" t="n"/>
      <c r="J12" s="22" t="inlineStr">
        <is>
          <t>Compra / armado</t>
        </is>
      </c>
      <c r="K12" s="23" t="n"/>
      <c r="L12" s="23" t="inlineStr">
        <is>
          <t>IRAM 3523 / 3550 (recipiente)</t>
        </is>
      </c>
      <c r="M12" s="22" t="inlineStr">
        <is>
          <t>P</t>
        </is>
      </c>
      <c r="N12" s="22" t="inlineStr">
        <is>
          <t>FL_DES_AFFF_10l</t>
        </is>
      </c>
      <c r="O12" s="23" t="n"/>
    </row>
    <row r="13" outlineLevel="1">
      <c r="A13" s="25" t="n">
        <v>2</v>
      </c>
      <c r="B13" s="25" t="inlineStr">
        <is>
          <t>AFFF10-01</t>
        </is>
      </c>
      <c r="C13" s="12" t="inlineStr">
        <is>
          <t xml:space="preserve">        Cuerpo (virola)</t>
        </is>
      </c>
      <c r="D13" s="25" t="n">
        <v>1</v>
      </c>
      <c r="E13" s="25" t="inlineStr">
        <is>
          <t>u</t>
        </is>
      </c>
      <c r="F13" s="26" t="n">
        <v>1.7949</v>
      </c>
      <c r="G13" s="26">
        <f>D13*F13</f>
        <v/>
      </c>
      <c r="H13" s="25" t="inlineStr">
        <is>
          <t>Chapa acero inox. AISI 304 e=0,8</t>
        </is>
      </c>
      <c r="I13" s="12" t="inlineStr">
        <is>
          <t>Ø190 × e0,8 × 476 de alto; desarrollo 594,4 × 476</t>
        </is>
      </c>
      <c r="J13" s="25" t="inlineStr">
        <is>
          <t>Compra (en el conjunto)</t>
        </is>
      </c>
      <c r="K13" s="12" t="inlineStr">
        <is>
          <t>S4 - se compra terminado (tercerizado con sello IRAM)</t>
        </is>
      </c>
      <c r="L13" s="12" t="n"/>
      <c r="M13" s="25" t="inlineStr">
        <is>
          <t>P</t>
        </is>
      </c>
      <c r="N13" s="25" t="inlineStr">
        <is>
          <t>FL_DES_AFFF_10l</t>
        </is>
      </c>
      <c r="O13" s="12" t="inlineStr">
        <is>
          <t>costura long. TIG</t>
        </is>
      </c>
    </row>
    <row r="14" outlineLevel="1">
      <c r="A14" s="25" t="n">
        <v>2</v>
      </c>
      <c r="B14" s="25" t="inlineStr">
        <is>
          <t>AFFF10-02</t>
        </is>
      </c>
      <c r="C14" s="12" t="inlineStr">
        <is>
          <t xml:space="preserve">        Cúpula</t>
        </is>
      </c>
      <c r="D14" s="25" t="n">
        <v>1</v>
      </c>
      <c r="E14" s="25" t="inlineStr">
        <is>
          <t>u</t>
        </is>
      </c>
      <c r="F14" s="26" t="n">
        <v>0.2544</v>
      </c>
      <c r="G14" s="26">
        <f>D14*F14</f>
        <v/>
      </c>
      <c r="H14" s="25" t="inlineStr">
        <is>
          <t>Chapa acero inox. AISI 304 e=0,8</t>
        </is>
      </c>
      <c r="I14" s="12" t="inlineStr">
        <is>
          <t>Ø190 × e0,8 × 59 de alto; disco Ø232,7</t>
        </is>
      </c>
      <c r="J14" s="25" t="inlineStr">
        <is>
          <t>Compra (en el conjunto)</t>
        </is>
      </c>
      <c r="K14" s="12" t="inlineStr">
        <is>
          <t>S4 - se compra terminado (tercerizado con sello IRAM)</t>
        </is>
      </c>
      <c r="L14" s="12" t="n"/>
      <c r="M14" s="25" t="inlineStr">
        <is>
          <t>P</t>
        </is>
      </c>
      <c r="N14" s="25" t="inlineStr">
        <is>
          <t>FL_DES_AFFF_10l</t>
        </is>
      </c>
      <c r="O14" s="12" t="inlineStr">
        <is>
          <t>embutida</t>
        </is>
      </c>
    </row>
    <row r="15" outlineLevel="1">
      <c r="A15" s="25" t="n">
        <v>2</v>
      </c>
      <c r="B15" s="25" t="inlineStr">
        <is>
          <t>AFFF10-03</t>
        </is>
      </c>
      <c r="C15" s="12" t="inlineStr">
        <is>
          <t xml:space="preserve">        Fondo</t>
        </is>
      </c>
      <c r="D15" s="25" t="n">
        <v>1</v>
      </c>
      <c r="E15" s="25" t="inlineStr">
        <is>
          <t>u</t>
        </is>
      </c>
      <c r="F15" s="26" t="n">
        <v>0.1769</v>
      </c>
      <c r="G15" s="26">
        <f>D15*F15</f>
        <v/>
      </c>
      <c r="H15" s="25" t="inlineStr">
        <is>
          <t>Chapa acero inox. AISI 304 e=0,8</t>
        </is>
      </c>
      <c r="I15" s="12" t="inlineStr">
        <is>
          <t>Ø190 × e0,8 × 10,8 de alto; disco Ø194,1</t>
        </is>
      </c>
      <c r="J15" s="25" t="inlineStr">
        <is>
          <t>Compra (en el conjunto)</t>
        </is>
      </c>
      <c r="K15" s="12" t="inlineStr">
        <is>
          <t>S4 - se compra terminado (tercerizado con sello IRAM)</t>
        </is>
      </c>
      <c r="L15" s="12" t="n"/>
      <c r="M15" s="25" t="inlineStr">
        <is>
          <t>P</t>
        </is>
      </c>
      <c r="N15" s="25" t="inlineStr">
        <is>
          <t>FL_DES_AFFF_10l</t>
        </is>
      </c>
      <c r="O15" s="12" t="inlineStr">
        <is>
          <t>embutido</t>
        </is>
      </c>
    </row>
    <row r="16" outlineLevel="1">
      <c r="A16" s="25" t="n">
        <v>2</v>
      </c>
      <c r="B16" s="25" t="inlineStr">
        <is>
          <t>AFFF10-04</t>
        </is>
      </c>
      <c r="C16" s="12" t="inlineStr">
        <is>
          <t xml:space="preserve">        Cuello roscado</t>
        </is>
      </c>
      <c r="D16" s="25" t="n">
        <v>1</v>
      </c>
      <c r="E16" s="25" t="inlineStr">
        <is>
          <t>u</t>
        </is>
      </c>
      <c r="F16" s="26" t="n">
        <v>0.0539</v>
      </c>
      <c r="G16" s="26">
        <f>D16*F16</f>
        <v/>
      </c>
      <c r="H16" s="25" t="inlineStr">
        <is>
          <t>Acero inox. AISI 304</t>
        </is>
      </c>
      <c r="I16" s="12" t="inlineStr">
        <is>
          <t>Ø37 × 14 de alto, rosca M30x1,5, asiento Ø35</t>
        </is>
      </c>
      <c r="J16" s="25" t="inlineStr">
        <is>
          <t>Compra (en el conjunto)</t>
        </is>
      </c>
      <c r="K16" s="12" t="inlineStr">
        <is>
          <t>S4 - se compra terminado (tercerizado con sello IRAM)</t>
        </is>
      </c>
      <c r="L16" s="12" t="n"/>
      <c r="M16" s="25" t="inlineStr">
        <is>
          <t>P</t>
        </is>
      </c>
      <c r="N16" s="25" t="inlineStr">
        <is>
          <t>FL_DES_AFFF_10l</t>
        </is>
      </c>
      <c r="O16" s="12" t="inlineStr">
        <is>
          <t>M30x1,5</t>
        </is>
      </c>
    </row>
    <row r="17" outlineLevel="1">
      <c r="A17" s="25" t="n">
        <v>2</v>
      </c>
      <c r="B17" s="25" t="inlineStr">
        <is>
          <t>AFFF10-C1</t>
        </is>
      </c>
      <c r="C17" s="12" t="inlineStr">
        <is>
          <t xml:space="preserve">        Aporte de soldadura: Varilla TIG ER308L Ø1,6</t>
        </is>
      </c>
      <c r="D17" s="25" t="n">
        <v>0.0413</v>
      </c>
      <c r="E17" s="25" t="inlineStr">
        <is>
          <t>kg</t>
        </is>
      </c>
      <c r="F17" s="26" t="n">
        <v>0.95</v>
      </c>
      <c r="G17" s="26">
        <f>D17*F17</f>
        <v/>
      </c>
      <c r="H17" s="25" t="inlineStr">
        <is>
          <t>Varilla TIG ER308L Ø1,6</t>
        </is>
      </c>
      <c r="I17" s="12" t="inlineStr">
        <is>
          <t>cordones del plano: 39 g depositados (rend. 95 %)</t>
        </is>
      </c>
      <c r="J17" s="25" t="inlineStr">
        <is>
          <t>Compra</t>
        </is>
      </c>
      <c r="K17" s="12" t="inlineStr">
        <is>
          <t>4 sold. long. / 8 cuello / 11 circunferencial</t>
        </is>
      </c>
      <c r="L17" s="12" t="inlineStr">
        <is>
          <t>ISO 4063 131 / 141</t>
        </is>
      </c>
      <c r="M17" s="25" t="inlineStr">
        <is>
          <t>P</t>
        </is>
      </c>
      <c r="N17" s="25" t="n"/>
      <c r="O17" s="12" t="n"/>
    </row>
    <row r="18" outlineLevel="1">
      <c r="A18" s="25" t="n">
        <v>2</v>
      </c>
      <c r="B18" s="25" t="inlineStr">
        <is>
          <t>AFFF10-C2</t>
        </is>
      </c>
      <c r="C18" s="12" t="inlineStr">
        <is>
          <t xml:space="preserve">        Gas de protección: Argón</t>
        </is>
      </c>
      <c r="D18" s="25" t="n">
        <v>31</v>
      </c>
      <c r="E18" s="25" t="inlineStr">
        <is>
          <t>L</t>
        </is>
      </c>
      <c r="F18" s="26" t="n"/>
      <c r="G18" s="26" t="n"/>
      <c r="H18" s="25" t="inlineStr">
        <is>
          <t>Argón</t>
        </is>
      </c>
      <c r="I18" s="12" t="inlineStr">
        <is>
          <t>3,1 min de arco × 10 L/min</t>
        </is>
      </c>
      <c r="J18" s="25" t="inlineStr">
        <is>
          <t>Compra</t>
        </is>
      </c>
      <c r="K18" s="12" t="inlineStr">
        <is>
          <t>Botellón</t>
        </is>
      </c>
      <c r="L18" s="12" t="n"/>
      <c r="M18" s="25" t="inlineStr">
        <is>
          <t>R</t>
        </is>
      </c>
      <c r="N18" s="25" t="n"/>
      <c r="O18" s="12" t="n"/>
    </row>
    <row r="19">
      <c r="A19" s="22" t="n">
        <v>1</v>
      </c>
      <c r="B19" s="22" t="inlineStr">
        <is>
          <t>AFFF10-S2</t>
        </is>
      </c>
      <c r="C19" s="23" t="inlineStr">
        <is>
          <t xml:space="preserve">    Conjunto de válvula</t>
        </is>
      </c>
      <c r="D19" s="22" t="n">
        <v>1</v>
      </c>
      <c r="E19" s="22" t="inlineStr">
        <is>
          <t>u</t>
        </is>
      </c>
      <c r="F19" s="24" t="n"/>
      <c r="G19" s="24">
        <f>G20+G21+G22+G23+G24+G25+G26+G27+G28+G29+G30+G31+G32</f>
        <v/>
      </c>
      <c r="H19" s="22" t="n"/>
      <c r="I19" s="23" t="n"/>
      <c r="J19" s="22" t="inlineStr">
        <is>
          <t>Compra / armado</t>
        </is>
      </c>
      <c r="K19" s="23" t="n"/>
      <c r="L19" s="23" t="inlineStr">
        <is>
          <t>Manómetro IRAM 3533</t>
        </is>
      </c>
      <c r="M19" s="22" t="inlineStr">
        <is>
          <t>P</t>
        </is>
      </c>
      <c r="N19" s="22" t="inlineStr">
        <is>
          <t>FL_DES_AFFF_10l</t>
        </is>
      </c>
      <c r="O19" s="23" t="n"/>
    </row>
    <row r="20" outlineLevel="1">
      <c r="A20" s="25" t="n">
        <v>2</v>
      </c>
      <c r="B20" s="25" t="inlineStr">
        <is>
          <t>AFFF10-05</t>
        </is>
      </c>
      <c r="C20" s="12" t="inlineStr">
        <is>
          <t xml:space="preserve">        Collarín de válvula</t>
        </is>
      </c>
      <c r="D20" s="25" t="n">
        <v>1</v>
      </c>
      <c r="E20" s="25" t="inlineStr">
        <is>
          <t>u</t>
        </is>
      </c>
      <c r="F20" s="26" t="n">
        <v>0.0833</v>
      </c>
      <c r="G20" s="26">
        <f>D20*F20</f>
        <v/>
      </c>
      <c r="H20" s="25" t="inlineStr">
        <is>
          <t>Latón forjado</t>
        </is>
      </c>
      <c r="I20" s="12" t="inlineStr">
        <is>
          <t>43 × 43 × 10</t>
        </is>
      </c>
      <c r="J20" s="25" t="inlineStr">
        <is>
          <t>Compra (en el conjunto)</t>
        </is>
      </c>
      <c r="K20" s="12" t="inlineStr">
        <is>
          <t>S4 - se compra terminado (tercerizado con sello IRAM)</t>
        </is>
      </c>
      <c r="L20" s="12" t="n"/>
      <c r="M20" s="25" t="inlineStr">
        <is>
          <t>P</t>
        </is>
      </c>
      <c r="N20" s="25" t="inlineStr">
        <is>
          <t>FL_DES_AFFF_10l</t>
        </is>
      </c>
      <c r="O20" s="12" t="n"/>
    </row>
    <row r="21" outlineLevel="1">
      <c r="A21" s="25" t="n">
        <v>2</v>
      </c>
      <c r="B21" s="25" t="inlineStr">
        <is>
          <t>AFFF10-06</t>
        </is>
      </c>
      <c r="C21" s="12" t="inlineStr">
        <is>
          <t xml:space="preserve">        Espiga roscada</t>
        </is>
      </c>
      <c r="D21" s="25" t="n">
        <v>1</v>
      </c>
      <c r="E21" s="25" t="inlineStr">
        <is>
          <t>u</t>
        </is>
      </c>
      <c r="F21" s="26" t="n">
        <v>0.0243</v>
      </c>
      <c r="G21" s="26">
        <f>D21*F21</f>
        <v/>
      </c>
      <c r="H21" s="25" t="inlineStr">
        <is>
          <t>Latón forjado</t>
        </is>
      </c>
      <c r="I21" s="12" t="inlineStr">
        <is>
          <t>28,4 × 28,4 × 12</t>
        </is>
      </c>
      <c r="J21" s="25" t="inlineStr">
        <is>
          <t>Compra (en el conjunto)</t>
        </is>
      </c>
      <c r="K21" s="12" t="inlineStr">
        <is>
          <t>S4 - se compra terminado (tercerizado con sello IRAM)</t>
        </is>
      </c>
      <c r="L21" s="12" t="n"/>
      <c r="M21" s="25" t="inlineStr">
        <is>
          <t>P</t>
        </is>
      </c>
      <c r="N21" s="25" t="inlineStr">
        <is>
          <t>FL_DES_AFFF_10l</t>
        </is>
      </c>
      <c r="O21" s="12" t="n"/>
    </row>
    <row r="22" outlineLevel="1">
      <c r="A22" s="25" t="n">
        <v>2</v>
      </c>
      <c r="B22" s="25" t="inlineStr">
        <is>
          <t>AFFF10-07</t>
        </is>
      </c>
      <c r="C22" s="12" t="inlineStr">
        <is>
          <t xml:space="preserve">        Cuerpo de válvula</t>
        </is>
      </c>
      <c r="D22" s="25" t="n">
        <v>1</v>
      </c>
      <c r="E22" s="25" t="inlineStr">
        <is>
          <t>u</t>
        </is>
      </c>
      <c r="F22" s="26" t="n">
        <v>0.4964</v>
      </c>
      <c r="G22" s="26">
        <f>D22*F22</f>
        <v/>
      </c>
      <c r="H22" s="25" t="inlineStr">
        <is>
          <t>Latón forjado</t>
        </is>
      </c>
      <c r="I22" s="12" t="inlineStr">
        <is>
          <t>68,2 × 43 × 34</t>
        </is>
      </c>
      <c r="J22" s="25" t="inlineStr">
        <is>
          <t>Compra (en el conjunto)</t>
        </is>
      </c>
      <c r="K22" s="12" t="inlineStr">
        <is>
          <t>S4 - se compra terminado (tercerizado con sello IRAM)</t>
        </is>
      </c>
      <c r="L22" s="12" t="n"/>
      <c r="M22" s="25" t="inlineStr">
        <is>
          <t>P</t>
        </is>
      </c>
      <c r="N22" s="25" t="inlineStr">
        <is>
          <t>FL_DES_AFFF_10l</t>
        </is>
      </c>
      <c r="O22" s="12" t="n"/>
    </row>
    <row r="23" outlineLevel="1">
      <c r="A23" s="25" t="n">
        <v>2</v>
      </c>
      <c r="B23" s="25" t="inlineStr">
        <is>
          <t>AFFF10-08</t>
        </is>
      </c>
      <c r="C23" s="12" t="inlineStr">
        <is>
          <t xml:space="preserve">        Manómetro</t>
        </is>
      </c>
      <c r="D23" s="25" t="n">
        <v>1</v>
      </c>
      <c r="E23" s="25" t="inlineStr">
        <is>
          <t>u</t>
        </is>
      </c>
      <c r="F23" s="26" t="n">
        <v>0.06</v>
      </c>
      <c r="G23" s="26">
        <f>D23*F23</f>
        <v/>
      </c>
      <c r="H23" s="25" t="inlineStr">
        <is>
          <t>Comercial</t>
        </is>
      </c>
      <c r="I23" s="12" t="inlineStr">
        <is>
          <t>Ø38 esfera, rango 0-2 MPa, sector verde en 0,8</t>
        </is>
      </c>
      <c r="J23" s="25" t="inlineStr">
        <is>
          <t>Compra (en el conjunto)</t>
        </is>
      </c>
      <c r="K23" s="12" t="inlineStr">
        <is>
          <t>S4 - se compra terminado (tercerizado con sello IRAM)</t>
        </is>
      </c>
      <c r="L23" s="12" t="inlineStr">
        <is>
          <t>IRAM 3533</t>
        </is>
      </c>
      <c r="M23" s="25" t="inlineStr">
        <is>
          <t>R</t>
        </is>
      </c>
      <c r="N23" s="25" t="inlineStr">
        <is>
          <t>FL_DES_AFFF_10l</t>
        </is>
      </c>
      <c r="O23" s="12" t="inlineStr">
        <is>
          <t>Pieza comercial; sello IRAM 3533</t>
        </is>
      </c>
    </row>
    <row r="24" outlineLevel="1">
      <c r="A24" s="25" t="n">
        <v>2</v>
      </c>
      <c r="B24" s="25" t="inlineStr">
        <is>
          <t>AFFF10-09</t>
        </is>
      </c>
      <c r="C24" s="12" t="inlineStr">
        <is>
          <t xml:space="preserve">        Manija de transporte</t>
        </is>
      </c>
      <c r="D24" s="25" t="n">
        <v>1</v>
      </c>
      <c r="E24" s="25" t="inlineStr">
        <is>
          <t>u</t>
        </is>
      </c>
      <c r="F24" s="26" t="n">
        <v>0.0546</v>
      </c>
      <c r="G24" s="26">
        <f>D24*F24</f>
        <v/>
      </c>
      <c r="H24" s="25" t="inlineStr">
        <is>
          <t>Chapa acero SAE 1010 pintada</t>
        </is>
      </c>
      <c r="I24" s="12" t="inlineStr">
        <is>
          <t>86,9 × 20 × 13,1</t>
        </is>
      </c>
      <c r="J24" s="25" t="inlineStr">
        <is>
          <t>Compra (en el conjunto)</t>
        </is>
      </c>
      <c r="K24" s="12" t="inlineStr">
        <is>
          <t>S4 - se compra terminado (tercerizado con sello IRAM)</t>
        </is>
      </c>
      <c r="L24" s="12" t="n"/>
      <c r="M24" s="25" t="inlineStr">
        <is>
          <t>P</t>
        </is>
      </c>
      <c r="N24" s="25" t="inlineStr">
        <is>
          <t>FL_DES_AFFF_10l</t>
        </is>
      </c>
      <c r="O24" s="12" t="n"/>
    </row>
    <row r="25" outlineLevel="1">
      <c r="A25" s="25" t="n">
        <v>2</v>
      </c>
      <c r="B25" s="25" t="inlineStr">
        <is>
          <t>AFFF10-10</t>
        </is>
      </c>
      <c r="C25" s="12" t="inlineStr">
        <is>
          <t xml:space="preserve">        Manija de accionamiento</t>
        </is>
      </c>
      <c r="D25" s="25" t="n">
        <v>1</v>
      </c>
      <c r="E25" s="25" t="inlineStr">
        <is>
          <t>u</t>
        </is>
      </c>
      <c r="F25" s="26" t="n">
        <v>0.08160000000000001</v>
      </c>
      <c r="G25" s="26">
        <f>D25*F25</f>
        <v/>
      </c>
      <c r="H25" s="25" t="inlineStr">
        <is>
          <t>Chapa acero SAE 1010 pintada</t>
        </is>
      </c>
      <c r="I25" s="12" t="inlineStr">
        <is>
          <t>129,5 × 20 × 19,8</t>
        </is>
      </c>
      <c r="J25" s="25" t="inlineStr">
        <is>
          <t>Compra (en el conjunto)</t>
        </is>
      </c>
      <c r="K25" s="12" t="inlineStr">
        <is>
          <t>S4 - se compra terminado (tercerizado con sello IRAM)</t>
        </is>
      </c>
      <c r="L25" s="12" t="n"/>
      <c r="M25" s="25" t="inlineStr">
        <is>
          <t>P</t>
        </is>
      </c>
      <c r="N25" s="25" t="inlineStr">
        <is>
          <t>FL_DES_AFFF_10l</t>
        </is>
      </c>
      <c r="O25" s="12" t="n"/>
    </row>
    <row r="26" outlineLevel="1">
      <c r="A26" s="25" t="n">
        <v>2</v>
      </c>
      <c r="B26" s="25" t="inlineStr">
        <is>
          <t>AFFF10-11</t>
        </is>
      </c>
      <c r="C26" s="12" t="inlineStr">
        <is>
          <t xml:space="preserve">        Eje de palanca</t>
        </is>
      </c>
      <c r="D26" s="25" t="n">
        <v>1</v>
      </c>
      <c r="E26" s="25" t="inlineStr">
        <is>
          <t>u</t>
        </is>
      </c>
      <c r="F26" s="26" t="n">
        <v>0.0081</v>
      </c>
      <c r="G26" s="26">
        <f>D26*F26</f>
        <v/>
      </c>
      <c r="H26" s="25" t="inlineStr">
        <is>
          <t>Acero inox. AISI 304</t>
        </is>
      </c>
      <c r="I26" s="12" t="inlineStr">
        <is>
          <t>36 × 6 × 6</t>
        </is>
      </c>
      <c r="J26" s="25" t="inlineStr">
        <is>
          <t>Compra (en el conjunto)</t>
        </is>
      </c>
      <c r="K26" s="12" t="inlineStr">
        <is>
          <t>S4 - se compra terminado (tercerizado con sello IRAM)</t>
        </is>
      </c>
      <c r="L26" s="12" t="n"/>
      <c r="M26" s="25" t="inlineStr">
        <is>
          <t>P</t>
        </is>
      </c>
      <c r="N26" s="25" t="inlineStr">
        <is>
          <t>FL_DES_AFFF_10l</t>
        </is>
      </c>
      <c r="O26" s="12" t="n"/>
    </row>
    <row r="27" outlineLevel="1">
      <c r="A27" s="25" t="n">
        <v>2</v>
      </c>
      <c r="B27" s="25" t="inlineStr">
        <is>
          <t>AFFF10-12</t>
        </is>
      </c>
      <c r="C27" s="12" t="inlineStr">
        <is>
          <t xml:space="preserve">        Vástago</t>
        </is>
      </c>
      <c r="D27" s="25" t="n">
        <v>1</v>
      </c>
      <c r="E27" s="25" t="inlineStr">
        <is>
          <t>u</t>
        </is>
      </c>
      <c r="F27" s="26" t="n">
        <v>0.0017</v>
      </c>
      <c r="G27" s="26">
        <f>D27*F27</f>
        <v/>
      </c>
      <c r="H27" s="25" t="inlineStr">
        <is>
          <t>Latón</t>
        </is>
      </c>
      <c r="I27" s="12" t="inlineStr">
        <is>
          <t>8 × 8 × 4</t>
        </is>
      </c>
      <c r="J27" s="25" t="inlineStr">
        <is>
          <t>Compra (en el conjunto)</t>
        </is>
      </c>
      <c r="K27" s="12" t="inlineStr">
        <is>
          <t>S4 - se compra terminado (tercerizado con sello IRAM)</t>
        </is>
      </c>
      <c r="L27" s="12" t="n"/>
      <c r="M27" s="25" t="inlineStr">
        <is>
          <t>P</t>
        </is>
      </c>
      <c r="N27" s="25" t="inlineStr">
        <is>
          <t>FL_DES_AFFF_10l</t>
        </is>
      </c>
      <c r="O27" s="12" t="inlineStr">
        <is>
          <t>con junta tórica</t>
        </is>
      </c>
    </row>
    <row r="28" outlineLevel="1">
      <c r="A28" s="25" t="n">
        <v>2</v>
      </c>
      <c r="B28" s="25" t="inlineStr">
        <is>
          <t>AFFF10-13</t>
        </is>
      </c>
      <c r="C28" s="12" t="inlineStr">
        <is>
          <t xml:space="preserve">        Pasador de seguridad</t>
        </is>
      </c>
      <c r="D28" s="25" t="n">
        <v>1</v>
      </c>
      <c r="E28" s="25" t="inlineStr">
        <is>
          <t>u</t>
        </is>
      </c>
      <c r="F28" s="26" t="n">
        <v>0.0055</v>
      </c>
      <c r="G28" s="26">
        <f>D28*F28</f>
        <v/>
      </c>
      <c r="H28" s="25" t="inlineStr">
        <is>
          <t>Alambre acero inox. AISI 304</t>
        </is>
      </c>
      <c r="I28" s="12" t="inlineStr">
        <is>
          <t>45,4 × 21 × 20,8</t>
        </is>
      </c>
      <c r="J28" s="25" t="inlineStr">
        <is>
          <t>Compra (en el conjunto)</t>
        </is>
      </c>
      <c r="K28" s="12" t="inlineStr">
        <is>
          <t>S4 - se compra terminado (tercerizado con sello IRAM)</t>
        </is>
      </c>
      <c r="L28" s="12" t="n"/>
      <c r="M28" s="25" t="inlineStr">
        <is>
          <t>P</t>
        </is>
      </c>
      <c r="N28" s="25" t="inlineStr">
        <is>
          <t>FL_DES_AFFF_10l</t>
        </is>
      </c>
      <c r="O28" s="12" t="inlineStr">
        <is>
          <t>con precinto</t>
        </is>
      </c>
    </row>
    <row r="29" outlineLevel="1">
      <c r="A29" s="25" t="n">
        <v>2</v>
      </c>
      <c r="B29" s="25" t="inlineStr">
        <is>
          <t>AFFF10-14</t>
        </is>
      </c>
      <c r="C29" s="12" t="inlineStr">
        <is>
          <t xml:space="preserve">        Caño de pesca (sifón)</t>
        </is>
      </c>
      <c r="D29" s="25" t="n">
        <v>1</v>
      </c>
      <c r="E29" s="25" t="inlineStr">
        <is>
          <t>u</t>
        </is>
      </c>
      <c r="F29" s="26" t="n">
        <v>0.0229</v>
      </c>
      <c r="G29" s="26">
        <f>D29*F29</f>
        <v/>
      </c>
      <c r="H29" s="25" t="inlineStr">
        <is>
          <t>Tubo polipropileno</t>
        </is>
      </c>
      <c r="I29" s="12" t="inlineStr">
        <is>
          <t>Ø12 × 514,2 de largo</t>
        </is>
      </c>
      <c r="J29" s="25" t="inlineStr">
        <is>
          <t>Compra (en el conjunto)</t>
        </is>
      </c>
      <c r="K29" s="12" t="inlineStr">
        <is>
          <t>S4 - se compra terminado (tercerizado con sello IRAM)</t>
        </is>
      </c>
      <c r="L29" s="12" t="n"/>
      <c r="M29" s="25" t="inlineStr">
        <is>
          <t>P</t>
        </is>
      </c>
      <c r="N29" s="25" t="inlineStr">
        <is>
          <t>FL_DES_AFFF_10l</t>
        </is>
      </c>
      <c r="O29" s="12" t="n"/>
    </row>
    <row r="30" outlineLevel="1">
      <c r="A30" s="25" t="n">
        <v>2</v>
      </c>
      <c r="B30" s="25" t="inlineStr">
        <is>
          <t>AFFF10-22</t>
        </is>
      </c>
      <c r="C30" s="12" t="inlineStr">
        <is>
          <t xml:space="preserve">        Junta tórica de asiento</t>
        </is>
      </c>
      <c r="D30" s="25" t="n">
        <v>1</v>
      </c>
      <c r="E30" s="25" t="inlineStr">
        <is>
          <t>u</t>
        </is>
      </c>
      <c r="F30" s="26" t="n">
        <v>0.001</v>
      </c>
      <c r="G30" s="26">
        <f>D30*F30</f>
        <v/>
      </c>
      <c r="H30" s="25" t="inlineStr">
        <is>
          <t>NBR 70 Shore A</t>
        </is>
      </c>
      <c r="I30" s="12" t="inlineStr">
        <is>
          <t>Ø31,4 ext. × cordón 3</t>
        </is>
      </c>
      <c r="J30" s="25" t="inlineStr">
        <is>
          <t>Compra (en el conjunto)</t>
        </is>
      </c>
      <c r="K30" s="12" t="inlineStr">
        <is>
          <t>S4 - se compra terminado (tercerizado con sello IRAM)</t>
        </is>
      </c>
      <c r="L30" s="12" t="n"/>
      <c r="M30" s="25" t="inlineStr">
        <is>
          <t>P</t>
        </is>
      </c>
      <c r="N30" s="25" t="inlineStr">
        <is>
          <t>FL_DES_AFFF_10l</t>
        </is>
      </c>
      <c r="O30" s="12" t="inlineStr">
        <is>
          <t>cambio c/recarga</t>
        </is>
      </c>
    </row>
    <row r="31" outlineLevel="1">
      <c r="A31" s="25" t="n">
        <v>2</v>
      </c>
      <c r="B31" s="25" t="inlineStr">
        <is>
          <t>AFFF10-V2</t>
        </is>
      </c>
      <c r="C31" s="12" t="inlineStr">
        <is>
          <t xml:space="preserve">        Resorte de retorno del vástago</t>
        </is>
      </c>
      <c r="D31" s="25" t="n">
        <v>1</v>
      </c>
      <c r="E31" s="25" t="inlineStr">
        <is>
          <t>u</t>
        </is>
      </c>
      <c r="F31" s="26" t="n">
        <v>0.003</v>
      </c>
      <c r="G31" s="26">
        <f>D31*F31</f>
        <v/>
      </c>
      <c r="H31" s="25" t="inlineStr">
        <is>
          <t>Alambre acero inox. AISI 302</t>
        </is>
      </c>
      <c r="I31" s="12" t="inlineStr">
        <is>
          <t>según válvula</t>
        </is>
      </c>
      <c r="J31" s="25" t="inlineStr">
        <is>
          <t>Compra</t>
        </is>
      </c>
      <c r="K31" s="12" t="inlineStr">
        <is>
          <t>19 Ensamblaje</t>
        </is>
      </c>
      <c r="L31" s="12" t="n"/>
      <c r="M31" s="25" t="inlineStr">
        <is>
          <t>R</t>
        </is>
      </c>
      <c r="N31" s="25" t="n"/>
      <c r="O31" s="12" t="n"/>
    </row>
    <row r="32" outlineLevel="1">
      <c r="A32" s="25" t="n">
        <v>2</v>
      </c>
      <c r="B32" s="25" t="inlineStr">
        <is>
          <t>AFFF10-V3</t>
        </is>
      </c>
      <c r="C32" s="12" t="inlineStr">
        <is>
          <t xml:space="preserve">        Junta tórica del vástago</t>
        </is>
      </c>
      <c r="D32" s="25" t="n">
        <v>1</v>
      </c>
      <c r="E32" s="25" t="inlineStr">
        <is>
          <t>u</t>
        </is>
      </c>
      <c r="F32" s="26" t="n">
        <v>0.001</v>
      </c>
      <c r="G32" s="26">
        <f>D32*F32</f>
        <v/>
      </c>
      <c r="H32" s="25" t="inlineStr">
        <is>
          <t>NBR 70 Shore A</t>
        </is>
      </c>
      <c r="I32" s="12" t="inlineStr">
        <is>
          <t>según válvula</t>
        </is>
      </c>
      <c r="J32" s="25" t="inlineStr">
        <is>
          <t>Compra</t>
        </is>
      </c>
      <c r="K32" s="12" t="inlineStr">
        <is>
          <t>19 Ensamblaje</t>
        </is>
      </c>
      <c r="L32" s="12" t="n"/>
      <c r="M32" s="25" t="inlineStr">
        <is>
          <t>P</t>
        </is>
      </c>
      <c r="N32" s="25" t="n"/>
      <c r="O32" s="12" t="inlineStr">
        <is>
          <t>Figura en el plano como «vástago con junta tórica»</t>
        </is>
      </c>
    </row>
    <row r="33">
      <c r="A33" s="22" t="n">
        <v>1</v>
      </c>
      <c r="B33" s="22" t="inlineStr">
        <is>
          <t>AFFF10-S3</t>
        </is>
      </c>
      <c r="C33" s="23" t="inlineStr">
        <is>
          <t xml:space="preserve">    Dispositivo de descarga</t>
        </is>
      </c>
      <c r="D33" s="22" t="n">
        <v>1</v>
      </c>
      <c r="E33" s="22" t="inlineStr">
        <is>
          <t>u</t>
        </is>
      </c>
      <c r="F33" s="24" t="n"/>
      <c r="G33" s="24">
        <f>G34+G35+G36+G37</f>
        <v/>
      </c>
      <c r="H33" s="22" t="n"/>
      <c r="I33" s="23" t="n"/>
      <c r="J33" s="22" t="inlineStr">
        <is>
          <t>Compra / armado</t>
        </is>
      </c>
      <c r="K33" s="23" t="n"/>
      <c r="L33" s="23" t="n"/>
      <c r="M33" s="22" t="inlineStr">
        <is>
          <t>P</t>
        </is>
      </c>
      <c r="N33" s="22" t="inlineStr">
        <is>
          <t>FL_DES_AFFF_10l</t>
        </is>
      </c>
      <c r="O33" s="23" t="n"/>
    </row>
    <row r="34" outlineLevel="1">
      <c r="A34" s="25" t="n">
        <v>2</v>
      </c>
      <c r="B34" s="25" t="inlineStr">
        <is>
          <t>AFFF10-15</t>
        </is>
      </c>
      <c r="C34" s="12" t="inlineStr">
        <is>
          <t xml:space="preserve">        Racor de manguera</t>
        </is>
      </c>
      <c r="D34" s="25" t="n">
        <v>1</v>
      </c>
      <c r="E34" s="25" t="inlineStr">
        <is>
          <t>u</t>
        </is>
      </c>
      <c r="F34" s="26" t="n">
        <v>0.0258</v>
      </c>
      <c r="G34" s="26">
        <f>D34*F34</f>
        <v/>
      </c>
      <c r="H34" s="25" t="inlineStr">
        <is>
          <t>Latón</t>
        </is>
      </c>
      <c r="I34" s="12" t="inlineStr">
        <is>
          <t>18 × 18 × 12</t>
        </is>
      </c>
      <c r="J34" s="25" t="inlineStr">
        <is>
          <t>Compra (en el conjunto)</t>
        </is>
      </c>
      <c r="K34" s="12" t="inlineStr">
        <is>
          <t>S4 - se compra terminado (tercerizado con sello IRAM)</t>
        </is>
      </c>
      <c r="L34" s="12" t="n"/>
      <c r="M34" s="25" t="inlineStr">
        <is>
          <t>P</t>
        </is>
      </c>
      <c r="N34" s="25" t="inlineStr">
        <is>
          <t>FL_DES_AFFF_10l</t>
        </is>
      </c>
      <c r="O34" s="12" t="n"/>
    </row>
    <row r="35" outlineLevel="1">
      <c r="A35" s="25" t="n">
        <v>2</v>
      </c>
      <c r="B35" s="25" t="inlineStr">
        <is>
          <t>AFFF10-16</t>
        </is>
      </c>
      <c r="C35" s="12" t="inlineStr">
        <is>
          <t xml:space="preserve">        Manguera</t>
        </is>
      </c>
      <c r="D35" s="25" t="n">
        <v>1</v>
      </c>
      <c r="E35" s="25" t="inlineStr">
        <is>
          <t>u</t>
        </is>
      </c>
      <c r="F35" s="26" t="n">
        <v>0.0497</v>
      </c>
      <c r="G35" s="26">
        <f>D35*F35</f>
        <v/>
      </c>
      <c r="H35" s="25" t="inlineStr">
        <is>
          <t>Caucho sintético</t>
        </is>
      </c>
      <c r="I35" s="12" t="inlineStr">
        <is>
          <t>Ø16 × 322 de largo desarrollado</t>
        </is>
      </c>
      <c r="J35" s="25" t="inlineStr">
        <is>
          <t>Compra (en el conjunto)</t>
        </is>
      </c>
      <c r="K35" s="12" t="inlineStr">
        <is>
          <t>S4 - se compra terminado (tercerizado con sello IRAM)</t>
        </is>
      </c>
      <c r="L35" s="12" t="n"/>
      <c r="M35" s="25" t="inlineStr">
        <is>
          <t>P</t>
        </is>
      </c>
      <c r="N35" s="25" t="inlineStr">
        <is>
          <t>FL_DES_AFFF_10l</t>
        </is>
      </c>
      <c r="O35" s="12" t="n"/>
    </row>
    <row r="36" outlineLevel="1">
      <c r="A36" s="25" t="n">
        <v>2</v>
      </c>
      <c r="B36" s="25" t="inlineStr">
        <is>
          <t>AFFF10-17</t>
        </is>
      </c>
      <c r="C36" s="12" t="inlineStr">
        <is>
          <t xml:space="preserve">        Lanza espumígena</t>
        </is>
      </c>
      <c r="D36" s="25" t="n">
        <v>1</v>
      </c>
      <c r="E36" s="25" t="inlineStr">
        <is>
          <t>u</t>
        </is>
      </c>
      <c r="F36" s="26" t="n">
        <v>0.051</v>
      </c>
      <c r="G36" s="26">
        <f>D36*F36</f>
        <v/>
      </c>
      <c r="H36" s="25" t="inlineStr">
        <is>
          <t>Polipropileno</t>
        </is>
      </c>
      <c r="I36" s="12" t="inlineStr">
        <is>
          <t>210 × 32 × 32</t>
        </is>
      </c>
      <c r="J36" s="25" t="inlineStr">
        <is>
          <t>Compra (en el conjunto)</t>
        </is>
      </c>
      <c r="K36" s="12" t="inlineStr">
        <is>
          <t>S4 - se compra terminado (tercerizado con sello IRAM)</t>
        </is>
      </c>
      <c r="L36" s="12" t="n"/>
      <c r="M36" s="25" t="inlineStr">
        <is>
          <t>P</t>
        </is>
      </c>
      <c r="N36" s="25" t="inlineStr">
        <is>
          <t>FL_DES_AFFF_10l</t>
        </is>
      </c>
      <c r="O36" s="12" t="n"/>
    </row>
    <row r="37" outlineLevel="1">
      <c r="A37" s="25" t="n">
        <v>2</v>
      </c>
      <c r="B37" s="25" t="inlineStr">
        <is>
          <t>AFFF10-18</t>
        </is>
      </c>
      <c r="C37" s="12" t="inlineStr">
        <is>
          <t xml:space="preserve">        Suncho portatobera</t>
        </is>
      </c>
      <c r="D37" s="25" t="n">
        <v>1</v>
      </c>
      <c r="E37" s="25" t="inlineStr">
        <is>
          <t>u</t>
        </is>
      </c>
      <c r="F37" s="26" t="n">
        <v>0.163</v>
      </c>
      <c r="G37" s="26">
        <f>D37*F37</f>
        <v/>
      </c>
      <c r="H37" s="25" t="inlineStr">
        <is>
          <t>Fleje acero SAE 1010 pintado</t>
        </is>
      </c>
      <c r="I37" s="12" t="inlineStr">
        <is>
          <t>196,5 × 193 × 18</t>
        </is>
      </c>
      <c r="J37" s="25" t="inlineStr">
        <is>
          <t>Compra (en el conjunto)</t>
        </is>
      </c>
      <c r="K37" s="12" t="inlineStr">
        <is>
          <t>S4 - se compra terminado (tercerizado con sello IRAM)</t>
        </is>
      </c>
      <c r="L37" s="12" t="n"/>
      <c r="M37" s="25" t="inlineStr">
        <is>
          <t>P</t>
        </is>
      </c>
      <c r="N37" s="25" t="inlineStr">
        <is>
          <t>FL_DES_AFFF_10l</t>
        </is>
      </c>
      <c r="O37" s="12" t="n"/>
    </row>
    <row r="38">
      <c r="A38" s="22" t="n">
        <v>1</v>
      </c>
      <c r="B38" s="22" t="inlineStr">
        <is>
          <t>AFFF10-S5</t>
        </is>
      </c>
      <c r="C38" s="23" t="inlineStr">
        <is>
          <t xml:space="preserve">    Carga: agente extintor y gas impulsor</t>
        </is>
      </c>
      <c r="D38" s="22" t="n">
        <v>1</v>
      </c>
      <c r="E38" s="22" t="inlineStr">
        <is>
          <t>u</t>
        </is>
      </c>
      <c r="F38" s="24" t="n"/>
      <c r="G38" s="24">
        <f>G39+G40+G41</f>
        <v/>
      </c>
      <c r="H38" s="22" t="n"/>
      <c r="I38" s="23" t="n"/>
      <c r="J38" s="22" t="inlineStr">
        <is>
          <t>Compra</t>
        </is>
      </c>
      <c r="K38" s="23" t="n"/>
      <c r="L38" s="23" t="n"/>
      <c r="M38" s="22" t="n"/>
      <c r="N38" s="22" t="n"/>
      <c r="O38" s="23" t="n"/>
    </row>
    <row r="39" outlineLevel="1">
      <c r="A39" s="25" t="n">
        <v>2</v>
      </c>
      <c r="B39" s="25" t="inlineStr">
        <is>
          <t>AFFF10-A1</t>
        </is>
      </c>
      <c r="C39" s="12" t="inlineStr">
        <is>
          <t xml:space="preserve">        Agua potable (premezcla)</t>
        </is>
      </c>
      <c r="D39" s="25" t="n">
        <v>9.699999999999999</v>
      </c>
      <c r="E39" s="25" t="inlineStr">
        <is>
          <t>L</t>
        </is>
      </c>
      <c r="F39" s="26" t="n">
        <v>1</v>
      </c>
      <c r="G39" s="26">
        <f>D39*F39</f>
        <v/>
      </c>
      <c r="H39" s="25" t="inlineStr">
        <is>
          <t>Agua</t>
        </is>
      </c>
      <c r="I39" s="12" t="inlineStr">
        <is>
          <t>97 % de 10 L; tolerancia ± 3 %</t>
        </is>
      </c>
      <c r="J39" s="25" t="inlineStr">
        <is>
          <t>Red</t>
        </is>
      </c>
      <c r="K39" s="12" t="inlineStr">
        <is>
          <t>SP-1 premezcla</t>
        </is>
      </c>
      <c r="L39" s="12" t="inlineStr">
        <is>
          <t>IRAM 3517-2:2020 tabla 3</t>
        </is>
      </c>
      <c r="M39" s="25" t="inlineStr">
        <is>
          <t>N</t>
        </is>
      </c>
      <c r="N39" s="25" t="n"/>
      <c r="O39" s="12" t="n"/>
    </row>
    <row r="40" outlineLevel="1">
      <c r="A40" s="25" t="n">
        <v>2</v>
      </c>
      <c r="B40" s="25" t="inlineStr">
        <is>
          <t>AFFF10-A1b</t>
        </is>
      </c>
      <c r="C40" s="12" t="inlineStr">
        <is>
          <t xml:space="preserve">        Concentrado espumígeno AFFF 3 % (IRAM 3515)</t>
        </is>
      </c>
      <c r="D40" s="25" t="n">
        <v>0.3</v>
      </c>
      <c r="E40" s="25" t="inlineStr">
        <is>
          <t>L</t>
        </is>
      </c>
      <c r="F40" s="26" t="n">
        <v>1</v>
      </c>
      <c r="G40" s="26">
        <f>D40*F40</f>
        <v/>
      </c>
      <c r="H40" s="25" t="inlineStr">
        <is>
          <t>Concentrado espumígeno AFFF 3 % (IRAM 3515)</t>
        </is>
      </c>
      <c r="I40" s="12" t="inlineStr">
        <is>
          <t>nominal 0,3 L; tolerancia ± 3 % (IRAM 3517-2:2020 tabla 3)</t>
        </is>
      </c>
      <c r="J40" s="25" t="inlineStr">
        <is>
          <t>Compra</t>
        </is>
      </c>
      <c r="K40" s="12" t="inlineStr">
        <is>
          <t>SP-1 almacén previo a la carga</t>
        </is>
      </c>
      <c r="L40" s="12" t="inlineStr">
        <is>
          <t>IRAM 3515</t>
        </is>
      </c>
      <c r="M40" s="25" t="inlineStr">
        <is>
          <t>N</t>
        </is>
      </c>
      <c r="N40" s="25" t="n"/>
      <c r="O40" s="12" t="n"/>
    </row>
    <row r="41" outlineLevel="1">
      <c r="A41" s="25" t="n">
        <v>2</v>
      </c>
      <c r="B41" s="25" t="inlineStr">
        <is>
          <t>AFFF10-A2</t>
        </is>
      </c>
      <c r="C41" s="12" t="inlineStr">
        <is>
          <t xml:space="preserve">        Gas impulsor: Aire comprimido</t>
        </is>
      </c>
      <c r="D41" s="25" t="n">
        <v>0.0427</v>
      </c>
      <c r="E41" s="25" t="inlineStr">
        <is>
          <t>kg</t>
        </is>
      </c>
      <c r="F41" s="26" t="n">
        <v>1</v>
      </c>
      <c r="G41" s="26">
        <f>D41*F41</f>
        <v/>
      </c>
      <c r="H41" s="25" t="inlineStr">
        <is>
          <t>Aire comprimido</t>
        </is>
      </c>
      <c r="I41" s="12" t="inlineStr">
        <is>
          <t>33 L normales para 0,8 MPa a 20 °C en 3,98 dm³ libres</t>
        </is>
      </c>
      <c r="J41" s="25" t="inlineStr">
        <is>
          <t>Compra</t>
        </is>
      </c>
      <c r="K41" s="12" t="inlineStr">
        <is>
          <t>20 Presurización (T05) / C10</t>
        </is>
      </c>
      <c r="L41" s="12" t="inlineStr">
        <is>
          <t>IRAM 3517-2 9.4.9 (tabla 2) · IRAM 3523 2.3 y 3.10</t>
        </is>
      </c>
      <c r="M41" s="25" t="inlineStr">
        <is>
          <t>C</t>
        </is>
      </c>
      <c r="N41" s="25" t="n"/>
      <c r="O41" s="12" t="inlineStr">
        <is>
          <t>Batería en SP-1; punto de rocío ≤ -56,7 °C para gases limpios</t>
        </is>
      </c>
    </row>
    <row r="42">
      <c r="A42" s="22" t="n">
        <v>1</v>
      </c>
      <c r="B42" s="22" t="inlineStr">
        <is>
          <t>AFFF10-S6</t>
        </is>
      </c>
      <c r="C42" s="23" t="inlineStr">
        <is>
          <t xml:space="preserve">    Identificación y precinto</t>
        </is>
      </c>
      <c r="D42" s="22" t="n">
        <v>1</v>
      </c>
      <c r="E42" s="22" t="inlineStr">
        <is>
          <t>u</t>
        </is>
      </c>
      <c r="F42" s="24" t="n"/>
      <c r="G42" s="24">
        <f>G43+G44+G45+G46+G47</f>
        <v/>
      </c>
      <c r="H42" s="22" t="n"/>
      <c r="I42" s="23" t="n"/>
      <c r="J42" s="22" t="inlineStr">
        <is>
          <t>Compra</t>
        </is>
      </c>
      <c r="K42" s="23" t="inlineStr">
        <is>
          <t>22 Etiquetado (T07)</t>
        </is>
      </c>
      <c r="L42" s="23" t="n"/>
      <c r="M42" s="22" t="n"/>
      <c r="N42" s="22" t="n"/>
      <c r="O42" s="23" t="n"/>
    </row>
    <row r="43" outlineLevel="1">
      <c r="A43" s="25" t="n">
        <v>2</v>
      </c>
      <c r="B43" s="25" t="inlineStr">
        <is>
          <t>AFFF10-19</t>
        </is>
      </c>
      <c r="C43" s="12" t="inlineStr">
        <is>
          <t xml:space="preserve">        Placa de características</t>
        </is>
      </c>
      <c r="D43" s="25" t="n">
        <v>1</v>
      </c>
      <c r="E43" s="25" t="inlineStr">
        <is>
          <t>u</t>
        </is>
      </c>
      <c r="F43" s="26" t="n">
        <v>0.0102</v>
      </c>
      <c r="G43" s="26">
        <f>D43*F43</f>
        <v/>
      </c>
      <c r="H43" s="25" t="inlineStr">
        <is>
          <t>Vinilo autoadhesivo laminado</t>
        </is>
      </c>
      <c r="I43" s="12" t="inlineStr">
        <is>
          <t>179 × 136 (desarrollo × alto), e ≈ 0,3</t>
        </is>
      </c>
      <c r="J43" s="25" t="inlineStr">
        <is>
          <t>Compra</t>
        </is>
      </c>
      <c r="K43" s="12" t="inlineStr">
        <is>
          <t>22 Etiquetado (T07)</t>
        </is>
      </c>
      <c r="L43" s="12" t="inlineStr">
        <is>
          <t>IRAM 3534 · IRAM 3527 cap. 5</t>
        </is>
      </c>
      <c r="M43" s="25" t="inlineStr">
        <is>
          <t>P</t>
        </is>
      </c>
      <c r="N43" s="25" t="inlineStr">
        <is>
          <t>FL_DES_AFFF_10l</t>
        </is>
      </c>
      <c r="O43" s="12" t="inlineStr">
        <is>
          <t>IRAM 3534</t>
        </is>
      </c>
    </row>
    <row r="44" outlineLevel="1">
      <c r="A44" s="25" t="n">
        <v>2</v>
      </c>
      <c r="B44" s="25" t="inlineStr">
        <is>
          <t>AFFF10-20</t>
        </is>
      </c>
      <c r="C44" s="12" t="inlineStr">
        <is>
          <t xml:space="preserve">        Oblea de fabricación (PBA)</t>
        </is>
      </c>
      <c r="D44" s="25" t="n">
        <v>1</v>
      </c>
      <c r="E44" s="25" t="inlineStr">
        <is>
          <t>u</t>
        </is>
      </c>
      <c r="F44" s="26" t="n">
        <v>0.0009</v>
      </c>
      <c r="G44" s="26">
        <f>D44*F44</f>
        <v/>
      </c>
      <c r="H44" s="25" t="inlineStr">
        <is>
          <t>Papel de seguridad autodestructible</t>
        </is>
      </c>
      <c r="I44" s="12" t="inlineStr">
        <is>
          <t>Ø46 (Res. OPDS 522/07), numerada, autodestructible</t>
        </is>
      </c>
      <c r="J44" s="25" t="inlineStr">
        <is>
          <t>Compra</t>
        </is>
      </c>
      <c r="K44" s="12" t="inlineStr">
        <is>
          <t>22 Etiquetado (T07)</t>
        </is>
      </c>
      <c r="L44" s="12" t="inlineStr">
        <is>
          <t>Res. OPDS 522/07 anexos 1, 2 y 6</t>
        </is>
      </c>
      <c r="M44" s="25" t="inlineStr">
        <is>
          <t>P</t>
        </is>
      </c>
      <c r="N44" s="25" t="inlineStr">
        <is>
          <t>FL_DES_AFFF_10l</t>
        </is>
      </c>
      <c r="O44" s="12" t="inlineStr">
        <is>
          <t>Res. 522/07</t>
        </is>
      </c>
    </row>
    <row r="45" outlineLevel="1">
      <c r="A45" s="25" t="n">
        <v>2</v>
      </c>
      <c r="B45" s="25" t="inlineStr">
        <is>
          <t>AFFF10-21</t>
        </is>
      </c>
      <c r="C45" s="12" t="inlineStr">
        <is>
          <t xml:space="preserve">        Estampilla IRAM de conformidad</t>
        </is>
      </c>
      <c r="D45" s="25" t="n">
        <v>1</v>
      </c>
      <c r="E45" s="25" t="inlineStr">
        <is>
          <t>u</t>
        </is>
      </c>
      <c r="F45" s="26" t="n">
        <v>0.001</v>
      </c>
      <c r="G45" s="26">
        <f>D45*F45</f>
        <v/>
      </c>
      <c r="H45" s="25" t="inlineStr">
        <is>
          <t>Provista por IRAM (Anexo R)</t>
        </is>
      </c>
      <c r="I45" s="12" t="inlineStr">
        <is>
          <t>60 × 40</t>
        </is>
      </c>
      <c r="J45" s="25" t="inlineStr">
        <is>
          <t>Compra</t>
        </is>
      </c>
      <c r="K45" s="12" t="inlineStr">
        <is>
          <t>22 Etiquetado (T07)</t>
        </is>
      </c>
      <c r="L45" s="12" t="inlineStr">
        <is>
          <t>IRAM Anexo R (DC-PG-129)</t>
        </is>
      </c>
      <c r="M45" s="25" t="inlineStr">
        <is>
          <t>P</t>
        </is>
      </c>
      <c r="N45" s="25" t="inlineStr">
        <is>
          <t>FL_DES_AFFF_10l</t>
        </is>
      </c>
      <c r="O45" s="12" t="inlineStr">
        <is>
          <t>numerada</t>
        </is>
      </c>
    </row>
    <row r="46" outlineLevel="1">
      <c r="A46" s="25" t="n">
        <v>2</v>
      </c>
      <c r="B46" s="25" t="inlineStr">
        <is>
          <t>AFFF10-23</t>
        </is>
      </c>
      <c r="C46" s="12" t="inlineStr">
        <is>
          <t xml:space="preserve">        Precinto de fábrica</t>
        </is>
      </c>
      <c r="D46" s="25" t="n">
        <v>1</v>
      </c>
      <c r="E46" s="25" t="inlineStr">
        <is>
          <t>u</t>
        </is>
      </c>
      <c r="F46" s="26" t="n">
        <v>0.0002</v>
      </c>
      <c r="G46" s="26">
        <f>D46*F46</f>
        <v/>
      </c>
      <c r="H46" s="25" t="inlineStr">
        <is>
          <t>Polipropileno</t>
        </is>
      </c>
      <c r="I46" s="12" t="inlineStr">
        <is>
          <t>Ø5 × 10, numerado, rotura 30-50 N</t>
        </is>
      </c>
      <c r="J46" s="25" t="inlineStr">
        <is>
          <t>Compra</t>
        </is>
      </c>
      <c r="K46" s="12" t="inlineStr">
        <is>
          <t>20 Presurización (T05)</t>
        </is>
      </c>
      <c r="L46" s="12" t="inlineStr">
        <is>
          <t>IRAM 3523 3.3.2 · IRAM 3517-2:2020 9.4.13</t>
        </is>
      </c>
      <c r="M46" s="25" t="inlineStr">
        <is>
          <t>P</t>
        </is>
      </c>
      <c r="N46" s="25" t="inlineStr">
        <is>
          <t>FL_DES_AFFF_10l</t>
        </is>
      </c>
      <c r="O46" s="12" t="inlineStr">
        <is>
          <t>id. FLAMA y lote</t>
        </is>
      </c>
    </row>
    <row r="47" outlineLevel="1">
      <c r="A47" s="25" t="n">
        <v>2</v>
      </c>
      <c r="B47" s="25" t="inlineStr">
        <is>
          <t>AFFF10-I3</t>
        </is>
      </c>
      <c r="C47" s="12" t="inlineStr">
        <is>
          <t xml:space="preserve">        Tarjeta oficial de vigencia (CABA)</t>
        </is>
      </c>
      <c r="D47" s="25" t="n">
        <v>1</v>
      </c>
      <c r="E47" s="25" t="inlineStr">
        <is>
          <t>u</t>
        </is>
      </c>
      <c r="F47" s="26" t="n">
        <v>0.002</v>
      </c>
      <c r="G47" s="26">
        <f>D47*F47</f>
        <v/>
      </c>
      <c r="H47" s="25" t="inlineStr">
        <is>
          <t>Formulario oficial</t>
        </is>
      </c>
      <c r="I47" s="12" t="inlineStr">
        <is>
          <t>provista por DG Rentas GCBA</t>
        </is>
      </c>
      <c r="J47" s="25" t="inlineStr">
        <is>
          <t>Compra</t>
        </is>
      </c>
      <c r="K47" s="12" t="inlineStr">
        <is>
          <t>22 Etiquetado</t>
        </is>
      </c>
      <c r="L47" s="12" t="inlineStr">
        <is>
          <t>Ordenanza 40.473 art. 6</t>
        </is>
      </c>
      <c r="M47" s="25" t="inlineStr">
        <is>
          <t>N</t>
        </is>
      </c>
      <c r="N47" s="25" t="n"/>
      <c r="O47" s="12" t="inlineStr">
        <is>
          <t>Clase, capacidad, fecha de carga y vencimiento, garantía; se anexa al matafuego (no se dibuja)</t>
        </is>
      </c>
    </row>
    <row r="48">
      <c r="A48" s="22" t="n">
        <v>1</v>
      </c>
      <c r="B48" s="22" t="inlineStr">
        <is>
          <t>AFFF10-S8</t>
        </is>
      </c>
      <c r="C48" s="23" t="inlineStr">
        <is>
          <t xml:space="preserve">    Soporte (accesorio de montaje)</t>
        </is>
      </c>
      <c r="D48" s="22" t="n">
        <v>1</v>
      </c>
      <c r="E48" s="22" t="inlineStr">
        <is>
          <t>u</t>
        </is>
      </c>
      <c r="F48" s="24" t="n"/>
      <c r="G48" s="24">
        <f>G49+G50</f>
        <v/>
      </c>
      <c r="H48" s="22" t="n"/>
      <c r="I48" s="23" t="n"/>
      <c r="J48" s="22" t="inlineStr">
        <is>
          <t>Compra</t>
        </is>
      </c>
      <c r="K48" s="23" t="inlineStr">
        <is>
          <t>23 Embalaje (va dentro de la caja)</t>
        </is>
      </c>
      <c r="L48" s="23" t="inlineStr">
        <is>
          <t>IRAM 3517-2 7.4</t>
        </is>
      </c>
      <c r="M48" s="22" t="n"/>
      <c r="N48" s="22" t="n"/>
      <c r="O48" s="23" t="n"/>
    </row>
    <row r="49" outlineLevel="1">
      <c r="A49" s="25" t="n">
        <v>2</v>
      </c>
      <c r="B49" s="25" t="inlineStr">
        <is>
          <t>AFFF10-I5</t>
        </is>
      </c>
      <c r="C49" s="12" t="inlineStr">
        <is>
          <t xml:space="preserve">        Soporte de pared (FL_ACC_01)</t>
        </is>
      </c>
      <c r="D49" s="25" t="n">
        <v>1</v>
      </c>
      <c r="E49" s="25" t="inlineStr">
        <is>
          <t>u</t>
        </is>
      </c>
      <c r="F49" s="26" t="n">
        <v>0.327</v>
      </c>
      <c r="G49" s="26">
        <f>D49*F49</f>
        <v/>
      </c>
      <c r="H49" s="25" t="inlineStr">
        <is>
          <t>Chapa acero SAE 1010 e=2 pintada</t>
        </is>
      </c>
      <c r="I49" s="12" t="inlineStr">
        <is>
          <t>placa 60 × 180, ala con ranura Ø cuello + 3</t>
        </is>
      </c>
      <c r="J49" s="25" t="inlineStr">
        <is>
          <t>Compra</t>
        </is>
      </c>
      <c r="K49" s="12" t="inlineStr">
        <is>
          <t>23 Embalaje</t>
        </is>
      </c>
      <c r="L49" s="12" t="inlineStr">
        <is>
          <t>IRAM 3517-2 7.4</t>
        </is>
      </c>
      <c r="M49" s="25" t="inlineStr">
        <is>
          <t>P</t>
        </is>
      </c>
      <c r="N49" s="25" t="inlineStr">
        <is>
          <t>FL_ACC_01</t>
        </is>
      </c>
      <c r="O49" s="12" t="n"/>
    </row>
    <row r="50" outlineLevel="1">
      <c r="A50" s="25" t="n">
        <v>2</v>
      </c>
      <c r="B50" s="25" t="inlineStr">
        <is>
          <t>AFFF10-I6</t>
        </is>
      </c>
      <c r="C50" s="12" t="inlineStr">
        <is>
          <t xml:space="preserve">        Tornillo y tarugo de fijación</t>
        </is>
      </c>
      <c r="D50" s="25" t="n">
        <v>2</v>
      </c>
      <c r="E50" s="25" t="inlineStr">
        <is>
          <t>u</t>
        </is>
      </c>
      <c r="F50" s="26" t="n">
        <v>0.01</v>
      </c>
      <c r="G50" s="26">
        <f>D50*F50</f>
        <v/>
      </c>
      <c r="H50" s="25" t="inlineStr">
        <is>
          <t>Acero cincado / nylon</t>
        </is>
      </c>
      <c r="I50" s="12" t="inlineStr">
        <is>
          <t>M6 × 50 + tarugo 8</t>
        </is>
      </c>
      <c r="J50" s="25" t="inlineStr">
        <is>
          <t>Compra</t>
        </is>
      </c>
      <c r="K50" s="12" t="inlineStr">
        <is>
          <t>23 Embalaje</t>
        </is>
      </c>
      <c r="L50" s="12" t="n"/>
      <c r="M50" s="25" t="inlineStr">
        <is>
          <t>R</t>
        </is>
      </c>
      <c r="N50" s="25" t="n"/>
      <c r="O50" s="12" t="n"/>
    </row>
    <row r="51">
      <c r="A51" s="22" t="n">
        <v>1</v>
      </c>
      <c r="B51" s="22" t="inlineStr">
        <is>
          <t>AFFF10-S7</t>
        </is>
      </c>
      <c r="C51" s="23" t="inlineStr">
        <is>
          <t xml:space="preserve">    Embalaje</t>
        </is>
      </c>
      <c r="D51" s="22" t="n">
        <v>1</v>
      </c>
      <c r="E51" s="22" t="inlineStr">
        <is>
          <t>u</t>
        </is>
      </c>
      <c r="F51" s="24" t="n"/>
      <c r="G51" s="24">
        <f>G52+G53+G54+G55+G56</f>
        <v/>
      </c>
      <c r="H51" s="22" t="n"/>
      <c r="I51" s="23" t="n"/>
      <c r="J51" s="22" t="inlineStr">
        <is>
          <t>Compra</t>
        </is>
      </c>
      <c r="K51" s="23" t="inlineStr">
        <is>
          <t>23 Embalaje -&gt; 24 envolvedora (T11)</t>
        </is>
      </c>
      <c r="L51" s="23" t="n"/>
      <c r="M51" s="22" t="n"/>
      <c r="N51" s="22" t="n"/>
      <c r="O51" s="23" t="n"/>
    </row>
    <row r="52" outlineLevel="1">
      <c r="A52" s="25" t="n">
        <v>2</v>
      </c>
      <c r="B52" s="25" t="inlineStr">
        <is>
          <t>AFFF10-E1</t>
        </is>
      </c>
      <c r="C52" s="12" t="inlineStr">
        <is>
          <t xml:space="preserve">        Caja de cartón corrugado doble</t>
        </is>
      </c>
      <c r="D52" s="25" t="n">
        <v>1</v>
      </c>
      <c r="E52" s="25" t="inlineStr">
        <is>
          <t>u</t>
        </is>
      </c>
      <c r="F52" s="26" t="n">
        <v>0.5</v>
      </c>
      <c r="G52" s="26">
        <f>D52*F52</f>
        <v/>
      </c>
      <c r="H52" s="25" t="inlineStr">
        <is>
          <t>Cartón corrugado</t>
        </is>
      </c>
      <c r="I52" s="12" t="inlineStr">
        <is>
          <t>270 × 223 × 670 interior</t>
        </is>
      </c>
      <c r="J52" s="25" t="inlineStr">
        <is>
          <t>Compra</t>
        </is>
      </c>
      <c r="K52" s="12" t="inlineStr">
        <is>
          <t>23 Embalaje</t>
        </is>
      </c>
      <c r="L52" s="12" t="n"/>
      <c r="M52" s="25" t="inlineStr">
        <is>
          <t>R</t>
        </is>
      </c>
      <c r="N52" s="25" t="n"/>
      <c r="O52" s="12" t="n"/>
    </row>
    <row r="53" outlineLevel="1">
      <c r="A53" s="25" t="n">
        <v>2</v>
      </c>
      <c r="B53" s="25" t="inlineStr">
        <is>
          <t>AFFF10-E2</t>
        </is>
      </c>
      <c r="C53" s="12" t="inlineStr">
        <is>
          <t xml:space="preserve">        Instructivo de uso y mantenimiento</t>
        </is>
      </c>
      <c r="D53" s="25" t="n">
        <v>1</v>
      </c>
      <c r="E53" s="25" t="inlineStr">
        <is>
          <t>u</t>
        </is>
      </c>
      <c r="F53" s="26" t="n">
        <v>0.01</v>
      </c>
      <c r="G53" s="26">
        <f>D53*F53</f>
        <v/>
      </c>
      <c r="H53" s="25" t="inlineStr">
        <is>
          <t>Papel</t>
        </is>
      </c>
      <c r="I53" s="12" t="inlineStr">
        <is>
          <t>A5</t>
        </is>
      </c>
      <c r="J53" s="25" t="inlineStr">
        <is>
          <t>Compra</t>
        </is>
      </c>
      <c r="K53" s="12" t="inlineStr">
        <is>
          <t>23 Embalaje</t>
        </is>
      </c>
      <c r="L53" s="12" t="inlineStr">
        <is>
          <t>IRAM 3517-2 (información al usuario)</t>
        </is>
      </c>
      <c r="M53" s="25" t="inlineStr">
        <is>
          <t>R</t>
        </is>
      </c>
      <c r="N53" s="25" t="n"/>
      <c r="O53" s="12" t="n"/>
    </row>
    <row r="54" outlineLevel="1">
      <c r="A54" s="25" t="n">
        <v>2</v>
      </c>
      <c r="B54" s="25" t="inlineStr">
        <is>
          <t>AFFF10-E3</t>
        </is>
      </c>
      <c r="C54" s="12" t="inlineStr">
        <is>
          <t xml:space="preserve">        Pallet 1200 × 1000 (fracción)</t>
        </is>
      </c>
      <c r="D54" s="25" t="n">
        <v>0.0312</v>
      </c>
      <c r="E54" s="25" t="inlineStr">
        <is>
          <t>u</t>
        </is>
      </c>
      <c r="F54" s="26" t="n">
        <v>0.6879999999999999</v>
      </c>
      <c r="G54" s="26">
        <f>D54*F54</f>
        <v/>
      </c>
      <c r="H54" s="25" t="inlineStr">
        <is>
          <t>Madera</t>
        </is>
      </c>
      <c r="I54" s="12" t="inlineStr">
        <is>
          <t>32 u por pallet</t>
        </is>
      </c>
      <c r="J54" s="25" t="inlineStr">
        <is>
          <t>Compra</t>
        </is>
      </c>
      <c r="K54" s="12" t="inlineStr">
        <is>
          <t>23 Embalaje</t>
        </is>
      </c>
      <c r="L54" s="12" t="n"/>
      <c r="M54" s="25" t="inlineStr">
        <is>
          <t>R</t>
        </is>
      </c>
      <c r="N54" s="25" t="n"/>
      <c r="O54" s="12" t="n"/>
    </row>
    <row r="55" outlineLevel="1">
      <c r="A55" s="25" t="n">
        <v>2</v>
      </c>
      <c r="B55" s="25" t="inlineStr">
        <is>
          <t>AFFF10-E4</t>
        </is>
      </c>
      <c r="C55" s="12" t="inlineStr">
        <is>
          <t xml:space="preserve">        Film stretch (fracción del pallet)</t>
        </is>
      </c>
      <c r="D55" s="25" t="n">
        <v>0.0109</v>
      </c>
      <c r="E55" s="25" t="inlineStr">
        <is>
          <t>kg</t>
        </is>
      </c>
      <c r="F55" s="26" t="n">
        <v>1</v>
      </c>
      <c r="G55" s="26">
        <f>D55*F55</f>
        <v/>
      </c>
      <c r="H55" s="25" t="inlineStr">
        <is>
          <t>PE lineal 23 µm</t>
        </is>
      </c>
      <c r="I55" s="12" t="inlineStr">
        <is>
          <t>envolvedora EDOS PS5</t>
        </is>
      </c>
      <c r="J55" s="25" t="inlineStr">
        <is>
          <t>Compra</t>
        </is>
      </c>
      <c r="K55" s="12" t="inlineStr">
        <is>
          <t>24 Envolvedora (T11)</t>
        </is>
      </c>
      <c r="L55" s="12" t="n"/>
      <c r="M55" s="25" t="inlineStr">
        <is>
          <t>R</t>
        </is>
      </c>
      <c r="N55" s="25" t="n"/>
      <c r="O55" s="12" t="n"/>
    </row>
    <row r="56" outlineLevel="1">
      <c r="A56" s="25" t="n">
        <v>2</v>
      </c>
      <c r="B56" s="25" t="inlineStr">
        <is>
          <t>AFFF10-E5</t>
        </is>
      </c>
      <c r="C56" s="12" t="inlineStr">
        <is>
          <t xml:space="preserve">        Etiqueta de pallet (lote y destino, fracción)</t>
        </is>
      </c>
      <c r="D56" s="25" t="n">
        <v>0.0312</v>
      </c>
      <c r="E56" s="25" t="inlineStr">
        <is>
          <t>u</t>
        </is>
      </c>
      <c r="F56" s="26" t="n">
        <v>0</v>
      </c>
      <c r="G56" s="26">
        <f>D56*F56</f>
        <v/>
      </c>
      <c r="H56" s="25" t="inlineStr">
        <is>
          <t>Papel térmico</t>
        </is>
      </c>
      <c r="I56" s="12" t="inlineStr">
        <is>
          <t>100 × 150</t>
        </is>
      </c>
      <c r="J56" s="25" t="inlineStr">
        <is>
          <t>Compra</t>
        </is>
      </c>
      <c r="K56" s="12" t="inlineStr">
        <is>
          <t>24 Envolvedora</t>
        </is>
      </c>
      <c r="L56" s="12" t="n"/>
      <c r="M56" s="25" t="inlineStr">
        <is>
          <t>R</t>
        </is>
      </c>
      <c r="N56" s="25" t="n"/>
      <c r="O56" s="12" t="n"/>
    </row>
  </sheetData>
  <autoFilter ref="A10:O56"/>
  <pageMargins left="0.75" right="0.75" top="1" bottom="1" header="0.5" footer="0.5"/>
  <pageSetup orientation="landscape" fitToHeight="0" fitToWidth="1"/>
</worksheet>
</file>

<file path=xl/worksheets/sheet13.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FL_MAT_AFFF_50l</t>
        </is>
      </c>
    </row>
    <row r="2">
      <c r="A2" s="2" t="inlineStr">
        <is>
          <t>Extintor AFFF 50 l sobre ruedas</t>
        </is>
      </c>
    </row>
    <row r="3">
      <c r="A3" s="14" t="inlineStr">
        <is>
          <t>Plano de origen</t>
        </is>
      </c>
      <c r="C3" t="inlineStr">
        <is>
          <t>FL_MAT_AFFF_50l  (3 láminas)</t>
        </is>
      </c>
      <c r="E3" s="14" t="inlineStr">
        <is>
          <t>Peso vacío S1-S4 (kg)</t>
        </is>
      </c>
      <c r="G3" s="30">
        <f>G12+G21+G35+G42</f>
        <v/>
      </c>
    </row>
    <row r="4">
      <c r="A4" s="14" t="inlineStr">
        <is>
          <t>Plano de despiece</t>
        </is>
      </c>
      <c r="C4" t="inlineStr">
        <is>
          <t>FL_DES_AFFF_50l (salida/despiece/)</t>
        </is>
      </c>
      <c r="E4" s="14" t="inlineStr">
        <is>
          <t>Peso cargado S1-S6 (kg)</t>
        </is>
      </c>
      <c r="G4" s="30">
        <f>G12+G21+G35+G42+G49+G53</f>
        <v/>
      </c>
    </row>
    <row r="5">
      <c r="A5" s="14" t="inlineStr">
        <is>
          <t>Norma del producto</t>
        </is>
      </c>
      <c r="C5" t="inlineStr">
        <is>
          <t>IRAM 3541</t>
        </is>
      </c>
      <c r="E5" s="14" t="inlineStr">
        <is>
          <t>Peso con soporte y embalaje (kg)</t>
        </is>
      </c>
      <c r="G5" s="30">
        <f>G12+G21+G35+G42+G49+G53+G59</f>
        <v/>
      </c>
    </row>
    <row r="6">
      <c r="A6" s="14" t="inlineStr">
        <is>
          <t>Fabricación</t>
        </is>
      </c>
      <c r="C6" t="inlineStr">
        <is>
          <t>Tercerizado revendido (S4)</t>
        </is>
      </c>
      <c r="E6" s="14" t="inlineStr">
        <is>
          <t>Desvío cargado vs catálogo</t>
        </is>
      </c>
      <c r="G6" s="10">
        <f>G4/C7-1</f>
        <v/>
      </c>
    </row>
    <row r="7">
      <c r="A7" s="14" t="inlineStr">
        <is>
          <t>Peso catálogo cargado (kg)</t>
        </is>
      </c>
      <c r="C7" t="n">
        <v>100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FL_MAT_AFFF_50l</t>
        </is>
      </c>
      <c r="C11" s="20" t="inlineStr">
        <is>
          <t>Extintor AFFF 50 l sobre ruedas</t>
        </is>
      </c>
      <c r="D11" s="19" t="n">
        <v>1</v>
      </c>
      <c r="E11" s="19" t="inlineStr">
        <is>
          <t>u</t>
        </is>
      </c>
      <c r="F11" s="21" t="n"/>
      <c r="G11" s="21">
        <f>G5</f>
        <v/>
      </c>
      <c r="H11" s="19" t="n"/>
      <c r="I11" s="20" t="n"/>
      <c r="J11" s="19" t="n"/>
      <c r="K11" s="20" t="n"/>
      <c r="L11" s="20" t="inlineStr">
        <is>
          <t>IRAM 3541</t>
        </is>
      </c>
      <c r="M11" s="19" t="inlineStr">
        <is>
          <t>P</t>
        </is>
      </c>
      <c r="N11" s="19" t="inlineStr">
        <is>
          <t>FL_MAT_AFFF_50l</t>
        </is>
      </c>
      <c r="O11" s="20" t="inlineStr">
        <is>
          <t>Tercerizado revendido (S4)</t>
        </is>
      </c>
    </row>
    <row r="12">
      <c r="A12" s="22" t="n">
        <v>1</v>
      </c>
      <c r="B12" s="22" t="inlineStr">
        <is>
          <t>AFFF50-S1</t>
        </is>
      </c>
      <c r="C12" s="23" t="inlineStr">
        <is>
          <t xml:space="preserve">    Recipiente (cilindro)</t>
        </is>
      </c>
      <c r="D12" s="22" t="n">
        <v>1</v>
      </c>
      <c r="E12" s="22" t="inlineStr">
        <is>
          <t>u</t>
        </is>
      </c>
      <c r="F12" s="24" t="n"/>
      <c r="G12" s="24">
        <f>G13+G14+G15+G16+G17+G20</f>
        <v/>
      </c>
      <c r="H12" s="22" t="n"/>
      <c r="I12" s="23" t="n"/>
      <c r="J12" s="22" t="inlineStr">
        <is>
          <t>Compra / armado</t>
        </is>
      </c>
      <c r="K12" s="23" t="n"/>
      <c r="L12" s="23" t="inlineStr">
        <is>
          <t>IRAM 3523 / 3550 (recipiente)</t>
        </is>
      </c>
      <c r="M12" s="22" t="inlineStr">
        <is>
          <t>P</t>
        </is>
      </c>
      <c r="N12" s="22" t="inlineStr">
        <is>
          <t>FL_DES_AFFF_50l</t>
        </is>
      </c>
      <c r="O12" s="23" t="n"/>
    </row>
    <row r="13" outlineLevel="1">
      <c r="A13" s="25" t="n">
        <v>2</v>
      </c>
      <c r="B13" s="25" t="inlineStr">
        <is>
          <t>AFFF50-01</t>
        </is>
      </c>
      <c r="C13" s="12" t="inlineStr">
        <is>
          <t xml:space="preserve">        Cuerpo (virola)</t>
        </is>
      </c>
      <c r="D13" s="25" t="n">
        <v>1</v>
      </c>
      <c r="E13" s="25" t="inlineStr">
        <is>
          <t>u</t>
        </is>
      </c>
      <c r="F13" s="26" t="n">
        <v>13.3755</v>
      </c>
      <c r="G13" s="26">
        <f>D13*F13</f>
        <v/>
      </c>
      <c r="H13" s="25" t="inlineStr">
        <is>
          <t>Chapa acero SAE 1010 e=3,2</t>
        </is>
      </c>
      <c r="I13" s="12" t="inlineStr">
        <is>
          <t>Ø320 × e3,2 × 535 de alto; desarrollo 995,3 × 535</t>
        </is>
      </c>
      <c r="J13" s="25" t="inlineStr">
        <is>
          <t>Compra (en el conjunto)</t>
        </is>
      </c>
      <c r="K13" s="12" t="inlineStr">
        <is>
          <t>S4 - se compra terminado (tercerizado con sello IRAM)</t>
        </is>
      </c>
      <c r="L13" s="12" t="n"/>
      <c r="M13" s="25" t="inlineStr">
        <is>
          <t>P</t>
        </is>
      </c>
      <c r="N13" s="25" t="inlineStr">
        <is>
          <t>FL_DES_AFFF_50l</t>
        </is>
      </c>
      <c r="O13" s="12" t="inlineStr">
        <is>
          <t>costura long. MIG</t>
        </is>
      </c>
    </row>
    <row r="14" outlineLevel="1">
      <c r="A14" s="25" t="n">
        <v>2</v>
      </c>
      <c r="B14" s="25" t="inlineStr">
        <is>
          <t>AFFF50-02</t>
        </is>
      </c>
      <c r="C14" s="12" t="inlineStr">
        <is>
          <t xml:space="preserve">        Cúpula</t>
        </is>
      </c>
      <c r="D14" s="25" t="n">
        <v>1</v>
      </c>
      <c r="E14" s="25" t="inlineStr">
        <is>
          <t>u</t>
        </is>
      </c>
      <c r="F14" s="26" t="n">
        <v>2.884</v>
      </c>
      <c r="G14" s="26">
        <f>D14*F14</f>
        <v/>
      </c>
      <c r="H14" s="25" t="inlineStr">
        <is>
          <t>Chapa acero SAE 1010 e=3,2</t>
        </is>
      </c>
      <c r="I14" s="12" t="inlineStr">
        <is>
          <t>Ø320 × e3,2 × 101,7 de alto; disco Ø393,8</t>
        </is>
      </c>
      <c r="J14" s="25" t="inlineStr">
        <is>
          <t>Compra (en el conjunto)</t>
        </is>
      </c>
      <c r="K14" s="12" t="inlineStr">
        <is>
          <t>S4 - se compra terminado (tercerizado con sello IRAM)</t>
        </is>
      </c>
      <c r="L14" s="12" t="n"/>
      <c r="M14" s="25" t="inlineStr">
        <is>
          <t>P</t>
        </is>
      </c>
      <c r="N14" s="25" t="inlineStr">
        <is>
          <t>FL_DES_AFFF_50l</t>
        </is>
      </c>
      <c r="O14" s="12" t="inlineStr">
        <is>
          <t>embutida</t>
        </is>
      </c>
    </row>
    <row r="15" outlineLevel="1">
      <c r="A15" s="25" t="n">
        <v>2</v>
      </c>
      <c r="B15" s="25" t="inlineStr">
        <is>
          <t>AFFF50-03</t>
        </is>
      </c>
      <c r="C15" s="12" t="inlineStr">
        <is>
          <t xml:space="preserve">        Fondo</t>
        </is>
      </c>
      <c r="D15" s="25" t="n">
        <v>1</v>
      </c>
      <c r="E15" s="25" t="inlineStr">
        <is>
          <t>u</t>
        </is>
      </c>
      <c r="F15" s="26" t="n">
        <v>3.1025</v>
      </c>
      <c r="G15" s="26">
        <f>D15*F15</f>
        <v/>
      </c>
      <c r="H15" s="25" t="inlineStr">
        <is>
          <t>Chapa acero SAE 1010 e=3,2</t>
        </is>
      </c>
      <c r="I15" s="12" t="inlineStr">
        <is>
          <t>Ø320 × e3,2 × 105 de alto; disco Ø408,5</t>
        </is>
      </c>
      <c r="J15" s="25" t="inlineStr">
        <is>
          <t>Compra (en el conjunto)</t>
        </is>
      </c>
      <c r="K15" s="12" t="inlineStr">
        <is>
          <t>S4 - se compra terminado (tercerizado con sello IRAM)</t>
        </is>
      </c>
      <c r="L15" s="12" t="n"/>
      <c r="M15" s="25" t="inlineStr">
        <is>
          <t>P</t>
        </is>
      </c>
      <c r="N15" s="25" t="inlineStr">
        <is>
          <t>FL_DES_AFFF_50l</t>
        </is>
      </c>
      <c r="O15" s="12" t="inlineStr">
        <is>
          <t>embutido</t>
        </is>
      </c>
    </row>
    <row r="16" outlineLevel="1">
      <c r="A16" s="25" t="n">
        <v>2</v>
      </c>
      <c r="B16" s="25" t="inlineStr">
        <is>
          <t>AFFF50-04</t>
        </is>
      </c>
      <c r="C16" s="12" t="inlineStr">
        <is>
          <t xml:space="preserve">        Cuello roscado</t>
        </is>
      </c>
      <c r="D16" s="25" t="n">
        <v>1</v>
      </c>
      <c r="E16" s="25" t="inlineStr">
        <is>
          <t>u</t>
        </is>
      </c>
      <c r="F16" s="26" t="n">
        <v>0.6085</v>
      </c>
      <c r="G16" s="26">
        <f>D16*F16</f>
        <v/>
      </c>
      <c r="H16" s="25" t="inlineStr">
        <is>
          <t>Acero SAE 1010</t>
        </is>
      </c>
      <c r="I16" s="12" t="inlineStr">
        <is>
          <t>Ø88 × 37 de alto, rosca RBSP 2 1/2"-11 h, asiento Ø80</t>
        </is>
      </c>
      <c r="J16" s="25" t="inlineStr">
        <is>
          <t>Compra (en el conjunto)</t>
        </is>
      </c>
      <c r="K16" s="12" t="inlineStr">
        <is>
          <t>S4 - se compra terminado (tercerizado con sello IRAM)</t>
        </is>
      </c>
      <c r="L16" s="12" t="n"/>
      <c r="M16" s="25" t="inlineStr">
        <is>
          <t>P</t>
        </is>
      </c>
      <c r="N16" s="25" t="inlineStr">
        <is>
          <t>FL_DES_AFFF_50l</t>
        </is>
      </c>
      <c r="O16" s="12" t="inlineStr">
        <is>
          <t>RBSP 2 1/2"-11 h</t>
        </is>
      </c>
    </row>
    <row r="17" outlineLevel="1">
      <c r="A17" s="25" t="n">
        <v>2</v>
      </c>
      <c r="B17" s="25" t="inlineStr">
        <is>
          <t>AFFF50-C1</t>
        </is>
      </c>
      <c r="C17" s="12" t="inlineStr">
        <is>
          <t xml:space="preserve">        Aporte de soldadura: Alambre MAG ER70S-6 Ø0,9/1,2</t>
        </is>
      </c>
      <c r="D17" s="25" t="n">
        <v>0.433</v>
      </c>
      <c r="E17" s="25" t="inlineStr">
        <is>
          <t>kg</t>
        </is>
      </c>
      <c r="F17" s="26" t="n">
        <v>0.92</v>
      </c>
      <c r="G17" s="26">
        <f>D17*F17</f>
        <v/>
      </c>
      <c r="H17" s="25" t="inlineStr">
        <is>
          <t>Alambre MAG ER70S-6 Ø0,9/1,2</t>
        </is>
      </c>
      <c r="I17" s="12" t="inlineStr">
        <is>
          <t>cordones del plano: 398 g depositados (rend. 92 %)</t>
        </is>
      </c>
      <c r="J17" s="25" t="inlineStr">
        <is>
          <t>Compra</t>
        </is>
      </c>
      <c r="K17" s="12" t="inlineStr">
        <is>
          <t>4 sold. long. / 8 cuello / 11 circunferencial</t>
        </is>
      </c>
      <c r="L17" s="12" t="inlineStr">
        <is>
          <t>ISO 4063 131 / 141</t>
        </is>
      </c>
      <c r="M17" s="25" t="inlineStr">
        <is>
          <t>P</t>
        </is>
      </c>
      <c r="N17" s="25" t="n"/>
      <c r="O17" s="12" t="n"/>
    </row>
    <row r="18" outlineLevel="1">
      <c r="A18" s="25" t="n">
        <v>2</v>
      </c>
      <c r="B18" s="25" t="inlineStr">
        <is>
          <t>AFFF50-C2</t>
        </is>
      </c>
      <c r="C18" s="12" t="inlineStr">
        <is>
          <t xml:space="preserve">        Gas de protección: Arcal 21 (Ar + 18 % CO₂)</t>
        </is>
      </c>
      <c r="D18" s="25" t="n">
        <v>194.9</v>
      </c>
      <c r="E18" s="25" t="inlineStr">
        <is>
          <t>L</t>
        </is>
      </c>
      <c r="F18" s="26" t="n"/>
      <c r="G18" s="26" t="n"/>
      <c r="H18" s="25" t="inlineStr">
        <is>
          <t>Arcal 21 (Ar + 18 % CO₂)</t>
        </is>
      </c>
      <c r="I18" s="12" t="inlineStr">
        <is>
          <t>13 min de arco × 15 L/min</t>
        </is>
      </c>
      <c r="J18" s="25" t="inlineStr">
        <is>
          <t>Compra</t>
        </is>
      </c>
      <c r="K18" s="12" t="inlineStr">
        <is>
          <t>Colector SC</t>
        </is>
      </c>
      <c r="L18" s="12" t="n"/>
      <c r="M18" s="25" t="inlineStr">
        <is>
          <t>R</t>
        </is>
      </c>
      <c r="N18" s="25" t="n"/>
      <c r="O18" s="12" t="n"/>
    </row>
    <row r="19" outlineLevel="1">
      <c r="A19" s="25" t="n">
        <v>2</v>
      </c>
      <c r="B19" s="25" t="inlineStr">
        <is>
          <t>AFFF50-C3</t>
        </is>
      </c>
      <c r="C19" s="12" t="inlineStr">
        <is>
          <t xml:space="preserve">        Granalla de acero (consumo)</t>
        </is>
      </c>
      <c r="D19" s="25" t="n">
        <v>0.062</v>
      </c>
      <c r="E19" s="25" t="inlineStr">
        <is>
          <t>kg</t>
        </is>
      </c>
      <c r="F19" s="26" t="n"/>
      <c r="G19" s="26" t="n"/>
      <c r="H19" s="25" t="inlineStr">
        <is>
          <t>Granalla S-230</t>
        </is>
      </c>
      <c r="I19" s="12" t="inlineStr">
        <is>
          <t>0,771 m² a Sa 2½</t>
        </is>
      </c>
      <c r="J19" s="25" t="inlineStr">
        <is>
          <t>Compra</t>
        </is>
      </c>
      <c r="K19" s="12" t="inlineStr">
        <is>
          <t>14 Granallado (B08)</t>
        </is>
      </c>
      <c r="L19" s="12" t="inlineStr">
        <is>
          <t>ISO 8501-1</t>
        </is>
      </c>
      <c r="M19" s="25" t="inlineStr">
        <is>
          <t>R</t>
        </is>
      </c>
      <c r="N19" s="25" t="n"/>
      <c r="O19" s="12" t="n"/>
    </row>
    <row r="20" outlineLevel="1">
      <c r="A20" s="25" t="n">
        <v>2</v>
      </c>
      <c r="B20" s="25" t="inlineStr">
        <is>
          <t>AFFF50-C4</t>
        </is>
      </c>
      <c r="C20" s="12" t="inlineStr">
        <is>
          <t xml:space="preserve">        Pintura en polvo poliéster rojo</t>
        </is>
      </c>
      <c r="D20" s="25" t="n">
        <v>0.143</v>
      </c>
      <c r="E20" s="25" t="inlineStr">
        <is>
          <t>kg</t>
        </is>
      </c>
      <c r="F20" s="26" t="n">
        <v>0.65</v>
      </c>
      <c r="G20" s="26">
        <f>D20*F20</f>
        <v/>
      </c>
      <c r="H20" s="25" t="inlineStr">
        <is>
          <t>Poliéster rojo 03-1-050</t>
        </is>
      </c>
      <c r="I20" s="12" t="inlineStr">
        <is>
          <t>0,771 m² × 80 µm (60-100 µm), rendimiento 65 %</t>
        </is>
      </c>
      <c r="J20" s="25" t="inlineStr">
        <is>
          <t>Compra</t>
        </is>
      </c>
      <c r="K20" s="12" t="inlineStr">
        <is>
          <t>17 Pintura (S-P) / tercerizada en carros</t>
        </is>
      </c>
      <c r="L20" s="12" t="inlineStr">
        <is>
          <t>DOC-01 · IRAM 3517-2 9.10</t>
        </is>
      </c>
      <c r="M20" s="25" t="inlineStr">
        <is>
          <t>R</t>
        </is>
      </c>
      <c r="N20" s="25" t="n"/>
      <c r="O20" s="12" t="n"/>
    </row>
    <row r="21">
      <c r="A21" s="22" t="n">
        <v>1</v>
      </c>
      <c r="B21" s="22" t="inlineStr">
        <is>
          <t>AFFF50-S2</t>
        </is>
      </c>
      <c r="C21" s="23" t="inlineStr">
        <is>
          <t xml:space="preserve">    Conjunto de válvula</t>
        </is>
      </c>
      <c r="D21" s="22" t="n">
        <v>1</v>
      </c>
      <c r="E21" s="22" t="inlineStr">
        <is>
          <t>u</t>
        </is>
      </c>
      <c r="F21" s="24" t="n"/>
      <c r="G21" s="24">
        <f>G22+G23+G24+G25+G26+G27+G28+G29+G30+G31+G32+G33+G34</f>
        <v/>
      </c>
      <c r="H21" s="22" t="n"/>
      <c r="I21" s="23" t="n"/>
      <c r="J21" s="22" t="inlineStr">
        <is>
          <t>Compra / armado</t>
        </is>
      </c>
      <c r="K21" s="23" t="n"/>
      <c r="L21" s="23" t="inlineStr">
        <is>
          <t>Manómetro IRAM 3533</t>
        </is>
      </c>
      <c r="M21" s="22" t="inlineStr">
        <is>
          <t>P</t>
        </is>
      </c>
      <c r="N21" s="22" t="inlineStr">
        <is>
          <t>FL_DES_AFFF_50l</t>
        </is>
      </c>
      <c r="O21" s="23" t="n"/>
    </row>
    <row r="22" outlineLevel="1">
      <c r="A22" s="25" t="n">
        <v>2</v>
      </c>
      <c r="B22" s="25" t="inlineStr">
        <is>
          <t>AFFF50-11</t>
        </is>
      </c>
      <c r="C22" s="12" t="inlineStr">
        <is>
          <t xml:space="preserve">        Collarín de válvula</t>
        </is>
      </c>
      <c r="D22" s="25" t="n">
        <v>1</v>
      </c>
      <c r="E22" s="25" t="inlineStr">
        <is>
          <t>u</t>
        </is>
      </c>
      <c r="F22" s="26" t="n">
        <v>0.4107</v>
      </c>
      <c r="G22" s="26">
        <f>D22*F22</f>
        <v/>
      </c>
      <c r="H22" s="25" t="inlineStr">
        <is>
          <t>Latón forjado</t>
        </is>
      </c>
      <c r="I22" s="12" t="inlineStr">
        <is>
          <t>96,1 × 96,1 × 13,5</t>
        </is>
      </c>
      <c r="J22" s="25" t="inlineStr">
        <is>
          <t>Compra (en el conjunto)</t>
        </is>
      </c>
      <c r="K22" s="12" t="inlineStr">
        <is>
          <t>S4 - se compra terminado (tercerizado con sello IRAM)</t>
        </is>
      </c>
      <c r="L22" s="12" t="n"/>
      <c r="M22" s="25" t="inlineStr">
        <is>
          <t>P</t>
        </is>
      </c>
      <c r="N22" s="25" t="inlineStr">
        <is>
          <t>FL_DES_AFFF_50l</t>
        </is>
      </c>
      <c r="O22" s="12" t="n"/>
    </row>
    <row r="23" outlineLevel="1">
      <c r="A23" s="25" t="n">
        <v>2</v>
      </c>
      <c r="B23" s="25" t="inlineStr">
        <is>
          <t>AFFF50-12</t>
        </is>
      </c>
      <c r="C23" s="12" t="inlineStr">
        <is>
          <t xml:space="preserve">        Espiga roscada</t>
        </is>
      </c>
      <c r="D23" s="25" t="n">
        <v>1</v>
      </c>
      <c r="E23" s="25" t="inlineStr">
        <is>
          <t>u</t>
        </is>
      </c>
      <c r="F23" s="26" t="n">
        <v>0.1187</v>
      </c>
      <c r="G23" s="26">
        <f>D23*F23</f>
        <v/>
      </c>
      <c r="H23" s="25" t="inlineStr">
        <is>
          <t>Latón forjado</t>
        </is>
      </c>
      <c r="I23" s="12" t="inlineStr">
        <is>
          <t>72,2 × 72,2 × 16,2</t>
        </is>
      </c>
      <c r="J23" s="25" t="inlineStr">
        <is>
          <t>Compra (en el conjunto)</t>
        </is>
      </c>
      <c r="K23" s="12" t="inlineStr">
        <is>
          <t>S4 - se compra terminado (tercerizado con sello IRAM)</t>
        </is>
      </c>
      <c r="L23" s="12" t="n"/>
      <c r="M23" s="25" t="inlineStr">
        <is>
          <t>P</t>
        </is>
      </c>
      <c r="N23" s="25" t="inlineStr">
        <is>
          <t>FL_DES_AFFF_50l</t>
        </is>
      </c>
      <c r="O23" s="12" t="n"/>
    </row>
    <row r="24" outlineLevel="1">
      <c r="A24" s="25" t="n">
        <v>2</v>
      </c>
      <c r="B24" s="25" t="inlineStr">
        <is>
          <t>AFFF50-13</t>
        </is>
      </c>
      <c r="C24" s="12" t="inlineStr">
        <is>
          <t xml:space="preserve">        Cuerpo de válvula</t>
        </is>
      </c>
      <c r="D24" s="25" t="n">
        <v>1</v>
      </c>
      <c r="E24" s="25" t="inlineStr">
        <is>
          <t>u</t>
        </is>
      </c>
      <c r="F24" s="26" t="n">
        <v>0.7378</v>
      </c>
      <c r="G24" s="26">
        <f>D24*F24</f>
        <v/>
      </c>
      <c r="H24" s="25" t="inlineStr">
        <is>
          <t>Latón forjado</t>
        </is>
      </c>
      <c r="I24" s="12" t="inlineStr">
        <is>
          <t>58,4 × 54 × 46,3</t>
        </is>
      </c>
      <c r="J24" s="25" t="inlineStr">
        <is>
          <t>Compra (en el conjunto)</t>
        </is>
      </c>
      <c r="K24" s="12" t="inlineStr">
        <is>
          <t>S4 - se compra terminado (tercerizado con sello IRAM)</t>
        </is>
      </c>
      <c r="L24" s="12" t="n"/>
      <c r="M24" s="25" t="inlineStr">
        <is>
          <t>P</t>
        </is>
      </c>
      <c r="N24" s="25" t="inlineStr">
        <is>
          <t>FL_DES_AFFF_50l</t>
        </is>
      </c>
      <c r="O24" s="12" t="n"/>
    </row>
    <row r="25" outlineLevel="1">
      <c r="A25" s="25" t="n">
        <v>2</v>
      </c>
      <c r="B25" s="25" t="inlineStr">
        <is>
          <t>AFFF50-14</t>
        </is>
      </c>
      <c r="C25" s="12" t="inlineStr">
        <is>
          <t xml:space="preserve">        Manómetro</t>
        </is>
      </c>
      <c r="D25" s="25" t="n">
        <v>1</v>
      </c>
      <c r="E25" s="25" t="inlineStr">
        <is>
          <t>u</t>
        </is>
      </c>
      <c r="F25" s="26" t="n">
        <v>0.12</v>
      </c>
      <c r="G25" s="26">
        <f>D25*F25</f>
        <v/>
      </c>
      <c r="H25" s="25" t="inlineStr">
        <is>
          <t>Comercial</t>
        </is>
      </c>
      <c r="I25" s="12" t="inlineStr">
        <is>
          <t>Ø50 esfera, rango 0-2 MPa, sector verde en 0,8</t>
        </is>
      </c>
      <c r="J25" s="25" t="inlineStr">
        <is>
          <t>Compra (en el conjunto)</t>
        </is>
      </c>
      <c r="K25" s="12" t="inlineStr">
        <is>
          <t>S4 - se compra terminado (tercerizado con sello IRAM)</t>
        </is>
      </c>
      <c r="L25" s="12" t="inlineStr">
        <is>
          <t>IRAM 3533</t>
        </is>
      </c>
      <c r="M25" s="25" t="inlineStr">
        <is>
          <t>R</t>
        </is>
      </c>
      <c r="N25" s="25" t="inlineStr">
        <is>
          <t>FL_DES_AFFF_50l</t>
        </is>
      </c>
      <c r="O25" s="12" t="inlineStr">
        <is>
          <t>Pieza comercial; sello IRAM 3533</t>
        </is>
      </c>
    </row>
    <row r="26" outlineLevel="1">
      <c r="A26" s="25" t="n">
        <v>2</v>
      </c>
      <c r="B26" s="25" t="inlineStr">
        <is>
          <t>AFFF50-15</t>
        </is>
      </c>
      <c r="C26" s="12" t="inlineStr">
        <is>
          <t xml:space="preserve">        Manija de transporte</t>
        </is>
      </c>
      <c r="D26" s="25" t="n">
        <v>1</v>
      </c>
      <c r="E26" s="25" t="inlineStr">
        <is>
          <t>u</t>
        </is>
      </c>
      <c r="F26" s="26" t="n">
        <v>0.1002</v>
      </c>
      <c r="G26" s="26">
        <f>D26*F26</f>
        <v/>
      </c>
      <c r="H26" s="25" t="inlineStr">
        <is>
          <t>Chapa acero SAE 1010 pintada</t>
        </is>
      </c>
      <c r="I26" s="12" t="inlineStr">
        <is>
          <t>87,6 × 27 × 14,5</t>
        </is>
      </c>
      <c r="J26" s="25" t="inlineStr">
        <is>
          <t>Compra (en el conjunto)</t>
        </is>
      </c>
      <c r="K26" s="12" t="inlineStr">
        <is>
          <t>S4 - se compra terminado (tercerizado con sello IRAM)</t>
        </is>
      </c>
      <c r="L26" s="12" t="n"/>
      <c r="M26" s="25" t="inlineStr">
        <is>
          <t>P</t>
        </is>
      </c>
      <c r="N26" s="25" t="inlineStr">
        <is>
          <t>FL_DES_AFFF_50l</t>
        </is>
      </c>
      <c r="O26" s="12" t="n"/>
    </row>
    <row r="27" outlineLevel="1">
      <c r="A27" s="25" t="n">
        <v>2</v>
      </c>
      <c r="B27" s="25" t="inlineStr">
        <is>
          <t>AFFF50-16</t>
        </is>
      </c>
      <c r="C27" s="12" t="inlineStr">
        <is>
          <t xml:space="preserve">        Manija de accionamiento</t>
        </is>
      </c>
      <c r="D27" s="25" t="n">
        <v>1</v>
      </c>
      <c r="E27" s="25" t="inlineStr">
        <is>
          <t>u</t>
        </is>
      </c>
      <c r="F27" s="26" t="n">
        <v>0.1682</v>
      </c>
      <c r="G27" s="26">
        <f>D27*F27</f>
        <v/>
      </c>
      <c r="H27" s="25" t="inlineStr">
        <is>
          <t>Chapa acero SAE 1010 pintada</t>
        </is>
      </c>
      <c r="I27" s="12" t="inlineStr">
        <is>
          <t>146,6 × 27 × 23,3</t>
        </is>
      </c>
      <c r="J27" s="25" t="inlineStr">
        <is>
          <t>Compra (en el conjunto)</t>
        </is>
      </c>
      <c r="K27" s="12" t="inlineStr">
        <is>
          <t>S4 - se compra terminado (tercerizado con sello IRAM)</t>
        </is>
      </c>
      <c r="L27" s="12" t="n"/>
      <c r="M27" s="25" t="inlineStr">
        <is>
          <t>P</t>
        </is>
      </c>
      <c r="N27" s="25" t="inlineStr">
        <is>
          <t>FL_DES_AFFF_50l</t>
        </is>
      </c>
      <c r="O27" s="12" t="n"/>
    </row>
    <row r="28" outlineLevel="1">
      <c r="A28" s="25" t="n">
        <v>2</v>
      </c>
      <c r="B28" s="25" t="inlineStr">
        <is>
          <t>AFFF50-17</t>
        </is>
      </c>
      <c r="C28" s="12" t="inlineStr">
        <is>
          <t xml:space="preserve">        Eje de palanca</t>
        </is>
      </c>
      <c r="D28" s="25" t="n">
        <v>1</v>
      </c>
      <c r="E28" s="25" t="inlineStr">
        <is>
          <t>u</t>
        </is>
      </c>
      <c r="F28" s="26" t="n">
        <v>0.0199</v>
      </c>
      <c r="G28" s="26">
        <f>D28*F28</f>
        <v/>
      </c>
      <c r="H28" s="25" t="inlineStr">
        <is>
          <t>Acero inox. AISI 304</t>
        </is>
      </c>
      <c r="I28" s="12" t="inlineStr">
        <is>
          <t>48,6 × 8,1 × 8,1</t>
        </is>
      </c>
      <c r="J28" s="25" t="inlineStr">
        <is>
          <t>Compra (en el conjunto)</t>
        </is>
      </c>
      <c r="K28" s="12" t="inlineStr">
        <is>
          <t>S4 - se compra terminado (tercerizado con sello IRAM)</t>
        </is>
      </c>
      <c r="L28" s="12" t="n"/>
      <c r="M28" s="25" t="inlineStr">
        <is>
          <t>P</t>
        </is>
      </c>
      <c r="N28" s="25" t="inlineStr">
        <is>
          <t>FL_DES_AFFF_50l</t>
        </is>
      </c>
      <c r="O28" s="12" t="n"/>
    </row>
    <row r="29" outlineLevel="1">
      <c r="A29" s="25" t="n">
        <v>2</v>
      </c>
      <c r="B29" s="25" t="inlineStr">
        <is>
          <t>AFFF50-18</t>
        </is>
      </c>
      <c r="C29" s="12" t="inlineStr">
        <is>
          <t xml:space="preserve">        Vástago</t>
        </is>
      </c>
      <c r="D29" s="25" t="n">
        <v>1</v>
      </c>
      <c r="E29" s="25" t="inlineStr">
        <is>
          <t>u</t>
        </is>
      </c>
      <c r="F29" s="26" t="n">
        <v>0.0039</v>
      </c>
      <c r="G29" s="26">
        <f>D29*F29</f>
        <v/>
      </c>
      <c r="H29" s="25" t="inlineStr">
        <is>
          <t>Latón</t>
        </is>
      </c>
      <c r="I29" s="12" t="inlineStr">
        <is>
          <t>10,8 × 10,8 × 5</t>
        </is>
      </c>
      <c r="J29" s="25" t="inlineStr">
        <is>
          <t>Compra (en el conjunto)</t>
        </is>
      </c>
      <c r="K29" s="12" t="inlineStr">
        <is>
          <t>S4 - se compra terminado (tercerizado con sello IRAM)</t>
        </is>
      </c>
      <c r="L29" s="12" t="n"/>
      <c r="M29" s="25" t="inlineStr">
        <is>
          <t>P</t>
        </is>
      </c>
      <c r="N29" s="25" t="inlineStr">
        <is>
          <t>FL_DES_AFFF_50l</t>
        </is>
      </c>
      <c r="O29" s="12" t="inlineStr">
        <is>
          <t>con junta tórica</t>
        </is>
      </c>
    </row>
    <row r="30" outlineLevel="1">
      <c r="A30" s="25" t="n">
        <v>2</v>
      </c>
      <c r="B30" s="25" t="inlineStr">
        <is>
          <t>AFFF50-19</t>
        </is>
      </c>
      <c r="C30" s="12" t="inlineStr">
        <is>
          <t xml:space="preserve">        Pasador de seguridad</t>
        </is>
      </c>
      <c r="D30" s="25" t="n">
        <v>1</v>
      </c>
      <c r="E30" s="25" t="inlineStr">
        <is>
          <t>u</t>
        </is>
      </c>
      <c r="F30" s="26" t="n">
        <v>0.0135</v>
      </c>
      <c r="G30" s="26">
        <f>D30*F30</f>
        <v/>
      </c>
      <c r="H30" s="25" t="inlineStr">
        <is>
          <t>Alambre acero inox. AISI 304</t>
        </is>
      </c>
      <c r="I30" s="12" t="inlineStr">
        <is>
          <t>61,3 × 28,4 × 28,1</t>
        </is>
      </c>
      <c r="J30" s="25" t="inlineStr">
        <is>
          <t>Compra (en el conjunto)</t>
        </is>
      </c>
      <c r="K30" s="12" t="inlineStr">
        <is>
          <t>S4 - se compra terminado (tercerizado con sello IRAM)</t>
        </is>
      </c>
      <c r="L30" s="12" t="n"/>
      <c r="M30" s="25" t="inlineStr">
        <is>
          <t>P</t>
        </is>
      </c>
      <c r="N30" s="25" t="inlineStr">
        <is>
          <t>FL_DES_AFFF_50l</t>
        </is>
      </c>
      <c r="O30" s="12" t="inlineStr">
        <is>
          <t>con precinto</t>
        </is>
      </c>
    </row>
    <row r="31" outlineLevel="1">
      <c r="A31" s="25" t="n">
        <v>2</v>
      </c>
      <c r="B31" s="25" t="inlineStr">
        <is>
          <t>AFFF50-20</t>
        </is>
      </c>
      <c r="C31" s="12" t="inlineStr">
        <is>
          <t xml:space="preserve">        Caño de pesca (sifón)</t>
        </is>
      </c>
      <c r="D31" s="25" t="n">
        <v>1</v>
      </c>
      <c r="E31" s="25" t="inlineStr">
        <is>
          <t>u</t>
        </is>
      </c>
      <c r="F31" s="26" t="n">
        <v>0.1736</v>
      </c>
      <c r="G31" s="26">
        <f>D31*F31</f>
        <v/>
      </c>
      <c r="H31" s="25" t="inlineStr">
        <is>
          <t>Tubo PVC rígido</t>
        </is>
      </c>
      <c r="I31" s="12" t="inlineStr">
        <is>
          <t>Ø24 × 734,3 de largo</t>
        </is>
      </c>
      <c r="J31" s="25" t="inlineStr">
        <is>
          <t>Compra (en el conjunto)</t>
        </is>
      </c>
      <c r="K31" s="12" t="inlineStr">
        <is>
          <t>S4 - se compra terminado (tercerizado con sello IRAM)</t>
        </is>
      </c>
      <c r="L31" s="12" t="n"/>
      <c r="M31" s="25" t="inlineStr">
        <is>
          <t>P</t>
        </is>
      </c>
      <c r="N31" s="25" t="inlineStr">
        <is>
          <t>FL_DES_AFFF_50l</t>
        </is>
      </c>
      <c r="O31" s="12" t="n"/>
    </row>
    <row r="32" outlineLevel="1">
      <c r="A32" s="25" t="n">
        <v>2</v>
      </c>
      <c r="B32" s="25" t="inlineStr">
        <is>
          <t>AFFF50-30</t>
        </is>
      </c>
      <c r="C32" s="12" t="inlineStr">
        <is>
          <t xml:space="preserve">        Junta tórica de asiento</t>
        </is>
      </c>
      <c r="D32" s="25" t="n">
        <v>1</v>
      </c>
      <c r="E32" s="25" t="inlineStr">
        <is>
          <t>u</t>
        </is>
      </c>
      <c r="F32" s="26" t="n">
        <v>0.0024</v>
      </c>
      <c r="G32" s="26">
        <f>D32*F32</f>
        <v/>
      </c>
      <c r="H32" s="25" t="inlineStr">
        <is>
          <t>NBR 70 Shore A</t>
        </is>
      </c>
      <c r="I32" s="12" t="inlineStr">
        <is>
          <t>Ø75,2 ext. × cordón 3</t>
        </is>
      </c>
      <c r="J32" s="25" t="inlineStr">
        <is>
          <t>Compra (en el conjunto)</t>
        </is>
      </c>
      <c r="K32" s="12" t="inlineStr">
        <is>
          <t>S4 - se compra terminado (tercerizado con sello IRAM)</t>
        </is>
      </c>
      <c r="L32" s="12" t="n"/>
      <c r="M32" s="25" t="inlineStr">
        <is>
          <t>P</t>
        </is>
      </c>
      <c r="N32" s="25" t="inlineStr">
        <is>
          <t>FL_DES_AFFF_50l</t>
        </is>
      </c>
      <c r="O32" s="12" t="inlineStr">
        <is>
          <t>cambio c/recarga</t>
        </is>
      </c>
    </row>
    <row r="33" outlineLevel="1">
      <c r="A33" s="25" t="n">
        <v>2</v>
      </c>
      <c r="B33" s="25" t="inlineStr">
        <is>
          <t>AFFF50-V2</t>
        </is>
      </c>
      <c r="C33" s="12" t="inlineStr">
        <is>
          <t xml:space="preserve">        Resorte de retorno del vástago</t>
        </is>
      </c>
      <c r="D33" s="25" t="n">
        <v>1</v>
      </c>
      <c r="E33" s="25" t="inlineStr">
        <is>
          <t>u</t>
        </is>
      </c>
      <c r="F33" s="26" t="n">
        <v>0.003</v>
      </c>
      <c r="G33" s="26">
        <f>D33*F33</f>
        <v/>
      </c>
      <c r="H33" s="25" t="inlineStr">
        <is>
          <t>Alambre acero inox. AISI 302</t>
        </is>
      </c>
      <c r="I33" s="12" t="inlineStr">
        <is>
          <t>según válvula</t>
        </is>
      </c>
      <c r="J33" s="25" t="inlineStr">
        <is>
          <t>Compra</t>
        </is>
      </c>
      <c r="K33" s="12" t="inlineStr">
        <is>
          <t>19 Ensamblaje</t>
        </is>
      </c>
      <c r="L33" s="12" t="n"/>
      <c r="M33" s="25" t="inlineStr">
        <is>
          <t>R</t>
        </is>
      </c>
      <c r="N33" s="25" t="n"/>
      <c r="O33" s="12" t="n"/>
    </row>
    <row r="34" outlineLevel="1">
      <c r="A34" s="25" t="n">
        <v>2</v>
      </c>
      <c r="B34" s="25" t="inlineStr">
        <is>
          <t>AFFF50-V3</t>
        </is>
      </c>
      <c r="C34" s="12" t="inlineStr">
        <is>
          <t xml:space="preserve">        Junta tórica del vástago</t>
        </is>
      </c>
      <c r="D34" s="25" t="n">
        <v>1</v>
      </c>
      <c r="E34" s="25" t="inlineStr">
        <is>
          <t>u</t>
        </is>
      </c>
      <c r="F34" s="26" t="n">
        <v>0.001</v>
      </c>
      <c r="G34" s="26">
        <f>D34*F34</f>
        <v/>
      </c>
      <c r="H34" s="25" t="inlineStr">
        <is>
          <t>NBR 70 Shore A</t>
        </is>
      </c>
      <c r="I34" s="12" t="inlineStr">
        <is>
          <t>según válvula</t>
        </is>
      </c>
      <c r="J34" s="25" t="inlineStr">
        <is>
          <t>Compra</t>
        </is>
      </c>
      <c r="K34" s="12" t="inlineStr">
        <is>
          <t>19 Ensamblaje</t>
        </is>
      </c>
      <c r="L34" s="12" t="n"/>
      <c r="M34" s="25" t="inlineStr">
        <is>
          <t>P</t>
        </is>
      </c>
      <c r="N34" s="25" t="n"/>
      <c r="O34" s="12" t="inlineStr">
        <is>
          <t>Figura en el plano como «vástago con junta tórica»</t>
        </is>
      </c>
    </row>
    <row r="35">
      <c r="A35" s="22" t="n">
        <v>1</v>
      </c>
      <c r="B35" s="22" t="inlineStr">
        <is>
          <t>AFFF50-S3</t>
        </is>
      </c>
      <c r="C35" s="23" t="inlineStr">
        <is>
          <t xml:space="preserve">    Dispositivo de descarga</t>
        </is>
      </c>
      <c r="D35" s="22" t="n">
        <v>1</v>
      </c>
      <c r="E35" s="22" t="inlineStr">
        <is>
          <t>u</t>
        </is>
      </c>
      <c r="F35" s="24" t="n"/>
      <c r="G35" s="24">
        <f>G36+G37+G38+G39+G40+G41</f>
        <v/>
      </c>
      <c r="H35" s="22" t="n"/>
      <c r="I35" s="23" t="n"/>
      <c r="J35" s="22" t="inlineStr">
        <is>
          <t>Compra / armado</t>
        </is>
      </c>
      <c r="K35" s="23" t="n"/>
      <c r="L35" s="23" t="n"/>
      <c r="M35" s="22" t="inlineStr">
        <is>
          <t>P</t>
        </is>
      </c>
      <c r="N35" s="22" t="inlineStr">
        <is>
          <t>FL_DES_AFFF_50l</t>
        </is>
      </c>
      <c r="O35" s="23" t="n"/>
    </row>
    <row r="36" outlineLevel="1">
      <c r="A36" s="25" t="n">
        <v>2</v>
      </c>
      <c r="B36" s="25" t="inlineStr">
        <is>
          <t>AFFF50-21</t>
        </is>
      </c>
      <c r="C36" s="12" t="inlineStr">
        <is>
          <t xml:space="preserve">        Manguera (tramo enrollado)</t>
        </is>
      </c>
      <c r="D36" s="25" t="n">
        <v>1</v>
      </c>
      <c r="E36" s="25" t="inlineStr">
        <is>
          <t>u</t>
        </is>
      </c>
      <c r="F36" s="26" t="n">
        <v>0.4763</v>
      </c>
      <c r="G36" s="26">
        <f>D36*F36</f>
        <v/>
      </c>
      <c r="H36" s="25" t="inlineStr">
        <is>
          <t>Caucho sintético</t>
        </is>
      </c>
      <c r="I36" s="12" t="inlineStr">
        <is>
          <t>Ø25 × 1.263 de largo desarrollado</t>
        </is>
      </c>
      <c r="J36" s="25" t="inlineStr">
        <is>
          <t>Compra (en el conjunto)</t>
        </is>
      </c>
      <c r="K36" s="12" t="inlineStr">
        <is>
          <t>S4 - se compra terminado (tercerizado con sello IRAM)</t>
        </is>
      </c>
      <c r="L36" s="12" t="n"/>
      <c r="M36" s="25" t="inlineStr">
        <is>
          <t>P</t>
        </is>
      </c>
      <c r="N36" s="25" t="inlineStr">
        <is>
          <t>FL_DES_AFFF_50l</t>
        </is>
      </c>
      <c r="O36" s="12" t="n"/>
    </row>
    <row r="37" outlineLevel="1">
      <c r="A37" s="25" t="n">
        <v>2</v>
      </c>
      <c r="B37" s="25" t="inlineStr">
        <is>
          <t>AFFF50-22</t>
        </is>
      </c>
      <c r="C37" s="12" t="inlineStr">
        <is>
          <t xml:space="preserve">        Soporte de manguera</t>
        </is>
      </c>
      <c r="D37" s="25" t="n">
        <v>1</v>
      </c>
      <c r="E37" s="25" t="inlineStr">
        <is>
          <t>u</t>
        </is>
      </c>
      <c r="F37" s="26" t="n">
        <v>1.6857</v>
      </c>
      <c r="G37" s="26">
        <f>D37*F37</f>
        <v/>
      </c>
      <c r="H37" s="25" t="inlineStr">
        <is>
          <t>Planchuela acero SAE 1010</t>
        </is>
      </c>
      <c r="I37" s="12" t="inlineStr">
        <is>
          <t>490,8 × 217 × 40,5</t>
        </is>
      </c>
      <c r="J37" s="25" t="inlineStr">
        <is>
          <t>Compra (en el conjunto)</t>
        </is>
      </c>
      <c r="K37" s="12" t="inlineStr">
        <is>
          <t>S4 - se compra terminado (tercerizado con sello IRAM)</t>
        </is>
      </c>
      <c r="L37" s="12" t="n"/>
      <c r="M37" s="25" t="inlineStr">
        <is>
          <t>P</t>
        </is>
      </c>
      <c r="N37" s="25" t="inlineStr">
        <is>
          <t>FL_DES_AFFF_50l</t>
        </is>
      </c>
      <c r="O37" s="12" t="n"/>
    </row>
    <row r="38" outlineLevel="1">
      <c r="A38" s="25" t="n">
        <v>2</v>
      </c>
      <c r="B38" s="25" t="inlineStr">
        <is>
          <t>AFFF50-23</t>
        </is>
      </c>
      <c r="C38" s="12" t="inlineStr">
        <is>
          <t xml:space="preserve">        Racor de manguera</t>
        </is>
      </c>
      <c r="D38" s="25" t="n">
        <v>1</v>
      </c>
      <c r="E38" s="25" t="inlineStr">
        <is>
          <t>u</t>
        </is>
      </c>
      <c r="F38" s="26" t="n">
        <v>0.0612</v>
      </c>
      <c r="G38" s="26">
        <f>D38*F38</f>
        <v/>
      </c>
      <c r="H38" s="25" t="inlineStr">
        <is>
          <t>Latón</t>
        </is>
      </c>
      <c r="I38" s="12" t="inlineStr">
        <is>
          <t>24 × 24 × 16</t>
        </is>
      </c>
      <c r="J38" s="25" t="inlineStr">
        <is>
          <t>Compra (en el conjunto)</t>
        </is>
      </c>
      <c r="K38" s="12" t="inlineStr">
        <is>
          <t>S4 - se compra terminado (tercerizado con sello IRAM)</t>
        </is>
      </c>
      <c r="L38" s="12" t="n"/>
      <c r="M38" s="25" t="inlineStr">
        <is>
          <t>P</t>
        </is>
      </c>
      <c r="N38" s="25" t="inlineStr">
        <is>
          <t>FL_DES_AFFF_50l</t>
        </is>
      </c>
      <c r="O38" s="12" t="n"/>
    </row>
    <row r="39" outlineLevel="1">
      <c r="A39" s="25" t="n">
        <v>2</v>
      </c>
      <c r="B39" s="25" t="inlineStr">
        <is>
          <t>AFFF50-24</t>
        </is>
      </c>
      <c r="C39" s="12" t="inlineStr">
        <is>
          <t xml:space="preserve">        Manguera</t>
        </is>
      </c>
      <c r="D39" s="25" t="n">
        <v>1</v>
      </c>
      <c r="E39" s="25" t="inlineStr">
        <is>
          <t>u</t>
        </is>
      </c>
      <c r="F39" s="26" t="n">
        <v>0.1766</v>
      </c>
      <c r="G39" s="26">
        <f>D39*F39</f>
        <v/>
      </c>
      <c r="H39" s="25" t="inlineStr">
        <is>
          <t>Caucho sintético</t>
        </is>
      </c>
      <c r="I39" s="12" t="inlineStr">
        <is>
          <t>Ø16 × 1.144 de largo desarrollado</t>
        </is>
      </c>
      <c r="J39" s="25" t="inlineStr">
        <is>
          <t>Compra (en el conjunto)</t>
        </is>
      </c>
      <c r="K39" s="12" t="inlineStr">
        <is>
          <t>S4 - se compra terminado (tercerizado con sello IRAM)</t>
        </is>
      </c>
      <c r="L39" s="12" t="n"/>
      <c r="M39" s="25" t="inlineStr">
        <is>
          <t>P</t>
        </is>
      </c>
      <c r="N39" s="25" t="inlineStr">
        <is>
          <t>FL_DES_AFFF_50l</t>
        </is>
      </c>
      <c r="O39" s="12" t="n"/>
    </row>
    <row r="40" outlineLevel="1">
      <c r="A40" s="25" t="n">
        <v>2</v>
      </c>
      <c r="B40" s="25" t="inlineStr">
        <is>
          <t>AFFF50-25</t>
        </is>
      </c>
      <c r="C40" s="12" t="inlineStr">
        <is>
          <t xml:space="preserve">        Válvula esférica</t>
        </is>
      </c>
      <c r="D40" s="25" t="n">
        <v>1</v>
      </c>
      <c r="E40" s="25" t="inlineStr">
        <is>
          <t>u</t>
        </is>
      </c>
      <c r="F40" s="26" t="n">
        <v>0.4225</v>
      </c>
      <c r="G40" s="26">
        <f>D40*F40</f>
        <v/>
      </c>
      <c r="H40" s="25" t="inlineStr">
        <is>
          <t>Latón cromado</t>
        </is>
      </c>
      <c r="I40" s="12" t="inlineStr">
        <is>
          <t>130 × 60 × 40</t>
        </is>
      </c>
      <c r="J40" s="25" t="inlineStr">
        <is>
          <t>Compra (en el conjunto)</t>
        </is>
      </c>
      <c r="K40" s="12" t="inlineStr">
        <is>
          <t>S4 - se compra terminado (tercerizado con sello IRAM)</t>
        </is>
      </c>
      <c r="L40" s="12" t="n"/>
      <c r="M40" s="25" t="inlineStr">
        <is>
          <t>P</t>
        </is>
      </c>
      <c r="N40" s="25" t="inlineStr">
        <is>
          <t>FL_DES_AFFF_50l</t>
        </is>
      </c>
      <c r="O40" s="12" t="n"/>
    </row>
    <row r="41" outlineLevel="1">
      <c r="A41" s="25" t="n">
        <v>2</v>
      </c>
      <c r="B41" s="25" t="inlineStr">
        <is>
          <t>AFFF50-26</t>
        </is>
      </c>
      <c r="C41" s="12" t="inlineStr">
        <is>
          <t xml:space="preserve">        Lanza espumígena</t>
        </is>
      </c>
      <c r="D41" s="25" t="n">
        <v>1</v>
      </c>
      <c r="E41" s="25" t="inlineStr">
        <is>
          <t>u</t>
        </is>
      </c>
      <c r="F41" s="26" t="n">
        <v>0.1023</v>
      </c>
      <c r="G41" s="26">
        <f>D41*F41</f>
        <v/>
      </c>
      <c r="H41" s="25" t="inlineStr">
        <is>
          <t>Polipropileno</t>
        </is>
      </c>
      <c r="I41" s="12" t="inlineStr">
        <is>
          <t>380 × 56 × 56</t>
        </is>
      </c>
      <c r="J41" s="25" t="inlineStr">
        <is>
          <t>Compra (en el conjunto)</t>
        </is>
      </c>
      <c r="K41" s="12" t="inlineStr">
        <is>
          <t>S4 - se compra terminado (tercerizado con sello IRAM)</t>
        </is>
      </c>
      <c r="L41" s="12" t="n"/>
      <c r="M41" s="25" t="inlineStr">
        <is>
          <t>P</t>
        </is>
      </c>
      <c r="N41" s="25" t="inlineStr">
        <is>
          <t>FL_DES_AFFF_50l</t>
        </is>
      </c>
      <c r="O41" s="12" t="n"/>
    </row>
    <row r="42">
      <c r="A42" s="22" t="n">
        <v>1</v>
      </c>
      <c r="B42" s="22" t="inlineStr">
        <is>
          <t>AFFF50-S4</t>
        </is>
      </c>
      <c r="C42" s="23" t="inlineStr">
        <is>
          <t xml:space="preserve">    Carro (bastidor y ruedas)</t>
        </is>
      </c>
      <c r="D42" s="22" t="n">
        <v>1</v>
      </c>
      <c r="E42" s="22" t="inlineStr">
        <is>
          <t>u</t>
        </is>
      </c>
      <c r="F42" s="24" t="n"/>
      <c r="G42" s="24">
        <f>G43+G44+G45+G46+G47+G48</f>
        <v/>
      </c>
      <c r="H42" s="22" t="n"/>
      <c r="I42" s="23" t="n"/>
      <c r="J42" s="22" t="inlineStr">
        <is>
          <t>Compra / armado</t>
        </is>
      </c>
      <c r="K42" s="23" t="n"/>
      <c r="L42" s="23" t="n"/>
      <c r="M42" s="22" t="inlineStr">
        <is>
          <t>P</t>
        </is>
      </c>
      <c r="N42" s="22" t="inlineStr">
        <is>
          <t>FL_DES_AFFF_50l</t>
        </is>
      </c>
      <c r="O42" s="23" t="n"/>
    </row>
    <row r="43" outlineLevel="1">
      <c r="A43" s="25" t="n">
        <v>2</v>
      </c>
      <c r="B43" s="25" t="inlineStr">
        <is>
          <t>AFFF50-05</t>
        </is>
      </c>
      <c r="C43" s="12" t="inlineStr">
        <is>
          <t xml:space="preserve">        Neumático macizo</t>
        </is>
      </c>
      <c r="D43" s="25" t="n">
        <v>2</v>
      </c>
      <c r="E43" s="25" t="inlineStr">
        <is>
          <t>u</t>
        </is>
      </c>
      <c r="F43" s="26" t="n">
        <v>3.8922</v>
      </c>
      <c r="G43" s="26">
        <f>D43*F43</f>
        <v/>
      </c>
      <c r="H43" s="25" t="inlineStr">
        <is>
          <t>Caucho</t>
        </is>
      </c>
      <c r="I43" s="12" t="inlineStr">
        <is>
          <t>Ø350 × 70 de ancho</t>
        </is>
      </c>
      <c r="J43" s="25" t="inlineStr">
        <is>
          <t>Compra (en el conjunto)</t>
        </is>
      </c>
      <c r="K43" s="12" t="inlineStr">
        <is>
          <t>S4 - se compra terminado (tercerizado con sello IRAM)</t>
        </is>
      </c>
      <c r="L43" s="12" t="n"/>
      <c r="M43" s="25" t="inlineStr">
        <is>
          <t>P</t>
        </is>
      </c>
      <c r="N43" s="25" t="inlineStr">
        <is>
          <t>FL_DES_AFFF_50l</t>
        </is>
      </c>
      <c r="O43" s="12" t="n"/>
    </row>
    <row r="44" outlineLevel="1">
      <c r="A44" s="25" t="n">
        <v>2</v>
      </c>
      <c r="B44" s="25" t="inlineStr">
        <is>
          <t>AFFF50-06</t>
        </is>
      </c>
      <c r="C44" s="12" t="inlineStr">
        <is>
          <t xml:space="preserve">        Llanta con cubo</t>
        </is>
      </c>
      <c r="D44" s="25" t="n">
        <v>2</v>
      </c>
      <c r="E44" s="25" t="inlineStr">
        <is>
          <t>u</t>
        </is>
      </c>
      <c r="F44" s="26" t="n">
        <v>4.0415</v>
      </c>
      <c r="G44" s="26">
        <f>D44*F44</f>
        <v/>
      </c>
      <c r="H44" s="25" t="inlineStr">
        <is>
          <t>Chapa acero SAE 1010</t>
        </is>
      </c>
      <c r="I44" s="12" t="inlineStr">
        <is>
          <t>Ø252 × 80 de ancho</t>
        </is>
      </c>
      <c r="J44" s="25" t="inlineStr">
        <is>
          <t>Compra (en el conjunto)</t>
        </is>
      </c>
      <c r="K44" s="12" t="inlineStr">
        <is>
          <t>S4 - se compra terminado (tercerizado con sello IRAM)</t>
        </is>
      </c>
      <c r="L44" s="12" t="n"/>
      <c r="M44" s="25" t="inlineStr">
        <is>
          <t>P</t>
        </is>
      </c>
      <c r="N44" s="25" t="inlineStr">
        <is>
          <t>FL_DES_AFFF_50l</t>
        </is>
      </c>
      <c r="O44" s="12" t="n"/>
    </row>
    <row r="45" outlineLevel="1">
      <c r="A45" s="25" t="n">
        <v>2</v>
      </c>
      <c r="B45" s="25" t="inlineStr">
        <is>
          <t>AFFF50-07</t>
        </is>
      </c>
      <c r="C45" s="12" t="inlineStr">
        <is>
          <t xml:space="preserve">        Eje de ruedas</t>
        </is>
      </c>
      <c r="D45" s="25" t="n">
        <v>1</v>
      </c>
      <c r="E45" s="25" t="inlineStr">
        <is>
          <t>u</t>
        </is>
      </c>
      <c r="F45" s="26" t="n">
        <v>1.3333</v>
      </c>
      <c r="G45" s="26">
        <f>D45*F45</f>
        <v/>
      </c>
      <c r="H45" s="25" t="inlineStr">
        <is>
          <t>Acero SAE 1045</t>
        </is>
      </c>
      <c r="I45" s="12" t="inlineStr">
        <is>
          <t>Ø25 × 346 de largo</t>
        </is>
      </c>
      <c r="J45" s="25" t="inlineStr">
        <is>
          <t>Compra (en el conjunto)</t>
        </is>
      </c>
      <c r="K45" s="12" t="inlineStr">
        <is>
          <t>S4 - se compra terminado (tercerizado con sello IRAM)</t>
        </is>
      </c>
      <c r="L45" s="12" t="n"/>
      <c r="M45" s="25" t="inlineStr">
        <is>
          <t>P</t>
        </is>
      </c>
      <c r="N45" s="25" t="inlineStr">
        <is>
          <t>FL_DES_AFFF_50l</t>
        </is>
      </c>
      <c r="O45" s="12" t="n"/>
    </row>
    <row r="46" outlineLevel="1">
      <c r="A46" s="25" t="n">
        <v>2</v>
      </c>
      <c r="B46" s="25" t="inlineStr">
        <is>
          <t>AFFF50-08</t>
        </is>
      </c>
      <c r="C46" s="12" t="inlineStr">
        <is>
          <t xml:space="preserve">        Bastidor</t>
        </is>
      </c>
      <c r="D46" s="25" t="n">
        <v>1</v>
      </c>
      <c r="E46" s="25" t="inlineStr">
        <is>
          <t>u</t>
        </is>
      </c>
      <c r="F46" s="26" t="n">
        <v>2.0504</v>
      </c>
      <c r="G46" s="26">
        <f>D46*F46</f>
        <v/>
      </c>
      <c r="H46" s="25" t="inlineStr">
        <is>
          <t>Caño acero SAE 1010 Ø25,4×1,6</t>
        </is>
      </c>
      <c r="I46" s="12" t="inlineStr">
        <is>
          <t>caño Ø25,4 × 1,6 × 2.148 de largo desarrollado</t>
        </is>
      </c>
      <c r="J46" s="25" t="inlineStr">
        <is>
          <t>Compra (en el conjunto)</t>
        </is>
      </c>
      <c r="K46" s="12" t="inlineStr">
        <is>
          <t>S4 - se compra terminado (tercerizado con sello IRAM)</t>
        </is>
      </c>
      <c r="L46" s="12" t="n"/>
      <c r="M46" s="25" t="inlineStr">
        <is>
          <t>P</t>
        </is>
      </c>
      <c r="N46" s="25" t="inlineStr">
        <is>
          <t>FL_DES_AFFF_50l</t>
        </is>
      </c>
      <c r="O46" s="12" t="n"/>
    </row>
    <row r="47" outlineLevel="1">
      <c r="A47" s="25" t="n">
        <v>2</v>
      </c>
      <c r="B47" s="25" t="inlineStr">
        <is>
          <t>AFFF50-09</t>
        </is>
      </c>
      <c r="C47" s="12" t="inlineStr">
        <is>
          <t xml:space="preserve">        Sunchos de fijación</t>
        </is>
      </c>
      <c r="D47" s="25" t="n">
        <v>1</v>
      </c>
      <c r="E47" s="25" t="inlineStr">
        <is>
          <t>u</t>
        </is>
      </c>
      <c r="F47" s="26" t="n">
        <v>5.4228</v>
      </c>
      <c r="G47" s="26">
        <f>D47*F47</f>
        <v/>
      </c>
      <c r="H47" s="25" t="inlineStr">
        <is>
          <t>Planchuela acero SAE 1010</t>
        </is>
      </c>
      <c r="I47" s="12" t="inlineStr">
        <is>
          <t>459 × 424 × 332</t>
        </is>
      </c>
      <c r="J47" s="25" t="inlineStr">
        <is>
          <t>Compra (en el conjunto)</t>
        </is>
      </c>
      <c r="K47" s="12" t="inlineStr">
        <is>
          <t>S4 - se compra terminado (tercerizado con sello IRAM)</t>
        </is>
      </c>
      <c r="L47" s="12" t="n"/>
      <c r="M47" s="25" t="inlineStr">
        <is>
          <t>P</t>
        </is>
      </c>
      <c r="N47" s="25" t="inlineStr">
        <is>
          <t>FL_DES_AFFF_50l</t>
        </is>
      </c>
      <c r="O47" s="12" t="n"/>
    </row>
    <row r="48" outlineLevel="1">
      <c r="A48" s="25" t="n">
        <v>2</v>
      </c>
      <c r="B48" s="25" t="inlineStr">
        <is>
          <t>AFFF50-10</t>
        </is>
      </c>
      <c r="C48" s="12" t="inlineStr">
        <is>
          <t xml:space="preserve">        Apoyo delantero</t>
        </is>
      </c>
      <c r="D48" s="25" t="n">
        <v>1</v>
      </c>
      <c r="E48" s="25" t="inlineStr">
        <is>
          <t>u</t>
        </is>
      </c>
      <c r="F48" s="26" t="n">
        <v>0.3022</v>
      </c>
      <c r="G48" s="26">
        <f>D48*F48</f>
        <v/>
      </c>
      <c r="H48" s="25" t="inlineStr">
        <is>
          <t>Chapa acero SAE 1010 plegada</t>
        </is>
      </c>
      <c r="I48" s="12" t="inlineStr">
        <is>
          <t>70 × 55 × 50</t>
        </is>
      </c>
      <c r="J48" s="25" t="inlineStr">
        <is>
          <t>Compra (en el conjunto)</t>
        </is>
      </c>
      <c r="K48" s="12" t="inlineStr">
        <is>
          <t>S4 - se compra terminado (tercerizado con sello IRAM)</t>
        </is>
      </c>
      <c r="L48" s="12" t="n"/>
      <c r="M48" s="25" t="inlineStr">
        <is>
          <t>P</t>
        </is>
      </c>
      <c r="N48" s="25" t="inlineStr">
        <is>
          <t>FL_DES_AFFF_50l</t>
        </is>
      </c>
      <c r="O48" s="12" t="n"/>
    </row>
    <row r="49">
      <c r="A49" s="22" t="n">
        <v>1</v>
      </c>
      <c r="B49" s="22" t="inlineStr">
        <is>
          <t>AFFF50-S5</t>
        </is>
      </c>
      <c r="C49" s="23" t="inlineStr">
        <is>
          <t xml:space="preserve">    Carga: agente extintor y gas impulsor</t>
        </is>
      </c>
      <c r="D49" s="22" t="n">
        <v>1</v>
      </c>
      <c r="E49" s="22" t="inlineStr">
        <is>
          <t>u</t>
        </is>
      </c>
      <c r="F49" s="24" t="n"/>
      <c r="G49" s="24">
        <f>G50+G51+G52</f>
        <v/>
      </c>
      <c r="H49" s="22" t="n"/>
      <c r="I49" s="23" t="n"/>
      <c r="J49" s="22" t="inlineStr">
        <is>
          <t>Compra</t>
        </is>
      </c>
      <c r="K49" s="23" t="n"/>
      <c r="L49" s="23" t="n"/>
      <c r="M49" s="22" t="n"/>
      <c r="N49" s="22" t="n"/>
      <c r="O49" s="23" t="n"/>
    </row>
    <row r="50" outlineLevel="1">
      <c r="A50" s="25" t="n">
        <v>2</v>
      </c>
      <c r="B50" s="25" t="inlineStr">
        <is>
          <t>AFFF50-A1</t>
        </is>
      </c>
      <c r="C50" s="12" t="inlineStr">
        <is>
          <t xml:space="preserve">        Agua potable (premezcla)</t>
        </is>
      </c>
      <c r="D50" s="25" t="n">
        <v>48.5</v>
      </c>
      <c r="E50" s="25" t="inlineStr">
        <is>
          <t>L</t>
        </is>
      </c>
      <c r="F50" s="26" t="n">
        <v>1</v>
      </c>
      <c r="G50" s="26">
        <f>D50*F50</f>
        <v/>
      </c>
      <c r="H50" s="25" t="inlineStr">
        <is>
          <t>Agua</t>
        </is>
      </c>
      <c r="I50" s="12" t="inlineStr">
        <is>
          <t>97 % de 50 L; tolerancia ± 3 %</t>
        </is>
      </c>
      <c r="J50" s="25" t="inlineStr">
        <is>
          <t>Red</t>
        </is>
      </c>
      <c r="K50" s="12" t="inlineStr">
        <is>
          <t>SP-1 premezcla</t>
        </is>
      </c>
      <c r="L50" s="12" t="inlineStr">
        <is>
          <t>IRAM 3517-2:2020 tabla 3</t>
        </is>
      </c>
      <c r="M50" s="25" t="inlineStr">
        <is>
          <t>N</t>
        </is>
      </c>
      <c r="N50" s="25" t="n"/>
      <c r="O50" s="12" t="n"/>
    </row>
    <row r="51" outlineLevel="1">
      <c r="A51" s="25" t="n">
        <v>2</v>
      </c>
      <c r="B51" s="25" t="inlineStr">
        <is>
          <t>AFFF50-A1b</t>
        </is>
      </c>
      <c r="C51" s="12" t="inlineStr">
        <is>
          <t xml:space="preserve">        Concentrado espumígeno AFFF 3 % (IRAM 3515)</t>
        </is>
      </c>
      <c r="D51" s="25" t="n">
        <v>1.5</v>
      </c>
      <c r="E51" s="25" t="inlineStr">
        <is>
          <t>L</t>
        </is>
      </c>
      <c r="F51" s="26" t="n">
        <v>1</v>
      </c>
      <c r="G51" s="26">
        <f>D51*F51</f>
        <v/>
      </c>
      <c r="H51" s="25" t="inlineStr">
        <is>
          <t>Concentrado espumígeno AFFF 3 % (IRAM 3515)</t>
        </is>
      </c>
      <c r="I51" s="12" t="inlineStr">
        <is>
          <t>nominal 1,5 L; tolerancia ± 3 % (IRAM 3517-2:2020 tabla 3)</t>
        </is>
      </c>
      <c r="J51" s="25" t="inlineStr">
        <is>
          <t>Compra</t>
        </is>
      </c>
      <c r="K51" s="12" t="inlineStr">
        <is>
          <t>SP-1 almacén previo a la carga</t>
        </is>
      </c>
      <c r="L51" s="12" t="inlineStr">
        <is>
          <t>IRAM 3515</t>
        </is>
      </c>
      <c r="M51" s="25" t="inlineStr">
        <is>
          <t>N</t>
        </is>
      </c>
      <c r="N51" s="25" t="n"/>
      <c r="O51" s="12" t="n"/>
    </row>
    <row r="52" outlineLevel="1">
      <c r="A52" s="25" t="n">
        <v>2</v>
      </c>
      <c r="B52" s="25" t="inlineStr">
        <is>
          <t>AFFF50-A2</t>
        </is>
      </c>
      <c r="C52" s="12" t="inlineStr">
        <is>
          <t xml:space="preserve">        Gas impulsor: Aire comprimido</t>
        </is>
      </c>
      <c r="D52" s="25" t="n">
        <v>0.1265</v>
      </c>
      <c r="E52" s="25" t="inlineStr">
        <is>
          <t>kg</t>
        </is>
      </c>
      <c r="F52" s="26" t="n">
        <v>1</v>
      </c>
      <c r="G52" s="26">
        <f>D52*F52</f>
        <v/>
      </c>
      <c r="H52" s="25" t="inlineStr">
        <is>
          <t>Aire comprimido</t>
        </is>
      </c>
      <c r="I52" s="12" t="inlineStr">
        <is>
          <t>97,8 L normales para 0,8 MPa a 20 °C en 11,8 dm³ libres</t>
        </is>
      </c>
      <c r="J52" s="25" t="inlineStr">
        <is>
          <t>Compra</t>
        </is>
      </c>
      <c r="K52" s="12" t="inlineStr">
        <is>
          <t>20 Presurización (T05) / C10</t>
        </is>
      </c>
      <c r="L52" s="12" t="inlineStr">
        <is>
          <t>IRAM 3517-2 9.4.9 (tabla 2) · IRAM 3523 2.3 y 3.10</t>
        </is>
      </c>
      <c r="M52" s="25" t="inlineStr">
        <is>
          <t>C</t>
        </is>
      </c>
      <c r="N52" s="25" t="n"/>
      <c r="O52" s="12" t="inlineStr">
        <is>
          <t>Batería en SP-1; punto de rocío ≤ -56,7 °C para gases limpios</t>
        </is>
      </c>
    </row>
    <row r="53">
      <c r="A53" s="22" t="n">
        <v>1</v>
      </c>
      <c r="B53" s="22" t="inlineStr">
        <is>
          <t>AFFF50-S6</t>
        </is>
      </c>
      <c r="C53" s="23" t="inlineStr">
        <is>
          <t xml:space="preserve">    Identificación y precinto</t>
        </is>
      </c>
      <c r="D53" s="22" t="n">
        <v>1</v>
      </c>
      <c r="E53" s="22" t="inlineStr">
        <is>
          <t>u</t>
        </is>
      </c>
      <c r="F53" s="24" t="n"/>
      <c r="G53" s="24">
        <f>G54+G55+G56+G57+G58</f>
        <v/>
      </c>
      <c r="H53" s="22" t="n"/>
      <c r="I53" s="23" t="n"/>
      <c r="J53" s="22" t="inlineStr">
        <is>
          <t>Compra</t>
        </is>
      </c>
      <c r="K53" s="23" t="inlineStr">
        <is>
          <t>22 Etiquetado (T07)</t>
        </is>
      </c>
      <c r="L53" s="23" t="n"/>
      <c r="M53" s="22" t="n"/>
      <c r="N53" s="22" t="n"/>
      <c r="O53" s="23" t="n"/>
    </row>
    <row r="54" outlineLevel="1">
      <c r="A54" s="25" t="n">
        <v>2</v>
      </c>
      <c r="B54" s="25" t="inlineStr">
        <is>
          <t>AFFF50-27</t>
        </is>
      </c>
      <c r="C54" s="12" t="inlineStr">
        <is>
          <t xml:space="preserve">        Placa de características</t>
        </is>
      </c>
      <c r="D54" s="25" t="n">
        <v>1</v>
      </c>
      <c r="E54" s="25" t="inlineStr">
        <is>
          <t>u</t>
        </is>
      </c>
      <c r="F54" s="26" t="n">
        <v>0.0185</v>
      </c>
      <c r="G54" s="26">
        <f>D54*F54</f>
        <v/>
      </c>
      <c r="H54" s="25" t="inlineStr">
        <is>
          <t>Vinilo autoadhesivo laminado</t>
        </is>
      </c>
      <c r="I54" s="12" t="inlineStr">
        <is>
          <t>302 × 146 (desarrollo × alto), e ≈ 0,3</t>
        </is>
      </c>
      <c r="J54" s="25" t="inlineStr">
        <is>
          <t>Compra</t>
        </is>
      </c>
      <c r="K54" s="12" t="inlineStr">
        <is>
          <t>22 Etiquetado (T07)</t>
        </is>
      </c>
      <c r="L54" s="12" t="inlineStr">
        <is>
          <t>IRAM 3534 · IRAM 3541 cap. 5</t>
        </is>
      </c>
      <c r="M54" s="25" t="inlineStr">
        <is>
          <t>P</t>
        </is>
      </c>
      <c r="N54" s="25" t="inlineStr">
        <is>
          <t>FL_DES_AFFF_50l</t>
        </is>
      </c>
      <c r="O54" s="12" t="inlineStr">
        <is>
          <t>IRAM 3534</t>
        </is>
      </c>
    </row>
    <row r="55" outlineLevel="1">
      <c r="A55" s="25" t="n">
        <v>2</v>
      </c>
      <c r="B55" s="25" t="inlineStr">
        <is>
          <t>AFFF50-28</t>
        </is>
      </c>
      <c r="C55" s="12" t="inlineStr">
        <is>
          <t xml:space="preserve">        Oblea de fabricación (PBA)</t>
        </is>
      </c>
      <c r="D55" s="25" t="n">
        <v>1</v>
      </c>
      <c r="E55" s="25" t="inlineStr">
        <is>
          <t>u</t>
        </is>
      </c>
      <c r="F55" s="26" t="n">
        <v>0.0009</v>
      </c>
      <c r="G55" s="26">
        <f>D55*F55</f>
        <v/>
      </c>
      <c r="H55" s="25" t="inlineStr">
        <is>
          <t>Papel de seguridad autodestructible</t>
        </is>
      </c>
      <c r="I55" s="12" t="inlineStr">
        <is>
          <t>Ø46 (Res. OPDS 522/07), numerada, autodestructible</t>
        </is>
      </c>
      <c r="J55" s="25" t="inlineStr">
        <is>
          <t>Compra</t>
        </is>
      </c>
      <c r="K55" s="12" t="inlineStr">
        <is>
          <t>22 Etiquetado (T07)</t>
        </is>
      </c>
      <c r="L55" s="12" t="inlineStr">
        <is>
          <t>Res. OPDS 522/07 anexos 1, 2 y 6</t>
        </is>
      </c>
      <c r="M55" s="25" t="inlineStr">
        <is>
          <t>P</t>
        </is>
      </c>
      <c r="N55" s="25" t="inlineStr">
        <is>
          <t>FL_DES_AFFF_50l</t>
        </is>
      </c>
      <c r="O55" s="12" t="inlineStr">
        <is>
          <t>Res. 522/07</t>
        </is>
      </c>
    </row>
    <row r="56" outlineLevel="1">
      <c r="A56" s="25" t="n">
        <v>2</v>
      </c>
      <c r="B56" s="25" t="inlineStr">
        <is>
          <t>AFFF50-29</t>
        </is>
      </c>
      <c r="C56" s="12" t="inlineStr">
        <is>
          <t xml:space="preserve">        Estampilla IRAM de conformidad</t>
        </is>
      </c>
      <c r="D56" s="25" t="n">
        <v>1</v>
      </c>
      <c r="E56" s="25" t="inlineStr">
        <is>
          <t>u</t>
        </is>
      </c>
      <c r="F56" s="26" t="n">
        <v>0.001</v>
      </c>
      <c r="G56" s="26">
        <f>D56*F56</f>
        <v/>
      </c>
      <c r="H56" s="25" t="inlineStr">
        <is>
          <t>Provista por IRAM (Anexo R)</t>
        </is>
      </c>
      <c r="I56" s="12" t="inlineStr">
        <is>
          <t>60 × 40</t>
        </is>
      </c>
      <c r="J56" s="25" t="inlineStr">
        <is>
          <t>Compra</t>
        </is>
      </c>
      <c r="K56" s="12" t="inlineStr">
        <is>
          <t>22 Etiquetado (T07)</t>
        </is>
      </c>
      <c r="L56" s="12" t="inlineStr">
        <is>
          <t>IRAM Anexo R (DC-PG-129)</t>
        </is>
      </c>
      <c r="M56" s="25" t="inlineStr">
        <is>
          <t>P</t>
        </is>
      </c>
      <c r="N56" s="25" t="inlineStr">
        <is>
          <t>FL_DES_AFFF_50l</t>
        </is>
      </c>
      <c r="O56" s="12" t="inlineStr">
        <is>
          <t>numerada</t>
        </is>
      </c>
    </row>
    <row r="57" outlineLevel="1">
      <c r="A57" s="25" t="n">
        <v>2</v>
      </c>
      <c r="B57" s="25" t="inlineStr">
        <is>
          <t>AFFF50-31</t>
        </is>
      </c>
      <c r="C57" s="12" t="inlineStr">
        <is>
          <t xml:space="preserve">        Precinto de fábrica</t>
        </is>
      </c>
      <c r="D57" s="25" t="n">
        <v>1</v>
      </c>
      <c r="E57" s="25" t="inlineStr">
        <is>
          <t>u</t>
        </is>
      </c>
      <c r="F57" s="26" t="n">
        <v>0.0002</v>
      </c>
      <c r="G57" s="26">
        <f>D57*F57</f>
        <v/>
      </c>
      <c r="H57" s="25" t="inlineStr">
        <is>
          <t>Polipropileno</t>
        </is>
      </c>
      <c r="I57" s="12" t="inlineStr">
        <is>
          <t>Ø5 × 10, numerado, rotura 30-50 N</t>
        </is>
      </c>
      <c r="J57" s="25" t="inlineStr">
        <is>
          <t>Compra</t>
        </is>
      </c>
      <c r="K57" s="12" t="inlineStr">
        <is>
          <t>20 Presurización (T05)</t>
        </is>
      </c>
      <c r="L57" s="12" t="inlineStr">
        <is>
          <t>IRAM 3523 3.3.2 · IRAM 3517-2:2020 9.4.13</t>
        </is>
      </c>
      <c r="M57" s="25" t="inlineStr">
        <is>
          <t>P</t>
        </is>
      </c>
      <c r="N57" s="25" t="inlineStr">
        <is>
          <t>FL_DES_AFFF_50l</t>
        </is>
      </c>
      <c r="O57" s="12" t="inlineStr">
        <is>
          <t>id. FLAMA y lote</t>
        </is>
      </c>
    </row>
    <row r="58" outlineLevel="1">
      <c r="A58" s="25" t="n">
        <v>2</v>
      </c>
      <c r="B58" s="25" t="inlineStr">
        <is>
          <t>AFFF50-I3</t>
        </is>
      </c>
      <c r="C58" s="12" t="inlineStr">
        <is>
          <t xml:space="preserve">        Tarjeta oficial de vigencia (CABA)</t>
        </is>
      </c>
      <c r="D58" s="25" t="n">
        <v>1</v>
      </c>
      <c r="E58" s="25" t="inlineStr">
        <is>
          <t>u</t>
        </is>
      </c>
      <c r="F58" s="26" t="n">
        <v>0.002</v>
      </c>
      <c r="G58" s="26">
        <f>D58*F58</f>
        <v/>
      </c>
      <c r="H58" s="25" t="inlineStr">
        <is>
          <t>Formulario oficial</t>
        </is>
      </c>
      <c r="I58" s="12" t="inlineStr">
        <is>
          <t>provista por DG Rentas GCBA</t>
        </is>
      </c>
      <c r="J58" s="25" t="inlineStr">
        <is>
          <t>Compra</t>
        </is>
      </c>
      <c r="K58" s="12" t="inlineStr">
        <is>
          <t>22 Etiquetado</t>
        </is>
      </c>
      <c r="L58" s="12" t="inlineStr">
        <is>
          <t>Ordenanza 40.473 art. 6</t>
        </is>
      </c>
      <c r="M58" s="25" t="inlineStr">
        <is>
          <t>N</t>
        </is>
      </c>
      <c r="N58" s="25" t="n"/>
      <c r="O58" s="12" t="inlineStr">
        <is>
          <t>Clase, capacidad, fecha de carga y vencimiento, garantía; se anexa al matafuego (no se dibuja)</t>
        </is>
      </c>
    </row>
    <row r="59">
      <c r="A59" s="22" t="n">
        <v>1</v>
      </c>
      <c r="B59" s="22" t="inlineStr">
        <is>
          <t>AFFF50-S7</t>
        </is>
      </c>
      <c r="C59" s="23" t="inlineStr">
        <is>
          <t xml:space="preserve">    Embalaje</t>
        </is>
      </c>
      <c r="D59" s="22" t="n">
        <v>1</v>
      </c>
      <c r="E59" s="22" t="inlineStr">
        <is>
          <t>u</t>
        </is>
      </c>
      <c r="F59" s="24" t="n"/>
      <c r="G59" s="24">
        <f>G60+G61+G62+G63</f>
        <v/>
      </c>
      <c r="H59" s="22" t="n"/>
      <c r="I59" s="23" t="n"/>
      <c r="J59" s="22" t="inlineStr">
        <is>
          <t>Compra</t>
        </is>
      </c>
      <c r="K59" s="23" t="inlineStr">
        <is>
          <t>23 Embalaje -&gt; 24 envolvedora (T11)</t>
        </is>
      </c>
      <c r="L59" s="23" t="n"/>
      <c r="M59" s="22" t="n"/>
      <c r="N59" s="22" t="n"/>
      <c r="O59" s="23" t="n"/>
    </row>
    <row r="60" outlineLevel="1">
      <c r="A60" s="25" t="n">
        <v>2</v>
      </c>
      <c r="B60" s="25" t="inlineStr">
        <is>
          <t>AFFF50-E1</t>
        </is>
      </c>
      <c r="C60" s="12" t="inlineStr">
        <is>
          <t xml:space="preserve">        Esquineros y funda de polietileno</t>
        </is>
      </c>
      <c r="D60" s="25" t="n">
        <v>1</v>
      </c>
      <c r="E60" s="25" t="inlineStr">
        <is>
          <t>jgo</t>
        </is>
      </c>
      <c r="F60" s="26" t="n">
        <v>0.3</v>
      </c>
      <c r="G60" s="26">
        <f>D60*F60</f>
        <v/>
      </c>
      <c r="H60" s="25" t="inlineStr">
        <is>
          <t>PE / cartón</t>
        </is>
      </c>
      <c r="I60" s="12" t="inlineStr">
        <is>
          <t>a medida</t>
        </is>
      </c>
      <c r="J60" s="25" t="inlineStr">
        <is>
          <t>Compra</t>
        </is>
      </c>
      <c r="K60" s="12" t="inlineStr">
        <is>
          <t>23 Embalaje</t>
        </is>
      </c>
      <c r="L60" s="12" t="n"/>
      <c r="M60" s="25" t="inlineStr">
        <is>
          <t>R</t>
        </is>
      </c>
      <c r="N60" s="25" t="n"/>
      <c r="O60" s="12" t="n"/>
    </row>
    <row r="61" outlineLevel="1">
      <c r="A61" s="25" t="n">
        <v>2</v>
      </c>
      <c r="B61" s="25" t="inlineStr">
        <is>
          <t>AFFF50-E3</t>
        </is>
      </c>
      <c r="C61" s="12" t="inlineStr">
        <is>
          <t xml:space="preserve">        Pallet 1200 × 1000 (fracción)</t>
        </is>
      </c>
      <c r="D61" s="25" t="n">
        <v>0.5</v>
      </c>
      <c r="E61" s="25" t="inlineStr">
        <is>
          <t>u</t>
        </is>
      </c>
      <c r="F61" s="26" t="n">
        <v>11</v>
      </c>
      <c r="G61" s="26">
        <f>D61*F61</f>
        <v/>
      </c>
      <c r="H61" s="25" t="inlineStr">
        <is>
          <t>Madera</t>
        </is>
      </c>
      <c r="I61" s="12" t="inlineStr">
        <is>
          <t>2 u por pallet</t>
        </is>
      </c>
      <c r="J61" s="25" t="inlineStr">
        <is>
          <t>Compra</t>
        </is>
      </c>
      <c r="K61" s="12" t="inlineStr">
        <is>
          <t>23 Embalaje</t>
        </is>
      </c>
      <c r="L61" s="12" t="n"/>
      <c r="M61" s="25" t="inlineStr">
        <is>
          <t>R</t>
        </is>
      </c>
      <c r="N61" s="25" t="n"/>
      <c r="O61" s="12" t="n"/>
    </row>
    <row r="62" outlineLevel="1">
      <c r="A62" s="25" t="n">
        <v>2</v>
      </c>
      <c r="B62" s="25" t="inlineStr">
        <is>
          <t>AFFF50-E4</t>
        </is>
      </c>
      <c r="C62" s="12" t="inlineStr">
        <is>
          <t xml:space="preserve">        Film stretch (fracción del pallet)</t>
        </is>
      </c>
      <c r="D62" s="25" t="n">
        <v>0.175</v>
      </c>
      <c r="E62" s="25" t="inlineStr">
        <is>
          <t>kg</t>
        </is>
      </c>
      <c r="F62" s="26" t="n">
        <v>1</v>
      </c>
      <c r="G62" s="26">
        <f>D62*F62</f>
        <v/>
      </c>
      <c r="H62" s="25" t="inlineStr">
        <is>
          <t>PE lineal 23 µm</t>
        </is>
      </c>
      <c r="I62" s="12" t="inlineStr">
        <is>
          <t>envolvedora EDOS PS5</t>
        </is>
      </c>
      <c r="J62" s="25" t="inlineStr">
        <is>
          <t>Compra</t>
        </is>
      </c>
      <c r="K62" s="12" t="inlineStr">
        <is>
          <t>24 Envolvedora (T11)</t>
        </is>
      </c>
      <c r="L62" s="12" t="n"/>
      <c r="M62" s="25" t="inlineStr">
        <is>
          <t>R</t>
        </is>
      </c>
      <c r="N62" s="25" t="n"/>
      <c r="O62" s="12" t="n"/>
    </row>
    <row r="63" outlineLevel="1">
      <c r="A63" s="25" t="n">
        <v>2</v>
      </c>
      <c r="B63" s="25" t="inlineStr">
        <is>
          <t>AFFF50-E5</t>
        </is>
      </c>
      <c r="C63" s="12" t="inlineStr">
        <is>
          <t xml:space="preserve">        Etiqueta de pallet (lote y destino, fracción)</t>
        </is>
      </c>
      <c r="D63" s="25" t="n">
        <v>0.5</v>
      </c>
      <c r="E63" s="25" t="inlineStr">
        <is>
          <t>u</t>
        </is>
      </c>
      <c r="F63" s="26" t="n">
        <v>0</v>
      </c>
      <c r="G63" s="26">
        <f>D63*F63</f>
        <v/>
      </c>
      <c r="H63" s="25" t="inlineStr">
        <is>
          <t>Papel térmico</t>
        </is>
      </c>
      <c r="I63" s="12" t="inlineStr">
        <is>
          <t>100 × 150</t>
        </is>
      </c>
      <c r="J63" s="25" t="inlineStr">
        <is>
          <t>Compra</t>
        </is>
      </c>
      <c r="K63" s="12" t="inlineStr">
        <is>
          <t>24 Envolvedora</t>
        </is>
      </c>
      <c r="L63" s="12" t="n"/>
      <c r="M63" s="25" t="inlineStr">
        <is>
          <t>R</t>
        </is>
      </c>
      <c r="N63" s="25" t="n"/>
      <c r="O63" s="12" t="n"/>
    </row>
  </sheetData>
  <autoFilter ref="A10:O63"/>
  <pageMargins left="0.75" right="0.75" top="1" bottom="1" header="0.5" footer="0.5"/>
  <pageSetup orientation="landscape" fitToHeight="0" fitToWidth="1"/>
</worksheet>
</file>

<file path=xl/worksheets/sheet14.xml><?xml version="1.0" encoding="utf-8"?>
<worksheet xmlns="http://schemas.openxmlformats.org/spreadsheetml/2006/main">
  <sheetPr>
    <tabColor rgb="007F1D1D"/>
    <outlinePr summaryBelow="0" summaryRight="1"/>
    <pageSetUpPr fitToPage="1"/>
  </sheetPr>
  <dimension ref="A1:O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FL_MAT_BC_5kg</t>
        </is>
      </c>
    </row>
    <row r="2">
      <c r="A2" s="2" t="inlineStr">
        <is>
          <t>Extintor BC 5 kg</t>
        </is>
      </c>
    </row>
    <row r="3">
      <c r="A3" s="14" t="inlineStr">
        <is>
          <t>Plano de origen</t>
        </is>
      </c>
      <c r="C3" t="inlineStr">
        <is>
          <t>FL_MAT_BC_5kg  (3 láminas)</t>
        </is>
      </c>
      <c r="E3" s="14" t="inlineStr">
        <is>
          <t>Peso vacío S1-S4 (kg)</t>
        </is>
      </c>
      <c r="G3" s="30">
        <f>G12+G25+G39</f>
        <v/>
      </c>
    </row>
    <row r="4">
      <c r="A4" s="14" t="inlineStr">
        <is>
          <t>Plano de despiece</t>
        </is>
      </c>
      <c r="C4" t="inlineStr">
        <is>
          <t>FL_DES_BC_5kg (salida/despiece/)</t>
        </is>
      </c>
      <c r="E4" s="14" t="inlineStr">
        <is>
          <t>Peso cargado S1-S6 (kg)</t>
        </is>
      </c>
      <c r="G4" s="30">
        <f>G12+G25+G39+G44+G47</f>
        <v/>
      </c>
    </row>
    <row r="5">
      <c r="A5" s="14" t="inlineStr">
        <is>
          <t>Norma del producto</t>
        </is>
      </c>
      <c r="C5" t="inlineStr">
        <is>
          <t>IRAM 3523</t>
        </is>
      </c>
      <c r="E5" s="14" t="inlineStr">
        <is>
          <t>Peso con soporte y embalaje (kg)</t>
        </is>
      </c>
      <c r="G5" s="30">
        <f>G12+G25+G39+G44+G47+G57+G53</f>
        <v/>
      </c>
    </row>
    <row r="6">
      <c r="A6" s="14" t="inlineStr">
        <is>
          <t>Fabricación</t>
        </is>
      </c>
      <c r="C6" t="inlineStr">
        <is>
          <t>Fabricación propia</t>
        </is>
      </c>
      <c r="E6" s="14" t="inlineStr">
        <is>
          <t>Desvío cargado vs catálogo</t>
        </is>
      </c>
      <c r="G6" s="10">
        <f>G4/C7-1</f>
        <v/>
      </c>
    </row>
    <row r="7">
      <c r="A7" s="14" t="inlineStr">
        <is>
          <t>Peso catálogo cargado (kg)</t>
        </is>
      </c>
      <c r="C7" t="n">
        <v>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FL_MAT_BC_5kg</t>
        </is>
      </c>
      <c r="C11" s="20" t="inlineStr">
        <is>
          <t>Extintor BC 5 kg</t>
        </is>
      </c>
      <c r="D11" s="19" t="n">
        <v>1</v>
      </c>
      <c r="E11" s="19" t="inlineStr">
        <is>
          <t>u</t>
        </is>
      </c>
      <c r="F11" s="21" t="n"/>
      <c r="G11" s="21">
        <f>G5</f>
        <v/>
      </c>
      <c r="H11" s="19" t="n"/>
      <c r="I11" s="20" t="n"/>
      <c r="J11" s="19" t="n"/>
      <c r="K11" s="20" t="n"/>
      <c r="L11" s="20" t="inlineStr">
        <is>
          <t>IRAM 3523</t>
        </is>
      </c>
      <c r="M11" s="19" t="inlineStr">
        <is>
          <t>P</t>
        </is>
      </c>
      <c r="N11" s="19" t="inlineStr">
        <is>
          <t>FL_MAT_BC_5kg</t>
        </is>
      </c>
      <c r="O11" s="20" t="inlineStr">
        <is>
          <t>Fabricación propia</t>
        </is>
      </c>
    </row>
    <row r="12">
      <c r="A12" s="22" t="n">
        <v>1</v>
      </c>
      <c r="B12" s="22" t="inlineStr">
        <is>
          <t>BC5-S1</t>
        </is>
      </c>
      <c r="C12" s="23" t="inlineStr">
        <is>
          <t xml:space="preserve">    Recipiente (cilindro)</t>
        </is>
      </c>
      <c r="D12" s="22" t="n">
        <v>1</v>
      </c>
      <c r="E12" s="22" t="inlineStr">
        <is>
          <t>u</t>
        </is>
      </c>
      <c r="F12" s="24" t="n"/>
      <c r="G12" s="24">
        <f>G13+G15+G17+G19+G21+G24</f>
        <v/>
      </c>
      <c r="H12" s="22" t="n"/>
      <c r="I12" s="23" t="n"/>
      <c r="J12" s="22" t="inlineStr">
        <is>
          <t>Fabricación</t>
        </is>
      </c>
      <c r="K12" s="23" t="n"/>
      <c r="L12" s="23" t="inlineStr">
        <is>
          <t>IRAM 3523 / 3550 (recipiente)</t>
        </is>
      </c>
      <c r="M12" s="22" t="inlineStr">
        <is>
          <t>P</t>
        </is>
      </c>
      <c r="N12" s="22" t="inlineStr">
        <is>
          <t>FL_DES_BC_5kg</t>
        </is>
      </c>
      <c r="O12" s="23" t="n"/>
    </row>
    <row r="13" outlineLevel="1">
      <c r="A13" s="25" t="n">
        <v>2</v>
      </c>
      <c r="B13" s="25" t="inlineStr">
        <is>
          <t>BC5-01</t>
        </is>
      </c>
      <c r="C13" s="12" t="inlineStr">
        <is>
          <t xml:space="preserve">        Cuerpo (virola)</t>
        </is>
      </c>
      <c r="D13" s="25" t="n">
        <v>1</v>
      </c>
      <c r="E13" s="25" t="inlineStr">
        <is>
          <t>u</t>
        </is>
      </c>
      <c r="F13" s="26" t="n">
        <v>1.9203</v>
      </c>
      <c r="G13" s="26">
        <f>D13*F13</f>
        <v/>
      </c>
      <c r="H13" s="25" t="inlineStr">
        <is>
          <t>Chapa acero SAE 1010 e=1,6</t>
        </is>
      </c>
      <c r="I13" s="12" t="inlineStr">
        <is>
          <t>Ø153 × e1,6 × 321,4 de alto; desarrollo 475,6 × 321,4</t>
        </is>
      </c>
      <c r="J13" s="25" t="inlineStr">
        <is>
          <t>Fabricación</t>
        </is>
      </c>
      <c r="K13" s="12" t="inlineStr">
        <is>
          <t>1 Guillotina -&gt; 2 numerado -&gt; 3 cilindrado -&gt; 4 soldadura longitudinal</t>
        </is>
      </c>
      <c r="L13" s="12" t="n"/>
      <c r="M13" s="25" t="inlineStr">
        <is>
          <t>P</t>
        </is>
      </c>
      <c r="N13" s="25" t="inlineStr">
        <is>
          <t>FL_DES_BC_5kg</t>
        </is>
      </c>
      <c r="O13" s="12" t="inlineStr">
        <is>
          <t>costura long. MIG</t>
        </is>
      </c>
    </row>
    <row r="14" outlineLevel="2">
      <c r="A14" s="27" t="n">
        <v>3</v>
      </c>
      <c r="B14" s="27" t="inlineStr">
        <is>
          <t>MP-HOJA</t>
        </is>
      </c>
      <c r="C14" s="28" t="inlineStr">
        <is>
          <t xml:space="preserve">            Recorte de hoja LAF 1000 × 2000 e=1,6</t>
        </is>
      </c>
      <c r="D14" s="27" t="n">
        <v>1</v>
      </c>
      <c r="E14" s="27" t="inlineStr">
        <is>
          <t>u</t>
        </is>
      </c>
      <c r="F14" s="29" t="n">
        <v>2.092</v>
      </c>
      <c r="G14" s="29">
        <f>D14*F14</f>
        <v/>
      </c>
      <c r="H14" s="27" t="inlineStr">
        <is>
          <t>Chapa SAE 1010 LAF</t>
        </is>
      </c>
      <c r="I14" s="28" t="inlineStr">
        <is>
          <t>330 × 474,5 (aprovech. 94 %)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BC5-02</t>
        </is>
      </c>
      <c r="C15" s="12" t="inlineStr">
        <is>
          <t xml:space="preserve">        Cúpula</t>
        </is>
      </c>
      <c r="D15" s="25" t="n">
        <v>1</v>
      </c>
      <c r="E15" s="25" t="inlineStr">
        <is>
          <t>u</t>
        </is>
      </c>
      <c r="F15" s="26" t="n">
        <v>0.3505</v>
      </c>
      <c r="G15" s="26">
        <f>D15*F15</f>
        <v/>
      </c>
      <c r="H15" s="25" t="inlineStr">
        <is>
          <t>Chapa acero SAE 1010 e=1,6</t>
        </is>
      </c>
      <c r="I15" s="12" t="inlineStr">
        <is>
          <t>Ø153 × e1,6 × 53,1 de alto; disco Ø221</t>
        </is>
      </c>
      <c r="J15" s="25" t="inlineStr">
        <is>
          <t>Fabricación</t>
        </is>
      </c>
      <c r="K15" s="12" t="inlineStr">
        <is>
          <t>6 Desbobinado + embutido (M06-M08)</t>
        </is>
      </c>
      <c r="L15" s="12" t="n"/>
      <c r="M15" s="25" t="inlineStr">
        <is>
          <t>P</t>
        </is>
      </c>
      <c r="N15" s="25" t="inlineStr">
        <is>
          <t>FL_DES_BC_5kg</t>
        </is>
      </c>
      <c r="O15" s="12" t="inlineStr">
        <is>
          <t>embutida</t>
        </is>
      </c>
    </row>
    <row r="16" outlineLevel="2">
      <c r="A16" s="27" t="n">
        <v>3</v>
      </c>
      <c r="B16" s="27" t="inlineStr">
        <is>
          <t>MP-FLEJE</t>
        </is>
      </c>
      <c r="C16" s="28" t="inlineStr">
        <is>
          <t xml:space="preserve">            Fleje e=1,6 × 250 (paso 224)</t>
        </is>
      </c>
      <c r="D16" s="27" t="n">
        <v>0.224</v>
      </c>
      <c r="E16" s="27" t="inlineStr">
        <is>
          <t>m</t>
        </is>
      </c>
      <c r="F16" s="29" t="n">
        <v>3.14</v>
      </c>
      <c r="G16" s="29">
        <f>D16*F16</f>
        <v/>
      </c>
      <c r="H16" s="27" t="inlineStr">
        <is>
          <t>Fleje SAE 1010</t>
        </is>
      </c>
      <c r="I16" s="28" t="inlineStr">
        <is>
          <t>disco Ø221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BC5-03</t>
        </is>
      </c>
      <c r="C17" s="12" t="inlineStr">
        <is>
          <t xml:space="preserve">        Fondo</t>
        </is>
      </c>
      <c r="D17" s="25" t="n">
        <v>1</v>
      </c>
      <c r="E17" s="25" t="inlineStr">
        <is>
          <t>u</t>
        </is>
      </c>
      <c r="F17" s="26" t="n">
        <v>0.2214</v>
      </c>
      <c r="G17" s="26">
        <f>D17*F17</f>
        <v/>
      </c>
      <c r="H17" s="25" t="inlineStr">
        <is>
          <t>Chapa acero SAE 1010 e=1,6</t>
        </is>
      </c>
      <c r="I17" s="12" t="inlineStr">
        <is>
          <t>Ø153 × e1,6 × 17,6 de alto; disco Ø177</t>
        </is>
      </c>
      <c r="J17" s="25" t="inlineStr">
        <is>
          <t>Fabricación</t>
        </is>
      </c>
      <c r="K17" s="12" t="inlineStr">
        <is>
          <t>6 Desbobinado + embutido (M06-M08)</t>
        </is>
      </c>
      <c r="L17" s="12" t="n"/>
      <c r="M17" s="25" t="inlineStr">
        <is>
          <t>P</t>
        </is>
      </c>
      <c r="N17" s="25" t="inlineStr">
        <is>
          <t>FL_DES_BC_5kg</t>
        </is>
      </c>
      <c r="O17" s="12" t="inlineStr">
        <is>
          <t>embutido</t>
        </is>
      </c>
    </row>
    <row r="18" outlineLevel="2">
      <c r="A18" s="27" t="n">
        <v>3</v>
      </c>
      <c r="B18" s="27" t="inlineStr">
        <is>
          <t>MP-FLEJE</t>
        </is>
      </c>
      <c r="C18" s="28" t="inlineStr">
        <is>
          <t xml:space="preserve">            Fleje e=1,6 × 200 (paso 180)</t>
        </is>
      </c>
      <c r="D18" s="27" t="n">
        <v>0.18</v>
      </c>
      <c r="E18" s="27" t="inlineStr">
        <is>
          <t>m</t>
        </is>
      </c>
      <c r="F18" s="29" t="n">
        <v>2.512</v>
      </c>
      <c r="G18" s="29">
        <f>D18*F18</f>
        <v/>
      </c>
      <c r="H18" s="27" t="inlineStr">
        <is>
          <t>Fleje SAE 1010</t>
        </is>
      </c>
      <c r="I18" s="28" t="inlineStr">
        <is>
          <t>disco Ø177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BC5-04</t>
        </is>
      </c>
      <c r="C19" s="12" t="inlineStr">
        <is>
          <t xml:space="preserve">        Cuello roscado</t>
        </is>
      </c>
      <c r="D19" s="25" t="n">
        <v>1</v>
      </c>
      <c r="E19" s="25" t="inlineStr">
        <is>
          <t>u</t>
        </is>
      </c>
      <c r="F19" s="26" t="n">
        <v>0.0589</v>
      </c>
      <c r="G19" s="26">
        <f>D19*F19</f>
        <v/>
      </c>
      <c r="H19" s="25" t="inlineStr">
        <is>
          <t>Acero SAE 1010</t>
        </is>
      </c>
      <c r="I19" s="12" t="inlineStr">
        <is>
          <t>Ø37 × 15 de alto, rosca M30x1,5, asiento Ø35</t>
        </is>
      </c>
      <c r="J19" s="25" t="inlineStr">
        <is>
          <t>Fabricación</t>
        </is>
      </c>
      <c r="K19" s="12" t="inlineStr">
        <is>
          <t>7 Preparación de cuello -&gt; 8 soldadura de cuello</t>
        </is>
      </c>
      <c r="L19" s="12" t="n"/>
      <c r="M19" s="25" t="inlineStr">
        <is>
          <t>P</t>
        </is>
      </c>
      <c r="N19" s="25" t="inlineStr">
        <is>
          <t>FL_DES_BC_5kg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0.059</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BC5-C1</t>
        </is>
      </c>
      <c r="C21" s="12" t="inlineStr">
        <is>
          <t xml:space="preserve">        Aporte de soldadura: Alambre MAG ER70S-6 Ø0,9/1,2</t>
        </is>
      </c>
      <c r="D21" s="25" t="n">
        <v>0.0571</v>
      </c>
      <c r="E21" s="25" t="inlineStr">
        <is>
          <t>kg</t>
        </is>
      </c>
      <c r="F21" s="26" t="n">
        <v>0.92</v>
      </c>
      <c r="G21" s="26">
        <f>D21*F21</f>
        <v/>
      </c>
      <c r="H21" s="25" t="inlineStr">
        <is>
          <t>Alambre MAG ER70S-6 Ø0,9/1,2</t>
        </is>
      </c>
      <c r="I21" s="12" t="inlineStr">
        <is>
          <t>cordones del plano: 53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BC5-C2</t>
        </is>
      </c>
      <c r="C22" s="12" t="inlineStr">
        <is>
          <t xml:space="preserve">        Gas de protección: Arcal 21 (Ar + 18 % CO₂)</t>
        </is>
      </c>
      <c r="D22" s="25" t="n">
        <v>25.7</v>
      </c>
      <c r="E22" s="25" t="inlineStr">
        <is>
          <t>L</t>
        </is>
      </c>
      <c r="F22" s="26" t="n"/>
      <c r="G22" s="26" t="n"/>
      <c r="H22" s="25" t="inlineStr">
        <is>
          <t>Arcal 21 (Ar + 18 % CO₂)</t>
        </is>
      </c>
      <c r="I22" s="12" t="inlineStr">
        <is>
          <t>1,7 min de arco × 15 L/min</t>
        </is>
      </c>
      <c r="J22" s="25" t="inlineStr">
        <is>
          <t>Compra</t>
        </is>
      </c>
      <c r="K22" s="12" t="inlineStr">
        <is>
          <t>Colector SC</t>
        </is>
      </c>
      <c r="L22" s="12" t="n"/>
      <c r="M22" s="25" t="inlineStr">
        <is>
          <t>R</t>
        </is>
      </c>
      <c r="N22" s="25" t="n"/>
      <c r="O22" s="12" t="n"/>
    </row>
    <row r="23" outlineLevel="1">
      <c r="A23" s="25" t="n">
        <v>2</v>
      </c>
      <c r="B23" s="25" t="inlineStr">
        <is>
          <t>BC5-C3</t>
        </is>
      </c>
      <c r="C23" s="12" t="inlineStr">
        <is>
          <t xml:space="preserve">        Granalla de acero (consumo)</t>
        </is>
      </c>
      <c r="D23" s="25" t="n">
        <v>0.016</v>
      </c>
      <c r="E23" s="25" t="inlineStr">
        <is>
          <t>kg</t>
        </is>
      </c>
      <c r="F23" s="26" t="n"/>
      <c r="G23" s="26" t="n"/>
      <c r="H23" s="25" t="inlineStr">
        <is>
          <t>Granalla S-230</t>
        </is>
      </c>
      <c r="I23" s="12" t="inlineStr">
        <is>
          <t>0,198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BC5-C4</t>
        </is>
      </c>
      <c r="C24" s="12" t="inlineStr">
        <is>
          <t xml:space="preserve">        Pintura en polvo poliéster rojo</t>
        </is>
      </c>
      <c r="D24" s="25" t="n">
        <v>0.037</v>
      </c>
      <c r="E24" s="25" t="inlineStr">
        <is>
          <t>kg</t>
        </is>
      </c>
      <c r="F24" s="26" t="n">
        <v>0.65</v>
      </c>
      <c r="G24" s="26">
        <f>D24*F24</f>
        <v/>
      </c>
      <c r="H24" s="25" t="inlineStr">
        <is>
          <t>Poliéster rojo 03-1-050</t>
        </is>
      </c>
      <c r="I24" s="12" t="inlineStr">
        <is>
          <t>0,198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c r="A25" s="22" t="n">
        <v>1</v>
      </c>
      <c r="B25" s="22" t="inlineStr">
        <is>
          <t>BC5-S2</t>
        </is>
      </c>
      <c r="C25" s="23" t="inlineStr">
        <is>
          <t xml:space="preserve">    Conjunto de válvula</t>
        </is>
      </c>
      <c r="D25" s="22" t="n">
        <v>1</v>
      </c>
      <c r="E25" s="22" t="inlineStr">
        <is>
          <t>u</t>
        </is>
      </c>
      <c r="F25" s="24" t="n"/>
      <c r="G25" s="24">
        <f>G26+G27+G28+G29+G30+G31+G32+G33+G34+G35+G36+G37+G38</f>
        <v/>
      </c>
      <c r="H25" s="22" t="n"/>
      <c r="I25" s="23" t="n"/>
      <c r="J25" s="22" t="inlineStr">
        <is>
          <t>Compra / armado</t>
        </is>
      </c>
      <c r="K25" s="23" t="n"/>
      <c r="L25" s="23" t="inlineStr">
        <is>
          <t>Manómetro IRAM 3533</t>
        </is>
      </c>
      <c r="M25" s="22" t="inlineStr">
        <is>
          <t>P</t>
        </is>
      </c>
      <c r="N25" s="22" t="inlineStr">
        <is>
          <t>FL_DES_BC_5kg</t>
        </is>
      </c>
      <c r="O25" s="23" t="n"/>
    </row>
    <row r="26" outlineLevel="1">
      <c r="A26" s="25" t="n">
        <v>2</v>
      </c>
      <c r="B26" s="25" t="inlineStr">
        <is>
          <t>BC5-05</t>
        </is>
      </c>
      <c r="C26" s="12" t="inlineStr">
        <is>
          <t xml:space="preserve">        Collarín de válvula</t>
        </is>
      </c>
      <c r="D26" s="25" t="n">
        <v>1</v>
      </c>
      <c r="E26" s="25" t="inlineStr">
        <is>
          <t>u</t>
        </is>
      </c>
      <c r="F26" s="26" t="n">
        <v>0.0833</v>
      </c>
      <c r="G26" s="26">
        <f>D26*F26</f>
        <v/>
      </c>
      <c r="H26" s="25" t="inlineStr">
        <is>
          <t>Latón forjado</t>
        </is>
      </c>
      <c r="I26" s="12" t="inlineStr">
        <is>
          <t>43 × 43 × 10</t>
        </is>
      </c>
      <c r="J26" s="25" t="inlineStr">
        <is>
          <t>Compra</t>
        </is>
      </c>
      <c r="K26" s="12" t="inlineStr">
        <is>
          <t>19 Ensamblaje de válvula (T03/T04)</t>
        </is>
      </c>
      <c r="L26" s="12" t="n"/>
      <c r="M26" s="25" t="inlineStr">
        <is>
          <t>P</t>
        </is>
      </c>
      <c r="N26" s="25" t="inlineStr">
        <is>
          <t>FL_DES_BC_5kg</t>
        </is>
      </c>
      <c r="O26" s="12" t="n"/>
    </row>
    <row r="27" outlineLevel="1">
      <c r="A27" s="25" t="n">
        <v>2</v>
      </c>
      <c r="B27" s="25" t="inlineStr">
        <is>
          <t>BC5-06</t>
        </is>
      </c>
      <c r="C27" s="12" t="inlineStr">
        <is>
          <t xml:space="preserve">        Espiga roscada</t>
        </is>
      </c>
      <c r="D27" s="25" t="n">
        <v>1</v>
      </c>
      <c r="E27" s="25" t="inlineStr">
        <is>
          <t>u</t>
        </is>
      </c>
      <c r="F27" s="26" t="n">
        <v>0.0243</v>
      </c>
      <c r="G27" s="26">
        <f>D27*F27</f>
        <v/>
      </c>
      <c r="H27" s="25" t="inlineStr">
        <is>
          <t>Latón forjado</t>
        </is>
      </c>
      <c r="I27" s="12" t="inlineStr">
        <is>
          <t>28,4 × 28,4 × 12</t>
        </is>
      </c>
      <c r="J27" s="25" t="inlineStr">
        <is>
          <t>Compra</t>
        </is>
      </c>
      <c r="K27" s="12" t="inlineStr">
        <is>
          <t>19 Ensamblaje de válvula (T03/T04)</t>
        </is>
      </c>
      <c r="L27" s="12" t="n"/>
      <c r="M27" s="25" t="inlineStr">
        <is>
          <t>P</t>
        </is>
      </c>
      <c r="N27" s="25" t="inlineStr">
        <is>
          <t>FL_DES_BC_5kg</t>
        </is>
      </c>
      <c r="O27" s="12" t="n"/>
    </row>
    <row r="28" outlineLevel="1">
      <c r="A28" s="25" t="n">
        <v>2</v>
      </c>
      <c r="B28" s="25" t="inlineStr">
        <is>
          <t>BC5-07</t>
        </is>
      </c>
      <c r="C28" s="12" t="inlineStr">
        <is>
          <t xml:space="preserve">        Cuerpo de válvula</t>
        </is>
      </c>
      <c r="D28" s="25" t="n">
        <v>1</v>
      </c>
      <c r="E28" s="25" t="inlineStr">
        <is>
          <t>u</t>
        </is>
      </c>
      <c r="F28" s="26" t="n">
        <v>0.4131</v>
      </c>
      <c r="G28" s="26">
        <f>D28*F28</f>
        <v/>
      </c>
      <c r="H28" s="25" t="inlineStr">
        <is>
          <t>Latón forjado</t>
        </is>
      </c>
      <c r="I28" s="12" t="inlineStr">
        <is>
          <t>56,3 × 43 × 34</t>
        </is>
      </c>
      <c r="J28" s="25" t="inlineStr">
        <is>
          <t>Compra</t>
        </is>
      </c>
      <c r="K28" s="12" t="inlineStr">
        <is>
          <t>19 Ensamblaje de válvula (T03/T04)</t>
        </is>
      </c>
      <c r="L28" s="12" t="n"/>
      <c r="M28" s="25" t="inlineStr">
        <is>
          <t>P</t>
        </is>
      </c>
      <c r="N28" s="25" t="inlineStr">
        <is>
          <t>FL_DES_BC_5kg</t>
        </is>
      </c>
      <c r="O28" s="12" t="n"/>
    </row>
    <row r="29" outlineLevel="1">
      <c r="A29" s="25" t="n">
        <v>2</v>
      </c>
      <c r="B29" s="25" t="inlineStr">
        <is>
          <t>BC5-08</t>
        </is>
      </c>
      <c r="C29" s="12" t="inlineStr">
        <is>
          <t xml:space="preserve">        Manómetro</t>
        </is>
      </c>
      <c r="D29" s="25" t="n">
        <v>1</v>
      </c>
      <c r="E29" s="25" t="inlineStr">
        <is>
          <t>u</t>
        </is>
      </c>
      <c r="F29" s="26" t="n">
        <v>0.06</v>
      </c>
      <c r="G29" s="26">
        <f>D29*F29</f>
        <v/>
      </c>
      <c r="H29" s="25" t="inlineStr">
        <is>
          <t>Comercial</t>
        </is>
      </c>
      <c r="I29" s="12" t="inlineStr">
        <is>
          <t>Ø38 esfera, rango 0-3,5 MPa, sector verde en 1,4</t>
        </is>
      </c>
      <c r="J29" s="25" t="inlineStr">
        <is>
          <t>Compra</t>
        </is>
      </c>
      <c r="K29" s="12" t="inlineStr">
        <is>
          <t>19 Ensamblaje de válvula (T03/T04)</t>
        </is>
      </c>
      <c r="L29" s="12" t="inlineStr">
        <is>
          <t>IRAM 3533</t>
        </is>
      </c>
      <c r="M29" s="25" t="inlineStr">
        <is>
          <t>R</t>
        </is>
      </c>
      <c r="N29" s="25" t="inlineStr">
        <is>
          <t>FL_DES_BC_5kg</t>
        </is>
      </c>
      <c r="O29" s="12" t="inlineStr">
        <is>
          <t>Pieza comercial; sello IRAM 3533</t>
        </is>
      </c>
    </row>
    <row r="30" outlineLevel="1">
      <c r="A30" s="25" t="n">
        <v>2</v>
      </c>
      <c r="B30" s="25" t="inlineStr">
        <is>
          <t>BC5-09</t>
        </is>
      </c>
      <c r="C30" s="12" t="inlineStr">
        <is>
          <t xml:space="preserve">        Manija de transporte</t>
        </is>
      </c>
      <c r="D30" s="25" t="n">
        <v>1</v>
      </c>
      <c r="E30" s="25" t="inlineStr">
        <is>
          <t>u</t>
        </is>
      </c>
      <c r="F30" s="26" t="n">
        <v>0.0619</v>
      </c>
      <c r="G30" s="26">
        <f>D30*F30</f>
        <v/>
      </c>
      <c r="H30" s="25" t="inlineStr">
        <is>
          <t>Chapa acero SAE 1010 pintada</t>
        </is>
      </c>
      <c r="I30" s="12" t="inlineStr">
        <is>
          <t>98,4 × 20 × 14,3</t>
        </is>
      </c>
      <c r="J30" s="25" t="inlineStr">
        <is>
          <t>Compra</t>
        </is>
      </c>
      <c r="K30" s="12" t="inlineStr">
        <is>
          <t>19 Ensamblaje de válvula (T03/T04)</t>
        </is>
      </c>
      <c r="L30" s="12" t="n"/>
      <c r="M30" s="25" t="inlineStr">
        <is>
          <t>P</t>
        </is>
      </c>
      <c r="N30" s="25" t="inlineStr">
        <is>
          <t>FL_DES_BC_5kg</t>
        </is>
      </c>
      <c r="O30" s="12" t="n"/>
    </row>
    <row r="31" outlineLevel="1">
      <c r="A31" s="25" t="n">
        <v>2</v>
      </c>
      <c r="B31" s="25" t="inlineStr">
        <is>
          <t>BC5-10</t>
        </is>
      </c>
      <c r="C31" s="12" t="inlineStr">
        <is>
          <t xml:space="preserve">        Manija de accionamiento</t>
        </is>
      </c>
      <c r="D31" s="25" t="n">
        <v>1</v>
      </c>
      <c r="E31" s="25" t="inlineStr">
        <is>
          <t>u</t>
        </is>
      </c>
      <c r="F31" s="26" t="n">
        <v>0.08890000000000001</v>
      </c>
      <c r="G31" s="26">
        <f>D31*F31</f>
        <v/>
      </c>
      <c r="H31" s="25" t="inlineStr">
        <is>
          <t>Chapa acero SAE 1010 pintada</t>
        </is>
      </c>
      <c r="I31" s="12" t="inlineStr">
        <is>
          <t>141 × 21,2 × 20</t>
        </is>
      </c>
      <c r="J31" s="25" t="inlineStr">
        <is>
          <t>Compra</t>
        </is>
      </c>
      <c r="K31" s="12" t="inlineStr">
        <is>
          <t>19 Ensamblaje de válvula (T03/T04)</t>
        </is>
      </c>
      <c r="L31" s="12" t="n"/>
      <c r="M31" s="25" t="inlineStr">
        <is>
          <t>P</t>
        </is>
      </c>
      <c r="N31" s="25" t="inlineStr">
        <is>
          <t>FL_DES_BC_5kg</t>
        </is>
      </c>
      <c r="O31" s="12" t="n"/>
    </row>
    <row r="32" outlineLevel="1">
      <c r="A32" s="25" t="n">
        <v>2</v>
      </c>
      <c r="B32" s="25" t="inlineStr">
        <is>
          <t>BC5-11</t>
        </is>
      </c>
      <c r="C32" s="12" t="inlineStr">
        <is>
          <t xml:space="preserve">        Eje de palanca</t>
        </is>
      </c>
      <c r="D32" s="25" t="n">
        <v>1</v>
      </c>
      <c r="E32" s="25" t="inlineStr">
        <is>
          <t>u</t>
        </is>
      </c>
      <c r="F32" s="26" t="n">
        <v>0.0081</v>
      </c>
      <c r="G32" s="26">
        <f>D32*F32</f>
        <v/>
      </c>
      <c r="H32" s="25" t="inlineStr">
        <is>
          <t>Acero inox. AISI 304</t>
        </is>
      </c>
      <c r="I32" s="12" t="inlineStr">
        <is>
          <t>36 × 6 × 6</t>
        </is>
      </c>
      <c r="J32" s="25" t="inlineStr">
        <is>
          <t>Compra</t>
        </is>
      </c>
      <c r="K32" s="12" t="inlineStr">
        <is>
          <t>19 Ensamblaje de válvula (T03/T04)</t>
        </is>
      </c>
      <c r="L32" s="12" t="n"/>
      <c r="M32" s="25" t="inlineStr">
        <is>
          <t>P</t>
        </is>
      </c>
      <c r="N32" s="25" t="inlineStr">
        <is>
          <t>FL_DES_BC_5kg</t>
        </is>
      </c>
      <c r="O32" s="12" t="n"/>
    </row>
    <row r="33" outlineLevel="1">
      <c r="A33" s="25" t="n">
        <v>2</v>
      </c>
      <c r="B33" s="25" t="inlineStr">
        <is>
          <t>BC5-12</t>
        </is>
      </c>
      <c r="C33" s="12" t="inlineStr">
        <is>
          <t xml:space="preserve">        Vástago</t>
        </is>
      </c>
      <c r="D33" s="25" t="n">
        <v>1</v>
      </c>
      <c r="E33" s="25" t="inlineStr">
        <is>
          <t>u</t>
        </is>
      </c>
      <c r="F33" s="26" t="n">
        <v>0.0017</v>
      </c>
      <c r="G33" s="26">
        <f>D33*F33</f>
        <v/>
      </c>
      <c r="H33" s="25" t="inlineStr">
        <is>
          <t>Latón</t>
        </is>
      </c>
      <c r="I33" s="12" t="inlineStr">
        <is>
          <t>8 × 8 × 4</t>
        </is>
      </c>
      <c r="J33" s="25" t="inlineStr">
        <is>
          <t>Compra</t>
        </is>
      </c>
      <c r="K33" s="12" t="inlineStr">
        <is>
          <t>19 Ensamblaje de válvula (T03/T04)</t>
        </is>
      </c>
      <c r="L33" s="12" t="n"/>
      <c r="M33" s="25" t="inlineStr">
        <is>
          <t>P</t>
        </is>
      </c>
      <c r="N33" s="25" t="inlineStr">
        <is>
          <t>FL_DES_BC_5kg</t>
        </is>
      </c>
      <c r="O33" s="12" t="inlineStr">
        <is>
          <t>con junta tórica</t>
        </is>
      </c>
    </row>
    <row r="34" outlineLevel="1">
      <c r="A34" s="25" t="n">
        <v>2</v>
      </c>
      <c r="B34" s="25" t="inlineStr">
        <is>
          <t>BC5-13</t>
        </is>
      </c>
      <c r="C34" s="12" t="inlineStr">
        <is>
          <t xml:space="preserve">        Pasador de seguridad</t>
        </is>
      </c>
      <c r="D34" s="25" t="n">
        <v>1</v>
      </c>
      <c r="E34" s="25" t="inlineStr">
        <is>
          <t>u</t>
        </is>
      </c>
      <c r="F34" s="26" t="n">
        <v>0.0055</v>
      </c>
      <c r="G34" s="26">
        <f>D34*F34</f>
        <v/>
      </c>
      <c r="H34" s="25" t="inlineStr">
        <is>
          <t>Alambre acero inox. AISI 304</t>
        </is>
      </c>
      <c r="I34" s="12" t="inlineStr">
        <is>
          <t>45,4 × 21 × 20,8</t>
        </is>
      </c>
      <c r="J34" s="25" t="inlineStr">
        <is>
          <t>Compra</t>
        </is>
      </c>
      <c r="K34" s="12" t="inlineStr">
        <is>
          <t>19 Ensamblaje de válvula (T03/T04)</t>
        </is>
      </c>
      <c r="L34" s="12" t="n"/>
      <c r="M34" s="25" t="inlineStr">
        <is>
          <t>P</t>
        </is>
      </c>
      <c r="N34" s="25" t="inlineStr">
        <is>
          <t>FL_DES_BC_5kg</t>
        </is>
      </c>
      <c r="O34" s="12" t="inlineStr">
        <is>
          <t>con precinto</t>
        </is>
      </c>
    </row>
    <row r="35" outlineLevel="1">
      <c r="A35" s="25" t="n">
        <v>2</v>
      </c>
      <c r="B35" s="25" t="inlineStr">
        <is>
          <t>BC5-14</t>
        </is>
      </c>
      <c r="C35" s="12" t="inlineStr">
        <is>
          <t xml:space="preserve">        Caño de pesca (sifón)</t>
        </is>
      </c>
      <c r="D35" s="25" t="n">
        <v>1</v>
      </c>
      <c r="E35" s="25" t="inlineStr">
        <is>
          <t>u</t>
        </is>
      </c>
      <c r="F35" s="26" t="n">
        <v>0.0244</v>
      </c>
      <c r="G35" s="26">
        <f>D35*F35</f>
        <v/>
      </c>
      <c r="H35" s="25" t="inlineStr">
        <is>
          <t>Tubo PVC rígido</t>
        </is>
      </c>
      <c r="I35" s="12" t="inlineStr">
        <is>
          <t>Ø12 × 352,4 de largo</t>
        </is>
      </c>
      <c r="J35" s="25" t="inlineStr">
        <is>
          <t>Compra</t>
        </is>
      </c>
      <c r="K35" s="12" t="inlineStr">
        <is>
          <t>19 Ensamblaje de válvula (T03/T04)</t>
        </is>
      </c>
      <c r="L35" s="12" t="n"/>
      <c r="M35" s="25" t="inlineStr">
        <is>
          <t>P</t>
        </is>
      </c>
      <c r="N35" s="25" t="inlineStr">
        <is>
          <t>FL_DES_BC_5kg</t>
        </is>
      </c>
      <c r="O35" s="12" t="n"/>
    </row>
    <row r="36" outlineLevel="1">
      <c r="A36" s="25" t="n">
        <v>2</v>
      </c>
      <c r="B36" s="25" t="inlineStr">
        <is>
          <t>BC5-22</t>
        </is>
      </c>
      <c r="C36" s="12" t="inlineStr">
        <is>
          <t xml:space="preserve">        Junta tórica de asiento</t>
        </is>
      </c>
      <c r="D36" s="25" t="n">
        <v>1</v>
      </c>
      <c r="E36" s="25" t="inlineStr">
        <is>
          <t>u</t>
        </is>
      </c>
      <c r="F36" s="26" t="n">
        <v>0.001</v>
      </c>
      <c r="G36" s="26">
        <f>D36*F36</f>
        <v/>
      </c>
      <c r="H36" s="25" t="inlineStr">
        <is>
          <t>NBR 70 Shore A</t>
        </is>
      </c>
      <c r="I36" s="12" t="inlineStr">
        <is>
          <t>Ø31,4 ext. × cordón 3</t>
        </is>
      </c>
      <c r="J36" s="25" t="inlineStr">
        <is>
          <t>Compra</t>
        </is>
      </c>
      <c r="K36" s="12" t="inlineStr">
        <is>
          <t>19 Ensamblaje de válvula (T03/T04)</t>
        </is>
      </c>
      <c r="L36" s="12" t="n"/>
      <c r="M36" s="25" t="inlineStr">
        <is>
          <t>P</t>
        </is>
      </c>
      <c r="N36" s="25" t="inlineStr">
        <is>
          <t>FL_DES_BC_5kg</t>
        </is>
      </c>
      <c r="O36" s="12" t="inlineStr">
        <is>
          <t>cambio c/recarga</t>
        </is>
      </c>
    </row>
    <row r="37" outlineLevel="1">
      <c r="A37" s="25" t="n">
        <v>2</v>
      </c>
      <c r="B37" s="25" t="inlineStr">
        <is>
          <t>BC5-V2</t>
        </is>
      </c>
      <c r="C37" s="12" t="inlineStr">
        <is>
          <t xml:space="preserve">        Resorte de retorno del vástago</t>
        </is>
      </c>
      <c r="D37" s="25" t="n">
        <v>1</v>
      </c>
      <c r="E37" s="25" t="inlineStr">
        <is>
          <t>u</t>
        </is>
      </c>
      <c r="F37" s="26" t="n">
        <v>0.003</v>
      </c>
      <c r="G37" s="26">
        <f>D37*F37</f>
        <v/>
      </c>
      <c r="H37" s="25" t="inlineStr">
        <is>
          <t>Alambre acero inox. AISI 302</t>
        </is>
      </c>
      <c r="I37" s="12" t="inlineStr">
        <is>
          <t>según válvula</t>
        </is>
      </c>
      <c r="J37" s="25" t="inlineStr">
        <is>
          <t>Compra</t>
        </is>
      </c>
      <c r="K37" s="12" t="inlineStr">
        <is>
          <t>19 Ensamblaje</t>
        </is>
      </c>
      <c r="L37" s="12" t="n"/>
      <c r="M37" s="25" t="inlineStr">
        <is>
          <t>R</t>
        </is>
      </c>
      <c r="N37" s="25" t="n"/>
      <c r="O37" s="12" t="n"/>
    </row>
    <row r="38" outlineLevel="1">
      <c r="A38" s="25" t="n">
        <v>2</v>
      </c>
      <c r="B38" s="25" t="inlineStr">
        <is>
          <t>BC5-V3</t>
        </is>
      </c>
      <c r="C38" s="12" t="inlineStr">
        <is>
          <t xml:space="preserve">        Junta tórica del vástago</t>
        </is>
      </c>
      <c r="D38" s="25" t="n">
        <v>1</v>
      </c>
      <c r="E38" s="25" t="inlineStr">
        <is>
          <t>u</t>
        </is>
      </c>
      <c r="F38" s="26" t="n">
        <v>0.001</v>
      </c>
      <c r="G38" s="26">
        <f>D38*F38</f>
        <v/>
      </c>
      <c r="H38" s="25" t="inlineStr">
        <is>
          <t>NBR 70 Shore A</t>
        </is>
      </c>
      <c r="I38" s="12" t="inlineStr">
        <is>
          <t>según válvula</t>
        </is>
      </c>
      <c r="J38" s="25" t="inlineStr">
        <is>
          <t>Compra</t>
        </is>
      </c>
      <c r="K38" s="12" t="inlineStr">
        <is>
          <t>19 Ensamblaje</t>
        </is>
      </c>
      <c r="L38" s="12" t="n"/>
      <c r="M38" s="25" t="inlineStr">
        <is>
          <t>P</t>
        </is>
      </c>
      <c r="N38" s="25" t="n"/>
      <c r="O38" s="12" t="inlineStr">
        <is>
          <t>Figura en el plano como «vástago con junta tórica»</t>
        </is>
      </c>
    </row>
    <row r="39">
      <c r="A39" s="22" t="n">
        <v>1</v>
      </c>
      <c r="B39" s="22" t="inlineStr">
        <is>
          <t>BC5-S3</t>
        </is>
      </c>
      <c r="C39" s="23" t="inlineStr">
        <is>
          <t xml:space="preserve">    Dispositivo de descarga</t>
        </is>
      </c>
      <c r="D39" s="22" t="n">
        <v>1</v>
      </c>
      <c r="E39" s="22" t="inlineStr">
        <is>
          <t>u</t>
        </is>
      </c>
      <c r="F39" s="24" t="n"/>
      <c r="G39" s="24">
        <f>G40+G41+G42+G43</f>
        <v/>
      </c>
      <c r="H39" s="22" t="n"/>
      <c r="I39" s="23" t="n"/>
      <c r="J39" s="22" t="inlineStr">
        <is>
          <t>Compra / armado</t>
        </is>
      </c>
      <c r="K39" s="23" t="n"/>
      <c r="L39" s="23" t="n"/>
      <c r="M39" s="22" t="inlineStr">
        <is>
          <t>P</t>
        </is>
      </c>
      <c r="N39" s="22" t="inlineStr">
        <is>
          <t>FL_DES_BC_5kg</t>
        </is>
      </c>
      <c r="O39" s="23" t="n"/>
    </row>
    <row r="40" outlineLevel="1">
      <c r="A40" s="25" t="n">
        <v>2</v>
      </c>
      <c r="B40" s="25" t="inlineStr">
        <is>
          <t>BC5-15</t>
        </is>
      </c>
      <c r="C40" s="12" t="inlineStr">
        <is>
          <t xml:space="preserve">        Racor de manguera</t>
        </is>
      </c>
      <c r="D40" s="25" t="n">
        <v>1</v>
      </c>
      <c r="E40" s="25" t="inlineStr">
        <is>
          <t>u</t>
        </is>
      </c>
      <c r="F40" s="26" t="n">
        <v>0.0258</v>
      </c>
      <c r="G40" s="26">
        <f>D40*F40</f>
        <v/>
      </c>
      <c r="H40" s="25" t="inlineStr">
        <is>
          <t>Latón</t>
        </is>
      </c>
      <c r="I40" s="12" t="inlineStr">
        <is>
          <t>18 × 18 × 12</t>
        </is>
      </c>
      <c r="J40" s="25" t="inlineStr">
        <is>
          <t>Compra</t>
        </is>
      </c>
      <c r="K40" s="12" t="inlineStr">
        <is>
          <t>19 Ensamblaje (T03/T04)</t>
        </is>
      </c>
      <c r="L40" s="12" t="n"/>
      <c r="M40" s="25" t="inlineStr">
        <is>
          <t>P</t>
        </is>
      </c>
      <c r="N40" s="25" t="inlineStr">
        <is>
          <t>FL_DES_BC_5kg</t>
        </is>
      </c>
      <c r="O40" s="12" t="n"/>
    </row>
    <row r="41" outlineLevel="1">
      <c r="A41" s="25" t="n">
        <v>2</v>
      </c>
      <c r="B41" s="25" t="inlineStr">
        <is>
          <t>BC5-16</t>
        </is>
      </c>
      <c r="C41" s="12" t="inlineStr">
        <is>
          <t xml:space="preserve">        Manguera</t>
        </is>
      </c>
      <c r="D41" s="25" t="n">
        <v>1</v>
      </c>
      <c r="E41" s="25" t="inlineStr">
        <is>
          <t>u</t>
        </is>
      </c>
      <c r="F41" s="26" t="n">
        <v>0.046</v>
      </c>
      <c r="G41" s="26">
        <f>D41*F41</f>
        <v/>
      </c>
      <c r="H41" s="25" t="inlineStr">
        <is>
          <t>Caucho sintético</t>
        </is>
      </c>
      <c r="I41" s="12" t="inlineStr">
        <is>
          <t>Ø16 × 298 de largo desarrollado</t>
        </is>
      </c>
      <c r="J41" s="25" t="inlineStr">
        <is>
          <t>Compra</t>
        </is>
      </c>
      <c r="K41" s="12" t="inlineStr">
        <is>
          <t>19 Ensamblaje (T03/T04)</t>
        </is>
      </c>
      <c r="L41" s="12" t="n"/>
      <c r="M41" s="25" t="inlineStr">
        <is>
          <t>P</t>
        </is>
      </c>
      <c r="N41" s="25" t="inlineStr">
        <is>
          <t>FL_DES_BC_5kg</t>
        </is>
      </c>
      <c r="O41" s="12" t="n"/>
    </row>
    <row r="42" outlineLevel="1">
      <c r="A42" s="25" t="n">
        <v>2</v>
      </c>
      <c r="B42" s="25" t="inlineStr">
        <is>
          <t>BC5-17</t>
        </is>
      </c>
      <c r="C42" s="12" t="inlineStr">
        <is>
          <t xml:space="preserve">        Tobera con portatobera</t>
        </is>
      </c>
      <c r="D42" s="25" t="n">
        <v>1</v>
      </c>
      <c r="E42" s="25" t="inlineStr">
        <is>
          <t>u</t>
        </is>
      </c>
      <c r="F42" s="26" t="n">
        <v>0.0166</v>
      </c>
      <c r="G42" s="26">
        <f>D42*F42</f>
        <v/>
      </c>
      <c r="H42" s="25" t="inlineStr">
        <is>
          <t>Polipropileno</t>
        </is>
      </c>
      <c r="I42" s="12" t="inlineStr">
        <is>
          <t>75 × 24 × 24</t>
        </is>
      </c>
      <c r="J42" s="25" t="inlineStr">
        <is>
          <t>Compra</t>
        </is>
      </c>
      <c r="K42" s="12" t="inlineStr">
        <is>
          <t>19 Ensamblaje (T03/T04)</t>
        </is>
      </c>
      <c r="L42" s="12" t="n"/>
      <c r="M42" s="25" t="inlineStr">
        <is>
          <t>P</t>
        </is>
      </c>
      <c r="N42" s="25" t="inlineStr">
        <is>
          <t>FL_DES_BC_5kg</t>
        </is>
      </c>
      <c r="O42" s="12" t="n"/>
    </row>
    <row r="43" outlineLevel="1">
      <c r="A43" s="25" t="n">
        <v>2</v>
      </c>
      <c r="B43" s="25" t="inlineStr">
        <is>
          <t>BC5-18</t>
        </is>
      </c>
      <c r="C43" s="12" t="inlineStr">
        <is>
          <t xml:space="preserve">        Suncho portatobera</t>
        </is>
      </c>
      <c r="D43" s="25" t="n">
        <v>1</v>
      </c>
      <c r="E43" s="25" t="inlineStr">
        <is>
          <t>u</t>
        </is>
      </c>
      <c r="F43" s="26" t="n">
        <v>0.1319</v>
      </c>
      <c r="G43" s="26">
        <f>D43*F43</f>
        <v/>
      </c>
      <c r="H43" s="25" t="inlineStr">
        <is>
          <t>Fleje acero SAE 1010 pintado</t>
        </is>
      </c>
      <c r="I43" s="12" t="inlineStr">
        <is>
          <t>159,9 × 156 × 18</t>
        </is>
      </c>
      <c r="J43" s="25" t="inlineStr">
        <is>
          <t>Compra (estructura)</t>
        </is>
      </c>
      <c r="K43" s="12" t="inlineStr">
        <is>
          <t>19 Ensamblaje (T03/T04)</t>
        </is>
      </c>
      <c r="L43" s="12" t="n"/>
      <c r="M43" s="25" t="inlineStr">
        <is>
          <t>P</t>
        </is>
      </c>
      <c r="N43" s="25" t="inlineStr">
        <is>
          <t>FL_DES_BC_5kg</t>
        </is>
      </c>
      <c r="O43" s="12" t="n"/>
    </row>
    <row r="44">
      <c r="A44" s="22" t="n">
        <v>1</v>
      </c>
      <c r="B44" s="22" t="inlineStr">
        <is>
          <t>BC5-S5</t>
        </is>
      </c>
      <c r="C44" s="23" t="inlineStr">
        <is>
          <t xml:space="preserve">    Carga: agente extintor y gas impulsor</t>
        </is>
      </c>
      <c r="D44" s="22" t="n">
        <v>1</v>
      </c>
      <c r="E44" s="22" t="inlineStr">
        <is>
          <t>u</t>
        </is>
      </c>
      <c r="F44" s="24" t="n"/>
      <c r="G44" s="24">
        <f>G45+G46</f>
        <v/>
      </c>
      <c r="H44" s="22" t="n"/>
      <c r="I44" s="23" t="n"/>
      <c r="J44" s="22" t="inlineStr">
        <is>
          <t>Carga en planta</t>
        </is>
      </c>
      <c r="K44" s="23" t="inlineStr">
        <is>
          <t>18 Carga de polvo (T01) / C8 (T02)</t>
        </is>
      </c>
      <c r="L44" s="23" t="n"/>
      <c r="M44" s="22" t="n"/>
      <c r="N44" s="22" t="n"/>
      <c r="O44" s="23" t="n"/>
    </row>
    <row r="45" outlineLevel="1">
      <c r="A45" s="25" t="n">
        <v>2</v>
      </c>
      <c r="B45" s="25" t="inlineStr">
        <is>
          <t>BC5-A1</t>
        </is>
      </c>
      <c r="C45" s="12" t="inlineStr">
        <is>
          <t xml:space="preserve">        Polvo químico seco BC - BC sódico (NaHCO₃ ≥ 85,5 %)</t>
        </is>
      </c>
      <c r="D45" s="25" t="n">
        <v>5.15</v>
      </c>
      <c r="E45" s="25" t="inlineStr">
        <is>
          <t>kg</t>
        </is>
      </c>
      <c r="F45" s="26" t="n">
        <v>1</v>
      </c>
      <c r="G45" s="26">
        <f>D45*F45</f>
        <v/>
      </c>
      <c r="H45" s="25" t="inlineStr">
        <is>
          <t>Polvo químico seco BC - BC sódico (NaHCO₃ ≥ 85,5 %)</t>
        </is>
      </c>
      <c r="I45" s="12" t="inlineStr">
        <is>
          <t>nominal 5 kg; tolerancia 0 / +300 g (IRAM 3517-2:2020 tabla 3 · IRAM 3523 tabla II)</t>
        </is>
      </c>
      <c r="J45" s="25" t="inlineStr">
        <is>
          <t>Compra</t>
        </is>
      </c>
      <c r="K45" s="12" t="inlineStr">
        <is>
          <t>SP-1 almacén previo a la carga</t>
        </is>
      </c>
      <c r="L45" s="12" t="inlineStr">
        <is>
          <t>IRAM 3566</t>
        </is>
      </c>
      <c r="M45" s="25" t="inlineStr">
        <is>
          <t>N</t>
        </is>
      </c>
      <c r="N45" s="25" t="n"/>
      <c r="O45" s="12" t="inlineStr">
        <is>
          <t>potencial - · alternativa BC Púrpura K (KHCO₃ 92 ± 5 %): 40B · Lote único por extintor; prohibido mezclar ABC con BC (3517-2 9.9.1.6)</t>
        </is>
      </c>
    </row>
    <row r="46" outlineLevel="1">
      <c r="A46" s="25" t="n">
        <v>2</v>
      </c>
      <c r="B46" s="25" t="inlineStr">
        <is>
          <t>BC5-A2</t>
        </is>
      </c>
      <c r="C46" s="12" t="inlineStr">
        <is>
          <t xml:space="preserve">        Gas impulsor: N₂</t>
        </is>
      </c>
      <c r="D46" s="25" t="n">
        <v>0.0077</v>
      </c>
      <c r="E46" s="25" t="inlineStr">
        <is>
          <t>kg</t>
        </is>
      </c>
      <c r="F46" s="26" t="n">
        <v>1</v>
      </c>
      <c r="G46" s="26">
        <f>D46*F46</f>
        <v/>
      </c>
      <c r="H46" s="25" t="inlineStr">
        <is>
          <t>N₂</t>
        </is>
      </c>
      <c r="I46" s="12" t="inlineStr">
        <is>
          <t>6,1 L normales para 1,4 MPa a 20 °C en 0,44 dm³ libres</t>
        </is>
      </c>
      <c r="J46" s="25" t="inlineStr">
        <is>
          <t>Compra</t>
        </is>
      </c>
      <c r="K46" s="12" t="inlineStr">
        <is>
          <t>20 Presurización (T05) / C10</t>
        </is>
      </c>
      <c r="L46" s="12" t="inlineStr">
        <is>
          <t>IRAM 3517-2 9.4.9 (tabla 2) · IRAM 3523 2.3 y 3.10</t>
        </is>
      </c>
      <c r="M46" s="25" t="inlineStr">
        <is>
          <t>C</t>
        </is>
      </c>
      <c r="N46" s="25" t="n"/>
      <c r="O46" s="12" t="inlineStr">
        <is>
          <t>VOLUMEN LIBRE INSUFICIENTE con ρ típica (0,44 dm³): ver Carga_N2 - exigir densidad aparente mínima al polvo o agrandar el recipiente</t>
        </is>
      </c>
    </row>
    <row r="47">
      <c r="A47" s="22" t="n">
        <v>1</v>
      </c>
      <c r="B47" s="22" t="inlineStr">
        <is>
          <t>BC5-S6</t>
        </is>
      </c>
      <c r="C47" s="23" t="inlineStr">
        <is>
          <t xml:space="preserve">    Identificación y precinto</t>
        </is>
      </c>
      <c r="D47" s="22" t="n">
        <v>1</v>
      </c>
      <c r="E47" s="22" t="inlineStr">
        <is>
          <t>u</t>
        </is>
      </c>
      <c r="F47" s="24" t="n"/>
      <c r="G47" s="24">
        <f>G48+G49+G50+G51+G52</f>
        <v/>
      </c>
      <c r="H47" s="22" t="n"/>
      <c r="I47" s="23" t="n"/>
      <c r="J47" s="22" t="inlineStr">
        <is>
          <t>Compra</t>
        </is>
      </c>
      <c r="K47" s="23" t="inlineStr">
        <is>
          <t>22 Etiquetado (T07)</t>
        </is>
      </c>
      <c r="L47" s="23" t="n"/>
      <c r="M47" s="22" t="n"/>
      <c r="N47" s="22" t="n"/>
      <c r="O47" s="23" t="n"/>
    </row>
    <row r="48" outlineLevel="1">
      <c r="A48" s="25" t="n">
        <v>2</v>
      </c>
      <c r="B48" s="25" t="inlineStr">
        <is>
          <t>BC5-19</t>
        </is>
      </c>
      <c r="C48" s="12" t="inlineStr">
        <is>
          <t xml:space="preserve">        Placa de características</t>
        </is>
      </c>
      <c r="D48" s="25" t="n">
        <v>1</v>
      </c>
      <c r="E48" s="25" t="inlineStr">
        <is>
          <t>u</t>
        </is>
      </c>
      <c r="F48" s="26" t="n">
        <v>0.0092</v>
      </c>
      <c r="G48" s="26">
        <f>D48*F48</f>
        <v/>
      </c>
      <c r="H48" s="25" t="inlineStr">
        <is>
          <t>Vinilo autoadhesivo laminado</t>
        </is>
      </c>
      <c r="I48" s="12" t="inlineStr">
        <is>
          <t>144 × 152 (desarrollo × alto), e ≈ 0,3</t>
        </is>
      </c>
      <c r="J48" s="25" t="inlineStr">
        <is>
          <t>Compra</t>
        </is>
      </c>
      <c r="K48" s="12" t="inlineStr">
        <is>
          <t>22 Etiquetado (T07)</t>
        </is>
      </c>
      <c r="L48" s="12" t="inlineStr">
        <is>
          <t>IRAM 3534 · IRAM 3523 cap. 5</t>
        </is>
      </c>
      <c r="M48" s="25" t="inlineStr">
        <is>
          <t>P</t>
        </is>
      </c>
      <c r="N48" s="25" t="inlineStr">
        <is>
          <t>FL_DES_BC_5kg</t>
        </is>
      </c>
      <c r="O48" s="12" t="inlineStr">
        <is>
          <t>IRAM 3534</t>
        </is>
      </c>
    </row>
    <row r="49" outlineLevel="1">
      <c r="A49" s="25" t="n">
        <v>2</v>
      </c>
      <c r="B49" s="25" t="inlineStr">
        <is>
          <t>BC5-20</t>
        </is>
      </c>
      <c r="C49" s="12" t="inlineStr">
        <is>
          <t xml:space="preserve">        Oblea de fabricación (PBA)</t>
        </is>
      </c>
      <c r="D49" s="25" t="n">
        <v>1</v>
      </c>
      <c r="E49" s="25" t="inlineStr">
        <is>
          <t>u</t>
        </is>
      </c>
      <c r="F49" s="26" t="n">
        <v>0.0009</v>
      </c>
      <c r="G49" s="26">
        <f>D49*F49</f>
        <v/>
      </c>
      <c r="H49" s="25" t="inlineStr">
        <is>
          <t>Papel de seguridad autodestructible</t>
        </is>
      </c>
      <c r="I49" s="12" t="inlineStr">
        <is>
          <t>Ø46 (Res. OPDS 522/07), numerada, autodestructible</t>
        </is>
      </c>
      <c r="J49" s="25" t="inlineStr">
        <is>
          <t>Compra</t>
        </is>
      </c>
      <c r="K49" s="12" t="inlineStr">
        <is>
          <t>22 Etiquetado (T07)</t>
        </is>
      </c>
      <c r="L49" s="12" t="inlineStr">
        <is>
          <t>Res. OPDS 522/07 anexos 1, 2 y 6</t>
        </is>
      </c>
      <c r="M49" s="25" t="inlineStr">
        <is>
          <t>P</t>
        </is>
      </c>
      <c r="N49" s="25" t="inlineStr">
        <is>
          <t>FL_DES_BC_5kg</t>
        </is>
      </c>
      <c r="O49" s="12" t="inlineStr">
        <is>
          <t>Res. 522/07</t>
        </is>
      </c>
    </row>
    <row r="50" outlineLevel="1">
      <c r="A50" s="25" t="n">
        <v>2</v>
      </c>
      <c r="B50" s="25" t="inlineStr">
        <is>
          <t>BC5-21</t>
        </is>
      </c>
      <c r="C50" s="12" t="inlineStr">
        <is>
          <t xml:space="preserve">        Estampilla IRAM de conformidad</t>
        </is>
      </c>
      <c r="D50" s="25" t="n">
        <v>1</v>
      </c>
      <c r="E50" s="25" t="inlineStr">
        <is>
          <t>u</t>
        </is>
      </c>
      <c r="F50" s="26" t="n">
        <v>0.001</v>
      </c>
      <c r="G50" s="26">
        <f>D50*F50</f>
        <v/>
      </c>
      <c r="H50" s="25" t="inlineStr">
        <is>
          <t>Provista por IRAM (Anexo R)</t>
        </is>
      </c>
      <c r="I50" s="12" t="inlineStr">
        <is>
          <t>60 × 40</t>
        </is>
      </c>
      <c r="J50" s="25" t="inlineStr">
        <is>
          <t>Compra</t>
        </is>
      </c>
      <c r="K50" s="12" t="inlineStr">
        <is>
          <t>22 Etiquetado (T07)</t>
        </is>
      </c>
      <c r="L50" s="12" t="inlineStr">
        <is>
          <t>IRAM Anexo R (DC-PG-129)</t>
        </is>
      </c>
      <c r="M50" s="25" t="inlineStr">
        <is>
          <t>P</t>
        </is>
      </c>
      <c r="N50" s="25" t="inlineStr">
        <is>
          <t>FL_DES_BC_5kg</t>
        </is>
      </c>
      <c r="O50" s="12" t="inlineStr">
        <is>
          <t>numerada</t>
        </is>
      </c>
    </row>
    <row r="51" outlineLevel="1">
      <c r="A51" s="25" t="n">
        <v>2</v>
      </c>
      <c r="B51" s="25" t="inlineStr">
        <is>
          <t>BC5-23</t>
        </is>
      </c>
      <c r="C51" s="12" t="inlineStr">
        <is>
          <t xml:space="preserve">        Precinto de fábrica</t>
        </is>
      </c>
      <c r="D51" s="25" t="n">
        <v>1</v>
      </c>
      <c r="E51" s="25" t="inlineStr">
        <is>
          <t>u</t>
        </is>
      </c>
      <c r="F51" s="26" t="n">
        <v>0.0002</v>
      </c>
      <c r="G51" s="26">
        <f>D51*F51</f>
        <v/>
      </c>
      <c r="H51" s="25" t="inlineStr">
        <is>
          <t>Polipropileno</t>
        </is>
      </c>
      <c r="I51" s="12" t="inlineStr">
        <is>
          <t>Ø5 × 10, numerado, rotura 30-50 N</t>
        </is>
      </c>
      <c r="J51" s="25" t="inlineStr">
        <is>
          <t>Compra</t>
        </is>
      </c>
      <c r="K51" s="12" t="inlineStr">
        <is>
          <t>20 Presurización (T05)</t>
        </is>
      </c>
      <c r="L51" s="12" t="inlineStr">
        <is>
          <t>IRAM 3523 3.3.2 · IRAM 3517-2:2020 9.4.13</t>
        </is>
      </c>
      <c r="M51" s="25" t="inlineStr">
        <is>
          <t>P</t>
        </is>
      </c>
      <c r="N51" s="25" t="inlineStr">
        <is>
          <t>FL_DES_BC_5kg</t>
        </is>
      </c>
      <c r="O51" s="12" t="inlineStr">
        <is>
          <t>id. FLAMA y lote</t>
        </is>
      </c>
    </row>
    <row r="52" outlineLevel="1">
      <c r="A52" s="25" t="n">
        <v>2</v>
      </c>
      <c r="B52" s="25" t="inlineStr">
        <is>
          <t>BC5-I3</t>
        </is>
      </c>
      <c r="C52" s="12" t="inlineStr">
        <is>
          <t xml:space="preserve">        Tarjeta oficial de vigencia (CABA)</t>
        </is>
      </c>
      <c r="D52" s="25" t="n">
        <v>1</v>
      </c>
      <c r="E52" s="25" t="inlineStr">
        <is>
          <t>u</t>
        </is>
      </c>
      <c r="F52" s="26" t="n">
        <v>0.002</v>
      </c>
      <c r="G52" s="26">
        <f>D52*F52</f>
        <v/>
      </c>
      <c r="H52" s="25" t="inlineStr">
        <is>
          <t>Formulario oficial</t>
        </is>
      </c>
      <c r="I52" s="12" t="inlineStr">
        <is>
          <t>provista por DG Rentas GCBA</t>
        </is>
      </c>
      <c r="J52" s="25" t="inlineStr">
        <is>
          <t>Compra</t>
        </is>
      </c>
      <c r="K52" s="12" t="inlineStr">
        <is>
          <t>22 Etiquetado</t>
        </is>
      </c>
      <c r="L52" s="12" t="inlineStr">
        <is>
          <t>Ordenanza 40.473 art. 6</t>
        </is>
      </c>
      <c r="M52" s="25" t="inlineStr">
        <is>
          <t>N</t>
        </is>
      </c>
      <c r="N52" s="25" t="n"/>
      <c r="O52" s="12" t="inlineStr">
        <is>
          <t>Clase, capacidad, fecha de carga y vencimiento, garantía; se anexa al matafuego (no se dibuja)</t>
        </is>
      </c>
    </row>
    <row r="53">
      <c r="A53" s="22" t="n">
        <v>1</v>
      </c>
      <c r="B53" s="22" t="inlineStr">
        <is>
          <t>BC5-S8</t>
        </is>
      </c>
      <c r="C53" s="23" t="inlineStr">
        <is>
          <t xml:space="preserve">    Soporte (accesorio de montaje)</t>
        </is>
      </c>
      <c r="D53" s="22" t="n">
        <v>1</v>
      </c>
      <c r="E53" s="22" t="inlineStr">
        <is>
          <t>u</t>
        </is>
      </c>
      <c r="F53" s="24" t="n"/>
      <c r="G53" s="24">
        <f>G54+G55</f>
        <v/>
      </c>
      <c r="H53" s="22" t="n"/>
      <c r="I53" s="23" t="n"/>
      <c r="J53" s="22" t="inlineStr">
        <is>
          <t>Compra</t>
        </is>
      </c>
      <c r="K53" s="23" t="inlineStr">
        <is>
          <t>23 Embalaje (va dentro de la caja)</t>
        </is>
      </c>
      <c r="L53" s="23" t="inlineStr">
        <is>
          <t>IRAM 3517-2 7.4</t>
        </is>
      </c>
      <c r="M53" s="22" t="n"/>
      <c r="N53" s="22" t="n"/>
      <c r="O53" s="23" t="n"/>
    </row>
    <row r="54" outlineLevel="1">
      <c r="A54" s="25" t="n">
        <v>2</v>
      </c>
      <c r="B54" s="25" t="inlineStr">
        <is>
          <t>BC5-I5</t>
        </is>
      </c>
      <c r="C54" s="12" t="inlineStr">
        <is>
          <t xml:space="preserve">        Soporte de pared (FL_ACC_01)</t>
        </is>
      </c>
      <c r="D54" s="25" t="n">
        <v>1</v>
      </c>
      <c r="E54" s="25" t="inlineStr">
        <is>
          <t>u</t>
        </is>
      </c>
      <c r="F54" s="26" t="n">
        <v>0.29</v>
      </c>
      <c r="G54" s="26">
        <f>D54*F54</f>
        <v/>
      </c>
      <c r="H54" s="25" t="inlineStr">
        <is>
          <t>Chapa acero SAE 1010 e=2 pintada</t>
        </is>
      </c>
      <c r="I54" s="12" t="inlineStr">
        <is>
          <t>placa 60 × 180, ala con ranura Ø cuello + 3</t>
        </is>
      </c>
      <c r="J54" s="25" t="inlineStr">
        <is>
          <t>Compra</t>
        </is>
      </c>
      <c r="K54" s="12" t="inlineStr">
        <is>
          <t>23 Embalaje</t>
        </is>
      </c>
      <c r="L54" s="12" t="inlineStr">
        <is>
          <t>IRAM 3517-2 7.4</t>
        </is>
      </c>
      <c r="M54" s="25" t="inlineStr">
        <is>
          <t>P</t>
        </is>
      </c>
      <c r="N54" s="25" t="inlineStr">
        <is>
          <t>FL_ACC_01</t>
        </is>
      </c>
      <c r="O54" s="12" t="n"/>
    </row>
    <row r="55" outlineLevel="1">
      <c r="A55" s="25" t="n">
        <v>2</v>
      </c>
      <c r="B55" s="25" t="inlineStr">
        <is>
          <t>BC5-I6</t>
        </is>
      </c>
      <c r="C55" s="12" t="inlineStr">
        <is>
          <t xml:space="preserve">        Tornillo y tarugo de fijación</t>
        </is>
      </c>
      <c r="D55" s="25" t="n">
        <v>2</v>
      </c>
      <c r="E55" s="25" t="inlineStr">
        <is>
          <t>u</t>
        </is>
      </c>
      <c r="F55" s="26" t="n">
        <v>0.01</v>
      </c>
      <c r="G55" s="26">
        <f>D55*F55</f>
        <v/>
      </c>
      <c r="H55" s="25" t="inlineStr">
        <is>
          <t>Acero cincado / nylon</t>
        </is>
      </c>
      <c r="I55" s="12" t="inlineStr">
        <is>
          <t>M6 × 50 + tarugo 8</t>
        </is>
      </c>
      <c r="J55" s="25" t="inlineStr">
        <is>
          <t>Compra</t>
        </is>
      </c>
      <c r="K55" s="12" t="inlineStr">
        <is>
          <t>23 Embalaje</t>
        </is>
      </c>
      <c r="L55" s="12" t="n"/>
      <c r="M55" s="25" t="inlineStr">
        <is>
          <t>R</t>
        </is>
      </c>
      <c r="N55" s="25" t="n"/>
      <c r="O55" s="12" t="n"/>
    </row>
    <row r="56" outlineLevel="1">
      <c r="A56" s="25" t="n">
        <v>2</v>
      </c>
      <c r="B56" s="25" t="inlineStr">
        <is>
          <t>BC5-I8</t>
        </is>
      </c>
      <c r="C56" s="12" t="inlineStr">
        <is>
          <t xml:space="preserve">        Soporte opcional (pared o vehicular, según pedido)</t>
        </is>
      </c>
      <c r="D56" s="25" t="n">
        <v>0</v>
      </c>
      <c r="E56" s="25" t="inlineStr">
        <is>
          <t>u</t>
        </is>
      </c>
      <c r="F56" s="26" t="n"/>
      <c r="G56" s="26" t="n"/>
      <c r="H56" s="25" t="inlineStr">
        <is>
          <t>-</t>
        </is>
      </c>
      <c r="I56" s="12" t="inlineStr">
        <is>
          <t>-</t>
        </is>
      </c>
      <c r="J56" s="25" t="inlineStr">
        <is>
          <t>Compra</t>
        </is>
      </c>
      <c r="K56" s="12" t="n"/>
      <c r="L56" s="12" t="n"/>
      <c r="M56" s="25" t="inlineStr">
        <is>
          <t>C</t>
        </is>
      </c>
      <c r="N56" s="25" t="n"/>
      <c r="O56" s="12" t="inlineStr">
        <is>
          <t>Sólo si el pedido lo incluye</t>
        </is>
      </c>
    </row>
    <row r="57">
      <c r="A57" s="22" t="n">
        <v>1</v>
      </c>
      <c r="B57" s="22" t="inlineStr">
        <is>
          <t>BC5-S7</t>
        </is>
      </c>
      <c r="C57" s="23" t="inlineStr">
        <is>
          <t xml:space="preserve">    Embalaje</t>
        </is>
      </c>
      <c r="D57" s="22" t="n">
        <v>1</v>
      </c>
      <c r="E57" s="22" t="inlineStr">
        <is>
          <t>u</t>
        </is>
      </c>
      <c r="F57" s="24" t="n"/>
      <c r="G57" s="24">
        <f>G58+G59+G60+G61+G62</f>
        <v/>
      </c>
      <c r="H57" s="22" t="n"/>
      <c r="I57" s="23" t="n"/>
      <c r="J57" s="22" t="inlineStr">
        <is>
          <t>Compra</t>
        </is>
      </c>
      <c r="K57" s="23" t="inlineStr">
        <is>
          <t>23 Embalaje -&gt; 24 envolvedora (T11)</t>
        </is>
      </c>
      <c r="L57" s="23" t="n"/>
      <c r="M57" s="22" t="n"/>
      <c r="N57" s="22" t="n"/>
      <c r="O57" s="23" t="n"/>
    </row>
    <row r="58" outlineLevel="1">
      <c r="A58" s="25" t="n">
        <v>2</v>
      </c>
      <c r="B58" s="25" t="inlineStr">
        <is>
          <t>BC5-E1</t>
        </is>
      </c>
      <c r="C58" s="12" t="inlineStr">
        <is>
          <t xml:space="preserve">        Caja de cartón corrugado simple</t>
        </is>
      </c>
      <c r="D58" s="25" t="n">
        <v>1</v>
      </c>
      <c r="E58" s="25" t="inlineStr">
        <is>
          <t>u</t>
        </is>
      </c>
      <c r="F58" s="26" t="n">
        <v>0.25</v>
      </c>
      <c r="G58" s="26">
        <f>D58*F58</f>
        <v/>
      </c>
      <c r="H58" s="25" t="inlineStr">
        <is>
          <t>Cartón corrugado</t>
        </is>
      </c>
      <c r="I58" s="12" t="inlineStr">
        <is>
          <t>255 × 186 × 500 interior</t>
        </is>
      </c>
      <c r="J58" s="25" t="inlineStr">
        <is>
          <t>Compra</t>
        </is>
      </c>
      <c r="K58" s="12" t="inlineStr">
        <is>
          <t>23 Embalaje</t>
        </is>
      </c>
      <c r="L58" s="12" t="n"/>
      <c r="M58" s="25" t="inlineStr">
        <is>
          <t>R</t>
        </is>
      </c>
      <c r="N58" s="25" t="n"/>
      <c r="O58" s="12" t="n"/>
    </row>
    <row r="59" outlineLevel="1">
      <c r="A59" s="25" t="n">
        <v>2</v>
      </c>
      <c r="B59" s="25" t="inlineStr">
        <is>
          <t>BC5-E2</t>
        </is>
      </c>
      <c r="C59" s="12" t="inlineStr">
        <is>
          <t xml:space="preserve">        Instructivo de uso y mantenimiento</t>
        </is>
      </c>
      <c r="D59" s="25" t="n">
        <v>1</v>
      </c>
      <c r="E59" s="25" t="inlineStr">
        <is>
          <t>u</t>
        </is>
      </c>
      <c r="F59" s="26" t="n">
        <v>0.01</v>
      </c>
      <c r="G59" s="26">
        <f>D59*F59</f>
        <v/>
      </c>
      <c r="H59" s="25" t="inlineStr">
        <is>
          <t>Papel</t>
        </is>
      </c>
      <c r="I59" s="12" t="inlineStr">
        <is>
          <t>A5</t>
        </is>
      </c>
      <c r="J59" s="25" t="inlineStr">
        <is>
          <t>Compra</t>
        </is>
      </c>
      <c r="K59" s="12" t="inlineStr">
        <is>
          <t>23 Embalaje</t>
        </is>
      </c>
      <c r="L59" s="12" t="inlineStr">
        <is>
          <t>IRAM 3517-2 (información al usuario)</t>
        </is>
      </c>
      <c r="M59" s="25" t="inlineStr">
        <is>
          <t>R</t>
        </is>
      </c>
      <c r="N59" s="25" t="n"/>
      <c r="O59" s="12" t="n"/>
    </row>
    <row r="60" outlineLevel="1">
      <c r="A60" s="25" t="n">
        <v>2</v>
      </c>
      <c r="B60" s="25" t="inlineStr">
        <is>
          <t>BC5-E3</t>
        </is>
      </c>
      <c r="C60" s="12" t="inlineStr">
        <is>
          <t xml:space="preserve">        Pallet 1200 × 1000 (fracción)</t>
        </is>
      </c>
      <c r="D60" s="25" t="n">
        <v>0.025</v>
      </c>
      <c r="E60" s="25" t="inlineStr">
        <is>
          <t>u</t>
        </is>
      </c>
      <c r="F60" s="26" t="n">
        <v>0.55</v>
      </c>
      <c r="G60" s="26">
        <f>D60*F60</f>
        <v/>
      </c>
      <c r="H60" s="25" t="inlineStr">
        <is>
          <t>Madera</t>
        </is>
      </c>
      <c r="I60" s="12" t="inlineStr">
        <is>
          <t>40 u por pallet</t>
        </is>
      </c>
      <c r="J60" s="25" t="inlineStr">
        <is>
          <t>Compra</t>
        </is>
      </c>
      <c r="K60" s="12" t="inlineStr">
        <is>
          <t>23 Embalaje</t>
        </is>
      </c>
      <c r="L60" s="12" t="n"/>
      <c r="M60" s="25" t="inlineStr">
        <is>
          <t>R</t>
        </is>
      </c>
      <c r="N60" s="25" t="n"/>
      <c r="O60" s="12" t="n"/>
    </row>
    <row r="61" outlineLevel="1">
      <c r="A61" s="25" t="n">
        <v>2</v>
      </c>
      <c r="B61" s="25" t="inlineStr">
        <is>
          <t>BC5-E4</t>
        </is>
      </c>
      <c r="C61" s="12" t="inlineStr">
        <is>
          <t xml:space="preserve">        Film stretch (fracción del pallet)</t>
        </is>
      </c>
      <c r="D61" s="25" t="n">
        <v>0.008699999999999999</v>
      </c>
      <c r="E61" s="25" t="inlineStr">
        <is>
          <t>kg</t>
        </is>
      </c>
      <c r="F61" s="26" t="n">
        <v>1</v>
      </c>
      <c r="G61" s="26">
        <f>D61*F61</f>
        <v/>
      </c>
      <c r="H61" s="25" t="inlineStr">
        <is>
          <t>PE lineal 23 µm</t>
        </is>
      </c>
      <c r="I61" s="12" t="inlineStr">
        <is>
          <t>envolvedora EDOS PS5</t>
        </is>
      </c>
      <c r="J61" s="25" t="inlineStr">
        <is>
          <t>Compra</t>
        </is>
      </c>
      <c r="K61" s="12" t="inlineStr">
        <is>
          <t>24 Envolvedora (T11)</t>
        </is>
      </c>
      <c r="L61" s="12" t="n"/>
      <c r="M61" s="25" t="inlineStr">
        <is>
          <t>R</t>
        </is>
      </c>
      <c r="N61" s="25" t="n"/>
      <c r="O61" s="12" t="n"/>
    </row>
    <row r="62" outlineLevel="1">
      <c r="A62" s="25" t="n">
        <v>2</v>
      </c>
      <c r="B62" s="25" t="inlineStr">
        <is>
          <t>BC5-E5</t>
        </is>
      </c>
      <c r="C62" s="12" t="inlineStr">
        <is>
          <t xml:space="preserve">        Etiqueta de pallet (lote y destino, fracción)</t>
        </is>
      </c>
      <c r="D62" s="25" t="n">
        <v>0.025</v>
      </c>
      <c r="E62" s="25" t="inlineStr">
        <is>
          <t>u</t>
        </is>
      </c>
      <c r="F62" s="26" t="n">
        <v>0</v>
      </c>
      <c r="G62" s="26">
        <f>D62*F62</f>
        <v/>
      </c>
      <c r="H62" s="25" t="inlineStr">
        <is>
          <t>Papel térmico</t>
        </is>
      </c>
      <c r="I62" s="12" t="inlineStr">
        <is>
          <t>100 × 150</t>
        </is>
      </c>
      <c r="J62" s="25" t="inlineStr">
        <is>
          <t>Compra</t>
        </is>
      </c>
      <c r="K62" s="12" t="inlineStr">
        <is>
          <t>24 Envolvedora</t>
        </is>
      </c>
      <c r="L62" s="12" t="n"/>
      <c r="M62" s="25" t="inlineStr">
        <is>
          <t>R</t>
        </is>
      </c>
      <c r="N62" s="25" t="n"/>
      <c r="O62" s="12" t="n"/>
    </row>
  </sheetData>
  <autoFilter ref="A10:O62"/>
  <pageMargins left="0.75" right="0.75" top="1" bottom="1" header="0.5" footer="0.5"/>
  <pageSetup orientation="landscape" fitToHeight="0" fitToWidth="1"/>
</worksheet>
</file>

<file path=xl/worksheets/sheet15.xml><?xml version="1.0" encoding="utf-8"?>
<worksheet xmlns="http://schemas.openxmlformats.org/spreadsheetml/2006/main">
  <sheetPr>
    <tabColor rgb="007F1D1D"/>
    <outlinePr summaryBelow="0" summaryRight="1"/>
    <pageSetUpPr fitToPage="1"/>
  </sheetPr>
  <dimension ref="A1:O5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FL_MAT_SALESK_6l</t>
        </is>
      </c>
    </row>
    <row r="2">
      <c r="A2" s="2" t="inlineStr">
        <is>
          <t>Extintor Sales K 6 l</t>
        </is>
      </c>
    </row>
    <row r="3">
      <c r="A3" s="14" t="inlineStr">
        <is>
          <t>Plano de origen</t>
        </is>
      </c>
      <c r="C3" t="inlineStr">
        <is>
          <t>FL_MAT_SALESK_6l  (3 láminas)</t>
        </is>
      </c>
      <c r="E3" s="14" t="inlineStr">
        <is>
          <t>Peso vacío S1-S4 (kg)</t>
        </is>
      </c>
      <c r="G3" s="30">
        <f>G12+G19+G33</f>
        <v/>
      </c>
    </row>
    <row r="4">
      <c r="A4" s="14" t="inlineStr">
        <is>
          <t>Plano de despiece</t>
        </is>
      </c>
      <c r="C4" t="inlineStr">
        <is>
          <t>FL_DES_SALESK_6l (salida/despiece/)</t>
        </is>
      </c>
      <c r="E4" s="14" t="inlineStr">
        <is>
          <t>Peso cargado S1-S6 (kg)</t>
        </is>
      </c>
      <c r="G4" s="30">
        <f>G12+G19+G33+G38+G41</f>
        <v/>
      </c>
    </row>
    <row r="5">
      <c r="A5" s="14" t="inlineStr">
        <is>
          <t>Norma del producto</t>
        </is>
      </c>
      <c r="C5" t="inlineStr">
        <is>
          <t>IRAM 3694</t>
        </is>
      </c>
      <c r="E5" s="14" t="inlineStr">
        <is>
          <t>Peso con soporte y embalaje (kg)</t>
        </is>
      </c>
      <c r="G5" s="30">
        <f>G12+G19+G33+G38+G41+G50+G47</f>
        <v/>
      </c>
    </row>
    <row r="6">
      <c r="A6" s="14" t="inlineStr">
        <is>
          <t>Fabricación</t>
        </is>
      </c>
      <c r="C6" t="inlineStr">
        <is>
          <t>Tercerizado revendido (S4)</t>
        </is>
      </c>
      <c r="E6" s="14" t="inlineStr">
        <is>
          <t>Desvío cargado vs catálogo</t>
        </is>
      </c>
      <c r="G6" s="10">
        <f>G4/C7-1</f>
        <v/>
      </c>
    </row>
    <row r="7">
      <c r="A7" s="14" t="inlineStr">
        <is>
          <t>Peso catálogo cargado (kg)</t>
        </is>
      </c>
      <c r="C7" t="n">
        <v>8.25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FL_MAT_SALESK_6l</t>
        </is>
      </c>
      <c r="C11" s="20" t="inlineStr">
        <is>
          <t>Extintor Sales K 6 l</t>
        </is>
      </c>
      <c r="D11" s="19" t="n">
        <v>1</v>
      </c>
      <c r="E11" s="19" t="inlineStr">
        <is>
          <t>u</t>
        </is>
      </c>
      <c r="F11" s="21" t="n"/>
      <c r="G11" s="21">
        <f>G5</f>
        <v/>
      </c>
      <c r="H11" s="19" t="n"/>
      <c r="I11" s="20" t="n"/>
      <c r="J11" s="19" t="n"/>
      <c r="K11" s="20" t="n"/>
      <c r="L11" s="20" t="inlineStr">
        <is>
          <t>IRAM 3694</t>
        </is>
      </c>
      <c r="M11" s="19" t="inlineStr">
        <is>
          <t>P</t>
        </is>
      </c>
      <c r="N11" s="19" t="inlineStr">
        <is>
          <t>FL_MAT_SALESK_6l</t>
        </is>
      </c>
      <c r="O11" s="20" t="inlineStr">
        <is>
          <t>Tercerizado revendido (S4)</t>
        </is>
      </c>
    </row>
    <row r="12">
      <c r="A12" s="22" t="n">
        <v>1</v>
      </c>
      <c r="B12" s="22" t="inlineStr">
        <is>
          <t>SALESK6-S1</t>
        </is>
      </c>
      <c r="C12" s="23" t="inlineStr">
        <is>
          <t xml:space="preserve">    Recipiente (cilindro)</t>
        </is>
      </c>
      <c r="D12" s="22" t="n">
        <v>1</v>
      </c>
      <c r="E12" s="22" t="inlineStr">
        <is>
          <t>u</t>
        </is>
      </c>
      <c r="F12" s="24" t="n"/>
      <c r="G12" s="24">
        <f>G13+G14+G15+G16+G17</f>
        <v/>
      </c>
      <c r="H12" s="22" t="n"/>
      <c r="I12" s="23" t="n"/>
      <c r="J12" s="22" t="inlineStr">
        <is>
          <t>Compra / armado</t>
        </is>
      </c>
      <c r="K12" s="23" t="n"/>
      <c r="L12" s="23" t="inlineStr">
        <is>
          <t>IRAM 3523 / 3550 (recipiente)</t>
        </is>
      </c>
      <c r="M12" s="22" t="inlineStr">
        <is>
          <t>P</t>
        </is>
      </c>
      <c r="N12" s="22" t="inlineStr">
        <is>
          <t>FL_DES_SALESK_6l</t>
        </is>
      </c>
      <c r="O12" s="23" t="n"/>
    </row>
    <row r="13" outlineLevel="1">
      <c r="A13" s="25" t="n">
        <v>2</v>
      </c>
      <c r="B13" s="25" t="inlineStr">
        <is>
          <t>SALESK6-01</t>
        </is>
      </c>
      <c r="C13" s="12" t="inlineStr">
        <is>
          <t xml:space="preserve">        Cuerpo (virola)</t>
        </is>
      </c>
      <c r="D13" s="25" t="n">
        <v>1</v>
      </c>
      <c r="E13" s="25" t="inlineStr">
        <is>
          <t>u</t>
        </is>
      </c>
      <c r="F13" s="26" t="n">
        <v>1.1162</v>
      </c>
      <c r="G13" s="26">
        <f>D13*F13</f>
        <v/>
      </c>
      <c r="H13" s="25" t="inlineStr">
        <is>
          <t>Chapa acero inox. AISI 304 e=0,8</t>
        </is>
      </c>
      <c r="I13" s="12" t="inlineStr">
        <is>
          <t>Ø190 × e0,8 × 296 de alto; desarrollo 594,4 × 296</t>
        </is>
      </c>
      <c r="J13" s="25" t="inlineStr">
        <is>
          <t>Compra (en el conjunto)</t>
        </is>
      </c>
      <c r="K13" s="12" t="inlineStr">
        <is>
          <t>S4 - se compra terminado (tercerizado con sello IRAM)</t>
        </is>
      </c>
      <c r="L13" s="12" t="n"/>
      <c r="M13" s="25" t="inlineStr">
        <is>
          <t>P</t>
        </is>
      </c>
      <c r="N13" s="25" t="inlineStr">
        <is>
          <t>FL_DES_SALESK_6l</t>
        </is>
      </c>
      <c r="O13" s="12" t="inlineStr">
        <is>
          <t>costura long. TIG</t>
        </is>
      </c>
    </row>
    <row r="14" outlineLevel="1">
      <c r="A14" s="25" t="n">
        <v>2</v>
      </c>
      <c r="B14" s="25" t="inlineStr">
        <is>
          <t>SALESK6-02</t>
        </is>
      </c>
      <c r="C14" s="12" t="inlineStr">
        <is>
          <t xml:space="preserve">        Cúpula</t>
        </is>
      </c>
      <c r="D14" s="25" t="n">
        <v>1</v>
      </c>
      <c r="E14" s="25" t="inlineStr">
        <is>
          <t>u</t>
        </is>
      </c>
      <c r="F14" s="26" t="n">
        <v>0.2544</v>
      </c>
      <c r="G14" s="26">
        <f>D14*F14</f>
        <v/>
      </c>
      <c r="H14" s="25" t="inlineStr">
        <is>
          <t>Chapa acero inox. AISI 304 e=0,8</t>
        </is>
      </c>
      <c r="I14" s="12" t="inlineStr">
        <is>
          <t>Ø190 × e0,8 × 59 de alto; disco Ø232,7</t>
        </is>
      </c>
      <c r="J14" s="25" t="inlineStr">
        <is>
          <t>Compra (en el conjunto)</t>
        </is>
      </c>
      <c r="K14" s="12" t="inlineStr">
        <is>
          <t>S4 - se compra terminado (tercerizado con sello IRAM)</t>
        </is>
      </c>
      <c r="L14" s="12" t="n"/>
      <c r="M14" s="25" t="inlineStr">
        <is>
          <t>P</t>
        </is>
      </c>
      <c r="N14" s="25" t="inlineStr">
        <is>
          <t>FL_DES_SALESK_6l</t>
        </is>
      </c>
      <c r="O14" s="12" t="inlineStr">
        <is>
          <t>embutida</t>
        </is>
      </c>
    </row>
    <row r="15" outlineLevel="1">
      <c r="A15" s="25" t="n">
        <v>2</v>
      </c>
      <c r="B15" s="25" t="inlineStr">
        <is>
          <t>SALESK6-03</t>
        </is>
      </c>
      <c r="C15" s="12" t="inlineStr">
        <is>
          <t xml:space="preserve">        Fondo</t>
        </is>
      </c>
      <c r="D15" s="25" t="n">
        <v>1</v>
      </c>
      <c r="E15" s="25" t="inlineStr">
        <is>
          <t>u</t>
        </is>
      </c>
      <c r="F15" s="26" t="n">
        <v>0.1769</v>
      </c>
      <c r="G15" s="26">
        <f>D15*F15</f>
        <v/>
      </c>
      <c r="H15" s="25" t="inlineStr">
        <is>
          <t>Chapa acero inox. AISI 304 e=0,8</t>
        </is>
      </c>
      <c r="I15" s="12" t="inlineStr">
        <is>
          <t>Ø190 × e0,8 × 10,8 de alto; disco Ø194,1</t>
        </is>
      </c>
      <c r="J15" s="25" t="inlineStr">
        <is>
          <t>Compra (en el conjunto)</t>
        </is>
      </c>
      <c r="K15" s="12" t="inlineStr">
        <is>
          <t>S4 - se compra terminado (tercerizado con sello IRAM)</t>
        </is>
      </c>
      <c r="L15" s="12" t="n"/>
      <c r="M15" s="25" t="inlineStr">
        <is>
          <t>P</t>
        </is>
      </c>
      <c r="N15" s="25" t="inlineStr">
        <is>
          <t>FL_DES_SALESK_6l</t>
        </is>
      </c>
      <c r="O15" s="12" t="inlineStr">
        <is>
          <t>embutido</t>
        </is>
      </c>
    </row>
    <row r="16" outlineLevel="1">
      <c r="A16" s="25" t="n">
        <v>2</v>
      </c>
      <c r="B16" s="25" t="inlineStr">
        <is>
          <t>SALESK6-04</t>
        </is>
      </c>
      <c r="C16" s="12" t="inlineStr">
        <is>
          <t xml:space="preserve">        Cuello roscado</t>
        </is>
      </c>
      <c r="D16" s="25" t="n">
        <v>1</v>
      </c>
      <c r="E16" s="25" t="inlineStr">
        <is>
          <t>u</t>
        </is>
      </c>
      <c r="F16" s="26" t="n">
        <v>0.0539</v>
      </c>
      <c r="G16" s="26">
        <f>D16*F16</f>
        <v/>
      </c>
      <c r="H16" s="25" t="inlineStr">
        <is>
          <t>Acero inox. AISI 304</t>
        </is>
      </c>
      <c r="I16" s="12" t="inlineStr">
        <is>
          <t>Ø37 × 14 de alto, rosca M30x1,5, asiento Ø35</t>
        </is>
      </c>
      <c r="J16" s="25" t="inlineStr">
        <is>
          <t>Compra (en el conjunto)</t>
        </is>
      </c>
      <c r="K16" s="12" t="inlineStr">
        <is>
          <t>S4 - se compra terminado (tercerizado con sello IRAM)</t>
        </is>
      </c>
      <c r="L16" s="12" t="n"/>
      <c r="M16" s="25" t="inlineStr">
        <is>
          <t>P</t>
        </is>
      </c>
      <c r="N16" s="25" t="inlineStr">
        <is>
          <t>FL_DES_SALESK_6l</t>
        </is>
      </c>
      <c r="O16" s="12" t="inlineStr">
        <is>
          <t>M30x1,5</t>
        </is>
      </c>
    </row>
    <row r="17" outlineLevel="1">
      <c r="A17" s="25" t="n">
        <v>2</v>
      </c>
      <c r="B17" s="25" t="inlineStr">
        <is>
          <t>SALESK6-C1</t>
        </is>
      </c>
      <c r="C17" s="12" t="inlineStr">
        <is>
          <t xml:space="preserve">        Aporte de soldadura: Varilla TIG ER308L Ø1,6</t>
        </is>
      </c>
      <c r="D17" s="25" t="n">
        <v>0.0385</v>
      </c>
      <c r="E17" s="25" t="inlineStr">
        <is>
          <t>kg</t>
        </is>
      </c>
      <c r="F17" s="26" t="n">
        <v>0.95</v>
      </c>
      <c r="G17" s="26">
        <f>D17*F17</f>
        <v/>
      </c>
      <c r="H17" s="25" t="inlineStr">
        <is>
          <t>Varilla TIG ER308L Ø1,6</t>
        </is>
      </c>
      <c r="I17" s="12" t="inlineStr">
        <is>
          <t>cordones del plano: 37 g depositados (rend. 95 %)</t>
        </is>
      </c>
      <c r="J17" s="25" t="inlineStr">
        <is>
          <t>Compra</t>
        </is>
      </c>
      <c r="K17" s="12" t="inlineStr">
        <is>
          <t>4 sold. long. / 8 cuello / 11 circunferencial</t>
        </is>
      </c>
      <c r="L17" s="12" t="inlineStr">
        <is>
          <t>ISO 4063 131 / 141</t>
        </is>
      </c>
      <c r="M17" s="25" t="inlineStr">
        <is>
          <t>P</t>
        </is>
      </c>
      <c r="N17" s="25" t="n"/>
      <c r="O17" s="12" t="n"/>
    </row>
    <row r="18" outlineLevel="1">
      <c r="A18" s="25" t="n">
        <v>2</v>
      </c>
      <c r="B18" s="25" t="inlineStr">
        <is>
          <t>SALESK6-C2</t>
        </is>
      </c>
      <c r="C18" s="12" t="inlineStr">
        <is>
          <t xml:space="preserve">        Gas de protección: Argón</t>
        </is>
      </c>
      <c r="D18" s="25" t="n">
        <v>28.8</v>
      </c>
      <c r="E18" s="25" t="inlineStr">
        <is>
          <t>L</t>
        </is>
      </c>
      <c r="F18" s="26" t="n"/>
      <c r="G18" s="26" t="n"/>
      <c r="H18" s="25" t="inlineStr">
        <is>
          <t>Argón</t>
        </is>
      </c>
      <c r="I18" s="12" t="inlineStr">
        <is>
          <t>2,9 min de arco × 10 L/min</t>
        </is>
      </c>
      <c r="J18" s="25" t="inlineStr">
        <is>
          <t>Compra</t>
        </is>
      </c>
      <c r="K18" s="12" t="inlineStr">
        <is>
          <t>Botellón</t>
        </is>
      </c>
      <c r="L18" s="12" t="n"/>
      <c r="M18" s="25" t="inlineStr">
        <is>
          <t>R</t>
        </is>
      </c>
      <c r="N18" s="25" t="n"/>
      <c r="O18" s="12" t="n"/>
    </row>
    <row r="19">
      <c r="A19" s="22" t="n">
        <v>1</v>
      </c>
      <c r="B19" s="22" t="inlineStr">
        <is>
          <t>SALESK6-S2</t>
        </is>
      </c>
      <c r="C19" s="23" t="inlineStr">
        <is>
          <t xml:space="preserve">    Conjunto de válvula</t>
        </is>
      </c>
      <c r="D19" s="22" t="n">
        <v>1</v>
      </c>
      <c r="E19" s="22" t="inlineStr">
        <is>
          <t>u</t>
        </is>
      </c>
      <c r="F19" s="24" t="n"/>
      <c r="G19" s="24">
        <f>G20+G21+G22+G23+G24+G25+G26+G27+G28+G29+G30+G31+G32</f>
        <v/>
      </c>
      <c r="H19" s="22" t="n"/>
      <c r="I19" s="23" t="n"/>
      <c r="J19" s="22" t="inlineStr">
        <is>
          <t>Compra / armado</t>
        </is>
      </c>
      <c r="K19" s="23" t="n"/>
      <c r="L19" s="23" t="inlineStr">
        <is>
          <t>Manómetro IRAM 3533</t>
        </is>
      </c>
      <c r="M19" s="22" t="inlineStr">
        <is>
          <t>P</t>
        </is>
      </c>
      <c r="N19" s="22" t="inlineStr">
        <is>
          <t>FL_DES_SALESK_6l</t>
        </is>
      </c>
      <c r="O19" s="23" t="n"/>
    </row>
    <row r="20" outlineLevel="1">
      <c r="A20" s="25" t="n">
        <v>2</v>
      </c>
      <c r="B20" s="25" t="inlineStr">
        <is>
          <t>SALESK6-05</t>
        </is>
      </c>
      <c r="C20" s="12" t="inlineStr">
        <is>
          <t xml:space="preserve">        Collarín de válvula</t>
        </is>
      </c>
      <c r="D20" s="25" t="n">
        <v>1</v>
      </c>
      <c r="E20" s="25" t="inlineStr">
        <is>
          <t>u</t>
        </is>
      </c>
      <c r="F20" s="26" t="n">
        <v>0.0833</v>
      </c>
      <c r="G20" s="26">
        <f>D20*F20</f>
        <v/>
      </c>
      <c r="H20" s="25" t="inlineStr">
        <is>
          <t>Latón forjado</t>
        </is>
      </c>
      <c r="I20" s="12" t="inlineStr">
        <is>
          <t>43 × 43 × 10</t>
        </is>
      </c>
      <c r="J20" s="25" t="inlineStr">
        <is>
          <t>Compra (en el conjunto)</t>
        </is>
      </c>
      <c r="K20" s="12" t="inlineStr">
        <is>
          <t>S4 - se compra terminado (tercerizado con sello IRAM)</t>
        </is>
      </c>
      <c r="L20" s="12" t="n"/>
      <c r="M20" s="25" t="inlineStr">
        <is>
          <t>P</t>
        </is>
      </c>
      <c r="N20" s="25" t="inlineStr">
        <is>
          <t>FL_DES_SALESK_6l</t>
        </is>
      </c>
      <c r="O20" s="12" t="n"/>
    </row>
    <row r="21" outlineLevel="1">
      <c r="A21" s="25" t="n">
        <v>2</v>
      </c>
      <c r="B21" s="25" t="inlineStr">
        <is>
          <t>SALESK6-06</t>
        </is>
      </c>
      <c r="C21" s="12" t="inlineStr">
        <is>
          <t xml:space="preserve">        Espiga roscada</t>
        </is>
      </c>
      <c r="D21" s="25" t="n">
        <v>1</v>
      </c>
      <c r="E21" s="25" t="inlineStr">
        <is>
          <t>u</t>
        </is>
      </c>
      <c r="F21" s="26" t="n">
        <v>0.0243</v>
      </c>
      <c r="G21" s="26">
        <f>D21*F21</f>
        <v/>
      </c>
      <c r="H21" s="25" t="inlineStr">
        <is>
          <t>Latón forjado</t>
        </is>
      </c>
      <c r="I21" s="12" t="inlineStr">
        <is>
          <t>28,4 × 28,4 × 12</t>
        </is>
      </c>
      <c r="J21" s="25" t="inlineStr">
        <is>
          <t>Compra (en el conjunto)</t>
        </is>
      </c>
      <c r="K21" s="12" t="inlineStr">
        <is>
          <t>S4 - se compra terminado (tercerizado con sello IRAM)</t>
        </is>
      </c>
      <c r="L21" s="12" t="n"/>
      <c r="M21" s="25" t="inlineStr">
        <is>
          <t>P</t>
        </is>
      </c>
      <c r="N21" s="25" t="inlineStr">
        <is>
          <t>FL_DES_SALESK_6l</t>
        </is>
      </c>
      <c r="O21" s="12" t="n"/>
    </row>
    <row r="22" outlineLevel="1">
      <c r="A22" s="25" t="n">
        <v>2</v>
      </c>
      <c r="B22" s="25" t="inlineStr">
        <is>
          <t>SALESK6-07</t>
        </is>
      </c>
      <c r="C22" s="12" t="inlineStr">
        <is>
          <t xml:space="preserve">        Cuerpo de válvula</t>
        </is>
      </c>
      <c r="D22" s="25" t="n">
        <v>1</v>
      </c>
      <c r="E22" s="25" t="inlineStr">
        <is>
          <t>u</t>
        </is>
      </c>
      <c r="F22" s="26" t="n">
        <v>0.463</v>
      </c>
      <c r="G22" s="26">
        <f>D22*F22</f>
        <v/>
      </c>
      <c r="H22" s="25" t="inlineStr">
        <is>
          <t>Latón forjado</t>
        </is>
      </c>
      <c r="I22" s="12" t="inlineStr">
        <is>
          <t>63,4 × 43 × 34</t>
        </is>
      </c>
      <c r="J22" s="25" t="inlineStr">
        <is>
          <t>Compra (en el conjunto)</t>
        </is>
      </c>
      <c r="K22" s="12" t="inlineStr">
        <is>
          <t>S4 - se compra terminado (tercerizado con sello IRAM)</t>
        </is>
      </c>
      <c r="L22" s="12" t="n"/>
      <c r="M22" s="25" t="inlineStr">
        <is>
          <t>P</t>
        </is>
      </c>
      <c r="N22" s="25" t="inlineStr">
        <is>
          <t>FL_DES_SALESK_6l</t>
        </is>
      </c>
      <c r="O22" s="12" t="n"/>
    </row>
    <row r="23" outlineLevel="1">
      <c r="A23" s="25" t="n">
        <v>2</v>
      </c>
      <c r="B23" s="25" t="inlineStr">
        <is>
          <t>SALESK6-08</t>
        </is>
      </c>
      <c r="C23" s="12" t="inlineStr">
        <is>
          <t xml:space="preserve">        Manómetro</t>
        </is>
      </c>
      <c r="D23" s="25" t="n">
        <v>1</v>
      </c>
      <c r="E23" s="25" t="inlineStr">
        <is>
          <t>u</t>
        </is>
      </c>
      <c r="F23" s="26" t="n">
        <v>0.06</v>
      </c>
      <c r="G23" s="26">
        <f>D23*F23</f>
        <v/>
      </c>
      <c r="H23" s="25" t="inlineStr">
        <is>
          <t>Comercial</t>
        </is>
      </c>
      <c r="I23" s="12" t="inlineStr">
        <is>
          <t>Ø38 esfera, rango 0-2 MPa, sector verde en 0,8</t>
        </is>
      </c>
      <c r="J23" s="25" t="inlineStr">
        <is>
          <t>Compra (en el conjunto)</t>
        </is>
      </c>
      <c r="K23" s="12" t="inlineStr">
        <is>
          <t>S4 - se compra terminado (tercerizado con sello IRAM)</t>
        </is>
      </c>
      <c r="L23" s="12" t="inlineStr">
        <is>
          <t>IRAM 3533</t>
        </is>
      </c>
      <c r="M23" s="25" t="inlineStr">
        <is>
          <t>R</t>
        </is>
      </c>
      <c r="N23" s="25" t="inlineStr">
        <is>
          <t>FL_DES_SALESK_6l</t>
        </is>
      </c>
      <c r="O23" s="12" t="inlineStr">
        <is>
          <t>Pieza comercial; sello IRAM 3533</t>
        </is>
      </c>
    </row>
    <row r="24" outlineLevel="1">
      <c r="A24" s="25" t="n">
        <v>2</v>
      </c>
      <c r="B24" s="25" t="inlineStr">
        <is>
          <t>SALESK6-09</t>
        </is>
      </c>
      <c r="C24" s="12" t="inlineStr">
        <is>
          <t xml:space="preserve">        Manija de transporte</t>
        </is>
      </c>
      <c r="D24" s="25" t="n">
        <v>1</v>
      </c>
      <c r="E24" s="25" t="inlineStr">
        <is>
          <t>u</t>
        </is>
      </c>
      <c r="F24" s="26" t="n">
        <v>0.0793</v>
      </c>
      <c r="G24" s="26">
        <f>D24*F24</f>
        <v/>
      </c>
      <c r="H24" s="25" t="inlineStr">
        <is>
          <t>Chapa acero SAE 1010 pintada</t>
        </is>
      </c>
      <c r="I24" s="12" t="inlineStr">
        <is>
          <t>126 × 20 × 17,2</t>
        </is>
      </c>
      <c r="J24" s="25" t="inlineStr">
        <is>
          <t>Compra (en el conjunto)</t>
        </is>
      </c>
      <c r="K24" s="12" t="inlineStr">
        <is>
          <t>S4 - se compra terminado (tercerizado con sello IRAM)</t>
        </is>
      </c>
      <c r="L24" s="12" t="n"/>
      <c r="M24" s="25" t="inlineStr">
        <is>
          <t>P</t>
        </is>
      </c>
      <c r="N24" s="25" t="inlineStr">
        <is>
          <t>FL_DES_SALESK_6l</t>
        </is>
      </c>
      <c r="O24" s="12" t="n"/>
    </row>
    <row r="25" outlineLevel="1">
      <c r="A25" s="25" t="n">
        <v>2</v>
      </c>
      <c r="B25" s="25" t="inlineStr">
        <is>
          <t>SALESK6-10</t>
        </is>
      </c>
      <c r="C25" s="12" t="inlineStr">
        <is>
          <t xml:space="preserve">        Manija de accionamiento</t>
        </is>
      </c>
      <c r="D25" s="25" t="n">
        <v>1</v>
      </c>
      <c r="E25" s="25" t="inlineStr">
        <is>
          <t>u</t>
        </is>
      </c>
      <c r="F25" s="26" t="n">
        <v>0.1063</v>
      </c>
      <c r="G25" s="26">
        <f>D25*F25</f>
        <v/>
      </c>
      <c r="H25" s="25" t="inlineStr">
        <is>
          <t>Chapa acero SAE 1010 pintada</t>
        </is>
      </c>
      <c r="I25" s="12" t="inlineStr">
        <is>
          <t>168,5 × 24,6 × 20</t>
        </is>
      </c>
      <c r="J25" s="25" t="inlineStr">
        <is>
          <t>Compra (en el conjunto)</t>
        </is>
      </c>
      <c r="K25" s="12" t="inlineStr">
        <is>
          <t>S4 - se compra terminado (tercerizado con sello IRAM)</t>
        </is>
      </c>
      <c r="L25" s="12" t="n"/>
      <c r="M25" s="25" t="inlineStr">
        <is>
          <t>P</t>
        </is>
      </c>
      <c r="N25" s="25" t="inlineStr">
        <is>
          <t>FL_DES_SALESK_6l</t>
        </is>
      </c>
      <c r="O25" s="12" t="n"/>
    </row>
    <row r="26" outlineLevel="1">
      <c r="A26" s="25" t="n">
        <v>2</v>
      </c>
      <c r="B26" s="25" t="inlineStr">
        <is>
          <t>SALESK6-11</t>
        </is>
      </c>
      <c r="C26" s="12" t="inlineStr">
        <is>
          <t xml:space="preserve">        Eje de palanca</t>
        </is>
      </c>
      <c r="D26" s="25" t="n">
        <v>1</v>
      </c>
      <c r="E26" s="25" t="inlineStr">
        <is>
          <t>u</t>
        </is>
      </c>
      <c r="F26" s="26" t="n">
        <v>0.0081</v>
      </c>
      <c r="G26" s="26">
        <f>D26*F26</f>
        <v/>
      </c>
      <c r="H26" s="25" t="inlineStr">
        <is>
          <t>Acero inox. AISI 304</t>
        </is>
      </c>
      <c r="I26" s="12" t="inlineStr">
        <is>
          <t>36 × 6 × 6</t>
        </is>
      </c>
      <c r="J26" s="25" t="inlineStr">
        <is>
          <t>Compra (en el conjunto)</t>
        </is>
      </c>
      <c r="K26" s="12" t="inlineStr">
        <is>
          <t>S4 - se compra terminado (tercerizado con sello IRAM)</t>
        </is>
      </c>
      <c r="L26" s="12" t="n"/>
      <c r="M26" s="25" t="inlineStr">
        <is>
          <t>P</t>
        </is>
      </c>
      <c r="N26" s="25" t="inlineStr">
        <is>
          <t>FL_DES_SALESK_6l</t>
        </is>
      </c>
      <c r="O26" s="12" t="n"/>
    </row>
    <row r="27" outlineLevel="1">
      <c r="A27" s="25" t="n">
        <v>2</v>
      </c>
      <c r="B27" s="25" t="inlineStr">
        <is>
          <t>SALESK6-12</t>
        </is>
      </c>
      <c r="C27" s="12" t="inlineStr">
        <is>
          <t xml:space="preserve">        Vástago</t>
        </is>
      </c>
      <c r="D27" s="25" t="n">
        <v>1</v>
      </c>
      <c r="E27" s="25" t="inlineStr">
        <is>
          <t>u</t>
        </is>
      </c>
      <c r="F27" s="26" t="n">
        <v>0.0017</v>
      </c>
      <c r="G27" s="26">
        <f>D27*F27</f>
        <v/>
      </c>
      <c r="H27" s="25" t="inlineStr">
        <is>
          <t>Latón</t>
        </is>
      </c>
      <c r="I27" s="12" t="inlineStr">
        <is>
          <t>8 × 8 × 4</t>
        </is>
      </c>
      <c r="J27" s="25" t="inlineStr">
        <is>
          <t>Compra (en el conjunto)</t>
        </is>
      </c>
      <c r="K27" s="12" t="inlineStr">
        <is>
          <t>S4 - se compra terminado (tercerizado con sello IRAM)</t>
        </is>
      </c>
      <c r="L27" s="12" t="n"/>
      <c r="M27" s="25" t="inlineStr">
        <is>
          <t>P</t>
        </is>
      </c>
      <c r="N27" s="25" t="inlineStr">
        <is>
          <t>FL_DES_SALESK_6l</t>
        </is>
      </c>
      <c r="O27" s="12" t="inlineStr">
        <is>
          <t>con junta tórica</t>
        </is>
      </c>
    </row>
    <row r="28" outlineLevel="1">
      <c r="A28" s="25" t="n">
        <v>2</v>
      </c>
      <c r="B28" s="25" t="inlineStr">
        <is>
          <t>SALESK6-13</t>
        </is>
      </c>
      <c r="C28" s="12" t="inlineStr">
        <is>
          <t xml:space="preserve">        Pasador de seguridad</t>
        </is>
      </c>
      <c r="D28" s="25" t="n">
        <v>1</v>
      </c>
      <c r="E28" s="25" t="inlineStr">
        <is>
          <t>u</t>
        </is>
      </c>
      <c r="F28" s="26" t="n">
        <v>0.0055</v>
      </c>
      <c r="G28" s="26">
        <f>D28*F28</f>
        <v/>
      </c>
      <c r="H28" s="25" t="inlineStr">
        <is>
          <t>Alambre acero inox. AISI 304</t>
        </is>
      </c>
      <c r="I28" s="12" t="inlineStr">
        <is>
          <t>45,4 × 21 × 20,8</t>
        </is>
      </c>
      <c r="J28" s="25" t="inlineStr">
        <is>
          <t>Compra (en el conjunto)</t>
        </is>
      </c>
      <c r="K28" s="12" t="inlineStr">
        <is>
          <t>S4 - se compra terminado (tercerizado con sello IRAM)</t>
        </is>
      </c>
      <c r="L28" s="12" t="n"/>
      <c r="M28" s="25" t="inlineStr">
        <is>
          <t>P</t>
        </is>
      </c>
      <c r="N28" s="25" t="inlineStr">
        <is>
          <t>FL_DES_SALESK_6l</t>
        </is>
      </c>
      <c r="O28" s="12" t="inlineStr">
        <is>
          <t>con precinto</t>
        </is>
      </c>
    </row>
    <row r="29" outlineLevel="1">
      <c r="A29" s="25" t="n">
        <v>2</v>
      </c>
      <c r="B29" s="25" t="inlineStr">
        <is>
          <t>SALESK6-14</t>
        </is>
      </c>
      <c r="C29" s="12" t="inlineStr">
        <is>
          <t xml:space="preserve">        Caño de pesca (sifón)</t>
        </is>
      </c>
      <c r="D29" s="25" t="n">
        <v>1</v>
      </c>
      <c r="E29" s="25" t="inlineStr">
        <is>
          <t>u</t>
        </is>
      </c>
      <c r="F29" s="26" t="n">
        <v>0.0149</v>
      </c>
      <c r="G29" s="26">
        <f>D29*F29</f>
        <v/>
      </c>
      <c r="H29" s="25" t="inlineStr">
        <is>
          <t>Tubo polipropileno</t>
        </is>
      </c>
      <c r="I29" s="12" t="inlineStr">
        <is>
          <t>Ø12 × 334,2 de largo</t>
        </is>
      </c>
      <c r="J29" s="25" t="inlineStr">
        <is>
          <t>Compra (en el conjunto)</t>
        </is>
      </c>
      <c r="K29" s="12" t="inlineStr">
        <is>
          <t>S4 - se compra terminado (tercerizado con sello IRAM)</t>
        </is>
      </c>
      <c r="L29" s="12" t="n"/>
      <c r="M29" s="25" t="inlineStr">
        <is>
          <t>P</t>
        </is>
      </c>
      <c r="N29" s="25" t="inlineStr">
        <is>
          <t>FL_DES_SALESK_6l</t>
        </is>
      </c>
      <c r="O29" s="12" t="n"/>
    </row>
    <row r="30" outlineLevel="1">
      <c r="A30" s="25" t="n">
        <v>2</v>
      </c>
      <c r="B30" s="25" t="inlineStr">
        <is>
          <t>SALESK6-22</t>
        </is>
      </c>
      <c r="C30" s="12" t="inlineStr">
        <is>
          <t xml:space="preserve">        Junta tórica de asiento</t>
        </is>
      </c>
      <c r="D30" s="25" t="n">
        <v>1</v>
      </c>
      <c r="E30" s="25" t="inlineStr">
        <is>
          <t>u</t>
        </is>
      </c>
      <c r="F30" s="26" t="n">
        <v>0.001</v>
      </c>
      <c r="G30" s="26">
        <f>D30*F30</f>
        <v/>
      </c>
      <c r="H30" s="25" t="inlineStr">
        <is>
          <t>NBR 70 Shore A</t>
        </is>
      </c>
      <c r="I30" s="12" t="inlineStr">
        <is>
          <t>Ø31,4 ext. × cordón 3</t>
        </is>
      </c>
      <c r="J30" s="25" t="inlineStr">
        <is>
          <t>Compra (en el conjunto)</t>
        </is>
      </c>
      <c r="K30" s="12" t="inlineStr">
        <is>
          <t>S4 - se compra terminado (tercerizado con sello IRAM)</t>
        </is>
      </c>
      <c r="L30" s="12" t="n"/>
      <c r="M30" s="25" t="inlineStr">
        <is>
          <t>P</t>
        </is>
      </c>
      <c r="N30" s="25" t="inlineStr">
        <is>
          <t>FL_DES_SALESK_6l</t>
        </is>
      </c>
      <c r="O30" s="12" t="inlineStr">
        <is>
          <t>cambio c/recarga</t>
        </is>
      </c>
    </row>
    <row r="31" outlineLevel="1">
      <c r="A31" s="25" t="n">
        <v>2</v>
      </c>
      <c r="B31" s="25" t="inlineStr">
        <is>
          <t>SALESK6-V2</t>
        </is>
      </c>
      <c r="C31" s="12" t="inlineStr">
        <is>
          <t xml:space="preserve">        Resorte de retorno del vástago</t>
        </is>
      </c>
      <c r="D31" s="25" t="n">
        <v>1</v>
      </c>
      <c r="E31" s="25" t="inlineStr">
        <is>
          <t>u</t>
        </is>
      </c>
      <c r="F31" s="26" t="n">
        <v>0.003</v>
      </c>
      <c r="G31" s="26">
        <f>D31*F31</f>
        <v/>
      </c>
      <c r="H31" s="25" t="inlineStr">
        <is>
          <t>Alambre acero inox. AISI 302</t>
        </is>
      </c>
      <c r="I31" s="12" t="inlineStr">
        <is>
          <t>según válvula</t>
        </is>
      </c>
      <c r="J31" s="25" t="inlineStr">
        <is>
          <t>Compra</t>
        </is>
      </c>
      <c r="K31" s="12" t="inlineStr">
        <is>
          <t>19 Ensamblaje</t>
        </is>
      </c>
      <c r="L31" s="12" t="n"/>
      <c r="M31" s="25" t="inlineStr">
        <is>
          <t>R</t>
        </is>
      </c>
      <c r="N31" s="25" t="n"/>
      <c r="O31" s="12" t="n"/>
    </row>
    <row r="32" outlineLevel="1">
      <c r="A32" s="25" t="n">
        <v>2</v>
      </c>
      <c r="B32" s="25" t="inlineStr">
        <is>
          <t>SALESK6-V3</t>
        </is>
      </c>
      <c r="C32" s="12" t="inlineStr">
        <is>
          <t xml:space="preserve">        Junta tórica del vástago</t>
        </is>
      </c>
      <c r="D32" s="25" t="n">
        <v>1</v>
      </c>
      <c r="E32" s="25" t="inlineStr">
        <is>
          <t>u</t>
        </is>
      </c>
      <c r="F32" s="26" t="n">
        <v>0.001</v>
      </c>
      <c r="G32" s="26">
        <f>D32*F32</f>
        <v/>
      </c>
      <c r="H32" s="25" t="inlineStr">
        <is>
          <t>NBR 70 Shore A</t>
        </is>
      </c>
      <c r="I32" s="12" t="inlineStr">
        <is>
          <t>según válvula</t>
        </is>
      </c>
      <c r="J32" s="25" t="inlineStr">
        <is>
          <t>Compra</t>
        </is>
      </c>
      <c r="K32" s="12" t="inlineStr">
        <is>
          <t>19 Ensamblaje</t>
        </is>
      </c>
      <c r="L32" s="12" t="n"/>
      <c r="M32" s="25" t="inlineStr">
        <is>
          <t>P</t>
        </is>
      </c>
      <c r="N32" s="25" t="n"/>
      <c r="O32" s="12" t="inlineStr">
        <is>
          <t>Figura en el plano como «vástago con junta tórica»</t>
        </is>
      </c>
    </row>
    <row r="33">
      <c r="A33" s="22" t="n">
        <v>1</v>
      </c>
      <c r="B33" s="22" t="inlineStr">
        <is>
          <t>SALESK6-S3</t>
        </is>
      </c>
      <c r="C33" s="23" t="inlineStr">
        <is>
          <t xml:space="preserve">    Dispositivo de descarga</t>
        </is>
      </c>
      <c r="D33" s="22" t="n">
        <v>1</v>
      </c>
      <c r="E33" s="22" t="inlineStr">
        <is>
          <t>u</t>
        </is>
      </c>
      <c r="F33" s="24" t="n"/>
      <c r="G33" s="24">
        <f>G34+G35+G36+G37</f>
        <v/>
      </c>
      <c r="H33" s="22" t="n"/>
      <c r="I33" s="23" t="n"/>
      <c r="J33" s="22" t="inlineStr">
        <is>
          <t>Compra / armado</t>
        </is>
      </c>
      <c r="K33" s="23" t="n"/>
      <c r="L33" s="23" t="n"/>
      <c r="M33" s="22" t="inlineStr">
        <is>
          <t>P</t>
        </is>
      </c>
      <c r="N33" s="22" t="inlineStr">
        <is>
          <t>FL_DES_SALESK_6l</t>
        </is>
      </c>
      <c r="O33" s="23" t="n"/>
    </row>
    <row r="34" outlineLevel="1">
      <c r="A34" s="25" t="n">
        <v>2</v>
      </c>
      <c r="B34" s="25" t="inlineStr">
        <is>
          <t>SALESK6-15</t>
        </is>
      </c>
      <c r="C34" s="12" t="inlineStr">
        <is>
          <t xml:space="preserve">        Racor de manguera</t>
        </is>
      </c>
      <c r="D34" s="25" t="n">
        <v>1</v>
      </c>
      <c r="E34" s="25" t="inlineStr">
        <is>
          <t>u</t>
        </is>
      </c>
      <c r="F34" s="26" t="n">
        <v>0.0258</v>
      </c>
      <c r="G34" s="26">
        <f>D34*F34</f>
        <v/>
      </c>
      <c r="H34" s="25" t="inlineStr">
        <is>
          <t>Latón</t>
        </is>
      </c>
      <c r="I34" s="12" t="inlineStr">
        <is>
          <t>18 × 18 × 12</t>
        </is>
      </c>
      <c r="J34" s="25" t="inlineStr">
        <is>
          <t>Compra (en el conjunto)</t>
        </is>
      </c>
      <c r="K34" s="12" t="inlineStr">
        <is>
          <t>S4 - se compra terminado (tercerizado con sello IRAM)</t>
        </is>
      </c>
      <c r="L34" s="12" t="n"/>
      <c r="M34" s="25" t="inlineStr">
        <is>
          <t>P</t>
        </is>
      </c>
      <c r="N34" s="25" t="inlineStr">
        <is>
          <t>FL_DES_SALESK_6l</t>
        </is>
      </c>
      <c r="O34" s="12" t="n"/>
    </row>
    <row r="35" outlineLevel="1">
      <c r="A35" s="25" t="n">
        <v>2</v>
      </c>
      <c r="B35" s="25" t="inlineStr">
        <is>
          <t>SALESK6-16</t>
        </is>
      </c>
      <c r="C35" s="12" t="inlineStr">
        <is>
          <t xml:space="preserve">        Manguera</t>
        </is>
      </c>
      <c r="D35" s="25" t="n">
        <v>1</v>
      </c>
      <c r="E35" s="25" t="inlineStr">
        <is>
          <t>u</t>
        </is>
      </c>
      <c r="F35" s="26" t="n">
        <v>0.0198</v>
      </c>
      <c r="G35" s="26">
        <f>D35*F35</f>
        <v/>
      </c>
      <c r="H35" s="25" t="inlineStr">
        <is>
          <t>Caucho sintético</t>
        </is>
      </c>
      <c r="I35" s="12" t="inlineStr">
        <is>
          <t>Ø16 × 128 de largo desarrollado</t>
        </is>
      </c>
      <c r="J35" s="25" t="inlineStr">
        <is>
          <t>Compra (en el conjunto)</t>
        </is>
      </c>
      <c r="K35" s="12" t="inlineStr">
        <is>
          <t>S4 - se compra terminado (tercerizado con sello IRAM)</t>
        </is>
      </c>
      <c r="L35" s="12" t="n"/>
      <c r="M35" s="25" t="inlineStr">
        <is>
          <t>P</t>
        </is>
      </c>
      <c r="N35" s="25" t="inlineStr">
        <is>
          <t>FL_DES_SALESK_6l</t>
        </is>
      </c>
      <c r="O35" s="12" t="n"/>
    </row>
    <row r="36" outlineLevel="1">
      <c r="A36" s="25" t="n">
        <v>2</v>
      </c>
      <c r="B36" s="25" t="inlineStr">
        <is>
          <t>SALESK6-17</t>
        </is>
      </c>
      <c r="C36" s="12" t="inlineStr">
        <is>
          <t xml:space="preserve">        Lanza aplicadora clase K</t>
        </is>
      </c>
      <c r="D36" s="25" t="n">
        <v>1</v>
      </c>
      <c r="E36" s="25" t="inlineStr">
        <is>
          <t>u</t>
        </is>
      </c>
      <c r="F36" s="26" t="n">
        <v>0.2727</v>
      </c>
      <c r="G36" s="26">
        <f>D36*F36</f>
        <v/>
      </c>
      <c r="H36" s="25" t="inlineStr">
        <is>
          <t>Acero inox. AISI 304</t>
        </is>
      </c>
      <c r="I36" s="12" t="inlineStr">
        <is>
          <t>300 × 26 × 26</t>
        </is>
      </c>
      <c r="J36" s="25" t="inlineStr">
        <is>
          <t>Compra (en el conjunto)</t>
        </is>
      </c>
      <c r="K36" s="12" t="inlineStr">
        <is>
          <t>S4 - se compra terminado (tercerizado con sello IRAM)</t>
        </is>
      </c>
      <c r="L36" s="12" t="n"/>
      <c r="M36" s="25" t="inlineStr">
        <is>
          <t>P</t>
        </is>
      </c>
      <c r="N36" s="25" t="inlineStr">
        <is>
          <t>FL_DES_SALESK_6l</t>
        </is>
      </c>
      <c r="O36" s="12" t="n"/>
    </row>
    <row r="37" outlineLevel="1">
      <c r="A37" s="25" t="n">
        <v>2</v>
      </c>
      <c r="B37" s="25" t="inlineStr">
        <is>
          <t>SALESK6-18</t>
        </is>
      </c>
      <c r="C37" s="12" t="inlineStr">
        <is>
          <t xml:space="preserve">        Suncho portatobera</t>
        </is>
      </c>
      <c r="D37" s="25" t="n">
        <v>1</v>
      </c>
      <c r="E37" s="25" t="inlineStr">
        <is>
          <t>u</t>
        </is>
      </c>
      <c r="F37" s="26" t="n">
        <v>0.162</v>
      </c>
      <c r="G37" s="26">
        <f>D37*F37</f>
        <v/>
      </c>
      <c r="H37" s="25" t="inlineStr">
        <is>
          <t>Fleje acero SAE 1010 pintado</t>
        </is>
      </c>
      <c r="I37" s="12" t="inlineStr">
        <is>
          <t>199,9 × 193 × 18</t>
        </is>
      </c>
      <c r="J37" s="25" t="inlineStr">
        <is>
          <t>Compra (en el conjunto)</t>
        </is>
      </c>
      <c r="K37" s="12" t="inlineStr">
        <is>
          <t>S4 - se compra terminado (tercerizado con sello IRAM)</t>
        </is>
      </c>
      <c r="L37" s="12" t="n"/>
      <c r="M37" s="25" t="inlineStr">
        <is>
          <t>P</t>
        </is>
      </c>
      <c r="N37" s="25" t="inlineStr">
        <is>
          <t>FL_DES_SALESK_6l</t>
        </is>
      </c>
      <c r="O37" s="12" t="n"/>
    </row>
    <row r="38">
      <c r="A38" s="22" t="n">
        <v>1</v>
      </c>
      <c r="B38" s="22" t="inlineStr">
        <is>
          <t>SALESK6-S5</t>
        </is>
      </c>
      <c r="C38" s="23" t="inlineStr">
        <is>
          <t xml:space="preserve">    Carga: agente extintor y gas impulsor</t>
        </is>
      </c>
      <c r="D38" s="22" t="n">
        <v>1</v>
      </c>
      <c r="E38" s="22" t="inlineStr">
        <is>
          <t>u</t>
        </is>
      </c>
      <c r="F38" s="24" t="n"/>
      <c r="G38" s="24">
        <f>G39+G40</f>
        <v/>
      </c>
      <c r="H38" s="22" t="n"/>
      <c r="I38" s="23" t="n"/>
      <c r="J38" s="22" t="inlineStr">
        <is>
          <t>Compra</t>
        </is>
      </c>
      <c r="K38" s="23" t="n"/>
      <c r="L38" s="23" t="n"/>
      <c r="M38" s="22" t="n"/>
      <c r="N38" s="22" t="n"/>
      <c r="O38" s="23" t="n"/>
    </row>
    <row r="39" outlineLevel="1">
      <c r="A39" s="25" t="n">
        <v>2</v>
      </c>
      <c r="B39" s="25" t="inlineStr">
        <is>
          <t>SALESK6-A1</t>
        </is>
      </c>
      <c r="C39" s="12" t="inlineStr">
        <is>
          <t xml:space="preserve">        Acetato de potasio - DEMSA Kitchen - Acetato de potasio (DEMSA Kitchen, 1,300 g/ml, pH 8,5)</t>
        </is>
      </c>
      <c r="D39" s="25" t="n">
        <v>6.09</v>
      </c>
      <c r="E39" s="25" t="inlineStr">
        <is>
          <t>L</t>
        </is>
      </c>
      <c r="F39" s="26" t="n">
        <v>1.3</v>
      </c>
      <c r="G39" s="26">
        <f>D39*F39</f>
        <v/>
      </c>
      <c r="H39" s="25" t="inlineStr">
        <is>
          <t>Acetato de potasio - DEMSA Kitchen - Acetato de potasio (DEMSA Kitchen, 1,300 g/ml, pH 8,5)</t>
        </is>
      </c>
      <c r="I39" s="12" t="inlineStr">
        <is>
          <t>nominal 6 L; tolerancia 0 / +3 % (IRAM 3517-2:2020 tabla 3)</t>
        </is>
      </c>
      <c r="J39" s="25" t="inlineStr">
        <is>
          <t>Compra</t>
        </is>
      </c>
      <c r="K39" s="12" t="inlineStr">
        <is>
          <t>SP-1 almacén previo a la carga</t>
        </is>
      </c>
      <c r="L39" s="12" t="inlineStr">
        <is>
          <t>IRAM 3697</t>
        </is>
      </c>
      <c r="M39" s="25" t="inlineStr">
        <is>
          <t>N</t>
        </is>
      </c>
      <c r="N39" s="25" t="n"/>
      <c r="O39" s="12" t="inlineStr">
        <is>
          <t>potencial 1A-K</t>
        </is>
      </c>
    </row>
    <row r="40" outlineLevel="1">
      <c r="A40" s="25" t="n">
        <v>2</v>
      </c>
      <c r="B40" s="25" t="inlineStr">
        <is>
          <t>SALESK6-A2</t>
        </is>
      </c>
      <c r="C40" s="12" t="inlineStr">
        <is>
          <t xml:space="preserve">        Gas impulsor: N₂</t>
        </is>
      </c>
      <c r="D40" s="25" t="n">
        <v>0.0306</v>
      </c>
      <c r="E40" s="25" t="inlineStr">
        <is>
          <t>kg</t>
        </is>
      </c>
      <c r="F40" s="26" t="n">
        <v>1</v>
      </c>
      <c r="G40" s="26">
        <f>D40*F40</f>
        <v/>
      </c>
      <c r="H40" s="25" t="inlineStr">
        <is>
          <t>N₂</t>
        </is>
      </c>
      <c r="I40" s="12" t="inlineStr">
        <is>
          <t>24,5 L normales para 0,8 MPa a 20 °C en 2,96 dm³ libres</t>
        </is>
      </c>
      <c r="J40" s="25" t="inlineStr">
        <is>
          <t>Compra</t>
        </is>
      </c>
      <c r="K40" s="12" t="inlineStr">
        <is>
          <t>20 Presurización (T05) / C10</t>
        </is>
      </c>
      <c r="L40" s="12" t="inlineStr">
        <is>
          <t>IRAM 3517-2 9.4.9 (tabla 2) · IRAM 3523 2.3 y 3.10</t>
        </is>
      </c>
      <c r="M40" s="25" t="inlineStr">
        <is>
          <t>C</t>
        </is>
      </c>
      <c r="N40" s="25" t="n"/>
      <c r="O40" s="12" t="inlineStr">
        <is>
          <t>Batería en SP-1; punto de rocío ≤ -56,7 °C para gases limpios</t>
        </is>
      </c>
    </row>
    <row r="41">
      <c r="A41" s="22" t="n">
        <v>1</v>
      </c>
      <c r="B41" s="22" t="inlineStr">
        <is>
          <t>SALESK6-S6</t>
        </is>
      </c>
      <c r="C41" s="23" t="inlineStr">
        <is>
          <t xml:space="preserve">    Identificación y precinto</t>
        </is>
      </c>
      <c r="D41" s="22" t="n">
        <v>1</v>
      </c>
      <c r="E41" s="22" t="inlineStr">
        <is>
          <t>u</t>
        </is>
      </c>
      <c r="F41" s="24" t="n"/>
      <c r="G41" s="24">
        <f>G42+G43+G44+G45+G46</f>
        <v/>
      </c>
      <c r="H41" s="22" t="n"/>
      <c r="I41" s="23" t="n"/>
      <c r="J41" s="22" t="inlineStr">
        <is>
          <t>Compra</t>
        </is>
      </c>
      <c r="K41" s="23" t="inlineStr">
        <is>
          <t>22 Etiquetado (T07)</t>
        </is>
      </c>
      <c r="L41" s="23" t="n"/>
      <c r="M41" s="22" t="n"/>
      <c r="N41" s="22" t="n"/>
      <c r="O41" s="23" t="n"/>
    </row>
    <row r="42" outlineLevel="1">
      <c r="A42" s="25" t="n">
        <v>2</v>
      </c>
      <c r="B42" s="25" t="inlineStr">
        <is>
          <t>SALESK6-19</t>
        </is>
      </c>
      <c r="C42" s="12" t="inlineStr">
        <is>
          <t xml:space="preserve">        Placa de características</t>
        </is>
      </c>
      <c r="D42" s="25" t="n">
        <v>1</v>
      </c>
      <c r="E42" s="25" t="inlineStr">
        <is>
          <t>u</t>
        </is>
      </c>
      <c r="F42" s="26" t="n">
        <v>0.0086</v>
      </c>
      <c r="G42" s="26">
        <f>D42*F42</f>
        <v/>
      </c>
      <c r="H42" s="25" t="inlineStr">
        <is>
          <t>Vinilo autoadhesivo laminado</t>
        </is>
      </c>
      <c r="I42" s="12" t="inlineStr">
        <is>
          <t>179 × 114 (desarrollo × alto), e ≈ 0,3</t>
        </is>
      </c>
      <c r="J42" s="25" t="inlineStr">
        <is>
          <t>Compra</t>
        </is>
      </c>
      <c r="K42" s="12" t="inlineStr">
        <is>
          <t>22 Etiquetado (T07)</t>
        </is>
      </c>
      <c r="L42" s="12" t="inlineStr">
        <is>
          <t>IRAM 3534 · IRAM 3694 cap. 5</t>
        </is>
      </c>
      <c r="M42" s="25" t="inlineStr">
        <is>
          <t>P</t>
        </is>
      </c>
      <c r="N42" s="25" t="inlineStr">
        <is>
          <t>FL_DES_SALESK_6l</t>
        </is>
      </c>
      <c r="O42" s="12" t="inlineStr">
        <is>
          <t>IRAM 3534</t>
        </is>
      </c>
    </row>
    <row r="43" outlineLevel="1">
      <c r="A43" s="25" t="n">
        <v>2</v>
      </c>
      <c r="B43" s="25" t="inlineStr">
        <is>
          <t>SALESK6-20</t>
        </is>
      </c>
      <c r="C43" s="12" t="inlineStr">
        <is>
          <t xml:space="preserve">        Oblea de fabricación (PBA)</t>
        </is>
      </c>
      <c r="D43" s="25" t="n">
        <v>1</v>
      </c>
      <c r="E43" s="25" t="inlineStr">
        <is>
          <t>u</t>
        </is>
      </c>
      <c r="F43" s="26" t="n">
        <v>0.0009</v>
      </c>
      <c r="G43" s="26">
        <f>D43*F43</f>
        <v/>
      </c>
      <c r="H43" s="25" t="inlineStr">
        <is>
          <t>Papel de seguridad autodestructible</t>
        </is>
      </c>
      <c r="I43" s="12" t="inlineStr">
        <is>
          <t>Ø46 (Res. OPDS 522/07), numerada, autodestructible</t>
        </is>
      </c>
      <c r="J43" s="25" t="inlineStr">
        <is>
          <t>Compra</t>
        </is>
      </c>
      <c r="K43" s="12" t="inlineStr">
        <is>
          <t>22 Etiquetado (T07)</t>
        </is>
      </c>
      <c r="L43" s="12" t="inlineStr">
        <is>
          <t>Res. OPDS 522/07 anexos 1, 2 y 6</t>
        </is>
      </c>
      <c r="M43" s="25" t="inlineStr">
        <is>
          <t>P</t>
        </is>
      </c>
      <c r="N43" s="25" t="inlineStr">
        <is>
          <t>FL_DES_SALESK_6l</t>
        </is>
      </c>
      <c r="O43" s="12" t="inlineStr">
        <is>
          <t>Res. 522/07</t>
        </is>
      </c>
    </row>
    <row r="44" outlineLevel="1">
      <c r="A44" s="25" t="n">
        <v>2</v>
      </c>
      <c r="B44" s="25" t="inlineStr">
        <is>
          <t>SALESK6-21</t>
        </is>
      </c>
      <c r="C44" s="12" t="inlineStr">
        <is>
          <t xml:space="preserve">        Estampilla IRAM de conformidad</t>
        </is>
      </c>
      <c r="D44" s="25" t="n">
        <v>1</v>
      </c>
      <c r="E44" s="25" t="inlineStr">
        <is>
          <t>u</t>
        </is>
      </c>
      <c r="F44" s="26" t="n">
        <v>0.001</v>
      </c>
      <c r="G44" s="26">
        <f>D44*F44</f>
        <v/>
      </c>
      <c r="H44" s="25" t="inlineStr">
        <is>
          <t>Provista por IRAM (Anexo R)</t>
        </is>
      </c>
      <c r="I44" s="12" t="inlineStr">
        <is>
          <t>60 × 40</t>
        </is>
      </c>
      <c r="J44" s="25" t="inlineStr">
        <is>
          <t>Compra</t>
        </is>
      </c>
      <c r="K44" s="12" t="inlineStr">
        <is>
          <t>22 Etiquetado (T07)</t>
        </is>
      </c>
      <c r="L44" s="12" t="inlineStr">
        <is>
          <t>IRAM Anexo R (DC-PG-129)</t>
        </is>
      </c>
      <c r="M44" s="25" t="inlineStr">
        <is>
          <t>P</t>
        </is>
      </c>
      <c r="N44" s="25" t="inlineStr">
        <is>
          <t>FL_DES_SALESK_6l</t>
        </is>
      </c>
      <c r="O44" s="12" t="inlineStr">
        <is>
          <t>numerada</t>
        </is>
      </c>
    </row>
    <row r="45" outlineLevel="1">
      <c r="A45" s="25" t="n">
        <v>2</v>
      </c>
      <c r="B45" s="25" t="inlineStr">
        <is>
          <t>SALESK6-23</t>
        </is>
      </c>
      <c r="C45" s="12" t="inlineStr">
        <is>
          <t xml:space="preserve">        Precinto de fábrica</t>
        </is>
      </c>
      <c r="D45" s="25" t="n">
        <v>1</v>
      </c>
      <c r="E45" s="25" t="inlineStr">
        <is>
          <t>u</t>
        </is>
      </c>
      <c r="F45" s="26" t="n">
        <v>0.0002</v>
      </c>
      <c r="G45" s="26">
        <f>D45*F45</f>
        <v/>
      </c>
      <c r="H45" s="25" t="inlineStr">
        <is>
          <t>Polipropileno</t>
        </is>
      </c>
      <c r="I45" s="12" t="inlineStr">
        <is>
          <t>Ø5 × 10, numerado, rotura 30-50 N</t>
        </is>
      </c>
      <c r="J45" s="25" t="inlineStr">
        <is>
          <t>Compra</t>
        </is>
      </c>
      <c r="K45" s="12" t="inlineStr">
        <is>
          <t>20 Presurización (T05)</t>
        </is>
      </c>
      <c r="L45" s="12" t="inlineStr">
        <is>
          <t>IRAM 3523 3.3.2 · IRAM 3517-2:2020 9.4.13</t>
        </is>
      </c>
      <c r="M45" s="25" t="inlineStr">
        <is>
          <t>P</t>
        </is>
      </c>
      <c r="N45" s="25" t="inlineStr">
        <is>
          <t>FL_DES_SALESK_6l</t>
        </is>
      </c>
      <c r="O45" s="12" t="inlineStr">
        <is>
          <t>id. FLAMA y lote</t>
        </is>
      </c>
    </row>
    <row r="46" outlineLevel="1">
      <c r="A46" s="25" t="n">
        <v>2</v>
      </c>
      <c r="B46" s="25" t="inlineStr">
        <is>
          <t>SALESK6-I3</t>
        </is>
      </c>
      <c r="C46" s="12" t="inlineStr">
        <is>
          <t xml:space="preserve">        Tarjeta oficial de vigencia (CABA)</t>
        </is>
      </c>
      <c r="D46" s="25" t="n">
        <v>1</v>
      </c>
      <c r="E46" s="25" t="inlineStr">
        <is>
          <t>u</t>
        </is>
      </c>
      <c r="F46" s="26" t="n">
        <v>0.002</v>
      </c>
      <c r="G46" s="26">
        <f>D46*F46</f>
        <v/>
      </c>
      <c r="H46" s="25" t="inlineStr">
        <is>
          <t>Formulario oficial</t>
        </is>
      </c>
      <c r="I46" s="12" t="inlineStr">
        <is>
          <t>provista por DG Rentas GCBA</t>
        </is>
      </c>
      <c r="J46" s="25" t="inlineStr">
        <is>
          <t>Compra</t>
        </is>
      </c>
      <c r="K46" s="12" t="inlineStr">
        <is>
          <t>22 Etiquetado</t>
        </is>
      </c>
      <c r="L46" s="12" t="inlineStr">
        <is>
          <t>Ordenanza 40.473 art. 6</t>
        </is>
      </c>
      <c r="M46" s="25" t="inlineStr">
        <is>
          <t>N</t>
        </is>
      </c>
      <c r="N46" s="25" t="n"/>
      <c r="O46" s="12" t="inlineStr">
        <is>
          <t>Clase, capacidad, fecha de carga y vencimiento, garantía; se anexa al matafuego (no se dibuja)</t>
        </is>
      </c>
    </row>
    <row r="47">
      <c r="A47" s="22" t="n">
        <v>1</v>
      </c>
      <c r="B47" s="22" t="inlineStr">
        <is>
          <t>SALESK6-S8</t>
        </is>
      </c>
      <c r="C47" s="23" t="inlineStr">
        <is>
          <t xml:space="preserve">    Soporte (accesorio de montaje)</t>
        </is>
      </c>
      <c r="D47" s="22" t="n">
        <v>1</v>
      </c>
      <c r="E47" s="22" t="inlineStr">
        <is>
          <t>u</t>
        </is>
      </c>
      <c r="F47" s="24" t="n"/>
      <c r="G47" s="24">
        <f>G48+G49</f>
        <v/>
      </c>
      <c r="H47" s="22" t="n"/>
      <c r="I47" s="23" t="n"/>
      <c r="J47" s="22" t="inlineStr">
        <is>
          <t>Compra</t>
        </is>
      </c>
      <c r="K47" s="23" t="inlineStr">
        <is>
          <t>23 Embalaje (va dentro de la caja)</t>
        </is>
      </c>
      <c r="L47" s="23" t="inlineStr">
        <is>
          <t>IRAM 3517-2 7.4</t>
        </is>
      </c>
      <c r="M47" s="22" t="n"/>
      <c r="N47" s="22" t="n"/>
      <c r="O47" s="23" t="n"/>
    </row>
    <row r="48" outlineLevel="1">
      <c r="A48" s="25" t="n">
        <v>2</v>
      </c>
      <c r="B48" s="25" t="inlineStr">
        <is>
          <t>SALESK6-I5</t>
        </is>
      </c>
      <c r="C48" s="12" t="inlineStr">
        <is>
          <t xml:space="preserve">        Soporte de pared (FL_ACC_01)</t>
        </is>
      </c>
      <c r="D48" s="25" t="n">
        <v>1</v>
      </c>
      <c r="E48" s="25" t="inlineStr">
        <is>
          <t>u</t>
        </is>
      </c>
      <c r="F48" s="26" t="n">
        <v>0.327</v>
      </c>
      <c r="G48" s="26">
        <f>D48*F48</f>
        <v/>
      </c>
      <c r="H48" s="25" t="inlineStr">
        <is>
          <t>Chapa acero SAE 1010 e=2 pintada</t>
        </is>
      </c>
      <c r="I48" s="12" t="inlineStr">
        <is>
          <t>placa 60 × 180, ala con ranura Ø cuello + 3</t>
        </is>
      </c>
      <c r="J48" s="25" t="inlineStr">
        <is>
          <t>Compra</t>
        </is>
      </c>
      <c r="K48" s="12" t="inlineStr">
        <is>
          <t>23 Embalaje</t>
        </is>
      </c>
      <c r="L48" s="12" t="inlineStr">
        <is>
          <t>IRAM 3517-2 7.4</t>
        </is>
      </c>
      <c r="M48" s="25" t="inlineStr">
        <is>
          <t>P</t>
        </is>
      </c>
      <c r="N48" s="25" t="inlineStr">
        <is>
          <t>FL_ACC_01</t>
        </is>
      </c>
      <c r="O48" s="12" t="n"/>
    </row>
    <row r="49" outlineLevel="1">
      <c r="A49" s="25" t="n">
        <v>2</v>
      </c>
      <c r="B49" s="25" t="inlineStr">
        <is>
          <t>SALESK6-I6</t>
        </is>
      </c>
      <c r="C49" s="12" t="inlineStr">
        <is>
          <t xml:space="preserve">        Tornillo y tarugo de fijación</t>
        </is>
      </c>
      <c r="D49" s="25" t="n">
        <v>2</v>
      </c>
      <c r="E49" s="25" t="inlineStr">
        <is>
          <t>u</t>
        </is>
      </c>
      <c r="F49" s="26" t="n">
        <v>0.01</v>
      </c>
      <c r="G49" s="26">
        <f>D49*F49</f>
        <v/>
      </c>
      <c r="H49" s="25" t="inlineStr">
        <is>
          <t>Acero cincado / nylon</t>
        </is>
      </c>
      <c r="I49" s="12" t="inlineStr">
        <is>
          <t>M6 × 50 + tarugo 8</t>
        </is>
      </c>
      <c r="J49" s="25" t="inlineStr">
        <is>
          <t>Compra</t>
        </is>
      </c>
      <c r="K49" s="12" t="inlineStr">
        <is>
          <t>23 Embalaje</t>
        </is>
      </c>
      <c r="L49" s="12" t="n"/>
      <c r="M49" s="25" t="inlineStr">
        <is>
          <t>R</t>
        </is>
      </c>
      <c r="N49" s="25" t="n"/>
      <c r="O49" s="12" t="n"/>
    </row>
    <row r="50">
      <c r="A50" s="22" t="n">
        <v>1</v>
      </c>
      <c r="B50" s="22" t="inlineStr">
        <is>
          <t>SALESK6-S7</t>
        </is>
      </c>
      <c r="C50" s="23" t="inlineStr">
        <is>
          <t xml:space="preserve">    Embalaje</t>
        </is>
      </c>
      <c r="D50" s="22" t="n">
        <v>1</v>
      </c>
      <c r="E50" s="22" t="inlineStr">
        <is>
          <t>u</t>
        </is>
      </c>
      <c r="F50" s="24" t="n"/>
      <c r="G50" s="24">
        <f>G51+G52+G53+G54+G55</f>
        <v/>
      </c>
      <c r="H50" s="22" t="n"/>
      <c r="I50" s="23" t="n"/>
      <c r="J50" s="22" t="inlineStr">
        <is>
          <t>Compra</t>
        </is>
      </c>
      <c r="K50" s="23" t="inlineStr">
        <is>
          <t>23 Embalaje -&gt; 24 envolvedora (T11)</t>
        </is>
      </c>
      <c r="L50" s="23" t="n"/>
      <c r="M50" s="22" t="n"/>
      <c r="N50" s="22" t="n"/>
      <c r="O50" s="23" t="n"/>
    </row>
    <row r="51" outlineLevel="1">
      <c r="A51" s="25" t="n">
        <v>2</v>
      </c>
      <c r="B51" s="25" t="inlineStr">
        <is>
          <t>SALESK6-E1</t>
        </is>
      </c>
      <c r="C51" s="12" t="inlineStr">
        <is>
          <t xml:space="preserve">        Caja de cartón corrugado doble</t>
        </is>
      </c>
      <c r="D51" s="25" t="n">
        <v>1</v>
      </c>
      <c r="E51" s="25" t="inlineStr">
        <is>
          <t>u</t>
        </is>
      </c>
      <c r="F51" s="26" t="n">
        <v>0.5</v>
      </c>
      <c r="G51" s="26">
        <f>D51*F51</f>
        <v/>
      </c>
      <c r="H51" s="25" t="inlineStr">
        <is>
          <t>Cartón corrugado</t>
        </is>
      </c>
      <c r="I51" s="12" t="inlineStr">
        <is>
          <t>300 × 223 × 490 interior</t>
        </is>
      </c>
      <c r="J51" s="25" t="inlineStr">
        <is>
          <t>Compra</t>
        </is>
      </c>
      <c r="K51" s="12" t="inlineStr">
        <is>
          <t>23 Embalaje</t>
        </is>
      </c>
      <c r="L51" s="12" t="n"/>
      <c r="M51" s="25" t="inlineStr">
        <is>
          <t>R</t>
        </is>
      </c>
      <c r="N51" s="25" t="n"/>
      <c r="O51" s="12" t="n"/>
    </row>
    <row r="52" outlineLevel="1">
      <c r="A52" s="25" t="n">
        <v>2</v>
      </c>
      <c r="B52" s="25" t="inlineStr">
        <is>
          <t>SALESK6-E2</t>
        </is>
      </c>
      <c r="C52" s="12" t="inlineStr">
        <is>
          <t xml:space="preserve">        Instructivo de uso y mantenimiento</t>
        </is>
      </c>
      <c r="D52" s="25" t="n">
        <v>1</v>
      </c>
      <c r="E52" s="25" t="inlineStr">
        <is>
          <t>u</t>
        </is>
      </c>
      <c r="F52" s="26" t="n">
        <v>0.01</v>
      </c>
      <c r="G52" s="26">
        <f>D52*F52</f>
        <v/>
      </c>
      <c r="H52" s="25" t="inlineStr">
        <is>
          <t>Papel</t>
        </is>
      </c>
      <c r="I52" s="12" t="inlineStr">
        <is>
          <t>A5</t>
        </is>
      </c>
      <c r="J52" s="25" t="inlineStr">
        <is>
          <t>Compra</t>
        </is>
      </c>
      <c r="K52" s="12" t="inlineStr">
        <is>
          <t>23 Embalaje</t>
        </is>
      </c>
      <c r="L52" s="12" t="inlineStr">
        <is>
          <t>IRAM 3517-2 (información al usuario)</t>
        </is>
      </c>
      <c r="M52" s="25" t="inlineStr">
        <is>
          <t>R</t>
        </is>
      </c>
      <c r="N52" s="25" t="n"/>
      <c r="O52" s="12" t="n"/>
    </row>
    <row r="53" outlineLevel="1">
      <c r="A53" s="25" t="n">
        <v>2</v>
      </c>
      <c r="B53" s="25" t="inlineStr">
        <is>
          <t>SALESK6-E3</t>
        </is>
      </c>
      <c r="C53" s="12" t="inlineStr">
        <is>
          <t xml:space="preserve">        Pallet 1200 × 1000 (fracción)</t>
        </is>
      </c>
      <c r="D53" s="25" t="n">
        <v>0.0333</v>
      </c>
      <c r="E53" s="25" t="inlineStr">
        <is>
          <t>u</t>
        </is>
      </c>
      <c r="F53" s="26" t="n">
        <v>0.733</v>
      </c>
      <c r="G53" s="26">
        <f>D53*F53</f>
        <v/>
      </c>
      <c r="H53" s="25" t="inlineStr">
        <is>
          <t>Madera</t>
        </is>
      </c>
      <c r="I53" s="12" t="inlineStr">
        <is>
          <t>30 u por pallet</t>
        </is>
      </c>
      <c r="J53" s="25" t="inlineStr">
        <is>
          <t>Compra</t>
        </is>
      </c>
      <c r="K53" s="12" t="inlineStr">
        <is>
          <t>23 Embalaje</t>
        </is>
      </c>
      <c r="L53" s="12" t="n"/>
      <c r="M53" s="25" t="inlineStr">
        <is>
          <t>R</t>
        </is>
      </c>
      <c r="N53" s="25" t="n"/>
      <c r="O53" s="12" t="n"/>
    </row>
    <row r="54" outlineLevel="1">
      <c r="A54" s="25" t="n">
        <v>2</v>
      </c>
      <c r="B54" s="25" t="inlineStr">
        <is>
          <t>SALESK6-E4</t>
        </is>
      </c>
      <c r="C54" s="12" t="inlineStr">
        <is>
          <t xml:space="preserve">        Film stretch (fracción del pallet)</t>
        </is>
      </c>
      <c r="D54" s="25" t="n">
        <v>0.0117</v>
      </c>
      <c r="E54" s="25" t="inlineStr">
        <is>
          <t>kg</t>
        </is>
      </c>
      <c r="F54" s="26" t="n">
        <v>1</v>
      </c>
      <c r="G54" s="26">
        <f>D54*F54</f>
        <v/>
      </c>
      <c r="H54" s="25" t="inlineStr">
        <is>
          <t>PE lineal 23 µm</t>
        </is>
      </c>
      <c r="I54" s="12" t="inlineStr">
        <is>
          <t>envolvedora EDOS PS5</t>
        </is>
      </c>
      <c r="J54" s="25" t="inlineStr">
        <is>
          <t>Compra</t>
        </is>
      </c>
      <c r="K54" s="12" t="inlineStr">
        <is>
          <t>24 Envolvedora (T11)</t>
        </is>
      </c>
      <c r="L54" s="12" t="n"/>
      <c r="M54" s="25" t="inlineStr">
        <is>
          <t>R</t>
        </is>
      </c>
      <c r="N54" s="25" t="n"/>
      <c r="O54" s="12" t="n"/>
    </row>
    <row r="55" outlineLevel="1">
      <c r="A55" s="25" t="n">
        <v>2</v>
      </c>
      <c r="B55" s="25" t="inlineStr">
        <is>
          <t>SALESK6-E5</t>
        </is>
      </c>
      <c r="C55" s="12" t="inlineStr">
        <is>
          <t xml:space="preserve">        Etiqueta de pallet (lote y destino, fracción)</t>
        </is>
      </c>
      <c r="D55" s="25" t="n">
        <v>0.0333</v>
      </c>
      <c r="E55" s="25" t="inlineStr">
        <is>
          <t>u</t>
        </is>
      </c>
      <c r="F55" s="26" t="n">
        <v>0</v>
      </c>
      <c r="G55" s="26">
        <f>D55*F55</f>
        <v/>
      </c>
      <c r="H55" s="25" t="inlineStr">
        <is>
          <t>Papel térmico</t>
        </is>
      </c>
      <c r="I55" s="12" t="inlineStr">
        <is>
          <t>100 × 150</t>
        </is>
      </c>
      <c r="J55" s="25" t="inlineStr">
        <is>
          <t>Compra</t>
        </is>
      </c>
      <c r="K55" s="12" t="inlineStr">
        <is>
          <t>24 Envolvedora</t>
        </is>
      </c>
      <c r="L55" s="12" t="n"/>
      <c r="M55" s="25" t="inlineStr">
        <is>
          <t>R</t>
        </is>
      </c>
      <c r="N55" s="25" t="n"/>
      <c r="O55" s="12" t="n"/>
    </row>
  </sheetData>
  <autoFilter ref="A10:O55"/>
  <pageMargins left="0.75" right="0.75" top="1" bottom="1" header="0.5" footer="0.5"/>
  <pageSetup orientation="landscape" fitToHeight="0" fitToWidth="1"/>
</worksheet>
</file>

<file path=xl/worksheets/sheet16.xml><?xml version="1.0" encoding="utf-8"?>
<worksheet xmlns="http://schemas.openxmlformats.org/spreadsheetml/2006/main">
  <sheetPr>
    <tabColor rgb="007F1D1D"/>
    <outlinePr summaryBelow="0" summaryRight="1"/>
    <pageSetUpPr fitToPage="1"/>
  </sheetPr>
  <dimension ref="A1:O4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FL_MAT_CO2_2kg</t>
        </is>
      </c>
    </row>
    <row r="2">
      <c r="A2" s="2" t="inlineStr">
        <is>
          <t>Extintor CO₂ 2 kg</t>
        </is>
      </c>
    </row>
    <row r="3">
      <c r="A3" s="14" t="inlineStr">
        <is>
          <t>Plano de origen</t>
        </is>
      </c>
      <c r="C3" t="inlineStr">
        <is>
          <t>FL_MAT_CO2_2kg  (3 láminas)</t>
        </is>
      </c>
      <c r="E3" s="14" t="inlineStr">
        <is>
          <t>Peso vacío S1-S4 (kg)</t>
        </is>
      </c>
      <c r="G3" s="30">
        <f>G12+G16+G29</f>
        <v/>
      </c>
    </row>
    <row r="4">
      <c r="A4" s="14" t="inlineStr">
        <is>
          <t>Plano de despiece</t>
        </is>
      </c>
      <c r="C4" t="inlineStr">
        <is>
          <t>FL_DES_CO2_2kg (salida/despiece/)</t>
        </is>
      </c>
      <c r="E4" s="14" t="inlineStr">
        <is>
          <t>Peso cargado S1-S6 (kg)</t>
        </is>
      </c>
      <c r="G4" s="30">
        <f>G12+G16+G29+G33+G35</f>
        <v/>
      </c>
    </row>
    <row r="5">
      <c r="A5" s="14" t="inlineStr">
        <is>
          <t>Norma del producto</t>
        </is>
      </c>
      <c r="C5" t="inlineStr">
        <is>
          <t>IRAM 3509</t>
        </is>
      </c>
      <c r="E5" s="14" t="inlineStr">
        <is>
          <t>Peso con soporte y embalaje (kg)</t>
        </is>
      </c>
      <c r="G5" s="30">
        <f>G12+G16+G29+G33+G35+G44+G41</f>
        <v/>
      </c>
    </row>
    <row r="6">
      <c r="A6" s="14" t="inlineStr">
        <is>
          <t>Fabricación</t>
        </is>
      </c>
      <c r="C6" t="inlineStr">
        <is>
          <t>Tercerizado revendido (S4)</t>
        </is>
      </c>
      <c r="E6" s="14" t="inlineStr">
        <is>
          <t>Desvío cargado vs catálogo</t>
        </is>
      </c>
      <c r="G6" s="10">
        <f>G4/C7-1</f>
        <v/>
      </c>
    </row>
    <row r="7">
      <c r="A7" s="14" t="inlineStr">
        <is>
          <t>Peso catálogo cargado (kg)</t>
        </is>
      </c>
      <c r="C7" t="n">
        <v>9</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FL_MAT_CO2_2kg</t>
        </is>
      </c>
      <c r="C11" s="20" t="inlineStr">
        <is>
          <t>Extintor CO₂ 2 kg</t>
        </is>
      </c>
      <c r="D11" s="19" t="n">
        <v>1</v>
      </c>
      <c r="E11" s="19" t="inlineStr">
        <is>
          <t>u</t>
        </is>
      </c>
      <c r="F11" s="21" t="n"/>
      <c r="G11" s="21">
        <f>G5</f>
        <v/>
      </c>
      <c r="H11" s="19" t="n"/>
      <c r="I11" s="20" t="n"/>
      <c r="J11" s="19" t="n"/>
      <c r="K11" s="20" t="n"/>
      <c r="L11" s="20" t="inlineStr">
        <is>
          <t>IRAM 3509</t>
        </is>
      </c>
      <c r="M11" s="19" t="inlineStr">
        <is>
          <t>P</t>
        </is>
      </c>
      <c r="N11" s="19" t="inlineStr">
        <is>
          <t>FL_MAT_CO2_2kg</t>
        </is>
      </c>
      <c r="O11" s="20" t="inlineStr">
        <is>
          <t>Tercerizado revendido (S4)</t>
        </is>
      </c>
    </row>
    <row r="12">
      <c r="A12" s="22" t="n">
        <v>1</v>
      </c>
      <c r="B12" s="22" t="inlineStr">
        <is>
          <t>CO22-S1</t>
        </is>
      </c>
      <c r="C12" s="23" t="inlineStr">
        <is>
          <t xml:space="preserve">    Recipiente (cilindro)</t>
        </is>
      </c>
      <c r="D12" s="22" t="n">
        <v>1</v>
      </c>
      <c r="E12" s="22" t="inlineStr">
        <is>
          <t>u</t>
        </is>
      </c>
      <c r="F12" s="24" t="n"/>
      <c r="G12" s="24">
        <f>G13+G14+G15</f>
        <v/>
      </c>
      <c r="H12" s="22" t="n"/>
      <c r="I12" s="23" t="n"/>
      <c r="J12" s="22" t="inlineStr">
        <is>
          <t>Compra / armado</t>
        </is>
      </c>
      <c r="K12" s="23" t="n"/>
      <c r="L12" s="23" t="inlineStr">
        <is>
          <t>IRAM 3523 / 3550 (recipiente)</t>
        </is>
      </c>
      <c r="M12" s="22" t="inlineStr">
        <is>
          <t>P</t>
        </is>
      </c>
      <c r="N12" s="22" t="inlineStr">
        <is>
          <t>FL_DES_CO2_2kg</t>
        </is>
      </c>
      <c r="O12" s="23" t="n"/>
    </row>
    <row r="13" outlineLevel="1">
      <c r="A13" s="25" t="n">
        <v>2</v>
      </c>
      <c r="B13" s="25" t="inlineStr">
        <is>
          <t>CO22-01</t>
        </is>
      </c>
      <c r="C13" s="12" t="inlineStr">
        <is>
          <t xml:space="preserve">        Cilindro sin costura</t>
        </is>
      </c>
      <c r="D13" s="25" t="n">
        <v>1</v>
      </c>
      <c r="E13" s="25" t="inlineStr">
        <is>
          <t>u</t>
        </is>
      </c>
      <c r="F13" s="26" t="n">
        <v>5.7663</v>
      </c>
      <c r="G13" s="26">
        <f>D13*F13</f>
        <v/>
      </c>
      <c r="H13" s="25" t="inlineStr">
        <is>
          <t>Tubo acero 34CrMo4 sin costura e=5,4</t>
        </is>
      </c>
      <c r="I13" s="12" t="inlineStr">
        <is>
          <t>Cilindro sin costura Ø114 × e5,4 × 411,2 de alto (cuello integral)</t>
        </is>
      </c>
      <c r="J13" s="25" t="inlineStr">
        <is>
          <t>Compra (en el conjunto)</t>
        </is>
      </c>
      <c r="K13" s="12" t="inlineStr">
        <is>
          <t>S4 - se compra terminado (tercerizado con sello IRAM)</t>
        </is>
      </c>
      <c r="L13" s="12" t="n"/>
      <c r="M13" s="25" t="inlineStr">
        <is>
          <t>P</t>
        </is>
      </c>
      <c r="N13" s="25" t="inlineStr">
        <is>
          <t>FL_DES_CO2_2kg</t>
        </is>
      </c>
      <c r="O13" s="12" t="inlineStr">
        <is>
          <t>cuello integral</t>
        </is>
      </c>
    </row>
    <row r="14" outlineLevel="1">
      <c r="A14" s="25" t="n">
        <v>2</v>
      </c>
      <c r="B14" s="25" t="inlineStr">
        <is>
          <t>CO22-12</t>
        </is>
      </c>
      <c r="C14" s="12" t="inlineStr">
        <is>
          <t xml:space="preserve">        Pie de apoyo</t>
        </is>
      </c>
      <c r="D14" s="25" t="n">
        <v>1</v>
      </c>
      <c r="E14" s="25" t="inlineStr">
        <is>
          <t>u</t>
        </is>
      </c>
      <c r="F14" s="26" t="n">
        <v>0.066</v>
      </c>
      <c r="G14" s="26">
        <f>D14*F14</f>
        <v/>
      </c>
      <c r="H14" s="25" t="inlineStr">
        <is>
          <t>Polietileno AD</t>
        </is>
      </c>
      <c r="I14" s="12" t="inlineStr">
        <is>
          <t>114 × 114 × 31,4</t>
        </is>
      </c>
      <c r="J14" s="25" t="inlineStr">
        <is>
          <t>Compra (en el conjunto)</t>
        </is>
      </c>
      <c r="K14" s="12" t="inlineStr">
        <is>
          <t>S4 - se compra terminado (tercerizado con sello IRAM)</t>
        </is>
      </c>
      <c r="L14" s="12" t="n"/>
      <c r="M14" s="25" t="inlineStr">
        <is>
          <t>P</t>
        </is>
      </c>
      <c r="N14" s="25" t="inlineStr">
        <is>
          <t>FL_DES_CO2_2kg</t>
        </is>
      </c>
      <c r="O14" s="12" t="n"/>
    </row>
    <row r="15" outlineLevel="1">
      <c r="A15" s="25" t="n">
        <v>2</v>
      </c>
      <c r="B15" s="25" t="inlineStr">
        <is>
          <t>CO22-C3</t>
        </is>
      </c>
      <c r="C15" s="12" t="inlineStr">
        <is>
          <t xml:space="preserve">        Pintura en polvo poliéster rojo (recipiente)</t>
        </is>
      </c>
      <c r="D15" s="25" t="n">
        <v>0.025</v>
      </c>
      <c r="E15" s="25" t="inlineStr">
        <is>
          <t>kg</t>
        </is>
      </c>
      <c r="F15" s="26" t="n">
        <v>0.65</v>
      </c>
      <c r="G15" s="26">
        <f>D15*F15</f>
        <v/>
      </c>
      <c r="H15" s="25" t="inlineStr">
        <is>
          <t>Poliéster RAL 3000 / rojo 03-1-050</t>
        </is>
      </c>
      <c r="I15" s="12" t="inlineStr">
        <is>
          <t>0,136 m² × 80 µm, rendimiento 65 %</t>
        </is>
      </c>
      <c r="J15" s="25" t="inlineStr">
        <is>
          <t>Compra</t>
        </is>
      </c>
      <c r="K15" s="12" t="inlineStr">
        <is>
          <t>17 Pintura (S-P)</t>
        </is>
      </c>
      <c r="L15" s="12" t="inlineStr">
        <is>
          <t>DOC-01</t>
        </is>
      </c>
      <c r="M15" s="25" t="inlineStr">
        <is>
          <t>R</t>
        </is>
      </c>
      <c r="N15" s="25" t="n"/>
      <c r="O15" s="12" t="n"/>
    </row>
    <row r="16">
      <c r="A16" s="22" t="n">
        <v>1</v>
      </c>
      <c r="B16" s="22" t="inlineStr">
        <is>
          <t>CO22-S2</t>
        </is>
      </c>
      <c r="C16" s="23" t="inlineStr">
        <is>
          <t xml:space="preserve">    Conjunto de válvula</t>
        </is>
      </c>
      <c r="D16" s="22" t="n">
        <v>1</v>
      </c>
      <c r="E16" s="22" t="inlineStr">
        <is>
          <t>u</t>
        </is>
      </c>
      <c r="F16" s="24" t="n"/>
      <c r="G16" s="24">
        <f>G17+G18+G19+G20+G21+G22+G23+G24+G25+G26+G27+G28</f>
        <v/>
      </c>
      <c r="H16" s="22" t="n"/>
      <c r="I16" s="23" t="n"/>
      <c r="J16" s="22" t="inlineStr">
        <is>
          <t>Compra / armado</t>
        </is>
      </c>
      <c r="K16" s="23" t="n"/>
      <c r="L16" s="23" t="inlineStr">
        <is>
          <t>Manómetro IRAM 3533</t>
        </is>
      </c>
      <c r="M16" s="22" t="inlineStr">
        <is>
          <t>P</t>
        </is>
      </c>
      <c r="N16" s="22" t="inlineStr">
        <is>
          <t>FL_DES_CO2_2kg</t>
        </is>
      </c>
      <c r="O16" s="23" t="n"/>
    </row>
    <row r="17" outlineLevel="1">
      <c r="A17" s="25" t="n">
        <v>2</v>
      </c>
      <c r="B17" s="25" t="inlineStr">
        <is>
          <t>CO22-02</t>
        </is>
      </c>
      <c r="C17" s="12" t="inlineStr">
        <is>
          <t xml:space="preserve">        Collarín de válvula</t>
        </is>
      </c>
      <c r="D17" s="25" t="n">
        <v>1</v>
      </c>
      <c r="E17" s="25" t="inlineStr">
        <is>
          <t>u</t>
        </is>
      </c>
      <c r="F17" s="26" t="n">
        <v>0.0809</v>
      </c>
      <c r="G17" s="26">
        <f>D17*F17</f>
        <v/>
      </c>
      <c r="H17" s="25" t="inlineStr">
        <is>
          <t>Latón forjado</t>
        </is>
      </c>
      <c r="I17" s="12" t="inlineStr">
        <is>
          <t>38 × 38 × 10</t>
        </is>
      </c>
      <c r="J17" s="25" t="inlineStr">
        <is>
          <t>Compra (en el conjunto)</t>
        </is>
      </c>
      <c r="K17" s="12" t="inlineStr">
        <is>
          <t>S4 - se compra terminado (tercerizado con sello IRAM)</t>
        </is>
      </c>
      <c r="L17" s="12" t="n"/>
      <c r="M17" s="25" t="inlineStr">
        <is>
          <t>P</t>
        </is>
      </c>
      <c r="N17" s="25" t="inlineStr">
        <is>
          <t>FL_DES_CO2_2kg</t>
        </is>
      </c>
      <c r="O17" s="12" t="n"/>
    </row>
    <row r="18" outlineLevel="1">
      <c r="A18" s="25" t="n">
        <v>2</v>
      </c>
      <c r="B18" s="25" t="inlineStr">
        <is>
          <t>CO22-03</t>
        </is>
      </c>
      <c r="C18" s="12" t="inlineStr">
        <is>
          <t xml:space="preserve">        Espiga roscada</t>
        </is>
      </c>
      <c r="D18" s="25" t="n">
        <v>1</v>
      </c>
      <c r="E18" s="25" t="inlineStr">
        <is>
          <t>u</t>
        </is>
      </c>
      <c r="F18" s="26" t="n">
        <v>0.0153</v>
      </c>
      <c r="G18" s="26">
        <f>D18*F18</f>
        <v/>
      </c>
      <c r="H18" s="25" t="inlineStr">
        <is>
          <t>Latón forjado</t>
        </is>
      </c>
      <c r="I18" s="12" t="inlineStr">
        <is>
          <t>19 × 19 × 12</t>
        </is>
      </c>
      <c r="J18" s="25" t="inlineStr">
        <is>
          <t>Compra (en el conjunto)</t>
        </is>
      </c>
      <c r="K18" s="12" t="inlineStr">
        <is>
          <t>S4 - se compra terminado (tercerizado con sello IRAM)</t>
        </is>
      </c>
      <c r="L18" s="12" t="n"/>
      <c r="M18" s="25" t="inlineStr">
        <is>
          <t>P</t>
        </is>
      </c>
      <c r="N18" s="25" t="inlineStr">
        <is>
          <t>FL_DES_CO2_2kg</t>
        </is>
      </c>
      <c r="O18" s="12" t="n"/>
    </row>
    <row r="19" outlineLevel="1">
      <c r="A19" s="25" t="n">
        <v>2</v>
      </c>
      <c r="B19" s="25" t="inlineStr">
        <is>
          <t>CO22-04</t>
        </is>
      </c>
      <c r="C19" s="12" t="inlineStr">
        <is>
          <t xml:space="preserve">        Cuerpo de válvula</t>
        </is>
      </c>
      <c r="D19" s="25" t="n">
        <v>1</v>
      </c>
      <c r="E19" s="25" t="inlineStr">
        <is>
          <t>u</t>
        </is>
      </c>
      <c r="F19" s="26" t="n">
        <v>0.4826</v>
      </c>
      <c r="G19" s="26">
        <f>D19*F19</f>
        <v/>
      </c>
      <c r="H19" s="25" t="inlineStr">
        <is>
          <t>Latón forjado</t>
        </is>
      </c>
      <c r="I19" s="12" t="inlineStr">
        <is>
          <t>66,2 × 43 × 34</t>
        </is>
      </c>
      <c r="J19" s="25" t="inlineStr">
        <is>
          <t>Compra (en el conjunto)</t>
        </is>
      </c>
      <c r="K19" s="12" t="inlineStr">
        <is>
          <t>S4 - se compra terminado (tercerizado con sello IRAM)</t>
        </is>
      </c>
      <c r="L19" s="12" t="n"/>
      <c r="M19" s="25" t="inlineStr">
        <is>
          <t>P</t>
        </is>
      </c>
      <c r="N19" s="25" t="inlineStr">
        <is>
          <t>FL_DES_CO2_2kg</t>
        </is>
      </c>
      <c r="O19" s="12" t="n"/>
    </row>
    <row r="20" outlineLevel="1">
      <c r="A20" s="25" t="n">
        <v>2</v>
      </c>
      <c r="B20" s="25" t="inlineStr">
        <is>
          <t>CO22-05</t>
        </is>
      </c>
      <c r="C20" s="12" t="inlineStr">
        <is>
          <t xml:space="preserve">        Disco de seguridad</t>
        </is>
      </c>
      <c r="D20" s="25" t="n">
        <v>1</v>
      </c>
      <c r="E20" s="25" t="inlineStr">
        <is>
          <t>u</t>
        </is>
      </c>
      <c r="F20" s="26" t="n">
        <v>0.0097</v>
      </c>
      <c r="G20" s="26">
        <f>D20*F20</f>
        <v/>
      </c>
      <c r="H20" s="25" t="inlineStr">
        <is>
          <t>Latón / disco de cobre</t>
        </is>
      </c>
      <c r="I20" s="12" t="inlineStr">
        <is>
          <t>14 × 12,1 × 9</t>
        </is>
      </c>
      <c r="J20" s="25" t="inlineStr">
        <is>
          <t>Compra (en el conjunto)</t>
        </is>
      </c>
      <c r="K20" s="12" t="inlineStr">
        <is>
          <t>S4 - se compra terminado (tercerizado con sello IRAM)</t>
        </is>
      </c>
      <c r="L20" s="12" t="n"/>
      <c r="M20" s="25" t="inlineStr">
        <is>
          <t>P</t>
        </is>
      </c>
      <c r="N20" s="25" t="inlineStr">
        <is>
          <t>FL_DES_CO2_2kg</t>
        </is>
      </c>
      <c r="O20" s="12" t="inlineStr">
        <is>
          <t>rotura 18 a 21 MPa</t>
        </is>
      </c>
    </row>
    <row r="21" outlineLevel="1">
      <c r="A21" s="25" t="n">
        <v>2</v>
      </c>
      <c r="B21" s="25" t="inlineStr">
        <is>
          <t>CO22-06</t>
        </is>
      </c>
      <c r="C21" s="12" t="inlineStr">
        <is>
          <t xml:space="preserve">        Manija de transporte</t>
        </is>
      </c>
      <c r="D21" s="25" t="n">
        <v>1</v>
      </c>
      <c r="E21" s="25" t="inlineStr">
        <is>
          <t>u</t>
        </is>
      </c>
      <c r="F21" s="26" t="n">
        <v>0.0635</v>
      </c>
      <c r="G21" s="26">
        <f>D21*F21</f>
        <v/>
      </c>
      <c r="H21" s="25" t="inlineStr">
        <is>
          <t>Chapa acero SAE 1010 pintada</t>
        </is>
      </c>
      <c r="I21" s="12" t="inlineStr">
        <is>
          <t>100,9 × 20 × 14,5</t>
        </is>
      </c>
      <c r="J21" s="25" t="inlineStr">
        <is>
          <t>Compra (en el conjunto)</t>
        </is>
      </c>
      <c r="K21" s="12" t="inlineStr">
        <is>
          <t>S4 - se compra terminado (tercerizado con sello IRAM)</t>
        </is>
      </c>
      <c r="L21" s="12" t="n"/>
      <c r="M21" s="25" t="inlineStr">
        <is>
          <t>P</t>
        </is>
      </c>
      <c r="N21" s="25" t="inlineStr">
        <is>
          <t>FL_DES_CO2_2kg</t>
        </is>
      </c>
      <c r="O21" s="12" t="n"/>
    </row>
    <row r="22" outlineLevel="1">
      <c r="A22" s="25" t="n">
        <v>2</v>
      </c>
      <c r="B22" s="25" t="inlineStr">
        <is>
          <t>CO22-07</t>
        </is>
      </c>
      <c r="C22" s="12" t="inlineStr">
        <is>
          <t xml:space="preserve">        Manija de accionamiento</t>
        </is>
      </c>
      <c r="D22" s="25" t="n">
        <v>1</v>
      </c>
      <c r="E22" s="25" t="inlineStr">
        <is>
          <t>u</t>
        </is>
      </c>
      <c r="F22" s="26" t="n">
        <v>0.0905</v>
      </c>
      <c r="G22" s="26">
        <f>D22*F22</f>
        <v/>
      </c>
      <c r="H22" s="25" t="inlineStr">
        <is>
          <t>Chapa acero SAE 1010 pintada</t>
        </is>
      </c>
      <c r="I22" s="12" t="inlineStr">
        <is>
          <t>143,5 × 21,5 × 20</t>
        </is>
      </c>
      <c r="J22" s="25" t="inlineStr">
        <is>
          <t>Compra (en el conjunto)</t>
        </is>
      </c>
      <c r="K22" s="12" t="inlineStr">
        <is>
          <t>S4 - se compra terminado (tercerizado con sello IRAM)</t>
        </is>
      </c>
      <c r="L22" s="12" t="n"/>
      <c r="M22" s="25" t="inlineStr">
        <is>
          <t>P</t>
        </is>
      </c>
      <c r="N22" s="25" t="inlineStr">
        <is>
          <t>FL_DES_CO2_2kg</t>
        </is>
      </c>
      <c r="O22" s="12" t="n"/>
    </row>
    <row r="23" outlineLevel="1">
      <c r="A23" s="25" t="n">
        <v>2</v>
      </c>
      <c r="B23" s="25" t="inlineStr">
        <is>
          <t>CO22-08</t>
        </is>
      </c>
      <c r="C23" s="12" t="inlineStr">
        <is>
          <t xml:space="preserve">        Eje de palanca</t>
        </is>
      </c>
      <c r="D23" s="25" t="n">
        <v>1</v>
      </c>
      <c r="E23" s="25" t="inlineStr">
        <is>
          <t>u</t>
        </is>
      </c>
      <c r="F23" s="26" t="n">
        <v>0.0081</v>
      </c>
      <c r="G23" s="26">
        <f>D23*F23</f>
        <v/>
      </c>
      <c r="H23" s="25" t="inlineStr">
        <is>
          <t>Acero inox. AISI 304</t>
        </is>
      </c>
      <c r="I23" s="12" t="inlineStr">
        <is>
          <t>36 × 6 × 6</t>
        </is>
      </c>
      <c r="J23" s="25" t="inlineStr">
        <is>
          <t>Compra (en el conjunto)</t>
        </is>
      </c>
      <c r="K23" s="12" t="inlineStr">
        <is>
          <t>S4 - se compra terminado (tercerizado con sello IRAM)</t>
        </is>
      </c>
      <c r="L23" s="12" t="n"/>
      <c r="M23" s="25" t="inlineStr">
        <is>
          <t>P</t>
        </is>
      </c>
      <c r="N23" s="25" t="inlineStr">
        <is>
          <t>FL_DES_CO2_2kg</t>
        </is>
      </c>
      <c r="O23" s="12" t="n"/>
    </row>
    <row r="24" outlineLevel="1">
      <c r="A24" s="25" t="n">
        <v>2</v>
      </c>
      <c r="B24" s="25" t="inlineStr">
        <is>
          <t>CO22-09</t>
        </is>
      </c>
      <c r="C24" s="12" t="inlineStr">
        <is>
          <t xml:space="preserve">        Vástago</t>
        </is>
      </c>
      <c r="D24" s="25" t="n">
        <v>1</v>
      </c>
      <c r="E24" s="25" t="inlineStr">
        <is>
          <t>u</t>
        </is>
      </c>
      <c r="F24" s="26" t="n">
        <v>0.0017</v>
      </c>
      <c r="G24" s="26">
        <f>D24*F24</f>
        <v/>
      </c>
      <c r="H24" s="25" t="inlineStr">
        <is>
          <t>Latón</t>
        </is>
      </c>
      <c r="I24" s="12" t="inlineStr">
        <is>
          <t>8 × 8 × 4</t>
        </is>
      </c>
      <c r="J24" s="25" t="inlineStr">
        <is>
          <t>Compra (en el conjunto)</t>
        </is>
      </c>
      <c r="K24" s="12" t="inlineStr">
        <is>
          <t>S4 - se compra terminado (tercerizado con sello IRAM)</t>
        </is>
      </c>
      <c r="L24" s="12" t="n"/>
      <c r="M24" s="25" t="inlineStr">
        <is>
          <t>P</t>
        </is>
      </c>
      <c r="N24" s="25" t="inlineStr">
        <is>
          <t>FL_DES_CO2_2kg</t>
        </is>
      </c>
      <c r="O24" s="12" t="inlineStr">
        <is>
          <t>con junta tórica</t>
        </is>
      </c>
    </row>
    <row r="25" outlineLevel="1">
      <c r="A25" s="25" t="n">
        <v>2</v>
      </c>
      <c r="B25" s="25" t="inlineStr">
        <is>
          <t>CO22-10</t>
        </is>
      </c>
      <c r="C25" s="12" t="inlineStr">
        <is>
          <t xml:space="preserve">        Pasador de seguridad</t>
        </is>
      </c>
      <c r="D25" s="25" t="n">
        <v>1</v>
      </c>
      <c r="E25" s="25" t="inlineStr">
        <is>
          <t>u</t>
        </is>
      </c>
      <c r="F25" s="26" t="n">
        <v>0.0055</v>
      </c>
      <c r="G25" s="26">
        <f>D25*F25</f>
        <v/>
      </c>
      <c r="H25" s="25" t="inlineStr">
        <is>
          <t>Alambre acero inox. AISI 304</t>
        </is>
      </c>
      <c r="I25" s="12" t="inlineStr">
        <is>
          <t>45,4 × 21 × 20,8</t>
        </is>
      </c>
      <c r="J25" s="25" t="inlineStr">
        <is>
          <t>Compra (en el conjunto)</t>
        </is>
      </c>
      <c r="K25" s="12" t="inlineStr">
        <is>
          <t>S4 - se compra terminado (tercerizado con sello IRAM)</t>
        </is>
      </c>
      <c r="L25" s="12" t="n"/>
      <c r="M25" s="25" t="inlineStr">
        <is>
          <t>P</t>
        </is>
      </c>
      <c r="N25" s="25" t="inlineStr">
        <is>
          <t>FL_DES_CO2_2kg</t>
        </is>
      </c>
      <c r="O25" s="12" t="inlineStr">
        <is>
          <t>con precinto</t>
        </is>
      </c>
    </row>
    <row r="26" outlineLevel="1">
      <c r="A26" s="25" t="n">
        <v>2</v>
      </c>
      <c r="B26" s="25" t="inlineStr">
        <is>
          <t>CO22-11</t>
        </is>
      </c>
      <c r="C26" s="12" t="inlineStr">
        <is>
          <t xml:space="preserve">        Caño de pesca (sifón)</t>
        </is>
      </c>
      <c r="D26" s="25" t="n">
        <v>1</v>
      </c>
      <c r="E26" s="25" t="inlineStr">
        <is>
          <t>u</t>
        </is>
      </c>
      <c r="F26" s="26" t="n">
        <v>0.0406</v>
      </c>
      <c r="G26" s="26">
        <f>D26*F26</f>
        <v/>
      </c>
      <c r="H26" s="25" t="inlineStr">
        <is>
          <t>Tubo aluminio</t>
        </is>
      </c>
      <c r="I26" s="12" t="inlineStr">
        <is>
          <t>Ø10 × 375,8 de largo</t>
        </is>
      </c>
      <c r="J26" s="25" t="inlineStr">
        <is>
          <t>Compra (en el conjunto)</t>
        </is>
      </c>
      <c r="K26" s="12" t="inlineStr">
        <is>
          <t>S4 - se compra terminado (tercerizado con sello IRAM)</t>
        </is>
      </c>
      <c r="L26" s="12" t="n"/>
      <c r="M26" s="25" t="inlineStr">
        <is>
          <t>P</t>
        </is>
      </c>
      <c r="N26" s="25" t="inlineStr">
        <is>
          <t>FL_DES_CO2_2kg</t>
        </is>
      </c>
      <c r="O26" s="12" t="n"/>
    </row>
    <row r="27" outlineLevel="1">
      <c r="A27" s="25" t="n">
        <v>2</v>
      </c>
      <c r="B27" s="25" t="inlineStr">
        <is>
          <t>CO22-19</t>
        </is>
      </c>
      <c r="C27" s="12" t="inlineStr">
        <is>
          <t xml:space="preserve">        Junta tórica de asiento</t>
        </is>
      </c>
      <c r="D27" s="25" t="n">
        <v>1</v>
      </c>
      <c r="E27" s="25" t="inlineStr">
        <is>
          <t>u</t>
        </is>
      </c>
      <c r="F27" s="26" t="n">
        <v>0.0005999999999999999</v>
      </c>
      <c r="G27" s="26">
        <f>D27*F27</f>
        <v/>
      </c>
      <c r="H27" s="25" t="inlineStr">
        <is>
          <t>NBR 70 Shore A</t>
        </is>
      </c>
      <c r="I27" s="12" t="inlineStr">
        <is>
          <t>Ø22 ext. × cordón 3</t>
        </is>
      </c>
      <c r="J27" s="25" t="inlineStr">
        <is>
          <t>Compra (en el conjunto)</t>
        </is>
      </c>
      <c r="K27" s="12" t="inlineStr">
        <is>
          <t>S4 - se compra terminado (tercerizado con sello IRAM)</t>
        </is>
      </c>
      <c r="L27" s="12" t="n"/>
      <c r="M27" s="25" t="inlineStr">
        <is>
          <t>P</t>
        </is>
      </c>
      <c r="N27" s="25" t="inlineStr">
        <is>
          <t>FL_DES_CO2_2kg</t>
        </is>
      </c>
      <c r="O27" s="12" t="inlineStr">
        <is>
          <t>cambio c/recarga</t>
        </is>
      </c>
    </row>
    <row r="28" outlineLevel="1">
      <c r="A28" s="25" t="n">
        <v>2</v>
      </c>
      <c r="B28" s="25" t="inlineStr">
        <is>
          <t>CO22-V3</t>
        </is>
      </c>
      <c r="C28" s="12" t="inlineStr">
        <is>
          <t xml:space="preserve">        Junta tórica del vástago</t>
        </is>
      </c>
      <c r="D28" s="25" t="n">
        <v>1</v>
      </c>
      <c r="E28" s="25" t="inlineStr">
        <is>
          <t>u</t>
        </is>
      </c>
      <c r="F28" s="26" t="n">
        <v>0.001</v>
      </c>
      <c r="G28" s="26">
        <f>D28*F28</f>
        <v/>
      </c>
      <c r="H28" s="25" t="inlineStr">
        <is>
          <t>NBR 70 Shore A</t>
        </is>
      </c>
      <c r="I28" s="12" t="inlineStr">
        <is>
          <t>según válvula</t>
        </is>
      </c>
      <c r="J28" s="25" t="inlineStr">
        <is>
          <t>Compra</t>
        </is>
      </c>
      <c r="K28" s="12" t="inlineStr">
        <is>
          <t>19 Ensamblaje</t>
        </is>
      </c>
      <c r="L28" s="12" t="n"/>
      <c r="M28" s="25" t="inlineStr">
        <is>
          <t>P</t>
        </is>
      </c>
      <c r="N28" s="25" t="n"/>
      <c r="O28" s="12" t="inlineStr">
        <is>
          <t>Figura en el plano como «vástago con junta tórica»</t>
        </is>
      </c>
    </row>
    <row r="29">
      <c r="A29" s="22" t="n">
        <v>1</v>
      </c>
      <c r="B29" s="22" t="inlineStr">
        <is>
          <t>CO22-S3</t>
        </is>
      </c>
      <c r="C29" s="23" t="inlineStr">
        <is>
          <t xml:space="preserve">    Dispositivo de descarga</t>
        </is>
      </c>
      <c r="D29" s="22" t="n">
        <v>1</v>
      </c>
      <c r="E29" s="22" t="inlineStr">
        <is>
          <t>u</t>
        </is>
      </c>
      <c r="F29" s="24" t="n"/>
      <c r="G29" s="24">
        <f>G30+G31+G32</f>
        <v/>
      </c>
      <c r="H29" s="22" t="n"/>
      <c r="I29" s="23" t="n"/>
      <c r="J29" s="22" t="inlineStr">
        <is>
          <t>Compra / armado</t>
        </is>
      </c>
      <c r="K29" s="23" t="n"/>
      <c r="L29" s="23" t="n"/>
      <c r="M29" s="22" t="inlineStr">
        <is>
          <t>P</t>
        </is>
      </c>
      <c r="N29" s="22" t="inlineStr">
        <is>
          <t>FL_DES_CO2_2kg</t>
        </is>
      </c>
      <c r="O29" s="23" t="n"/>
    </row>
    <row r="30" outlineLevel="1">
      <c r="A30" s="25" t="n">
        <v>2</v>
      </c>
      <c r="B30" s="25" t="inlineStr">
        <is>
          <t>CO22-13</t>
        </is>
      </c>
      <c r="C30" s="12" t="inlineStr">
        <is>
          <t xml:space="preserve">        Brazo giratorio</t>
        </is>
      </c>
      <c r="D30" s="25" t="n">
        <v>1</v>
      </c>
      <c r="E30" s="25" t="inlineStr">
        <is>
          <t>u</t>
        </is>
      </c>
      <c r="F30" s="26" t="n">
        <v>0.0471</v>
      </c>
      <c r="G30" s="26">
        <f>D30*F30</f>
        <v/>
      </c>
      <c r="H30" s="25" t="inlineStr">
        <is>
          <t>Tubo acero SAE 1010</t>
        </is>
      </c>
      <c r="I30" s="12" t="inlineStr">
        <is>
          <t>tubo Ø12 × 118 de largo desarrollado</t>
        </is>
      </c>
      <c r="J30" s="25" t="inlineStr">
        <is>
          <t>Compra (en el conjunto)</t>
        </is>
      </c>
      <c r="K30" s="12" t="inlineStr">
        <is>
          <t>S4 - se compra terminado (tercerizado con sello IRAM)</t>
        </is>
      </c>
      <c r="L30" s="12" t="n"/>
      <c r="M30" s="25" t="inlineStr">
        <is>
          <t>P</t>
        </is>
      </c>
      <c r="N30" s="25" t="inlineStr">
        <is>
          <t>FL_DES_CO2_2kg</t>
        </is>
      </c>
      <c r="O30" s="12" t="n"/>
    </row>
    <row r="31" outlineLevel="1">
      <c r="A31" s="25" t="n">
        <v>2</v>
      </c>
      <c r="B31" s="25" t="inlineStr">
        <is>
          <t>CO22-14</t>
        </is>
      </c>
      <c r="C31" s="12" t="inlineStr">
        <is>
          <t xml:space="preserve">        Difusor (bocina)</t>
        </is>
      </c>
      <c r="D31" s="25" t="n">
        <v>1</v>
      </c>
      <c r="E31" s="25" t="inlineStr">
        <is>
          <t>u</t>
        </is>
      </c>
      <c r="F31" s="26" t="n">
        <v>0.0564</v>
      </c>
      <c r="G31" s="26">
        <f>D31*F31</f>
        <v/>
      </c>
      <c r="H31" s="25" t="inlineStr">
        <is>
          <t>Polietileno AD</t>
        </is>
      </c>
      <c r="I31" s="12" t="inlineStr">
        <is>
          <t>170 × 70 × 70</t>
        </is>
      </c>
      <c r="J31" s="25" t="inlineStr">
        <is>
          <t>Compra (en el conjunto)</t>
        </is>
      </c>
      <c r="K31" s="12" t="inlineStr">
        <is>
          <t>S4 - se compra terminado (tercerizado con sello IRAM)</t>
        </is>
      </c>
      <c r="L31" s="12" t="n"/>
      <c r="M31" s="25" t="inlineStr">
        <is>
          <t>P</t>
        </is>
      </c>
      <c r="N31" s="25" t="inlineStr">
        <is>
          <t>FL_DES_CO2_2kg</t>
        </is>
      </c>
      <c r="O31" s="12" t="inlineStr">
        <is>
          <t>aislante térmico y eléctrico</t>
        </is>
      </c>
    </row>
    <row r="32" outlineLevel="1">
      <c r="A32" s="25" t="n">
        <v>2</v>
      </c>
      <c r="B32" s="25" t="inlineStr">
        <is>
          <t>CO22-15</t>
        </is>
      </c>
      <c r="C32" s="12" t="inlineStr">
        <is>
          <t xml:space="preserve">        Empuñadura</t>
        </is>
      </c>
      <c r="D32" s="25" t="n">
        <v>1</v>
      </c>
      <c r="E32" s="25" t="inlineStr">
        <is>
          <t>u</t>
        </is>
      </c>
      <c r="F32" s="26" t="n">
        <v>0.0121</v>
      </c>
      <c r="G32" s="26">
        <f>D32*F32</f>
        <v/>
      </c>
      <c r="H32" s="25" t="inlineStr">
        <is>
          <t>Polipropileno</t>
        </is>
      </c>
      <c r="I32" s="12" t="inlineStr">
        <is>
          <t>34 × 34 × 30</t>
        </is>
      </c>
      <c r="J32" s="25" t="inlineStr">
        <is>
          <t>Compra (en el conjunto)</t>
        </is>
      </c>
      <c r="K32" s="12" t="inlineStr">
        <is>
          <t>S4 - se compra terminado (tercerizado con sello IRAM)</t>
        </is>
      </c>
      <c r="L32" s="12" t="n"/>
      <c r="M32" s="25" t="inlineStr">
        <is>
          <t>P</t>
        </is>
      </c>
      <c r="N32" s="25" t="inlineStr">
        <is>
          <t>FL_DES_CO2_2kg</t>
        </is>
      </c>
      <c r="O32" s="12" t="n"/>
    </row>
    <row r="33">
      <c r="A33" s="22" t="n">
        <v>1</v>
      </c>
      <c r="B33" s="22" t="inlineStr">
        <is>
          <t>CO22-S5</t>
        </is>
      </c>
      <c r="C33" s="23" t="inlineStr">
        <is>
          <t xml:space="preserve">    Carga: agente extintor y gas impulsor</t>
        </is>
      </c>
      <c r="D33" s="22" t="n">
        <v>1</v>
      </c>
      <c r="E33" s="22" t="inlineStr">
        <is>
          <t>u</t>
        </is>
      </c>
      <c r="F33" s="24" t="n"/>
      <c r="G33" s="24">
        <f>G34</f>
        <v/>
      </c>
      <c r="H33" s="22" t="n"/>
      <c r="I33" s="23" t="n"/>
      <c r="J33" s="22" t="inlineStr">
        <is>
          <t>Compra</t>
        </is>
      </c>
      <c r="K33" s="23" t="n"/>
      <c r="L33" s="23" t="n"/>
      <c r="M33" s="22" t="n"/>
      <c r="N33" s="22" t="n"/>
      <c r="O33" s="23" t="n"/>
    </row>
    <row r="34" outlineLevel="1">
      <c r="A34" s="25" t="n">
        <v>2</v>
      </c>
      <c r="B34" s="25" t="inlineStr">
        <is>
          <t>CO22-A1</t>
        </is>
      </c>
      <c r="C34" s="12" t="inlineStr">
        <is>
          <t xml:space="preserve">        Dióxido de carbono (IRAM 41170)</t>
        </is>
      </c>
      <c r="D34" s="25" t="n">
        <v>2</v>
      </c>
      <c r="E34" s="25" t="inlineStr">
        <is>
          <t>kg</t>
        </is>
      </c>
      <c r="F34" s="26" t="n">
        <v>1</v>
      </c>
      <c r="G34" s="26">
        <f>D34*F34</f>
        <v/>
      </c>
      <c r="H34" s="25" t="inlineStr">
        <is>
          <t>Dióxido de carbono (IRAM 41170)</t>
        </is>
      </c>
      <c r="I34" s="12" t="inlineStr">
        <is>
          <t>nominal 2 kg; tolerancia 0 / -5 % (IRAM 3517-2:2020 tabla 3)</t>
        </is>
      </c>
      <c r="J34" s="25" t="inlineStr">
        <is>
          <t>Compra</t>
        </is>
      </c>
      <c r="K34" s="12" t="inlineStr">
        <is>
          <t>SP-1 almacén previo a la carga</t>
        </is>
      </c>
      <c r="L34" s="12" t="inlineStr">
        <is>
          <t>IRAM 41170</t>
        </is>
      </c>
      <c r="M34" s="25" t="inlineStr">
        <is>
          <t>N</t>
        </is>
      </c>
      <c r="N34" s="25" t="n"/>
      <c r="O34" s="12" t="n"/>
    </row>
    <row r="35">
      <c r="A35" s="22" t="n">
        <v>1</v>
      </c>
      <c r="B35" s="22" t="inlineStr">
        <is>
          <t>CO22-S6</t>
        </is>
      </c>
      <c r="C35" s="23" t="inlineStr">
        <is>
          <t xml:space="preserve">    Identificación y precinto</t>
        </is>
      </c>
      <c r="D35" s="22" t="n">
        <v>1</v>
      </c>
      <c r="E35" s="22" t="inlineStr">
        <is>
          <t>u</t>
        </is>
      </c>
      <c r="F35" s="24" t="n"/>
      <c r="G35" s="24">
        <f>G36+G37+G38+G39+G40</f>
        <v/>
      </c>
      <c r="H35" s="22" t="n"/>
      <c r="I35" s="23" t="n"/>
      <c r="J35" s="22" t="inlineStr">
        <is>
          <t>Compra</t>
        </is>
      </c>
      <c r="K35" s="23" t="inlineStr">
        <is>
          <t>22 Etiquetado (T07)</t>
        </is>
      </c>
      <c r="L35" s="23" t="n"/>
      <c r="M35" s="22" t="n"/>
      <c r="N35" s="22" t="n"/>
      <c r="O35" s="23" t="n"/>
    </row>
    <row r="36" outlineLevel="1">
      <c r="A36" s="25" t="n">
        <v>2</v>
      </c>
      <c r="B36" s="25" t="inlineStr">
        <is>
          <t>CO22-16</t>
        </is>
      </c>
      <c r="C36" s="12" t="inlineStr">
        <is>
          <t xml:space="preserve">        Placa de características</t>
        </is>
      </c>
      <c r="D36" s="25" t="n">
        <v>1</v>
      </c>
      <c r="E36" s="25" t="inlineStr">
        <is>
          <t>u</t>
        </is>
      </c>
      <c r="F36" s="26" t="n">
        <v>0.008399999999999999</v>
      </c>
      <c r="G36" s="26">
        <f>D36*F36</f>
        <v/>
      </c>
      <c r="H36" s="25" t="inlineStr">
        <is>
          <t>Vinilo autoadhesivo laminado</t>
        </is>
      </c>
      <c r="I36" s="12" t="inlineStr">
        <is>
          <t>108 × 186 (desarrollo × alto), e ≈ 0,3</t>
        </is>
      </c>
      <c r="J36" s="25" t="inlineStr">
        <is>
          <t>Compra</t>
        </is>
      </c>
      <c r="K36" s="12" t="inlineStr">
        <is>
          <t>22 Etiquetado (T07)</t>
        </is>
      </c>
      <c r="L36" s="12" t="inlineStr">
        <is>
          <t>IRAM 3534 · IRAM 3509 cap. 5</t>
        </is>
      </c>
      <c r="M36" s="25" t="inlineStr">
        <is>
          <t>P</t>
        </is>
      </c>
      <c r="N36" s="25" t="inlineStr">
        <is>
          <t>FL_DES_CO2_2kg</t>
        </is>
      </c>
      <c r="O36" s="12" t="inlineStr">
        <is>
          <t>IRAM 3534</t>
        </is>
      </c>
    </row>
    <row r="37" outlineLevel="1">
      <c r="A37" s="25" t="n">
        <v>2</v>
      </c>
      <c r="B37" s="25" t="inlineStr">
        <is>
          <t>CO22-17</t>
        </is>
      </c>
      <c r="C37" s="12" t="inlineStr">
        <is>
          <t xml:space="preserve">        Oblea de fabricación (PBA)</t>
        </is>
      </c>
      <c r="D37" s="25" t="n">
        <v>1</v>
      </c>
      <c r="E37" s="25" t="inlineStr">
        <is>
          <t>u</t>
        </is>
      </c>
      <c r="F37" s="26" t="n">
        <v>0.0009</v>
      </c>
      <c r="G37" s="26">
        <f>D37*F37</f>
        <v/>
      </c>
      <c r="H37" s="25" t="inlineStr">
        <is>
          <t>Papel de seguridad autodestructible</t>
        </is>
      </c>
      <c r="I37" s="12" t="inlineStr">
        <is>
          <t>Ø46 (Res. OPDS 522/07), numerada, autodestructible</t>
        </is>
      </c>
      <c r="J37" s="25" t="inlineStr">
        <is>
          <t>Compra</t>
        </is>
      </c>
      <c r="K37" s="12" t="inlineStr">
        <is>
          <t>22 Etiquetado (T07)</t>
        </is>
      </c>
      <c r="L37" s="12" t="inlineStr">
        <is>
          <t>Res. OPDS 522/07 anexos 1, 2 y 6</t>
        </is>
      </c>
      <c r="M37" s="25" t="inlineStr">
        <is>
          <t>P</t>
        </is>
      </c>
      <c r="N37" s="25" t="inlineStr">
        <is>
          <t>FL_DES_CO2_2kg</t>
        </is>
      </c>
      <c r="O37" s="12" t="inlineStr">
        <is>
          <t>Res. 522/07</t>
        </is>
      </c>
    </row>
    <row r="38" outlineLevel="1">
      <c r="A38" s="25" t="n">
        <v>2</v>
      </c>
      <c r="B38" s="25" t="inlineStr">
        <is>
          <t>CO22-18</t>
        </is>
      </c>
      <c r="C38" s="12" t="inlineStr">
        <is>
          <t xml:space="preserve">        Estampilla IRAM de conformidad</t>
        </is>
      </c>
      <c r="D38" s="25" t="n">
        <v>1</v>
      </c>
      <c r="E38" s="25" t="inlineStr">
        <is>
          <t>u</t>
        </is>
      </c>
      <c r="F38" s="26" t="n">
        <v>0.001</v>
      </c>
      <c r="G38" s="26">
        <f>D38*F38</f>
        <v/>
      </c>
      <c r="H38" s="25" t="inlineStr">
        <is>
          <t>Provista por IRAM (Anexo R)</t>
        </is>
      </c>
      <c r="I38" s="12" t="inlineStr">
        <is>
          <t>60 × 40</t>
        </is>
      </c>
      <c r="J38" s="25" t="inlineStr">
        <is>
          <t>Compra</t>
        </is>
      </c>
      <c r="K38" s="12" t="inlineStr">
        <is>
          <t>22 Etiquetado (T07)</t>
        </is>
      </c>
      <c r="L38" s="12" t="inlineStr">
        <is>
          <t>IRAM Anexo R (DC-PG-129)</t>
        </is>
      </c>
      <c r="M38" s="25" t="inlineStr">
        <is>
          <t>P</t>
        </is>
      </c>
      <c r="N38" s="25" t="inlineStr">
        <is>
          <t>FL_DES_CO2_2kg</t>
        </is>
      </c>
      <c r="O38" s="12" t="inlineStr">
        <is>
          <t>numerada</t>
        </is>
      </c>
    </row>
    <row r="39" outlineLevel="1">
      <c r="A39" s="25" t="n">
        <v>2</v>
      </c>
      <c r="B39" s="25" t="inlineStr">
        <is>
          <t>CO22-20</t>
        </is>
      </c>
      <c r="C39" s="12" t="inlineStr">
        <is>
          <t xml:space="preserve">        Precinto de fábrica</t>
        </is>
      </c>
      <c r="D39" s="25" t="n">
        <v>1</v>
      </c>
      <c r="E39" s="25" t="inlineStr">
        <is>
          <t>u</t>
        </is>
      </c>
      <c r="F39" s="26" t="n">
        <v>0.0002</v>
      </c>
      <c r="G39" s="26">
        <f>D39*F39</f>
        <v/>
      </c>
      <c r="H39" s="25" t="inlineStr">
        <is>
          <t>Polipropileno</t>
        </is>
      </c>
      <c r="I39" s="12" t="inlineStr">
        <is>
          <t>Ø5 × 10, numerado, rotura 30-50 N</t>
        </is>
      </c>
      <c r="J39" s="25" t="inlineStr">
        <is>
          <t>Compra</t>
        </is>
      </c>
      <c r="K39" s="12" t="inlineStr">
        <is>
          <t>20 Presurización (T05)</t>
        </is>
      </c>
      <c r="L39" s="12" t="inlineStr">
        <is>
          <t>IRAM 3523 3.3.2 · IRAM 3517-2:2020 9.4.13</t>
        </is>
      </c>
      <c r="M39" s="25" t="inlineStr">
        <is>
          <t>P</t>
        </is>
      </c>
      <c r="N39" s="25" t="inlineStr">
        <is>
          <t>FL_DES_CO2_2kg</t>
        </is>
      </c>
      <c r="O39" s="12" t="inlineStr">
        <is>
          <t>id. FLAMA y lote</t>
        </is>
      </c>
    </row>
    <row r="40" outlineLevel="1">
      <c r="A40" s="25" t="n">
        <v>2</v>
      </c>
      <c r="B40" s="25" t="inlineStr">
        <is>
          <t>CO22-I3</t>
        </is>
      </c>
      <c r="C40" s="12" t="inlineStr">
        <is>
          <t xml:space="preserve">        Tarjeta oficial de vigencia (CABA)</t>
        </is>
      </c>
      <c r="D40" s="25" t="n">
        <v>1</v>
      </c>
      <c r="E40" s="25" t="inlineStr">
        <is>
          <t>u</t>
        </is>
      </c>
      <c r="F40" s="26" t="n">
        <v>0.002</v>
      </c>
      <c r="G40" s="26">
        <f>D40*F40</f>
        <v/>
      </c>
      <c r="H40" s="25" t="inlineStr">
        <is>
          <t>Formulario oficial</t>
        </is>
      </c>
      <c r="I40" s="12" t="inlineStr">
        <is>
          <t>provista por DG Rentas GCBA</t>
        </is>
      </c>
      <c r="J40" s="25" t="inlineStr">
        <is>
          <t>Compra</t>
        </is>
      </c>
      <c r="K40" s="12" t="inlineStr">
        <is>
          <t>22 Etiquetado</t>
        </is>
      </c>
      <c r="L40" s="12" t="inlineStr">
        <is>
          <t>Ordenanza 40.473 art. 6</t>
        </is>
      </c>
      <c r="M40" s="25" t="inlineStr">
        <is>
          <t>N</t>
        </is>
      </c>
      <c r="N40" s="25" t="n"/>
      <c r="O40" s="12" t="inlineStr">
        <is>
          <t>Clase, capacidad, fecha de carga y vencimiento, garantía; se anexa al matafuego (no se dibuja)</t>
        </is>
      </c>
    </row>
    <row r="41">
      <c r="A41" s="22" t="n">
        <v>1</v>
      </c>
      <c r="B41" s="22" t="inlineStr">
        <is>
          <t>CO22-S8</t>
        </is>
      </c>
      <c r="C41" s="23" t="inlineStr">
        <is>
          <t xml:space="preserve">    Soporte (accesorio de montaje)</t>
        </is>
      </c>
      <c r="D41" s="22" t="n">
        <v>1</v>
      </c>
      <c r="E41" s="22" t="inlineStr">
        <is>
          <t>u</t>
        </is>
      </c>
      <c r="F41" s="24" t="n"/>
      <c r="G41" s="24">
        <f>G42+G43</f>
        <v/>
      </c>
      <c r="H41" s="22" t="n"/>
      <c r="I41" s="23" t="n"/>
      <c r="J41" s="22" t="inlineStr">
        <is>
          <t>Compra</t>
        </is>
      </c>
      <c r="K41" s="23" t="inlineStr">
        <is>
          <t>23 Embalaje (va dentro de la caja)</t>
        </is>
      </c>
      <c r="L41" s="23" t="inlineStr">
        <is>
          <t>IRAM 3517-2 7.4</t>
        </is>
      </c>
      <c r="M41" s="22" t="n"/>
      <c r="N41" s="22" t="n"/>
      <c r="O41" s="23" t="n"/>
    </row>
    <row r="42" outlineLevel="1">
      <c r="A42" s="25" t="n">
        <v>2</v>
      </c>
      <c r="B42" s="25" t="inlineStr">
        <is>
          <t>CO22-I5</t>
        </is>
      </c>
      <c r="C42" s="12" t="inlineStr">
        <is>
          <t xml:space="preserve">        Soporte de pared (FL_ACC_01)</t>
        </is>
      </c>
      <c r="D42" s="25" t="n">
        <v>1</v>
      </c>
      <c r="E42" s="25" t="inlineStr">
        <is>
          <t>u</t>
        </is>
      </c>
      <c r="F42" s="26" t="n">
        <v>0.26</v>
      </c>
      <c r="G42" s="26">
        <f>D42*F42</f>
        <v/>
      </c>
      <c r="H42" s="25" t="inlineStr">
        <is>
          <t>Chapa acero SAE 1010 e=2 pintada</t>
        </is>
      </c>
      <c r="I42" s="12" t="inlineStr">
        <is>
          <t>placa 60 × 180, ala con ranura Ø cuello + 3</t>
        </is>
      </c>
      <c r="J42" s="25" t="inlineStr">
        <is>
          <t>Compra</t>
        </is>
      </c>
      <c r="K42" s="12" t="inlineStr">
        <is>
          <t>23 Embalaje</t>
        </is>
      </c>
      <c r="L42" s="12" t="inlineStr">
        <is>
          <t>IRAM 3517-2 7.4</t>
        </is>
      </c>
      <c r="M42" s="25" t="inlineStr">
        <is>
          <t>P</t>
        </is>
      </c>
      <c r="N42" s="25" t="inlineStr">
        <is>
          <t>FL_ACC_01</t>
        </is>
      </c>
      <c r="O42" s="12" t="n"/>
    </row>
    <row r="43" outlineLevel="1">
      <c r="A43" s="25" t="n">
        <v>2</v>
      </c>
      <c r="B43" s="25" t="inlineStr">
        <is>
          <t>CO22-I6</t>
        </is>
      </c>
      <c r="C43" s="12" t="inlineStr">
        <is>
          <t xml:space="preserve">        Tornillo y tarugo de fijación</t>
        </is>
      </c>
      <c r="D43" s="25" t="n">
        <v>2</v>
      </c>
      <c r="E43" s="25" t="inlineStr">
        <is>
          <t>u</t>
        </is>
      </c>
      <c r="F43" s="26" t="n">
        <v>0.01</v>
      </c>
      <c r="G43" s="26">
        <f>D43*F43</f>
        <v/>
      </c>
      <c r="H43" s="25" t="inlineStr">
        <is>
          <t>Acero cincado / nylon</t>
        </is>
      </c>
      <c r="I43" s="12" t="inlineStr">
        <is>
          <t>M6 × 50 + tarugo 8</t>
        </is>
      </c>
      <c r="J43" s="25" t="inlineStr">
        <is>
          <t>Compra</t>
        </is>
      </c>
      <c r="K43" s="12" t="inlineStr">
        <is>
          <t>23 Embalaje</t>
        </is>
      </c>
      <c r="L43" s="12" t="n"/>
      <c r="M43" s="25" t="inlineStr">
        <is>
          <t>R</t>
        </is>
      </c>
      <c r="N43" s="25" t="n"/>
      <c r="O43" s="12" t="n"/>
    </row>
    <row r="44">
      <c r="A44" s="22" t="n">
        <v>1</v>
      </c>
      <c r="B44" s="22" t="inlineStr">
        <is>
          <t>CO22-S7</t>
        </is>
      </c>
      <c r="C44" s="23" t="inlineStr">
        <is>
          <t xml:space="preserve">    Embalaje</t>
        </is>
      </c>
      <c r="D44" s="22" t="n">
        <v>1</v>
      </c>
      <c r="E44" s="22" t="inlineStr">
        <is>
          <t>u</t>
        </is>
      </c>
      <c r="F44" s="24" t="n"/>
      <c r="G44" s="24">
        <f>G45+G46+G47+G48+G49</f>
        <v/>
      </c>
      <c r="H44" s="22" t="n"/>
      <c r="I44" s="23" t="n"/>
      <c r="J44" s="22" t="inlineStr">
        <is>
          <t>Compra</t>
        </is>
      </c>
      <c r="K44" s="23" t="inlineStr">
        <is>
          <t>23 Embalaje -&gt; 24 envolvedora (T11)</t>
        </is>
      </c>
      <c r="L44" s="23" t="n"/>
      <c r="M44" s="22" t="n"/>
      <c r="N44" s="22" t="n"/>
      <c r="O44" s="23" t="n"/>
    </row>
    <row r="45" outlineLevel="1">
      <c r="A45" s="25" t="n">
        <v>2</v>
      </c>
      <c r="B45" s="25" t="inlineStr">
        <is>
          <t>CO22-E1</t>
        </is>
      </c>
      <c r="C45" s="12" t="inlineStr">
        <is>
          <t xml:space="preserve">        Caja de cartón corrugado doble</t>
        </is>
      </c>
      <c r="D45" s="25" t="n">
        <v>1</v>
      </c>
      <c r="E45" s="25" t="inlineStr">
        <is>
          <t>u</t>
        </is>
      </c>
      <c r="F45" s="26" t="n">
        <v>0.5</v>
      </c>
      <c r="G45" s="26">
        <f>D45*F45</f>
        <v/>
      </c>
      <c r="H45" s="25" t="inlineStr">
        <is>
          <t>Cartón corrugado</t>
        </is>
      </c>
      <c r="I45" s="12" t="inlineStr">
        <is>
          <t>284 × 144 × 540 interior</t>
        </is>
      </c>
      <c r="J45" s="25" t="inlineStr">
        <is>
          <t>Compra</t>
        </is>
      </c>
      <c r="K45" s="12" t="inlineStr">
        <is>
          <t>23 Embalaje</t>
        </is>
      </c>
      <c r="L45" s="12" t="n"/>
      <c r="M45" s="25" t="inlineStr">
        <is>
          <t>R</t>
        </is>
      </c>
      <c r="N45" s="25" t="n"/>
      <c r="O45" s="12" t="n"/>
    </row>
    <row r="46" outlineLevel="1">
      <c r="A46" s="25" t="n">
        <v>2</v>
      </c>
      <c r="B46" s="25" t="inlineStr">
        <is>
          <t>CO22-E2</t>
        </is>
      </c>
      <c r="C46" s="12" t="inlineStr">
        <is>
          <t xml:space="preserve">        Instructivo de uso y mantenimiento</t>
        </is>
      </c>
      <c r="D46" s="25" t="n">
        <v>1</v>
      </c>
      <c r="E46" s="25" t="inlineStr">
        <is>
          <t>u</t>
        </is>
      </c>
      <c r="F46" s="26" t="n">
        <v>0.01</v>
      </c>
      <c r="G46" s="26">
        <f>D46*F46</f>
        <v/>
      </c>
      <c r="H46" s="25" t="inlineStr">
        <is>
          <t>Papel</t>
        </is>
      </c>
      <c r="I46" s="12" t="inlineStr">
        <is>
          <t>A5</t>
        </is>
      </c>
      <c r="J46" s="25" t="inlineStr">
        <is>
          <t>Compra</t>
        </is>
      </c>
      <c r="K46" s="12" t="inlineStr">
        <is>
          <t>23 Embalaje</t>
        </is>
      </c>
      <c r="L46" s="12" t="inlineStr">
        <is>
          <t>IRAM 3517-2 (información al usuario)</t>
        </is>
      </c>
      <c r="M46" s="25" t="inlineStr">
        <is>
          <t>R</t>
        </is>
      </c>
      <c r="N46" s="25" t="n"/>
      <c r="O46" s="12" t="n"/>
    </row>
    <row r="47" outlineLevel="1">
      <c r="A47" s="25" t="n">
        <v>2</v>
      </c>
      <c r="B47" s="25" t="inlineStr">
        <is>
          <t>CO22-E3</t>
        </is>
      </c>
      <c r="C47" s="12" t="inlineStr">
        <is>
          <t xml:space="preserve">        Pallet 1200 × 1000 (fracción)</t>
        </is>
      </c>
      <c r="D47" s="25" t="n">
        <v>0.0208</v>
      </c>
      <c r="E47" s="25" t="inlineStr">
        <is>
          <t>u</t>
        </is>
      </c>
      <c r="F47" s="26" t="n">
        <v>0.458</v>
      </c>
      <c r="G47" s="26">
        <f>D47*F47</f>
        <v/>
      </c>
      <c r="H47" s="25" t="inlineStr">
        <is>
          <t>Madera</t>
        </is>
      </c>
      <c r="I47" s="12" t="inlineStr">
        <is>
          <t>48 u por pallet</t>
        </is>
      </c>
      <c r="J47" s="25" t="inlineStr">
        <is>
          <t>Compra</t>
        </is>
      </c>
      <c r="K47" s="12" t="inlineStr">
        <is>
          <t>23 Embalaje</t>
        </is>
      </c>
      <c r="L47" s="12" t="n"/>
      <c r="M47" s="25" t="inlineStr">
        <is>
          <t>R</t>
        </is>
      </c>
      <c r="N47" s="25" t="n"/>
      <c r="O47" s="12" t="n"/>
    </row>
    <row r="48" outlineLevel="1">
      <c r="A48" s="25" t="n">
        <v>2</v>
      </c>
      <c r="B48" s="25" t="inlineStr">
        <is>
          <t>CO22-E4</t>
        </is>
      </c>
      <c r="C48" s="12" t="inlineStr">
        <is>
          <t xml:space="preserve">        Film stretch (fracción del pallet)</t>
        </is>
      </c>
      <c r="D48" s="25" t="n">
        <v>0.0073</v>
      </c>
      <c r="E48" s="25" t="inlineStr">
        <is>
          <t>kg</t>
        </is>
      </c>
      <c r="F48" s="26" t="n">
        <v>1</v>
      </c>
      <c r="G48" s="26">
        <f>D48*F48</f>
        <v/>
      </c>
      <c r="H48" s="25" t="inlineStr">
        <is>
          <t>PE lineal 23 µm</t>
        </is>
      </c>
      <c r="I48" s="12" t="inlineStr">
        <is>
          <t>envolvedora EDOS PS5</t>
        </is>
      </c>
      <c r="J48" s="25" t="inlineStr">
        <is>
          <t>Compra</t>
        </is>
      </c>
      <c r="K48" s="12" t="inlineStr">
        <is>
          <t>24 Envolvedora (T11)</t>
        </is>
      </c>
      <c r="L48" s="12" t="n"/>
      <c r="M48" s="25" t="inlineStr">
        <is>
          <t>R</t>
        </is>
      </c>
      <c r="N48" s="25" t="n"/>
      <c r="O48" s="12" t="n"/>
    </row>
    <row r="49" outlineLevel="1">
      <c r="A49" s="25" t="n">
        <v>2</v>
      </c>
      <c r="B49" s="25" t="inlineStr">
        <is>
          <t>CO22-E5</t>
        </is>
      </c>
      <c r="C49" s="12" t="inlineStr">
        <is>
          <t xml:space="preserve">        Etiqueta de pallet (lote y destino, fracción)</t>
        </is>
      </c>
      <c r="D49" s="25" t="n">
        <v>0.0208</v>
      </c>
      <c r="E49" s="25" t="inlineStr">
        <is>
          <t>u</t>
        </is>
      </c>
      <c r="F49" s="26" t="n">
        <v>0</v>
      </c>
      <c r="G49" s="26">
        <f>D49*F49</f>
        <v/>
      </c>
      <c r="H49" s="25" t="inlineStr">
        <is>
          <t>Papel térmico</t>
        </is>
      </c>
      <c r="I49" s="12" t="inlineStr">
        <is>
          <t>100 × 150</t>
        </is>
      </c>
      <c r="J49" s="25" t="inlineStr">
        <is>
          <t>Compra</t>
        </is>
      </c>
      <c r="K49" s="12" t="inlineStr">
        <is>
          <t>24 Envolvedora</t>
        </is>
      </c>
      <c r="L49" s="12" t="n"/>
      <c r="M49" s="25" t="inlineStr">
        <is>
          <t>R</t>
        </is>
      </c>
      <c r="N49" s="25" t="n"/>
      <c r="O49" s="12" t="n"/>
    </row>
  </sheetData>
  <autoFilter ref="A10:O49"/>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O5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FL_MAT_CO2_5kg</t>
        </is>
      </c>
    </row>
    <row r="2">
      <c r="A2" s="2" t="inlineStr">
        <is>
          <t>Extintor CO₂ 5 kg</t>
        </is>
      </c>
    </row>
    <row r="3">
      <c r="A3" s="14" t="inlineStr">
        <is>
          <t>Plano de origen</t>
        </is>
      </c>
      <c r="C3" t="inlineStr">
        <is>
          <t>FL_MAT_CO2_5kg  (3 láminas)</t>
        </is>
      </c>
      <c r="E3" s="14" t="inlineStr">
        <is>
          <t>Peso vacío S1-S4 (kg)</t>
        </is>
      </c>
      <c r="G3" s="30">
        <f>G12+G16+G29</f>
        <v/>
      </c>
    </row>
    <row r="4">
      <c r="A4" s="14" t="inlineStr">
        <is>
          <t>Plano de despiece</t>
        </is>
      </c>
      <c r="C4" t="inlineStr">
        <is>
          <t>FL_DES_CO2_5kg (salida/despiece/)</t>
        </is>
      </c>
      <c r="E4" s="14" t="inlineStr">
        <is>
          <t>Peso cargado S1-S6 (kg)</t>
        </is>
      </c>
      <c r="G4" s="30">
        <f>G12+G16+G29+G35+G37</f>
        <v/>
      </c>
    </row>
    <row r="5">
      <c r="A5" s="14" t="inlineStr">
        <is>
          <t>Norma del producto</t>
        </is>
      </c>
      <c r="C5" t="inlineStr">
        <is>
          <t>IRAM 3509</t>
        </is>
      </c>
      <c r="E5" s="14" t="inlineStr">
        <is>
          <t>Peso con soporte y embalaje (kg)</t>
        </is>
      </c>
      <c r="G5" s="30">
        <f>G12+G16+G29+G35+G37+G46+G43</f>
        <v/>
      </c>
    </row>
    <row r="6">
      <c r="A6" s="14" t="inlineStr">
        <is>
          <t>Fabricación</t>
        </is>
      </c>
      <c r="C6" t="inlineStr">
        <is>
          <t>Tercerizado revendido (S4)</t>
        </is>
      </c>
      <c r="E6" s="14" t="inlineStr">
        <is>
          <t>Desvío cargado vs catálogo</t>
        </is>
      </c>
      <c r="G6" s="10">
        <f>G4/C7-1</f>
        <v/>
      </c>
    </row>
    <row r="7">
      <c r="A7" s="14" t="inlineStr">
        <is>
          <t>Peso catálogo cargado (kg)</t>
        </is>
      </c>
      <c r="C7" t="n">
        <v>20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FL_MAT_CO2_5kg</t>
        </is>
      </c>
      <c r="C11" s="20" t="inlineStr">
        <is>
          <t>Extintor CO₂ 5 kg</t>
        </is>
      </c>
      <c r="D11" s="19" t="n">
        <v>1</v>
      </c>
      <c r="E11" s="19" t="inlineStr">
        <is>
          <t>u</t>
        </is>
      </c>
      <c r="F11" s="21" t="n"/>
      <c r="G11" s="21">
        <f>G5</f>
        <v/>
      </c>
      <c r="H11" s="19" t="n"/>
      <c r="I11" s="20" t="n"/>
      <c r="J11" s="19" t="n"/>
      <c r="K11" s="20" t="n"/>
      <c r="L11" s="20" t="inlineStr">
        <is>
          <t>IRAM 3509</t>
        </is>
      </c>
      <c r="M11" s="19" t="inlineStr">
        <is>
          <t>P</t>
        </is>
      </c>
      <c r="N11" s="19" t="inlineStr">
        <is>
          <t>FL_MAT_CO2_5kg</t>
        </is>
      </c>
      <c r="O11" s="20" t="inlineStr">
        <is>
          <t>Tercerizado revendido (S4)</t>
        </is>
      </c>
    </row>
    <row r="12">
      <c r="A12" s="22" t="n">
        <v>1</v>
      </c>
      <c r="B12" s="22" t="inlineStr">
        <is>
          <t>CO25-S1</t>
        </is>
      </c>
      <c r="C12" s="23" t="inlineStr">
        <is>
          <t xml:space="preserve">    Recipiente (cilindro)</t>
        </is>
      </c>
      <c r="D12" s="22" t="n">
        <v>1</v>
      </c>
      <c r="E12" s="22" t="inlineStr">
        <is>
          <t>u</t>
        </is>
      </c>
      <c r="F12" s="24" t="n"/>
      <c r="G12" s="24">
        <f>G13+G14+G15</f>
        <v/>
      </c>
      <c r="H12" s="22" t="n"/>
      <c r="I12" s="23" t="n"/>
      <c r="J12" s="22" t="inlineStr">
        <is>
          <t>Compra / armado</t>
        </is>
      </c>
      <c r="K12" s="23" t="n"/>
      <c r="L12" s="23" t="inlineStr">
        <is>
          <t>IRAM 3523 / 3550 (recipiente)</t>
        </is>
      </c>
      <c r="M12" s="22" t="inlineStr">
        <is>
          <t>P</t>
        </is>
      </c>
      <c r="N12" s="22" t="inlineStr">
        <is>
          <t>FL_DES_CO2_5kg</t>
        </is>
      </c>
      <c r="O12" s="23" t="n"/>
    </row>
    <row r="13" outlineLevel="1">
      <c r="A13" s="25" t="n">
        <v>2</v>
      </c>
      <c r="B13" s="25" t="inlineStr">
        <is>
          <t>CO25-01</t>
        </is>
      </c>
      <c r="C13" s="12" t="inlineStr">
        <is>
          <t xml:space="preserve">        Cilindro sin costura</t>
        </is>
      </c>
      <c r="D13" s="25" t="n">
        <v>1</v>
      </c>
      <c r="E13" s="25" t="inlineStr">
        <is>
          <t>u</t>
        </is>
      </c>
      <c r="F13" s="26" t="n">
        <v>13.2591</v>
      </c>
      <c r="G13" s="26">
        <f>D13*F13</f>
        <v/>
      </c>
      <c r="H13" s="25" t="inlineStr">
        <is>
          <t>Tubo acero 34CrMo4 sin costura e=6</t>
        </is>
      </c>
      <c r="I13" s="12" t="inlineStr">
        <is>
          <t>Cilindro sin costura Ø140 × e6 × 681,4 de alto (cuello integral)</t>
        </is>
      </c>
      <c r="J13" s="25" t="inlineStr">
        <is>
          <t>Compra (en el conjunto)</t>
        </is>
      </c>
      <c r="K13" s="12" t="inlineStr">
        <is>
          <t>S4 - se compra terminado (tercerizado con sello IRAM)</t>
        </is>
      </c>
      <c r="L13" s="12" t="n"/>
      <c r="M13" s="25" t="inlineStr">
        <is>
          <t>P</t>
        </is>
      </c>
      <c r="N13" s="25" t="inlineStr">
        <is>
          <t>FL_DES_CO2_5kg</t>
        </is>
      </c>
      <c r="O13" s="12" t="inlineStr">
        <is>
          <t>cuello integral</t>
        </is>
      </c>
    </row>
    <row r="14" outlineLevel="1">
      <c r="A14" s="25" t="n">
        <v>2</v>
      </c>
      <c r="B14" s="25" t="inlineStr">
        <is>
          <t>CO25-12</t>
        </is>
      </c>
      <c r="C14" s="12" t="inlineStr">
        <is>
          <t xml:space="preserve">        Pie de apoyo</t>
        </is>
      </c>
      <c r="D14" s="25" t="n">
        <v>1</v>
      </c>
      <c r="E14" s="25" t="inlineStr">
        <is>
          <t>u</t>
        </is>
      </c>
      <c r="F14" s="26" t="n">
        <v>0.1008</v>
      </c>
      <c r="G14" s="26">
        <f>D14*F14</f>
        <v/>
      </c>
      <c r="H14" s="25" t="inlineStr">
        <is>
          <t>Polietileno AD</t>
        </is>
      </c>
      <c r="I14" s="12" t="inlineStr">
        <is>
          <t>140 × 140 × 38,5</t>
        </is>
      </c>
      <c r="J14" s="25" t="inlineStr">
        <is>
          <t>Compra (en el conjunto)</t>
        </is>
      </c>
      <c r="K14" s="12" t="inlineStr">
        <is>
          <t>S4 - se compra terminado (tercerizado con sello IRAM)</t>
        </is>
      </c>
      <c r="L14" s="12" t="n"/>
      <c r="M14" s="25" t="inlineStr">
        <is>
          <t>P</t>
        </is>
      </c>
      <c r="N14" s="25" t="inlineStr">
        <is>
          <t>FL_DES_CO2_5kg</t>
        </is>
      </c>
      <c r="O14" s="12" t="n"/>
    </row>
    <row r="15" outlineLevel="1">
      <c r="A15" s="25" t="n">
        <v>2</v>
      </c>
      <c r="B15" s="25" t="inlineStr">
        <is>
          <t>CO25-C3</t>
        </is>
      </c>
      <c r="C15" s="12" t="inlineStr">
        <is>
          <t xml:space="preserve">        Pintura en polvo poliéster rojo (recipiente)</t>
        </is>
      </c>
      <c r="D15" s="25" t="n">
        <v>0.052</v>
      </c>
      <c r="E15" s="25" t="inlineStr">
        <is>
          <t>kg</t>
        </is>
      </c>
      <c r="F15" s="26" t="n">
        <v>0.65</v>
      </c>
      <c r="G15" s="26">
        <f>D15*F15</f>
        <v/>
      </c>
      <c r="H15" s="25" t="inlineStr">
        <is>
          <t>Poliéster RAL 3000 / rojo 03-1-050</t>
        </is>
      </c>
      <c r="I15" s="12" t="inlineStr">
        <is>
          <t>0,282 m² × 80 µm, rendimiento 65 %</t>
        </is>
      </c>
      <c r="J15" s="25" t="inlineStr">
        <is>
          <t>Compra</t>
        </is>
      </c>
      <c r="K15" s="12" t="inlineStr">
        <is>
          <t>17 Pintura (S-P)</t>
        </is>
      </c>
      <c r="L15" s="12" t="inlineStr">
        <is>
          <t>DOC-01</t>
        </is>
      </c>
      <c r="M15" s="25" t="inlineStr">
        <is>
          <t>R</t>
        </is>
      </c>
      <c r="N15" s="25" t="n"/>
      <c r="O15" s="12" t="n"/>
    </row>
    <row r="16">
      <c r="A16" s="22" t="n">
        <v>1</v>
      </c>
      <c r="B16" s="22" t="inlineStr">
        <is>
          <t>CO25-S2</t>
        </is>
      </c>
      <c r="C16" s="23" t="inlineStr">
        <is>
          <t xml:space="preserve">    Conjunto de válvula</t>
        </is>
      </c>
      <c r="D16" s="22" t="n">
        <v>1</v>
      </c>
      <c r="E16" s="22" t="inlineStr">
        <is>
          <t>u</t>
        </is>
      </c>
      <c r="F16" s="24" t="n"/>
      <c r="G16" s="24">
        <f>G17+G18+G19+G20+G21+G22+G23+G24+G25+G26+G27+G28</f>
        <v/>
      </c>
      <c r="H16" s="22" t="n"/>
      <c r="I16" s="23" t="n"/>
      <c r="J16" s="22" t="inlineStr">
        <is>
          <t>Compra / armado</t>
        </is>
      </c>
      <c r="K16" s="23" t="n"/>
      <c r="L16" s="23" t="inlineStr">
        <is>
          <t>Manómetro IRAM 3533</t>
        </is>
      </c>
      <c r="M16" s="22" t="inlineStr">
        <is>
          <t>P</t>
        </is>
      </c>
      <c r="N16" s="22" t="inlineStr">
        <is>
          <t>FL_DES_CO2_5kg</t>
        </is>
      </c>
      <c r="O16" s="23" t="n"/>
    </row>
    <row r="17" outlineLevel="1">
      <c r="A17" s="25" t="n">
        <v>2</v>
      </c>
      <c r="B17" s="25" t="inlineStr">
        <is>
          <t>CO25-02</t>
        </is>
      </c>
      <c r="C17" s="12" t="inlineStr">
        <is>
          <t xml:space="preserve">        Collarín de válvula</t>
        </is>
      </c>
      <c r="D17" s="25" t="n">
        <v>1</v>
      </c>
      <c r="E17" s="25" t="inlineStr">
        <is>
          <t>u</t>
        </is>
      </c>
      <c r="F17" s="26" t="n">
        <v>0.0809</v>
      </c>
      <c r="G17" s="26">
        <f>D17*F17</f>
        <v/>
      </c>
      <c r="H17" s="25" t="inlineStr">
        <is>
          <t>Latón forjado</t>
        </is>
      </c>
      <c r="I17" s="12" t="inlineStr">
        <is>
          <t>38 × 38 × 10</t>
        </is>
      </c>
      <c r="J17" s="25" t="inlineStr">
        <is>
          <t>Compra (en el conjunto)</t>
        </is>
      </c>
      <c r="K17" s="12" t="inlineStr">
        <is>
          <t>S4 - se compra terminado (tercerizado con sello IRAM)</t>
        </is>
      </c>
      <c r="L17" s="12" t="n"/>
      <c r="M17" s="25" t="inlineStr">
        <is>
          <t>P</t>
        </is>
      </c>
      <c r="N17" s="25" t="inlineStr">
        <is>
          <t>FL_DES_CO2_5kg</t>
        </is>
      </c>
      <c r="O17" s="12" t="n"/>
    </row>
    <row r="18" outlineLevel="1">
      <c r="A18" s="25" t="n">
        <v>2</v>
      </c>
      <c r="B18" s="25" t="inlineStr">
        <is>
          <t>CO25-03</t>
        </is>
      </c>
      <c r="C18" s="12" t="inlineStr">
        <is>
          <t xml:space="preserve">        Espiga roscada</t>
        </is>
      </c>
      <c r="D18" s="25" t="n">
        <v>1</v>
      </c>
      <c r="E18" s="25" t="inlineStr">
        <is>
          <t>u</t>
        </is>
      </c>
      <c r="F18" s="26" t="n">
        <v>0.0153</v>
      </c>
      <c r="G18" s="26">
        <f>D18*F18</f>
        <v/>
      </c>
      <c r="H18" s="25" t="inlineStr">
        <is>
          <t>Latón forjado</t>
        </is>
      </c>
      <c r="I18" s="12" t="inlineStr">
        <is>
          <t>19 × 19 × 12</t>
        </is>
      </c>
      <c r="J18" s="25" t="inlineStr">
        <is>
          <t>Compra (en el conjunto)</t>
        </is>
      </c>
      <c r="K18" s="12" t="inlineStr">
        <is>
          <t>S4 - se compra terminado (tercerizado con sello IRAM)</t>
        </is>
      </c>
      <c r="L18" s="12" t="n"/>
      <c r="M18" s="25" t="inlineStr">
        <is>
          <t>P</t>
        </is>
      </c>
      <c r="N18" s="25" t="inlineStr">
        <is>
          <t>FL_DES_CO2_5kg</t>
        </is>
      </c>
      <c r="O18" s="12" t="n"/>
    </row>
    <row r="19" outlineLevel="1">
      <c r="A19" s="25" t="n">
        <v>2</v>
      </c>
      <c r="B19" s="25" t="inlineStr">
        <is>
          <t>CO25-04</t>
        </is>
      </c>
      <c r="C19" s="12" t="inlineStr">
        <is>
          <t xml:space="preserve">        Cuerpo de válvula</t>
        </is>
      </c>
      <c r="D19" s="25" t="n">
        <v>1</v>
      </c>
      <c r="E19" s="25" t="inlineStr">
        <is>
          <t>u</t>
        </is>
      </c>
      <c r="F19" s="26" t="n">
        <v>0.4619</v>
      </c>
      <c r="G19" s="26">
        <f>D19*F19</f>
        <v/>
      </c>
      <c r="H19" s="25" t="inlineStr">
        <is>
          <t>Latón forjado</t>
        </is>
      </c>
      <c r="I19" s="12" t="inlineStr">
        <is>
          <t>63,3 × 43 × 34</t>
        </is>
      </c>
      <c r="J19" s="25" t="inlineStr">
        <is>
          <t>Compra (en el conjunto)</t>
        </is>
      </c>
      <c r="K19" s="12" t="inlineStr">
        <is>
          <t>S4 - se compra terminado (tercerizado con sello IRAM)</t>
        </is>
      </c>
      <c r="L19" s="12" t="n"/>
      <c r="M19" s="25" t="inlineStr">
        <is>
          <t>P</t>
        </is>
      </c>
      <c r="N19" s="25" t="inlineStr">
        <is>
          <t>FL_DES_CO2_5kg</t>
        </is>
      </c>
      <c r="O19" s="12" t="n"/>
    </row>
    <row r="20" outlineLevel="1">
      <c r="A20" s="25" t="n">
        <v>2</v>
      </c>
      <c r="B20" s="25" t="inlineStr">
        <is>
          <t>CO25-05</t>
        </is>
      </c>
      <c r="C20" s="12" t="inlineStr">
        <is>
          <t xml:space="preserve">        Disco de seguridad</t>
        </is>
      </c>
      <c r="D20" s="25" t="n">
        <v>1</v>
      </c>
      <c r="E20" s="25" t="inlineStr">
        <is>
          <t>u</t>
        </is>
      </c>
      <c r="F20" s="26" t="n">
        <v>0.0097</v>
      </c>
      <c r="G20" s="26">
        <f>D20*F20</f>
        <v/>
      </c>
      <c r="H20" s="25" t="inlineStr">
        <is>
          <t>Latón / disco de cobre</t>
        </is>
      </c>
      <c r="I20" s="12" t="inlineStr">
        <is>
          <t>14 × 12,1 × 9</t>
        </is>
      </c>
      <c r="J20" s="25" t="inlineStr">
        <is>
          <t>Compra (en el conjunto)</t>
        </is>
      </c>
      <c r="K20" s="12" t="inlineStr">
        <is>
          <t>S4 - se compra terminado (tercerizado con sello IRAM)</t>
        </is>
      </c>
      <c r="L20" s="12" t="n"/>
      <c r="M20" s="25" t="inlineStr">
        <is>
          <t>P</t>
        </is>
      </c>
      <c r="N20" s="25" t="inlineStr">
        <is>
          <t>FL_DES_CO2_5kg</t>
        </is>
      </c>
      <c r="O20" s="12" t="inlineStr">
        <is>
          <t>rotura 18 a 21 MPa</t>
        </is>
      </c>
    </row>
    <row r="21" outlineLevel="1">
      <c r="A21" s="25" t="n">
        <v>2</v>
      </c>
      <c r="B21" s="25" t="inlineStr">
        <is>
          <t>CO25-06</t>
        </is>
      </c>
      <c r="C21" s="12" t="inlineStr">
        <is>
          <t xml:space="preserve">        Manija de transporte</t>
        </is>
      </c>
      <c r="D21" s="25" t="n">
        <v>1</v>
      </c>
      <c r="E21" s="25" t="inlineStr">
        <is>
          <t>u</t>
        </is>
      </c>
      <c r="F21" s="26" t="n">
        <v>0.078</v>
      </c>
      <c r="G21" s="26">
        <f>D21*F21</f>
        <v/>
      </c>
      <c r="H21" s="25" t="inlineStr">
        <is>
          <t>Chapa acero SAE 1010 pintada</t>
        </is>
      </c>
      <c r="I21" s="12" t="inlineStr">
        <is>
          <t>124 × 20 × 17</t>
        </is>
      </c>
      <c r="J21" s="25" t="inlineStr">
        <is>
          <t>Compra (en el conjunto)</t>
        </is>
      </c>
      <c r="K21" s="12" t="inlineStr">
        <is>
          <t>S4 - se compra terminado (tercerizado con sello IRAM)</t>
        </is>
      </c>
      <c r="L21" s="12" t="n"/>
      <c r="M21" s="25" t="inlineStr">
        <is>
          <t>P</t>
        </is>
      </c>
      <c r="N21" s="25" t="inlineStr">
        <is>
          <t>FL_DES_CO2_5kg</t>
        </is>
      </c>
      <c r="O21" s="12" t="n"/>
    </row>
    <row r="22" outlineLevel="1">
      <c r="A22" s="25" t="n">
        <v>2</v>
      </c>
      <c r="B22" s="25" t="inlineStr">
        <is>
          <t>CO25-07</t>
        </is>
      </c>
      <c r="C22" s="12" t="inlineStr">
        <is>
          <t xml:space="preserve">        Manija de accionamiento</t>
        </is>
      </c>
      <c r="D22" s="25" t="n">
        <v>1</v>
      </c>
      <c r="E22" s="25" t="inlineStr">
        <is>
          <t>u</t>
        </is>
      </c>
      <c r="F22" s="26" t="n">
        <v>0.105</v>
      </c>
      <c r="G22" s="26">
        <f>D22*F22</f>
        <v/>
      </c>
      <c r="H22" s="25" t="inlineStr">
        <is>
          <t>Chapa acero SAE 1010 pintada</t>
        </is>
      </c>
      <c r="I22" s="12" t="inlineStr">
        <is>
          <t>166,5 × 24,4 × 20</t>
        </is>
      </c>
      <c r="J22" s="25" t="inlineStr">
        <is>
          <t>Compra (en el conjunto)</t>
        </is>
      </c>
      <c r="K22" s="12" t="inlineStr">
        <is>
          <t>S4 - se compra terminado (tercerizado con sello IRAM)</t>
        </is>
      </c>
      <c r="L22" s="12" t="n"/>
      <c r="M22" s="25" t="inlineStr">
        <is>
          <t>P</t>
        </is>
      </c>
      <c r="N22" s="25" t="inlineStr">
        <is>
          <t>FL_DES_CO2_5kg</t>
        </is>
      </c>
      <c r="O22" s="12" t="n"/>
    </row>
    <row r="23" outlineLevel="1">
      <c r="A23" s="25" t="n">
        <v>2</v>
      </c>
      <c r="B23" s="25" t="inlineStr">
        <is>
          <t>CO25-08</t>
        </is>
      </c>
      <c r="C23" s="12" t="inlineStr">
        <is>
          <t xml:space="preserve">        Eje de palanca</t>
        </is>
      </c>
      <c r="D23" s="25" t="n">
        <v>1</v>
      </c>
      <c r="E23" s="25" t="inlineStr">
        <is>
          <t>u</t>
        </is>
      </c>
      <c r="F23" s="26" t="n">
        <v>0.0081</v>
      </c>
      <c r="G23" s="26">
        <f>D23*F23</f>
        <v/>
      </c>
      <c r="H23" s="25" t="inlineStr">
        <is>
          <t>Acero inox. AISI 304</t>
        </is>
      </c>
      <c r="I23" s="12" t="inlineStr">
        <is>
          <t>36 × 6 × 6</t>
        </is>
      </c>
      <c r="J23" s="25" t="inlineStr">
        <is>
          <t>Compra (en el conjunto)</t>
        </is>
      </c>
      <c r="K23" s="12" t="inlineStr">
        <is>
          <t>S4 - se compra terminado (tercerizado con sello IRAM)</t>
        </is>
      </c>
      <c r="L23" s="12" t="n"/>
      <c r="M23" s="25" t="inlineStr">
        <is>
          <t>P</t>
        </is>
      </c>
      <c r="N23" s="25" t="inlineStr">
        <is>
          <t>FL_DES_CO2_5kg</t>
        </is>
      </c>
      <c r="O23" s="12" t="n"/>
    </row>
    <row r="24" outlineLevel="1">
      <c r="A24" s="25" t="n">
        <v>2</v>
      </c>
      <c r="B24" s="25" t="inlineStr">
        <is>
          <t>CO25-09</t>
        </is>
      </c>
      <c r="C24" s="12" t="inlineStr">
        <is>
          <t xml:space="preserve">        Vástago</t>
        </is>
      </c>
      <c r="D24" s="25" t="n">
        <v>1</v>
      </c>
      <c r="E24" s="25" t="inlineStr">
        <is>
          <t>u</t>
        </is>
      </c>
      <c r="F24" s="26" t="n">
        <v>0.0017</v>
      </c>
      <c r="G24" s="26">
        <f>D24*F24</f>
        <v/>
      </c>
      <c r="H24" s="25" t="inlineStr">
        <is>
          <t>Latón</t>
        </is>
      </c>
      <c r="I24" s="12" t="inlineStr">
        <is>
          <t>8 × 8 × 4</t>
        </is>
      </c>
      <c r="J24" s="25" t="inlineStr">
        <is>
          <t>Compra (en el conjunto)</t>
        </is>
      </c>
      <c r="K24" s="12" t="inlineStr">
        <is>
          <t>S4 - se compra terminado (tercerizado con sello IRAM)</t>
        </is>
      </c>
      <c r="L24" s="12" t="n"/>
      <c r="M24" s="25" t="inlineStr">
        <is>
          <t>P</t>
        </is>
      </c>
      <c r="N24" s="25" t="inlineStr">
        <is>
          <t>FL_DES_CO2_5kg</t>
        </is>
      </c>
      <c r="O24" s="12" t="inlineStr">
        <is>
          <t>con junta tórica</t>
        </is>
      </c>
    </row>
    <row r="25" outlineLevel="1">
      <c r="A25" s="25" t="n">
        <v>2</v>
      </c>
      <c r="B25" s="25" t="inlineStr">
        <is>
          <t>CO25-10</t>
        </is>
      </c>
      <c r="C25" s="12" t="inlineStr">
        <is>
          <t xml:space="preserve">        Pasador de seguridad</t>
        </is>
      </c>
      <c r="D25" s="25" t="n">
        <v>1</v>
      </c>
      <c r="E25" s="25" t="inlineStr">
        <is>
          <t>u</t>
        </is>
      </c>
      <c r="F25" s="26" t="n">
        <v>0.0055</v>
      </c>
      <c r="G25" s="26">
        <f>D25*F25</f>
        <v/>
      </c>
      <c r="H25" s="25" t="inlineStr">
        <is>
          <t>Alambre acero inox. AISI 304</t>
        </is>
      </c>
      <c r="I25" s="12" t="inlineStr">
        <is>
          <t>45,4 × 21 × 20,8</t>
        </is>
      </c>
      <c r="J25" s="25" t="inlineStr">
        <is>
          <t>Compra (en el conjunto)</t>
        </is>
      </c>
      <c r="K25" s="12" t="inlineStr">
        <is>
          <t>S4 - se compra terminado (tercerizado con sello IRAM)</t>
        </is>
      </c>
      <c r="L25" s="12" t="n"/>
      <c r="M25" s="25" t="inlineStr">
        <is>
          <t>P</t>
        </is>
      </c>
      <c r="N25" s="25" t="inlineStr">
        <is>
          <t>FL_DES_CO2_5kg</t>
        </is>
      </c>
      <c r="O25" s="12" t="inlineStr">
        <is>
          <t>con precinto</t>
        </is>
      </c>
    </row>
    <row r="26" outlineLevel="1">
      <c r="A26" s="25" t="n">
        <v>2</v>
      </c>
      <c r="B26" s="25" t="inlineStr">
        <is>
          <t>CO25-11</t>
        </is>
      </c>
      <c r="C26" s="12" t="inlineStr">
        <is>
          <t xml:space="preserve">        Caño de pesca (sifón)</t>
        </is>
      </c>
      <c r="D26" s="25" t="n">
        <v>1</v>
      </c>
      <c r="E26" s="25" t="inlineStr">
        <is>
          <t>u</t>
        </is>
      </c>
      <c r="F26" s="26" t="n">
        <v>0.0698</v>
      </c>
      <c r="G26" s="26">
        <f>D26*F26</f>
        <v/>
      </c>
      <c r="H26" s="25" t="inlineStr">
        <is>
          <t>Tubo aluminio</t>
        </is>
      </c>
      <c r="I26" s="12" t="inlineStr">
        <is>
          <t>Ø10 × 645,4 de largo</t>
        </is>
      </c>
      <c r="J26" s="25" t="inlineStr">
        <is>
          <t>Compra (en el conjunto)</t>
        </is>
      </c>
      <c r="K26" s="12" t="inlineStr">
        <is>
          <t>S4 - se compra terminado (tercerizado con sello IRAM)</t>
        </is>
      </c>
      <c r="L26" s="12" t="n"/>
      <c r="M26" s="25" t="inlineStr">
        <is>
          <t>P</t>
        </is>
      </c>
      <c r="N26" s="25" t="inlineStr">
        <is>
          <t>FL_DES_CO2_5kg</t>
        </is>
      </c>
      <c r="O26" s="12" t="n"/>
    </row>
    <row r="27" outlineLevel="1">
      <c r="A27" s="25" t="n">
        <v>2</v>
      </c>
      <c r="B27" s="25" t="inlineStr">
        <is>
          <t>CO25-21</t>
        </is>
      </c>
      <c r="C27" s="12" t="inlineStr">
        <is>
          <t xml:space="preserve">        Junta tórica de asiento</t>
        </is>
      </c>
      <c r="D27" s="25" t="n">
        <v>1</v>
      </c>
      <c r="E27" s="25" t="inlineStr">
        <is>
          <t>u</t>
        </is>
      </c>
      <c r="F27" s="26" t="n">
        <v>0.0005999999999999999</v>
      </c>
      <c r="G27" s="26">
        <f>D27*F27</f>
        <v/>
      </c>
      <c r="H27" s="25" t="inlineStr">
        <is>
          <t>NBR 70 Shore A</t>
        </is>
      </c>
      <c r="I27" s="12" t="inlineStr">
        <is>
          <t>Ø22 ext. × cordón 3</t>
        </is>
      </c>
      <c r="J27" s="25" t="inlineStr">
        <is>
          <t>Compra (en el conjunto)</t>
        </is>
      </c>
      <c r="K27" s="12" t="inlineStr">
        <is>
          <t>S4 - se compra terminado (tercerizado con sello IRAM)</t>
        </is>
      </c>
      <c r="L27" s="12" t="n"/>
      <c r="M27" s="25" t="inlineStr">
        <is>
          <t>P</t>
        </is>
      </c>
      <c r="N27" s="25" t="inlineStr">
        <is>
          <t>FL_DES_CO2_5kg</t>
        </is>
      </c>
      <c r="O27" s="12" t="inlineStr">
        <is>
          <t>cambio c/recarga</t>
        </is>
      </c>
    </row>
    <row r="28" outlineLevel="1">
      <c r="A28" s="25" t="n">
        <v>2</v>
      </c>
      <c r="B28" s="25" t="inlineStr">
        <is>
          <t>CO25-V3</t>
        </is>
      </c>
      <c r="C28" s="12" t="inlineStr">
        <is>
          <t xml:space="preserve">        Junta tórica del vástago</t>
        </is>
      </c>
      <c r="D28" s="25" t="n">
        <v>1</v>
      </c>
      <c r="E28" s="25" t="inlineStr">
        <is>
          <t>u</t>
        </is>
      </c>
      <c r="F28" s="26" t="n">
        <v>0.001</v>
      </c>
      <c r="G28" s="26">
        <f>D28*F28</f>
        <v/>
      </c>
      <c r="H28" s="25" t="inlineStr">
        <is>
          <t>NBR 70 Shore A</t>
        </is>
      </c>
      <c r="I28" s="12" t="inlineStr">
        <is>
          <t>según válvula</t>
        </is>
      </c>
      <c r="J28" s="25" t="inlineStr">
        <is>
          <t>Compra</t>
        </is>
      </c>
      <c r="K28" s="12" t="inlineStr">
        <is>
          <t>19 Ensamblaje</t>
        </is>
      </c>
      <c r="L28" s="12" t="n"/>
      <c r="M28" s="25" t="inlineStr">
        <is>
          <t>P</t>
        </is>
      </c>
      <c r="N28" s="25" t="n"/>
      <c r="O28" s="12" t="inlineStr">
        <is>
          <t>Figura en el plano como «vástago con junta tórica»</t>
        </is>
      </c>
    </row>
    <row r="29">
      <c r="A29" s="22" t="n">
        <v>1</v>
      </c>
      <c r="B29" s="22" t="inlineStr">
        <is>
          <t>CO25-S3</t>
        </is>
      </c>
      <c r="C29" s="23" t="inlineStr">
        <is>
          <t xml:space="preserve">    Dispositivo de descarga</t>
        </is>
      </c>
      <c r="D29" s="22" t="n">
        <v>1</v>
      </c>
      <c r="E29" s="22" t="inlineStr">
        <is>
          <t>u</t>
        </is>
      </c>
      <c r="F29" s="24" t="n"/>
      <c r="G29" s="24">
        <f>G30+G31+G32+G33+G34</f>
        <v/>
      </c>
      <c r="H29" s="22" t="n"/>
      <c r="I29" s="23" t="n"/>
      <c r="J29" s="22" t="inlineStr">
        <is>
          <t>Compra / armado</t>
        </is>
      </c>
      <c r="K29" s="23" t="n"/>
      <c r="L29" s="23" t="n"/>
      <c r="M29" s="22" t="inlineStr">
        <is>
          <t>P</t>
        </is>
      </c>
      <c r="N29" s="22" t="inlineStr">
        <is>
          <t>FL_DES_CO2_5kg</t>
        </is>
      </c>
      <c r="O29" s="23" t="n"/>
    </row>
    <row r="30" outlineLevel="1">
      <c r="A30" s="25" t="n">
        <v>2</v>
      </c>
      <c r="B30" s="25" t="inlineStr">
        <is>
          <t>CO25-13</t>
        </is>
      </c>
      <c r="C30" s="12" t="inlineStr">
        <is>
          <t xml:space="preserve">        Racor de manguera</t>
        </is>
      </c>
      <c r="D30" s="25" t="n">
        <v>1</v>
      </c>
      <c r="E30" s="25" t="inlineStr">
        <is>
          <t>u</t>
        </is>
      </c>
      <c r="F30" s="26" t="n">
        <v>0.0258</v>
      </c>
      <c r="G30" s="26">
        <f>D30*F30</f>
        <v/>
      </c>
      <c r="H30" s="25" t="inlineStr">
        <is>
          <t>Latón</t>
        </is>
      </c>
      <c r="I30" s="12" t="inlineStr">
        <is>
          <t>18 × 18 × 12</t>
        </is>
      </c>
      <c r="J30" s="25" t="inlineStr">
        <is>
          <t>Compra (en el conjunto)</t>
        </is>
      </c>
      <c r="K30" s="12" t="inlineStr">
        <is>
          <t>S4 - se compra terminado (tercerizado con sello IRAM)</t>
        </is>
      </c>
      <c r="L30" s="12" t="n"/>
      <c r="M30" s="25" t="inlineStr">
        <is>
          <t>P</t>
        </is>
      </c>
      <c r="N30" s="25" t="inlineStr">
        <is>
          <t>FL_DES_CO2_5kg</t>
        </is>
      </c>
      <c r="O30" s="12" t="n"/>
    </row>
    <row r="31" outlineLevel="1">
      <c r="A31" s="25" t="n">
        <v>2</v>
      </c>
      <c r="B31" s="25" t="inlineStr">
        <is>
          <t>CO25-14</t>
        </is>
      </c>
      <c r="C31" s="12" t="inlineStr">
        <is>
          <t xml:space="preserve">        Manguera</t>
        </is>
      </c>
      <c r="D31" s="25" t="n">
        <v>1</v>
      </c>
      <c r="E31" s="25" t="inlineStr">
        <is>
          <t>u</t>
        </is>
      </c>
      <c r="F31" s="26" t="n">
        <v>0.0463</v>
      </c>
      <c r="G31" s="26">
        <f>D31*F31</f>
        <v/>
      </c>
      <c r="H31" s="25" t="inlineStr">
        <is>
          <t>Manga alta presión c/malla acero</t>
        </is>
      </c>
      <c r="I31" s="12" t="inlineStr">
        <is>
          <t>Ø16 × 300 de largo desarrollado</t>
        </is>
      </c>
      <c r="J31" s="25" t="inlineStr">
        <is>
          <t>Compra (en el conjunto)</t>
        </is>
      </c>
      <c r="K31" s="12" t="inlineStr">
        <is>
          <t>S4 - se compra terminado (tercerizado con sello IRAM)</t>
        </is>
      </c>
      <c r="L31" s="12" t="n"/>
      <c r="M31" s="25" t="inlineStr">
        <is>
          <t>P</t>
        </is>
      </c>
      <c r="N31" s="25" t="inlineStr">
        <is>
          <t>FL_DES_CO2_5kg</t>
        </is>
      </c>
      <c r="O31" s="12" t="n"/>
    </row>
    <row r="32" outlineLevel="1">
      <c r="A32" s="25" t="n">
        <v>2</v>
      </c>
      <c r="B32" s="25" t="inlineStr">
        <is>
          <t>CO25-15</t>
        </is>
      </c>
      <c r="C32" s="12" t="inlineStr">
        <is>
          <t xml:space="preserve">        Difusor (bocina)</t>
        </is>
      </c>
      <c r="D32" s="25" t="n">
        <v>1</v>
      </c>
      <c r="E32" s="25" t="inlineStr">
        <is>
          <t>u</t>
        </is>
      </c>
      <c r="F32" s="26" t="n">
        <v>0.09429999999999999</v>
      </c>
      <c r="G32" s="26">
        <f>D32*F32</f>
        <v/>
      </c>
      <c r="H32" s="25" t="inlineStr">
        <is>
          <t>Polietileno AD</t>
        </is>
      </c>
      <c r="I32" s="12" t="inlineStr">
        <is>
          <t>260 × 90 × 90</t>
        </is>
      </c>
      <c r="J32" s="25" t="inlineStr">
        <is>
          <t>Compra (en el conjunto)</t>
        </is>
      </c>
      <c r="K32" s="12" t="inlineStr">
        <is>
          <t>S4 - se compra terminado (tercerizado con sello IRAM)</t>
        </is>
      </c>
      <c r="L32" s="12" t="n"/>
      <c r="M32" s="25" t="inlineStr">
        <is>
          <t>P</t>
        </is>
      </c>
      <c r="N32" s="25" t="inlineStr">
        <is>
          <t>FL_DES_CO2_5kg</t>
        </is>
      </c>
      <c r="O32" s="12" t="inlineStr">
        <is>
          <t>aislante térmico y eléctrico</t>
        </is>
      </c>
    </row>
    <row r="33" outlineLevel="1">
      <c r="A33" s="25" t="n">
        <v>2</v>
      </c>
      <c r="B33" s="25" t="inlineStr">
        <is>
          <t>CO25-16</t>
        </is>
      </c>
      <c r="C33" s="12" t="inlineStr">
        <is>
          <t xml:space="preserve">        Empuñadura</t>
        </is>
      </c>
      <c r="D33" s="25" t="n">
        <v>1</v>
      </c>
      <c r="E33" s="25" t="inlineStr">
        <is>
          <t>u</t>
        </is>
      </c>
      <c r="F33" s="26" t="n">
        <v>0.0201</v>
      </c>
      <c r="G33" s="26">
        <f>D33*F33</f>
        <v/>
      </c>
      <c r="H33" s="25" t="inlineStr">
        <is>
          <t>Polipropileno</t>
        </is>
      </c>
      <c r="I33" s="12" t="inlineStr">
        <is>
          <t>40 × 36 × 36</t>
        </is>
      </c>
      <c r="J33" s="25" t="inlineStr">
        <is>
          <t>Compra (en el conjunto)</t>
        </is>
      </c>
      <c r="K33" s="12" t="inlineStr">
        <is>
          <t>S4 - se compra terminado (tercerizado con sello IRAM)</t>
        </is>
      </c>
      <c r="L33" s="12" t="n"/>
      <c r="M33" s="25" t="inlineStr">
        <is>
          <t>P</t>
        </is>
      </c>
      <c r="N33" s="25" t="inlineStr">
        <is>
          <t>FL_DES_CO2_5kg</t>
        </is>
      </c>
      <c r="O33" s="12" t="n"/>
    </row>
    <row r="34" outlineLevel="1">
      <c r="A34" s="25" t="n">
        <v>2</v>
      </c>
      <c r="B34" s="25" t="inlineStr">
        <is>
          <t>CO25-17</t>
        </is>
      </c>
      <c r="C34" s="12" t="inlineStr">
        <is>
          <t xml:space="preserve">        Suncho soporte de difusor</t>
        </is>
      </c>
      <c r="D34" s="25" t="n">
        <v>1</v>
      </c>
      <c r="E34" s="25" t="inlineStr">
        <is>
          <t>u</t>
        </is>
      </c>
      <c r="F34" s="26" t="n">
        <v>0.1762</v>
      </c>
      <c r="G34" s="26">
        <f>D34*F34</f>
        <v/>
      </c>
      <c r="H34" s="25" t="inlineStr">
        <is>
          <t>Fleje acero SAE 1010 pintado</t>
        </is>
      </c>
      <c r="I34" s="12" t="inlineStr">
        <is>
          <t>161,7 × 143 × 18</t>
        </is>
      </c>
      <c r="J34" s="25" t="inlineStr">
        <is>
          <t>Compra (en el conjunto)</t>
        </is>
      </c>
      <c r="K34" s="12" t="inlineStr">
        <is>
          <t>S4 - se compra terminado (tercerizado con sello IRAM)</t>
        </is>
      </c>
      <c r="L34" s="12" t="n"/>
      <c r="M34" s="25" t="inlineStr">
        <is>
          <t>P</t>
        </is>
      </c>
      <c r="N34" s="25" t="inlineStr">
        <is>
          <t>FL_DES_CO2_5kg</t>
        </is>
      </c>
      <c r="O34" s="12" t="n"/>
    </row>
    <row r="35">
      <c r="A35" s="22" t="n">
        <v>1</v>
      </c>
      <c r="B35" s="22" t="inlineStr">
        <is>
          <t>CO25-S5</t>
        </is>
      </c>
      <c r="C35" s="23" t="inlineStr">
        <is>
          <t xml:space="preserve">    Carga: agente extintor y gas impulsor</t>
        </is>
      </c>
      <c r="D35" s="22" t="n">
        <v>1</v>
      </c>
      <c r="E35" s="22" t="inlineStr">
        <is>
          <t>u</t>
        </is>
      </c>
      <c r="F35" s="24" t="n"/>
      <c r="G35" s="24">
        <f>G36</f>
        <v/>
      </c>
      <c r="H35" s="22" t="n"/>
      <c r="I35" s="23" t="n"/>
      <c r="J35" s="22" t="inlineStr">
        <is>
          <t>Compra</t>
        </is>
      </c>
      <c r="K35" s="23" t="n"/>
      <c r="L35" s="23" t="n"/>
      <c r="M35" s="22" t="n"/>
      <c r="N35" s="22" t="n"/>
      <c r="O35" s="23" t="n"/>
    </row>
    <row r="36" outlineLevel="1">
      <c r="A36" s="25" t="n">
        <v>2</v>
      </c>
      <c r="B36" s="25" t="inlineStr">
        <is>
          <t>CO25-A1</t>
        </is>
      </c>
      <c r="C36" s="12" t="inlineStr">
        <is>
          <t xml:space="preserve">        Dióxido de carbono (IRAM 41170)</t>
        </is>
      </c>
      <c r="D36" s="25" t="n">
        <v>5</v>
      </c>
      <c r="E36" s="25" t="inlineStr">
        <is>
          <t>kg</t>
        </is>
      </c>
      <c r="F36" s="26" t="n">
        <v>1</v>
      </c>
      <c r="G36" s="26">
        <f>D36*F36</f>
        <v/>
      </c>
      <c r="H36" s="25" t="inlineStr">
        <is>
          <t>Dióxido de carbono (IRAM 41170)</t>
        </is>
      </c>
      <c r="I36" s="12" t="inlineStr">
        <is>
          <t>nominal 5 kg; tolerancia 0 / -5 % (IRAM 3517-2:2020 tabla 3)</t>
        </is>
      </c>
      <c r="J36" s="25" t="inlineStr">
        <is>
          <t>Compra</t>
        </is>
      </c>
      <c r="K36" s="12" t="inlineStr">
        <is>
          <t>SP-1 almacén previo a la carga</t>
        </is>
      </c>
      <c r="L36" s="12" t="inlineStr">
        <is>
          <t>IRAM 41170</t>
        </is>
      </c>
      <c r="M36" s="25" t="inlineStr">
        <is>
          <t>N</t>
        </is>
      </c>
      <c r="N36" s="25" t="n"/>
      <c r="O36" s="12" t="n"/>
    </row>
    <row r="37">
      <c r="A37" s="22" t="n">
        <v>1</v>
      </c>
      <c r="B37" s="22" t="inlineStr">
        <is>
          <t>CO25-S6</t>
        </is>
      </c>
      <c r="C37" s="23" t="inlineStr">
        <is>
          <t xml:space="preserve">    Identificación y precinto</t>
        </is>
      </c>
      <c r="D37" s="22" t="n">
        <v>1</v>
      </c>
      <c r="E37" s="22" t="inlineStr">
        <is>
          <t>u</t>
        </is>
      </c>
      <c r="F37" s="24" t="n"/>
      <c r="G37" s="24">
        <f>G38+G39+G40+G41+G42</f>
        <v/>
      </c>
      <c r="H37" s="22" t="n"/>
      <c r="I37" s="23" t="n"/>
      <c r="J37" s="22" t="inlineStr">
        <is>
          <t>Compra</t>
        </is>
      </c>
      <c r="K37" s="23" t="inlineStr">
        <is>
          <t>22 Etiquetado (T07)</t>
        </is>
      </c>
      <c r="L37" s="23" t="n"/>
      <c r="M37" s="22" t="n"/>
      <c r="N37" s="22" t="n"/>
      <c r="O37" s="23" t="n"/>
    </row>
    <row r="38" outlineLevel="1">
      <c r="A38" s="25" t="n">
        <v>2</v>
      </c>
      <c r="B38" s="25" t="inlineStr">
        <is>
          <t>CO25-18</t>
        </is>
      </c>
      <c r="C38" s="12" t="inlineStr">
        <is>
          <t xml:space="preserve">        Placa de características</t>
        </is>
      </c>
      <c r="D38" s="25" t="n">
        <v>1</v>
      </c>
      <c r="E38" s="25" t="inlineStr">
        <is>
          <t>u</t>
        </is>
      </c>
      <c r="F38" s="26" t="n">
        <v>0.009299999999999999</v>
      </c>
      <c r="G38" s="26">
        <f>D38*F38</f>
        <v/>
      </c>
      <c r="H38" s="25" t="inlineStr">
        <is>
          <t>Vinilo autoadhesivo laminado</t>
        </is>
      </c>
      <c r="I38" s="12" t="inlineStr">
        <is>
          <t>132 × 167 (desarrollo × alto), e ≈ 0,3</t>
        </is>
      </c>
      <c r="J38" s="25" t="inlineStr">
        <is>
          <t>Compra</t>
        </is>
      </c>
      <c r="K38" s="12" t="inlineStr">
        <is>
          <t>22 Etiquetado (T07)</t>
        </is>
      </c>
      <c r="L38" s="12" t="inlineStr">
        <is>
          <t>IRAM 3534 · IRAM 3509 cap. 5</t>
        </is>
      </c>
      <c r="M38" s="25" t="inlineStr">
        <is>
          <t>P</t>
        </is>
      </c>
      <c r="N38" s="25" t="inlineStr">
        <is>
          <t>FL_DES_CO2_5kg</t>
        </is>
      </c>
      <c r="O38" s="12" t="inlineStr">
        <is>
          <t>IRAM 3534</t>
        </is>
      </c>
    </row>
    <row r="39" outlineLevel="1">
      <c r="A39" s="25" t="n">
        <v>2</v>
      </c>
      <c r="B39" s="25" t="inlineStr">
        <is>
          <t>CO25-19</t>
        </is>
      </c>
      <c r="C39" s="12" t="inlineStr">
        <is>
          <t xml:space="preserve">        Oblea de fabricación (PBA)</t>
        </is>
      </c>
      <c r="D39" s="25" t="n">
        <v>1</v>
      </c>
      <c r="E39" s="25" t="inlineStr">
        <is>
          <t>u</t>
        </is>
      </c>
      <c r="F39" s="26" t="n">
        <v>0.0009</v>
      </c>
      <c r="G39" s="26">
        <f>D39*F39</f>
        <v/>
      </c>
      <c r="H39" s="25" t="inlineStr">
        <is>
          <t>Papel de seguridad autodestructible</t>
        </is>
      </c>
      <c r="I39" s="12" t="inlineStr">
        <is>
          <t>Ø46 (Res. OPDS 522/07), numerada, autodestructible</t>
        </is>
      </c>
      <c r="J39" s="25" t="inlineStr">
        <is>
          <t>Compra</t>
        </is>
      </c>
      <c r="K39" s="12" t="inlineStr">
        <is>
          <t>22 Etiquetado (T07)</t>
        </is>
      </c>
      <c r="L39" s="12" t="inlineStr">
        <is>
          <t>Res. OPDS 522/07 anexos 1, 2 y 6</t>
        </is>
      </c>
      <c r="M39" s="25" t="inlineStr">
        <is>
          <t>P</t>
        </is>
      </c>
      <c r="N39" s="25" t="inlineStr">
        <is>
          <t>FL_DES_CO2_5kg</t>
        </is>
      </c>
      <c r="O39" s="12" t="inlineStr">
        <is>
          <t>Res. 522/07</t>
        </is>
      </c>
    </row>
    <row r="40" outlineLevel="1">
      <c r="A40" s="25" t="n">
        <v>2</v>
      </c>
      <c r="B40" s="25" t="inlineStr">
        <is>
          <t>CO25-20</t>
        </is>
      </c>
      <c r="C40" s="12" t="inlineStr">
        <is>
          <t xml:space="preserve">        Estampilla IRAM de conformidad</t>
        </is>
      </c>
      <c r="D40" s="25" t="n">
        <v>1</v>
      </c>
      <c r="E40" s="25" t="inlineStr">
        <is>
          <t>u</t>
        </is>
      </c>
      <c r="F40" s="26" t="n">
        <v>0.001</v>
      </c>
      <c r="G40" s="26">
        <f>D40*F40</f>
        <v/>
      </c>
      <c r="H40" s="25" t="inlineStr">
        <is>
          <t>Provista por IRAM (Anexo R)</t>
        </is>
      </c>
      <c r="I40" s="12" t="inlineStr">
        <is>
          <t>60 × 40</t>
        </is>
      </c>
      <c r="J40" s="25" t="inlineStr">
        <is>
          <t>Compra</t>
        </is>
      </c>
      <c r="K40" s="12" t="inlineStr">
        <is>
          <t>22 Etiquetado (T07)</t>
        </is>
      </c>
      <c r="L40" s="12" t="inlineStr">
        <is>
          <t>IRAM Anexo R (DC-PG-129)</t>
        </is>
      </c>
      <c r="M40" s="25" t="inlineStr">
        <is>
          <t>P</t>
        </is>
      </c>
      <c r="N40" s="25" t="inlineStr">
        <is>
          <t>FL_DES_CO2_5kg</t>
        </is>
      </c>
      <c r="O40" s="12" t="inlineStr">
        <is>
          <t>numerada</t>
        </is>
      </c>
    </row>
    <row r="41" outlineLevel="1">
      <c r="A41" s="25" t="n">
        <v>2</v>
      </c>
      <c r="B41" s="25" t="inlineStr">
        <is>
          <t>CO25-22</t>
        </is>
      </c>
      <c r="C41" s="12" t="inlineStr">
        <is>
          <t xml:space="preserve">        Precinto de fábrica</t>
        </is>
      </c>
      <c r="D41" s="25" t="n">
        <v>1</v>
      </c>
      <c r="E41" s="25" t="inlineStr">
        <is>
          <t>u</t>
        </is>
      </c>
      <c r="F41" s="26" t="n">
        <v>0.0002</v>
      </c>
      <c r="G41" s="26">
        <f>D41*F41</f>
        <v/>
      </c>
      <c r="H41" s="25" t="inlineStr">
        <is>
          <t>Polipropileno</t>
        </is>
      </c>
      <c r="I41" s="12" t="inlineStr">
        <is>
          <t>Ø5 × 10, numerado, rotura 30-50 N</t>
        </is>
      </c>
      <c r="J41" s="25" t="inlineStr">
        <is>
          <t>Compra</t>
        </is>
      </c>
      <c r="K41" s="12" t="inlineStr">
        <is>
          <t>20 Presurización (T05)</t>
        </is>
      </c>
      <c r="L41" s="12" t="inlineStr">
        <is>
          <t>IRAM 3523 3.3.2 · IRAM 3517-2:2020 9.4.13</t>
        </is>
      </c>
      <c r="M41" s="25" t="inlineStr">
        <is>
          <t>P</t>
        </is>
      </c>
      <c r="N41" s="25" t="inlineStr">
        <is>
          <t>FL_DES_CO2_5kg</t>
        </is>
      </c>
      <c r="O41" s="12" t="inlineStr">
        <is>
          <t>id. FLAMA y lote</t>
        </is>
      </c>
    </row>
    <row r="42" outlineLevel="1">
      <c r="A42" s="25" t="n">
        <v>2</v>
      </c>
      <c r="B42" s="25" t="inlineStr">
        <is>
          <t>CO25-I3</t>
        </is>
      </c>
      <c r="C42" s="12" t="inlineStr">
        <is>
          <t xml:space="preserve">        Tarjeta oficial de vigencia (CABA)</t>
        </is>
      </c>
      <c r="D42" s="25" t="n">
        <v>1</v>
      </c>
      <c r="E42" s="25" t="inlineStr">
        <is>
          <t>u</t>
        </is>
      </c>
      <c r="F42" s="26" t="n">
        <v>0.002</v>
      </c>
      <c r="G42" s="26">
        <f>D42*F42</f>
        <v/>
      </c>
      <c r="H42" s="25" t="inlineStr">
        <is>
          <t>Formulario oficial</t>
        </is>
      </c>
      <c r="I42" s="12" t="inlineStr">
        <is>
          <t>provista por DG Rentas GCBA</t>
        </is>
      </c>
      <c r="J42" s="25" t="inlineStr">
        <is>
          <t>Compra</t>
        </is>
      </c>
      <c r="K42" s="12" t="inlineStr">
        <is>
          <t>22 Etiquetado</t>
        </is>
      </c>
      <c r="L42" s="12" t="inlineStr">
        <is>
          <t>Ordenanza 40.473 art. 6</t>
        </is>
      </c>
      <c r="M42" s="25" t="inlineStr">
        <is>
          <t>N</t>
        </is>
      </c>
      <c r="N42" s="25" t="n"/>
      <c r="O42" s="12" t="inlineStr">
        <is>
          <t>Clase, capacidad, fecha de carga y vencimiento, garantía; se anexa al matafuego (no se dibuja)</t>
        </is>
      </c>
    </row>
    <row r="43">
      <c r="A43" s="22" t="n">
        <v>1</v>
      </c>
      <c r="B43" s="22" t="inlineStr">
        <is>
          <t>CO25-S8</t>
        </is>
      </c>
      <c r="C43" s="23" t="inlineStr">
        <is>
          <t xml:space="preserve">    Soporte (accesorio de montaje)</t>
        </is>
      </c>
      <c r="D43" s="22" t="n">
        <v>1</v>
      </c>
      <c r="E43" s="22" t="inlineStr">
        <is>
          <t>u</t>
        </is>
      </c>
      <c r="F43" s="24" t="n"/>
      <c r="G43" s="24">
        <f>G44+G45</f>
        <v/>
      </c>
      <c r="H43" s="22" t="n"/>
      <c r="I43" s="23" t="n"/>
      <c r="J43" s="22" t="inlineStr">
        <is>
          <t>Compra</t>
        </is>
      </c>
      <c r="K43" s="23" t="inlineStr">
        <is>
          <t>23 Embalaje (va dentro de la caja)</t>
        </is>
      </c>
      <c r="L43" s="23" t="inlineStr">
        <is>
          <t>IRAM 3517-2 7.4</t>
        </is>
      </c>
      <c r="M43" s="22" t="n"/>
      <c r="N43" s="22" t="n"/>
      <c r="O43" s="23" t="n"/>
    </row>
    <row r="44" outlineLevel="1">
      <c r="A44" s="25" t="n">
        <v>2</v>
      </c>
      <c r="B44" s="25" t="inlineStr">
        <is>
          <t>CO25-I5</t>
        </is>
      </c>
      <c r="C44" s="12" t="inlineStr">
        <is>
          <t xml:space="preserve">        Soporte de pared (FL_ACC_01)</t>
        </is>
      </c>
      <c r="D44" s="25" t="n">
        <v>1</v>
      </c>
      <c r="E44" s="25" t="inlineStr">
        <is>
          <t>u</t>
        </is>
      </c>
      <c r="F44" s="26" t="n">
        <v>0.283</v>
      </c>
      <c r="G44" s="26">
        <f>D44*F44</f>
        <v/>
      </c>
      <c r="H44" s="25" t="inlineStr">
        <is>
          <t>Chapa acero SAE 1010 e=2 pintada</t>
        </is>
      </c>
      <c r="I44" s="12" t="inlineStr">
        <is>
          <t>placa 60 × 180, ala con ranura Ø cuello + 3</t>
        </is>
      </c>
      <c r="J44" s="25" t="inlineStr">
        <is>
          <t>Compra</t>
        </is>
      </c>
      <c r="K44" s="12" t="inlineStr">
        <is>
          <t>23 Embalaje</t>
        </is>
      </c>
      <c r="L44" s="12" t="inlineStr">
        <is>
          <t>IRAM 3517-2 7.4</t>
        </is>
      </c>
      <c r="M44" s="25" t="inlineStr">
        <is>
          <t>P</t>
        </is>
      </c>
      <c r="N44" s="25" t="inlineStr">
        <is>
          <t>FL_ACC_01</t>
        </is>
      </c>
      <c r="O44" s="12" t="n"/>
    </row>
    <row r="45" outlineLevel="1">
      <c r="A45" s="25" t="n">
        <v>2</v>
      </c>
      <c r="B45" s="25" t="inlineStr">
        <is>
          <t>CO25-I6</t>
        </is>
      </c>
      <c r="C45" s="12" t="inlineStr">
        <is>
          <t xml:space="preserve">        Tornillo y tarugo de fijación</t>
        </is>
      </c>
      <c r="D45" s="25" t="n">
        <v>2</v>
      </c>
      <c r="E45" s="25" t="inlineStr">
        <is>
          <t>u</t>
        </is>
      </c>
      <c r="F45" s="26" t="n">
        <v>0.01</v>
      </c>
      <c r="G45" s="26">
        <f>D45*F45</f>
        <v/>
      </c>
      <c r="H45" s="25" t="inlineStr">
        <is>
          <t>Acero cincado / nylon</t>
        </is>
      </c>
      <c r="I45" s="12" t="inlineStr">
        <is>
          <t>M6 × 50 + tarugo 8</t>
        </is>
      </c>
      <c r="J45" s="25" t="inlineStr">
        <is>
          <t>Compra</t>
        </is>
      </c>
      <c r="K45" s="12" t="inlineStr">
        <is>
          <t>23 Embalaje</t>
        </is>
      </c>
      <c r="L45" s="12" t="n"/>
      <c r="M45" s="25" t="inlineStr">
        <is>
          <t>R</t>
        </is>
      </c>
      <c r="N45" s="25" t="n"/>
      <c r="O45" s="12" t="n"/>
    </row>
    <row r="46">
      <c r="A46" s="22" t="n">
        <v>1</v>
      </c>
      <c r="B46" s="22" t="inlineStr">
        <is>
          <t>CO25-S7</t>
        </is>
      </c>
      <c r="C46" s="23" t="inlineStr">
        <is>
          <t xml:space="preserve">    Embalaje</t>
        </is>
      </c>
      <c r="D46" s="22" t="n">
        <v>1</v>
      </c>
      <c r="E46" s="22" t="inlineStr">
        <is>
          <t>u</t>
        </is>
      </c>
      <c r="F46" s="24" t="n"/>
      <c r="G46" s="24">
        <f>G47+G48+G49+G50+G51</f>
        <v/>
      </c>
      <c r="H46" s="22" t="n"/>
      <c r="I46" s="23" t="n"/>
      <c r="J46" s="22" t="inlineStr">
        <is>
          <t>Compra</t>
        </is>
      </c>
      <c r="K46" s="23" t="inlineStr">
        <is>
          <t>23 Embalaje -&gt; 24 envolvedora (T11)</t>
        </is>
      </c>
      <c r="L46" s="23" t="n"/>
      <c r="M46" s="22" t="n"/>
      <c r="N46" s="22" t="n"/>
      <c r="O46" s="23" t="n"/>
    </row>
    <row r="47" outlineLevel="1">
      <c r="A47" s="25" t="n">
        <v>2</v>
      </c>
      <c r="B47" s="25" t="inlineStr">
        <is>
          <t>CO25-E1</t>
        </is>
      </c>
      <c r="C47" s="12" t="inlineStr">
        <is>
          <t xml:space="preserve">        Caja de cartón corrugado doble</t>
        </is>
      </c>
      <c r="D47" s="25" t="n">
        <v>1</v>
      </c>
      <c r="E47" s="25" t="inlineStr">
        <is>
          <t>u</t>
        </is>
      </c>
      <c r="F47" s="26" t="n">
        <v>0.5</v>
      </c>
      <c r="G47" s="26">
        <f>D47*F47</f>
        <v/>
      </c>
      <c r="H47" s="25" t="inlineStr">
        <is>
          <t>Cartón corrugado</t>
        </is>
      </c>
      <c r="I47" s="12" t="inlineStr">
        <is>
          <t>340 × 173 × 810 interior</t>
        </is>
      </c>
      <c r="J47" s="25" t="inlineStr">
        <is>
          <t>Compra</t>
        </is>
      </c>
      <c r="K47" s="12" t="inlineStr">
        <is>
          <t>23 Embalaje</t>
        </is>
      </c>
      <c r="L47" s="12" t="n"/>
      <c r="M47" s="25" t="inlineStr">
        <is>
          <t>R</t>
        </is>
      </c>
      <c r="N47" s="25" t="n"/>
      <c r="O47" s="12" t="n"/>
    </row>
    <row r="48" outlineLevel="1">
      <c r="A48" s="25" t="n">
        <v>2</v>
      </c>
      <c r="B48" s="25" t="inlineStr">
        <is>
          <t>CO25-E2</t>
        </is>
      </c>
      <c r="C48" s="12" t="inlineStr">
        <is>
          <t xml:space="preserve">        Instructivo de uso y mantenimiento</t>
        </is>
      </c>
      <c r="D48" s="25" t="n">
        <v>1</v>
      </c>
      <c r="E48" s="25" t="inlineStr">
        <is>
          <t>u</t>
        </is>
      </c>
      <c r="F48" s="26" t="n">
        <v>0.01</v>
      </c>
      <c r="G48" s="26">
        <f>D48*F48</f>
        <v/>
      </c>
      <c r="H48" s="25" t="inlineStr">
        <is>
          <t>Papel</t>
        </is>
      </c>
      <c r="I48" s="12" t="inlineStr">
        <is>
          <t>A5</t>
        </is>
      </c>
      <c r="J48" s="25" t="inlineStr">
        <is>
          <t>Compra</t>
        </is>
      </c>
      <c r="K48" s="12" t="inlineStr">
        <is>
          <t>23 Embalaje</t>
        </is>
      </c>
      <c r="L48" s="12" t="inlineStr">
        <is>
          <t>IRAM 3517-2 (información al usuario)</t>
        </is>
      </c>
      <c r="M48" s="25" t="inlineStr">
        <is>
          <t>R</t>
        </is>
      </c>
      <c r="N48" s="25" t="n"/>
      <c r="O48" s="12" t="n"/>
    </row>
    <row r="49" outlineLevel="1">
      <c r="A49" s="25" t="n">
        <v>2</v>
      </c>
      <c r="B49" s="25" t="inlineStr">
        <is>
          <t>CO25-E3</t>
        </is>
      </c>
      <c r="C49" s="12" t="inlineStr">
        <is>
          <t xml:space="preserve">        Pallet 1200 × 1000 (fracción)</t>
        </is>
      </c>
      <c r="D49" s="25" t="n">
        <v>0.0667</v>
      </c>
      <c r="E49" s="25" t="inlineStr">
        <is>
          <t>u</t>
        </is>
      </c>
      <c r="F49" s="26" t="n">
        <v>1.467</v>
      </c>
      <c r="G49" s="26">
        <f>D49*F49</f>
        <v/>
      </c>
      <c r="H49" s="25" t="inlineStr">
        <is>
          <t>Madera</t>
        </is>
      </c>
      <c r="I49" s="12" t="inlineStr">
        <is>
          <t>15 u por pallet</t>
        </is>
      </c>
      <c r="J49" s="25" t="inlineStr">
        <is>
          <t>Compra</t>
        </is>
      </c>
      <c r="K49" s="12" t="inlineStr">
        <is>
          <t>23 Embalaje</t>
        </is>
      </c>
      <c r="L49" s="12" t="n"/>
      <c r="M49" s="25" t="inlineStr">
        <is>
          <t>R</t>
        </is>
      </c>
      <c r="N49" s="25" t="n"/>
      <c r="O49" s="12" t="n"/>
    </row>
    <row r="50" outlineLevel="1">
      <c r="A50" s="25" t="n">
        <v>2</v>
      </c>
      <c r="B50" s="25" t="inlineStr">
        <is>
          <t>CO25-E4</t>
        </is>
      </c>
      <c r="C50" s="12" t="inlineStr">
        <is>
          <t xml:space="preserve">        Film stretch (fracción del pallet)</t>
        </is>
      </c>
      <c r="D50" s="25" t="n">
        <v>0.0233</v>
      </c>
      <c r="E50" s="25" t="inlineStr">
        <is>
          <t>kg</t>
        </is>
      </c>
      <c r="F50" s="26" t="n">
        <v>1</v>
      </c>
      <c r="G50" s="26">
        <f>D50*F50</f>
        <v/>
      </c>
      <c r="H50" s="25" t="inlineStr">
        <is>
          <t>PE lineal 23 µm</t>
        </is>
      </c>
      <c r="I50" s="12" t="inlineStr">
        <is>
          <t>envolvedora EDOS PS5</t>
        </is>
      </c>
      <c r="J50" s="25" t="inlineStr">
        <is>
          <t>Compra</t>
        </is>
      </c>
      <c r="K50" s="12" t="inlineStr">
        <is>
          <t>24 Envolvedora (T11)</t>
        </is>
      </c>
      <c r="L50" s="12" t="n"/>
      <c r="M50" s="25" t="inlineStr">
        <is>
          <t>R</t>
        </is>
      </c>
      <c r="N50" s="25" t="n"/>
      <c r="O50" s="12" t="n"/>
    </row>
    <row r="51" outlineLevel="1">
      <c r="A51" s="25" t="n">
        <v>2</v>
      </c>
      <c r="B51" s="25" t="inlineStr">
        <is>
          <t>CO25-E5</t>
        </is>
      </c>
      <c r="C51" s="12" t="inlineStr">
        <is>
          <t xml:space="preserve">        Etiqueta de pallet (lote y destino, fracción)</t>
        </is>
      </c>
      <c r="D51" s="25" t="n">
        <v>0.0667</v>
      </c>
      <c r="E51" s="25" t="inlineStr">
        <is>
          <t>u</t>
        </is>
      </c>
      <c r="F51" s="26" t="n">
        <v>0</v>
      </c>
      <c r="G51" s="26">
        <f>D51*F51</f>
        <v/>
      </c>
      <c r="H51" s="25" t="inlineStr">
        <is>
          <t>Papel térmico</t>
        </is>
      </c>
      <c r="I51" s="12" t="inlineStr">
        <is>
          <t>100 × 150</t>
        </is>
      </c>
      <c r="J51" s="25" t="inlineStr">
        <is>
          <t>Compra</t>
        </is>
      </c>
      <c r="K51" s="12" t="inlineStr">
        <is>
          <t>24 Envolvedora</t>
        </is>
      </c>
      <c r="L51" s="12" t="n"/>
      <c r="M51" s="25" t="inlineStr">
        <is>
          <t>R</t>
        </is>
      </c>
      <c r="N51" s="25" t="n"/>
      <c r="O51" s="12" t="n"/>
    </row>
  </sheetData>
  <autoFilter ref="A10:O51"/>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O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FL_MAT_HCFC-HFC_5kg</t>
        </is>
      </c>
    </row>
    <row r="2">
      <c r="A2" s="2" t="inlineStr">
        <is>
          <t>Extintor HCFC/HFC 5 kg</t>
        </is>
      </c>
    </row>
    <row r="3">
      <c r="A3" s="14" t="inlineStr">
        <is>
          <t>Plano de origen</t>
        </is>
      </c>
      <c r="C3" t="inlineStr">
        <is>
          <t>FL_MAT_HCFC-HFC_5kg  (3 láminas)</t>
        </is>
      </c>
      <c r="E3" s="14" t="inlineStr">
        <is>
          <t>Peso vacío S1-S4 (kg)</t>
        </is>
      </c>
      <c r="G3" s="30">
        <f>G12+G21+G35</f>
        <v/>
      </c>
    </row>
    <row r="4">
      <c r="A4" s="14" t="inlineStr">
        <is>
          <t>Plano de despiece</t>
        </is>
      </c>
      <c r="C4" t="inlineStr">
        <is>
          <t>FL_DES_HCFC-HFC_5kg (salida/despiece/)</t>
        </is>
      </c>
      <c r="E4" s="14" t="inlineStr">
        <is>
          <t>Peso cargado S1-S6 (kg)</t>
        </is>
      </c>
      <c r="G4" s="30">
        <f>G12+G21+G35+G40+G43</f>
        <v/>
      </c>
    </row>
    <row r="5">
      <c r="A5" s="14" t="inlineStr">
        <is>
          <t>Norma del producto</t>
        </is>
      </c>
      <c r="C5" t="inlineStr">
        <is>
          <t>IRAM 3504</t>
        </is>
      </c>
      <c r="E5" s="14" t="inlineStr">
        <is>
          <t>Peso con soporte y embalaje (kg)</t>
        </is>
      </c>
      <c r="G5" s="30">
        <f>G12+G21+G35+G40+G43+G53+G49</f>
        <v/>
      </c>
    </row>
    <row r="6">
      <c r="A6" s="14" t="inlineStr">
        <is>
          <t>Fabricación</t>
        </is>
      </c>
      <c r="C6" t="inlineStr">
        <is>
          <t>Tercerizado revendido (S4)</t>
        </is>
      </c>
      <c r="E6" s="14" t="inlineStr">
        <is>
          <t>Desvío cargado vs catálogo</t>
        </is>
      </c>
      <c r="G6" s="10">
        <f>G4/C7-1</f>
        <v/>
      </c>
    </row>
    <row r="7">
      <c r="A7" s="14" t="inlineStr">
        <is>
          <t>Peso catálogo cargado (kg)</t>
        </is>
      </c>
      <c r="C7" t="n">
        <v>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FL_MAT_HCFC-HFC_5kg</t>
        </is>
      </c>
      <c r="C11" s="20" t="inlineStr">
        <is>
          <t>Extintor HCFC/HFC 5 kg</t>
        </is>
      </c>
      <c r="D11" s="19" t="n">
        <v>1</v>
      </c>
      <c r="E11" s="19" t="inlineStr">
        <is>
          <t>u</t>
        </is>
      </c>
      <c r="F11" s="21" t="n"/>
      <c r="G11" s="21">
        <f>G5</f>
        <v/>
      </c>
      <c r="H11" s="19" t="n"/>
      <c r="I11" s="20" t="n"/>
      <c r="J11" s="19" t="n"/>
      <c r="K11" s="20" t="n"/>
      <c r="L11" s="20" t="inlineStr">
        <is>
          <t>IRAM 3504</t>
        </is>
      </c>
      <c r="M11" s="19" t="inlineStr">
        <is>
          <t>P</t>
        </is>
      </c>
      <c r="N11" s="19" t="inlineStr">
        <is>
          <t>FL_MAT_HCFC-HFC_5kg</t>
        </is>
      </c>
      <c r="O11" s="20" t="inlineStr">
        <is>
          <t>Tercerizado revendido (S4)</t>
        </is>
      </c>
    </row>
    <row r="12">
      <c r="A12" s="22" t="n">
        <v>1</v>
      </c>
      <c r="B12" s="22" t="inlineStr">
        <is>
          <t>HCFCHFC5-S1</t>
        </is>
      </c>
      <c r="C12" s="23" t="inlineStr">
        <is>
          <t xml:space="preserve">    Recipiente (cilindro)</t>
        </is>
      </c>
      <c r="D12" s="22" t="n">
        <v>1</v>
      </c>
      <c r="E12" s="22" t="inlineStr">
        <is>
          <t>u</t>
        </is>
      </c>
      <c r="F12" s="24" t="n"/>
      <c r="G12" s="24">
        <f>G13+G14+G15+G16+G17+G20</f>
        <v/>
      </c>
      <c r="H12" s="22" t="n"/>
      <c r="I12" s="23" t="n"/>
      <c r="J12" s="22" t="inlineStr">
        <is>
          <t>Compra / armado</t>
        </is>
      </c>
      <c r="K12" s="23" t="n"/>
      <c r="L12" s="23" t="inlineStr">
        <is>
          <t>IRAM 3523 / 3550 (recipiente)</t>
        </is>
      </c>
      <c r="M12" s="22" t="inlineStr">
        <is>
          <t>P</t>
        </is>
      </c>
      <c r="N12" s="22" t="inlineStr">
        <is>
          <t>FL_DES_HCFC-HFC_5kg</t>
        </is>
      </c>
      <c r="O12" s="23" t="n"/>
    </row>
    <row r="13" outlineLevel="1">
      <c r="A13" s="25" t="n">
        <v>2</v>
      </c>
      <c r="B13" s="25" t="inlineStr">
        <is>
          <t>HCFCHFC5-01</t>
        </is>
      </c>
      <c r="C13" s="12" t="inlineStr">
        <is>
          <t xml:space="preserve">        Cuerpo (virola)</t>
        </is>
      </c>
      <c r="D13" s="25" t="n">
        <v>1</v>
      </c>
      <c r="E13" s="25" t="inlineStr">
        <is>
          <t>u</t>
        </is>
      </c>
      <c r="F13" s="26" t="n">
        <v>1.9203</v>
      </c>
      <c r="G13" s="26">
        <f>D13*F13</f>
        <v/>
      </c>
      <c r="H13" s="25" t="inlineStr">
        <is>
          <t>Chapa acero SAE 1010 e=1,6</t>
        </is>
      </c>
      <c r="I13" s="12" t="inlineStr">
        <is>
          <t>Ø153 × e1,6 × 321,4 de alto; desarrollo 475,6 × 321,4</t>
        </is>
      </c>
      <c r="J13" s="25" t="inlineStr">
        <is>
          <t>Compra (en el conjunto)</t>
        </is>
      </c>
      <c r="K13" s="12" t="inlineStr">
        <is>
          <t>S4 - se compra terminado (tercerizado con sello IRAM)</t>
        </is>
      </c>
      <c r="L13" s="12" t="n"/>
      <c r="M13" s="25" t="inlineStr">
        <is>
          <t>P</t>
        </is>
      </c>
      <c r="N13" s="25" t="inlineStr">
        <is>
          <t>FL_DES_HCFC-HFC_5kg</t>
        </is>
      </c>
      <c r="O13" s="12" t="inlineStr">
        <is>
          <t>costura long. MIG</t>
        </is>
      </c>
    </row>
    <row r="14" outlineLevel="1">
      <c r="A14" s="25" t="n">
        <v>2</v>
      </c>
      <c r="B14" s="25" t="inlineStr">
        <is>
          <t>HCFCHFC5-02</t>
        </is>
      </c>
      <c r="C14" s="12" t="inlineStr">
        <is>
          <t xml:space="preserve">        Cúpula</t>
        </is>
      </c>
      <c r="D14" s="25" t="n">
        <v>1</v>
      </c>
      <c r="E14" s="25" t="inlineStr">
        <is>
          <t>u</t>
        </is>
      </c>
      <c r="F14" s="26" t="n">
        <v>0.3505</v>
      </c>
      <c r="G14" s="26">
        <f>D14*F14</f>
        <v/>
      </c>
      <c r="H14" s="25" t="inlineStr">
        <is>
          <t>Chapa acero SAE 1010 e=1,6</t>
        </is>
      </c>
      <c r="I14" s="12" t="inlineStr">
        <is>
          <t>Ø153 × e1,6 × 53,1 de alto; disco Ø221</t>
        </is>
      </c>
      <c r="J14" s="25" t="inlineStr">
        <is>
          <t>Compra (en el conjunto)</t>
        </is>
      </c>
      <c r="K14" s="12" t="inlineStr">
        <is>
          <t>S4 - se compra terminado (tercerizado con sello IRAM)</t>
        </is>
      </c>
      <c r="L14" s="12" t="n"/>
      <c r="M14" s="25" t="inlineStr">
        <is>
          <t>P</t>
        </is>
      </c>
      <c r="N14" s="25" t="inlineStr">
        <is>
          <t>FL_DES_HCFC-HFC_5kg</t>
        </is>
      </c>
      <c r="O14" s="12" t="inlineStr">
        <is>
          <t>embutida</t>
        </is>
      </c>
    </row>
    <row r="15" outlineLevel="1">
      <c r="A15" s="25" t="n">
        <v>2</v>
      </c>
      <c r="B15" s="25" t="inlineStr">
        <is>
          <t>HCFCHFC5-03</t>
        </is>
      </c>
      <c r="C15" s="12" t="inlineStr">
        <is>
          <t xml:space="preserve">        Fondo</t>
        </is>
      </c>
      <c r="D15" s="25" t="n">
        <v>1</v>
      </c>
      <c r="E15" s="25" t="inlineStr">
        <is>
          <t>u</t>
        </is>
      </c>
      <c r="F15" s="26" t="n">
        <v>0.2214</v>
      </c>
      <c r="G15" s="26">
        <f>D15*F15</f>
        <v/>
      </c>
      <c r="H15" s="25" t="inlineStr">
        <is>
          <t>Chapa acero SAE 1010 e=1,6</t>
        </is>
      </c>
      <c r="I15" s="12" t="inlineStr">
        <is>
          <t>Ø153 × e1,6 × 17,6 de alto; disco Ø177</t>
        </is>
      </c>
      <c r="J15" s="25" t="inlineStr">
        <is>
          <t>Compra (en el conjunto)</t>
        </is>
      </c>
      <c r="K15" s="12" t="inlineStr">
        <is>
          <t>S4 - se compra terminado (tercerizado con sello IRAM)</t>
        </is>
      </c>
      <c r="L15" s="12" t="n"/>
      <c r="M15" s="25" t="inlineStr">
        <is>
          <t>P</t>
        </is>
      </c>
      <c r="N15" s="25" t="inlineStr">
        <is>
          <t>FL_DES_HCFC-HFC_5kg</t>
        </is>
      </c>
      <c r="O15" s="12" t="inlineStr">
        <is>
          <t>embutido</t>
        </is>
      </c>
    </row>
    <row r="16" outlineLevel="1">
      <c r="A16" s="25" t="n">
        <v>2</v>
      </c>
      <c r="B16" s="25" t="inlineStr">
        <is>
          <t>HCFCHFC5-04</t>
        </is>
      </c>
      <c r="C16" s="12" t="inlineStr">
        <is>
          <t xml:space="preserve">        Cuello roscado</t>
        </is>
      </c>
      <c r="D16" s="25" t="n">
        <v>1</v>
      </c>
      <c r="E16" s="25" t="inlineStr">
        <is>
          <t>u</t>
        </is>
      </c>
      <c r="F16" s="26" t="n">
        <v>0.0589</v>
      </c>
      <c r="G16" s="26">
        <f>D16*F16</f>
        <v/>
      </c>
      <c r="H16" s="25" t="inlineStr">
        <is>
          <t>Acero SAE 1010</t>
        </is>
      </c>
      <c r="I16" s="12" t="inlineStr">
        <is>
          <t>Ø37 × 15 de alto, rosca M30x1,5, asiento Ø35</t>
        </is>
      </c>
      <c r="J16" s="25" t="inlineStr">
        <is>
          <t>Compra (en el conjunto)</t>
        </is>
      </c>
      <c r="K16" s="12" t="inlineStr">
        <is>
          <t>S4 - se compra terminado (tercerizado con sello IRAM)</t>
        </is>
      </c>
      <c r="L16" s="12" t="n"/>
      <c r="M16" s="25" t="inlineStr">
        <is>
          <t>P</t>
        </is>
      </c>
      <c r="N16" s="25" t="inlineStr">
        <is>
          <t>FL_DES_HCFC-HFC_5kg</t>
        </is>
      </c>
      <c r="O16" s="12" t="inlineStr">
        <is>
          <t>M30x1,5</t>
        </is>
      </c>
    </row>
    <row r="17" outlineLevel="1">
      <c r="A17" s="25" t="n">
        <v>2</v>
      </c>
      <c r="B17" s="25" t="inlineStr">
        <is>
          <t>HCFCHFC5-C1</t>
        </is>
      </c>
      <c r="C17" s="12" t="inlineStr">
        <is>
          <t xml:space="preserve">        Aporte de soldadura: Alambre MAG ER70S-6 Ø0,9/1,2</t>
        </is>
      </c>
      <c r="D17" s="25" t="n">
        <v>0.0571</v>
      </c>
      <c r="E17" s="25" t="inlineStr">
        <is>
          <t>kg</t>
        </is>
      </c>
      <c r="F17" s="26" t="n">
        <v>0.92</v>
      </c>
      <c r="G17" s="26">
        <f>D17*F17</f>
        <v/>
      </c>
      <c r="H17" s="25" t="inlineStr">
        <is>
          <t>Alambre MAG ER70S-6 Ø0,9/1,2</t>
        </is>
      </c>
      <c r="I17" s="12" t="inlineStr">
        <is>
          <t>cordones del plano: 53 g depositados (rend. 92 %)</t>
        </is>
      </c>
      <c r="J17" s="25" t="inlineStr">
        <is>
          <t>Compra</t>
        </is>
      </c>
      <c r="K17" s="12" t="inlineStr">
        <is>
          <t>4 sold. long. / 8 cuello / 11 circunferencial</t>
        </is>
      </c>
      <c r="L17" s="12" t="inlineStr">
        <is>
          <t>ISO 4063 131 / 141</t>
        </is>
      </c>
      <c r="M17" s="25" t="inlineStr">
        <is>
          <t>P</t>
        </is>
      </c>
      <c r="N17" s="25" t="n"/>
      <c r="O17" s="12" t="n"/>
    </row>
    <row r="18" outlineLevel="1">
      <c r="A18" s="25" t="n">
        <v>2</v>
      </c>
      <c r="B18" s="25" t="inlineStr">
        <is>
          <t>HCFCHFC5-C2</t>
        </is>
      </c>
      <c r="C18" s="12" t="inlineStr">
        <is>
          <t xml:space="preserve">        Gas de protección: Arcal 21 (Ar + 18 % CO₂)</t>
        </is>
      </c>
      <c r="D18" s="25" t="n">
        <v>25.7</v>
      </c>
      <c r="E18" s="25" t="inlineStr">
        <is>
          <t>L</t>
        </is>
      </c>
      <c r="F18" s="26" t="n"/>
      <c r="G18" s="26" t="n"/>
      <c r="H18" s="25" t="inlineStr">
        <is>
          <t>Arcal 21 (Ar + 18 % CO₂)</t>
        </is>
      </c>
      <c r="I18" s="12" t="inlineStr">
        <is>
          <t>1,7 min de arco × 15 L/min</t>
        </is>
      </c>
      <c r="J18" s="25" t="inlineStr">
        <is>
          <t>Compra</t>
        </is>
      </c>
      <c r="K18" s="12" t="inlineStr">
        <is>
          <t>Colector SC</t>
        </is>
      </c>
      <c r="L18" s="12" t="n"/>
      <c r="M18" s="25" t="inlineStr">
        <is>
          <t>R</t>
        </is>
      </c>
      <c r="N18" s="25" t="n"/>
      <c r="O18" s="12" t="n"/>
    </row>
    <row r="19" outlineLevel="1">
      <c r="A19" s="25" t="n">
        <v>2</v>
      </c>
      <c r="B19" s="25" t="inlineStr">
        <is>
          <t>HCFCHFC5-C3</t>
        </is>
      </c>
      <c r="C19" s="12" t="inlineStr">
        <is>
          <t xml:space="preserve">        Granalla de acero (consumo)</t>
        </is>
      </c>
      <c r="D19" s="25" t="n">
        <v>0.016</v>
      </c>
      <c r="E19" s="25" t="inlineStr">
        <is>
          <t>kg</t>
        </is>
      </c>
      <c r="F19" s="26" t="n"/>
      <c r="G19" s="26" t="n"/>
      <c r="H19" s="25" t="inlineStr">
        <is>
          <t>Granalla S-230</t>
        </is>
      </c>
      <c r="I19" s="12" t="inlineStr">
        <is>
          <t>0,198 m² a Sa 2½</t>
        </is>
      </c>
      <c r="J19" s="25" t="inlineStr">
        <is>
          <t>Compra</t>
        </is>
      </c>
      <c r="K19" s="12" t="inlineStr">
        <is>
          <t>14 Granallado (B08)</t>
        </is>
      </c>
      <c r="L19" s="12" t="inlineStr">
        <is>
          <t>ISO 8501-1</t>
        </is>
      </c>
      <c r="M19" s="25" t="inlineStr">
        <is>
          <t>R</t>
        </is>
      </c>
      <c r="N19" s="25" t="n"/>
      <c r="O19" s="12" t="n"/>
    </row>
    <row r="20" outlineLevel="1">
      <c r="A20" s="25" t="n">
        <v>2</v>
      </c>
      <c r="B20" s="25" t="inlineStr">
        <is>
          <t>HCFCHFC5-C4</t>
        </is>
      </c>
      <c r="C20" s="12" t="inlineStr">
        <is>
          <t xml:space="preserve">        Pintura en polvo poliéster rojo</t>
        </is>
      </c>
      <c r="D20" s="25" t="n">
        <v>0.037</v>
      </c>
      <c r="E20" s="25" t="inlineStr">
        <is>
          <t>kg</t>
        </is>
      </c>
      <c r="F20" s="26" t="n">
        <v>0.65</v>
      </c>
      <c r="G20" s="26">
        <f>D20*F20</f>
        <v/>
      </c>
      <c r="H20" s="25" t="inlineStr">
        <is>
          <t>Poliéster rojo 03-1-050</t>
        </is>
      </c>
      <c r="I20" s="12" t="inlineStr">
        <is>
          <t>0,198 m² × 80 µm (60-100 µm), rendimiento 65 %</t>
        </is>
      </c>
      <c r="J20" s="25" t="inlineStr">
        <is>
          <t>Compra</t>
        </is>
      </c>
      <c r="K20" s="12" t="inlineStr">
        <is>
          <t>17 Pintura (S-P) / tercerizada en carros</t>
        </is>
      </c>
      <c r="L20" s="12" t="inlineStr">
        <is>
          <t>DOC-01 · IRAM 3517-2 9.10</t>
        </is>
      </c>
      <c r="M20" s="25" t="inlineStr">
        <is>
          <t>R</t>
        </is>
      </c>
      <c r="N20" s="25" t="n"/>
      <c r="O20" s="12" t="n"/>
    </row>
    <row r="21">
      <c r="A21" s="22" t="n">
        <v>1</v>
      </c>
      <c r="B21" s="22" t="inlineStr">
        <is>
          <t>HCFCHFC5-S2</t>
        </is>
      </c>
      <c r="C21" s="23" t="inlineStr">
        <is>
          <t xml:space="preserve">    Conjunto de válvula</t>
        </is>
      </c>
      <c r="D21" s="22" t="n">
        <v>1</v>
      </c>
      <c r="E21" s="22" t="inlineStr">
        <is>
          <t>u</t>
        </is>
      </c>
      <c r="F21" s="24" t="n"/>
      <c r="G21" s="24">
        <f>G22+G23+G24+G25+G26+G27+G28+G29+G30+G31+G32+G33+G34</f>
        <v/>
      </c>
      <c r="H21" s="22" t="n"/>
      <c r="I21" s="23" t="n"/>
      <c r="J21" s="22" t="inlineStr">
        <is>
          <t>Compra / armado</t>
        </is>
      </c>
      <c r="K21" s="23" t="n"/>
      <c r="L21" s="23" t="inlineStr">
        <is>
          <t>Manómetro IRAM 3533</t>
        </is>
      </c>
      <c r="M21" s="22" t="inlineStr">
        <is>
          <t>P</t>
        </is>
      </c>
      <c r="N21" s="22" t="inlineStr">
        <is>
          <t>FL_DES_HCFC-HFC_5kg</t>
        </is>
      </c>
      <c r="O21" s="23" t="n"/>
    </row>
    <row r="22" outlineLevel="1">
      <c r="A22" s="25" t="n">
        <v>2</v>
      </c>
      <c r="B22" s="25" t="inlineStr">
        <is>
          <t>HCFCHFC5-05</t>
        </is>
      </c>
      <c r="C22" s="12" t="inlineStr">
        <is>
          <t xml:space="preserve">        Collarín de válvula</t>
        </is>
      </c>
      <c r="D22" s="25" t="n">
        <v>1</v>
      </c>
      <c r="E22" s="25" t="inlineStr">
        <is>
          <t>u</t>
        </is>
      </c>
      <c r="F22" s="26" t="n">
        <v>0.0833</v>
      </c>
      <c r="G22" s="26">
        <f>D22*F22</f>
        <v/>
      </c>
      <c r="H22" s="25" t="inlineStr">
        <is>
          <t>Latón forjado</t>
        </is>
      </c>
      <c r="I22" s="12" t="inlineStr">
        <is>
          <t>43 × 43 × 10</t>
        </is>
      </c>
      <c r="J22" s="25" t="inlineStr">
        <is>
          <t>Compra (en el conjunto)</t>
        </is>
      </c>
      <c r="K22" s="12" t="inlineStr">
        <is>
          <t>S4 - se compra terminado (tercerizado con sello IRAM)</t>
        </is>
      </c>
      <c r="L22" s="12" t="n"/>
      <c r="M22" s="25" t="inlineStr">
        <is>
          <t>P</t>
        </is>
      </c>
      <c r="N22" s="25" t="inlineStr">
        <is>
          <t>FL_DES_HCFC-HFC_5kg</t>
        </is>
      </c>
      <c r="O22" s="12" t="n"/>
    </row>
    <row r="23" outlineLevel="1">
      <c r="A23" s="25" t="n">
        <v>2</v>
      </c>
      <c r="B23" s="25" t="inlineStr">
        <is>
          <t>HCFCHFC5-06</t>
        </is>
      </c>
      <c r="C23" s="12" t="inlineStr">
        <is>
          <t xml:space="preserve">        Espiga roscada</t>
        </is>
      </c>
      <c r="D23" s="25" t="n">
        <v>1</v>
      </c>
      <c r="E23" s="25" t="inlineStr">
        <is>
          <t>u</t>
        </is>
      </c>
      <c r="F23" s="26" t="n">
        <v>0.0243</v>
      </c>
      <c r="G23" s="26">
        <f>D23*F23</f>
        <v/>
      </c>
      <c r="H23" s="25" t="inlineStr">
        <is>
          <t>Latón forjado</t>
        </is>
      </c>
      <c r="I23" s="12" t="inlineStr">
        <is>
          <t>28,4 × 28,4 × 12</t>
        </is>
      </c>
      <c r="J23" s="25" t="inlineStr">
        <is>
          <t>Compra (en el conjunto)</t>
        </is>
      </c>
      <c r="K23" s="12" t="inlineStr">
        <is>
          <t>S4 - se compra terminado (tercerizado con sello IRAM)</t>
        </is>
      </c>
      <c r="L23" s="12" t="n"/>
      <c r="M23" s="25" t="inlineStr">
        <is>
          <t>P</t>
        </is>
      </c>
      <c r="N23" s="25" t="inlineStr">
        <is>
          <t>FL_DES_HCFC-HFC_5kg</t>
        </is>
      </c>
      <c r="O23" s="12" t="n"/>
    </row>
    <row r="24" outlineLevel="1">
      <c r="A24" s="25" t="n">
        <v>2</v>
      </c>
      <c r="B24" s="25" t="inlineStr">
        <is>
          <t>HCFCHFC5-07</t>
        </is>
      </c>
      <c r="C24" s="12" t="inlineStr">
        <is>
          <t xml:space="preserve">        Cuerpo de válvula</t>
        </is>
      </c>
      <c r="D24" s="25" t="n">
        <v>1</v>
      </c>
      <c r="E24" s="25" t="inlineStr">
        <is>
          <t>u</t>
        </is>
      </c>
      <c r="F24" s="26" t="n">
        <v>0.4131</v>
      </c>
      <c r="G24" s="26">
        <f>D24*F24</f>
        <v/>
      </c>
      <c r="H24" s="25" t="inlineStr">
        <is>
          <t>Latón forjado</t>
        </is>
      </c>
      <c r="I24" s="12" t="inlineStr">
        <is>
          <t>56,3 × 43 × 34</t>
        </is>
      </c>
      <c r="J24" s="25" t="inlineStr">
        <is>
          <t>Compra (en el conjunto)</t>
        </is>
      </c>
      <c r="K24" s="12" t="inlineStr">
        <is>
          <t>S4 - se compra terminado (tercerizado con sello IRAM)</t>
        </is>
      </c>
      <c r="L24" s="12" t="n"/>
      <c r="M24" s="25" t="inlineStr">
        <is>
          <t>P</t>
        </is>
      </c>
      <c r="N24" s="25" t="inlineStr">
        <is>
          <t>FL_DES_HCFC-HFC_5kg</t>
        </is>
      </c>
      <c r="O24" s="12" t="n"/>
    </row>
    <row r="25" outlineLevel="1">
      <c r="A25" s="25" t="n">
        <v>2</v>
      </c>
      <c r="B25" s="25" t="inlineStr">
        <is>
          <t>HCFCHFC5-08</t>
        </is>
      </c>
      <c r="C25" s="12" t="inlineStr">
        <is>
          <t xml:space="preserve">        Manómetro</t>
        </is>
      </c>
      <c r="D25" s="25" t="n">
        <v>1</v>
      </c>
      <c r="E25" s="25" t="inlineStr">
        <is>
          <t>u</t>
        </is>
      </c>
      <c r="F25" s="26" t="n">
        <v>0.06</v>
      </c>
      <c r="G25" s="26">
        <f>D25*F25</f>
        <v/>
      </c>
      <c r="H25" s="25" t="inlineStr">
        <is>
          <t>Comercial</t>
        </is>
      </c>
      <c r="I25" s="12" t="inlineStr">
        <is>
          <t>Ø38 esfera, rango 0-2 MPa, sector verde en 0,8</t>
        </is>
      </c>
      <c r="J25" s="25" t="inlineStr">
        <is>
          <t>Compra (en el conjunto)</t>
        </is>
      </c>
      <c r="K25" s="12" t="inlineStr">
        <is>
          <t>S4 - se compra terminado (tercerizado con sello IRAM)</t>
        </is>
      </c>
      <c r="L25" s="12" t="inlineStr">
        <is>
          <t>IRAM 3533</t>
        </is>
      </c>
      <c r="M25" s="25" t="inlineStr">
        <is>
          <t>R</t>
        </is>
      </c>
      <c r="N25" s="25" t="inlineStr">
        <is>
          <t>FL_DES_HCFC-HFC_5kg</t>
        </is>
      </c>
      <c r="O25" s="12" t="inlineStr">
        <is>
          <t>Pieza comercial; sello IRAM 3533</t>
        </is>
      </c>
    </row>
    <row r="26" outlineLevel="1">
      <c r="A26" s="25" t="n">
        <v>2</v>
      </c>
      <c r="B26" s="25" t="inlineStr">
        <is>
          <t>HCFCHFC5-09</t>
        </is>
      </c>
      <c r="C26" s="12" t="inlineStr">
        <is>
          <t xml:space="preserve">        Manija de transporte</t>
        </is>
      </c>
      <c r="D26" s="25" t="n">
        <v>1</v>
      </c>
      <c r="E26" s="25" t="inlineStr">
        <is>
          <t>u</t>
        </is>
      </c>
      <c r="F26" s="26" t="n">
        <v>0.0619</v>
      </c>
      <c r="G26" s="26">
        <f>D26*F26</f>
        <v/>
      </c>
      <c r="H26" s="25" t="inlineStr">
        <is>
          <t>Chapa acero SAE 1010 pintada</t>
        </is>
      </c>
      <c r="I26" s="12" t="inlineStr">
        <is>
          <t>98,4 × 20 × 14,3</t>
        </is>
      </c>
      <c r="J26" s="25" t="inlineStr">
        <is>
          <t>Compra (en el conjunto)</t>
        </is>
      </c>
      <c r="K26" s="12" t="inlineStr">
        <is>
          <t>S4 - se compra terminado (tercerizado con sello IRAM)</t>
        </is>
      </c>
      <c r="L26" s="12" t="n"/>
      <c r="M26" s="25" t="inlineStr">
        <is>
          <t>P</t>
        </is>
      </c>
      <c r="N26" s="25" t="inlineStr">
        <is>
          <t>FL_DES_HCFC-HFC_5kg</t>
        </is>
      </c>
      <c r="O26" s="12" t="n"/>
    </row>
    <row r="27" outlineLevel="1">
      <c r="A27" s="25" t="n">
        <v>2</v>
      </c>
      <c r="B27" s="25" t="inlineStr">
        <is>
          <t>HCFCHFC5-10</t>
        </is>
      </c>
      <c r="C27" s="12" t="inlineStr">
        <is>
          <t xml:space="preserve">        Manija de accionamiento</t>
        </is>
      </c>
      <c r="D27" s="25" t="n">
        <v>1</v>
      </c>
      <c r="E27" s="25" t="inlineStr">
        <is>
          <t>u</t>
        </is>
      </c>
      <c r="F27" s="26" t="n">
        <v>0.08890000000000001</v>
      </c>
      <c r="G27" s="26">
        <f>D27*F27</f>
        <v/>
      </c>
      <c r="H27" s="25" t="inlineStr">
        <is>
          <t>Chapa acero SAE 1010 pintada</t>
        </is>
      </c>
      <c r="I27" s="12" t="inlineStr">
        <is>
          <t>141 × 21,2 × 20</t>
        </is>
      </c>
      <c r="J27" s="25" t="inlineStr">
        <is>
          <t>Compra (en el conjunto)</t>
        </is>
      </c>
      <c r="K27" s="12" t="inlineStr">
        <is>
          <t>S4 - se compra terminado (tercerizado con sello IRAM)</t>
        </is>
      </c>
      <c r="L27" s="12" t="n"/>
      <c r="M27" s="25" t="inlineStr">
        <is>
          <t>P</t>
        </is>
      </c>
      <c r="N27" s="25" t="inlineStr">
        <is>
          <t>FL_DES_HCFC-HFC_5kg</t>
        </is>
      </c>
      <c r="O27" s="12" t="n"/>
    </row>
    <row r="28" outlineLevel="1">
      <c r="A28" s="25" t="n">
        <v>2</v>
      </c>
      <c r="B28" s="25" t="inlineStr">
        <is>
          <t>HCFCHFC5-11</t>
        </is>
      </c>
      <c r="C28" s="12" t="inlineStr">
        <is>
          <t xml:space="preserve">        Eje de palanca</t>
        </is>
      </c>
      <c r="D28" s="25" t="n">
        <v>1</v>
      </c>
      <c r="E28" s="25" t="inlineStr">
        <is>
          <t>u</t>
        </is>
      </c>
      <c r="F28" s="26" t="n">
        <v>0.0081</v>
      </c>
      <c r="G28" s="26">
        <f>D28*F28</f>
        <v/>
      </c>
      <c r="H28" s="25" t="inlineStr">
        <is>
          <t>Acero inox. AISI 304</t>
        </is>
      </c>
      <c r="I28" s="12" t="inlineStr">
        <is>
          <t>36 × 6 × 6</t>
        </is>
      </c>
      <c r="J28" s="25" t="inlineStr">
        <is>
          <t>Compra (en el conjunto)</t>
        </is>
      </c>
      <c r="K28" s="12" t="inlineStr">
        <is>
          <t>S4 - se compra terminado (tercerizado con sello IRAM)</t>
        </is>
      </c>
      <c r="L28" s="12" t="n"/>
      <c r="M28" s="25" t="inlineStr">
        <is>
          <t>P</t>
        </is>
      </c>
      <c r="N28" s="25" t="inlineStr">
        <is>
          <t>FL_DES_HCFC-HFC_5kg</t>
        </is>
      </c>
      <c r="O28" s="12" t="n"/>
    </row>
    <row r="29" outlineLevel="1">
      <c r="A29" s="25" t="n">
        <v>2</v>
      </c>
      <c r="B29" s="25" t="inlineStr">
        <is>
          <t>HCFCHFC5-12</t>
        </is>
      </c>
      <c r="C29" s="12" t="inlineStr">
        <is>
          <t xml:space="preserve">        Vástago</t>
        </is>
      </c>
      <c r="D29" s="25" t="n">
        <v>1</v>
      </c>
      <c r="E29" s="25" t="inlineStr">
        <is>
          <t>u</t>
        </is>
      </c>
      <c r="F29" s="26" t="n">
        <v>0.0017</v>
      </c>
      <c r="G29" s="26">
        <f>D29*F29</f>
        <v/>
      </c>
      <c r="H29" s="25" t="inlineStr">
        <is>
          <t>Latón</t>
        </is>
      </c>
      <c r="I29" s="12" t="inlineStr">
        <is>
          <t>8 × 8 × 4</t>
        </is>
      </c>
      <c r="J29" s="25" t="inlineStr">
        <is>
          <t>Compra (en el conjunto)</t>
        </is>
      </c>
      <c r="K29" s="12" t="inlineStr">
        <is>
          <t>S4 - se compra terminado (tercerizado con sello IRAM)</t>
        </is>
      </c>
      <c r="L29" s="12" t="n"/>
      <c r="M29" s="25" t="inlineStr">
        <is>
          <t>P</t>
        </is>
      </c>
      <c r="N29" s="25" t="inlineStr">
        <is>
          <t>FL_DES_HCFC-HFC_5kg</t>
        </is>
      </c>
      <c r="O29" s="12" t="inlineStr">
        <is>
          <t>con junta tórica</t>
        </is>
      </c>
    </row>
    <row r="30" outlineLevel="1">
      <c r="A30" s="25" t="n">
        <v>2</v>
      </c>
      <c r="B30" s="25" t="inlineStr">
        <is>
          <t>HCFCHFC5-13</t>
        </is>
      </c>
      <c r="C30" s="12" t="inlineStr">
        <is>
          <t xml:space="preserve">        Pasador de seguridad</t>
        </is>
      </c>
      <c r="D30" s="25" t="n">
        <v>1</v>
      </c>
      <c r="E30" s="25" t="inlineStr">
        <is>
          <t>u</t>
        </is>
      </c>
      <c r="F30" s="26" t="n">
        <v>0.0055</v>
      </c>
      <c r="G30" s="26">
        <f>D30*F30</f>
        <v/>
      </c>
      <c r="H30" s="25" t="inlineStr">
        <is>
          <t>Alambre acero inox. AISI 304</t>
        </is>
      </c>
      <c r="I30" s="12" t="inlineStr">
        <is>
          <t>45,4 × 21 × 20,8</t>
        </is>
      </c>
      <c r="J30" s="25" t="inlineStr">
        <is>
          <t>Compra (en el conjunto)</t>
        </is>
      </c>
      <c r="K30" s="12" t="inlineStr">
        <is>
          <t>S4 - se compra terminado (tercerizado con sello IRAM)</t>
        </is>
      </c>
      <c r="L30" s="12" t="n"/>
      <c r="M30" s="25" t="inlineStr">
        <is>
          <t>P</t>
        </is>
      </c>
      <c r="N30" s="25" t="inlineStr">
        <is>
          <t>FL_DES_HCFC-HFC_5kg</t>
        </is>
      </c>
      <c r="O30" s="12" t="inlineStr">
        <is>
          <t>con precinto</t>
        </is>
      </c>
    </row>
    <row r="31" outlineLevel="1">
      <c r="A31" s="25" t="n">
        <v>2</v>
      </c>
      <c r="B31" s="25" t="inlineStr">
        <is>
          <t>HCFCHFC5-14</t>
        </is>
      </c>
      <c r="C31" s="12" t="inlineStr">
        <is>
          <t xml:space="preserve">        Caño de pesca (sifón)</t>
        </is>
      </c>
      <c r="D31" s="25" t="n">
        <v>1</v>
      </c>
      <c r="E31" s="25" t="inlineStr">
        <is>
          <t>u</t>
        </is>
      </c>
      <c r="F31" s="26" t="n">
        <v>0.0244</v>
      </c>
      <c r="G31" s="26">
        <f>D31*F31</f>
        <v/>
      </c>
      <c r="H31" s="25" t="inlineStr">
        <is>
          <t>Tubo PVC rígido</t>
        </is>
      </c>
      <c r="I31" s="12" t="inlineStr">
        <is>
          <t>Ø12 × 352,4 de largo</t>
        </is>
      </c>
      <c r="J31" s="25" t="inlineStr">
        <is>
          <t>Compra (en el conjunto)</t>
        </is>
      </c>
      <c r="K31" s="12" t="inlineStr">
        <is>
          <t>S4 - se compra terminado (tercerizado con sello IRAM)</t>
        </is>
      </c>
      <c r="L31" s="12" t="n"/>
      <c r="M31" s="25" t="inlineStr">
        <is>
          <t>P</t>
        </is>
      </c>
      <c r="N31" s="25" t="inlineStr">
        <is>
          <t>FL_DES_HCFC-HFC_5kg</t>
        </is>
      </c>
      <c r="O31" s="12" t="n"/>
    </row>
    <row r="32" outlineLevel="1">
      <c r="A32" s="25" t="n">
        <v>2</v>
      </c>
      <c r="B32" s="25" t="inlineStr">
        <is>
          <t>HCFCHFC5-22</t>
        </is>
      </c>
      <c r="C32" s="12" t="inlineStr">
        <is>
          <t xml:space="preserve">        Junta tórica de asiento</t>
        </is>
      </c>
      <c r="D32" s="25" t="n">
        <v>1</v>
      </c>
      <c r="E32" s="25" t="inlineStr">
        <is>
          <t>u</t>
        </is>
      </c>
      <c r="F32" s="26" t="n">
        <v>0.001</v>
      </c>
      <c r="G32" s="26">
        <f>D32*F32</f>
        <v/>
      </c>
      <c r="H32" s="25" t="inlineStr">
        <is>
          <t>EPDM (compatible con HCFC/HFC)</t>
        </is>
      </c>
      <c r="I32" s="12" t="inlineStr">
        <is>
          <t>Ø31,4 ext. × cordón 3</t>
        </is>
      </c>
      <c r="J32" s="25" t="inlineStr">
        <is>
          <t>Compra (en el conjunto)</t>
        </is>
      </c>
      <c r="K32" s="12" t="inlineStr">
        <is>
          <t>S4 - se compra terminado (tercerizado con sello IRAM)</t>
        </is>
      </c>
      <c r="L32" s="12" t="n"/>
      <c r="M32" s="25" t="inlineStr">
        <is>
          <t>P</t>
        </is>
      </c>
      <c r="N32" s="25" t="inlineStr">
        <is>
          <t>FL_DES_HCFC-HFC_5kg</t>
        </is>
      </c>
      <c r="O32" s="12" t="inlineStr">
        <is>
          <t>cambio c/recarga</t>
        </is>
      </c>
    </row>
    <row r="33" outlineLevel="1">
      <c r="A33" s="25" t="n">
        <v>2</v>
      </c>
      <c r="B33" s="25" t="inlineStr">
        <is>
          <t>HCFCHFC5-V2</t>
        </is>
      </c>
      <c r="C33" s="12" t="inlineStr">
        <is>
          <t xml:space="preserve">        Resorte de retorno del vástago</t>
        </is>
      </c>
      <c r="D33" s="25" t="n">
        <v>1</v>
      </c>
      <c r="E33" s="25" t="inlineStr">
        <is>
          <t>u</t>
        </is>
      </c>
      <c r="F33" s="26" t="n">
        <v>0.003</v>
      </c>
      <c r="G33" s="26">
        <f>D33*F33</f>
        <v/>
      </c>
      <c r="H33" s="25" t="inlineStr">
        <is>
          <t>Alambre acero inox. AISI 302</t>
        </is>
      </c>
      <c r="I33" s="12" t="inlineStr">
        <is>
          <t>según válvula</t>
        </is>
      </c>
      <c r="J33" s="25" t="inlineStr">
        <is>
          <t>Compra</t>
        </is>
      </c>
      <c r="K33" s="12" t="inlineStr">
        <is>
          <t>19 Ensamblaje</t>
        </is>
      </c>
      <c r="L33" s="12" t="n"/>
      <c r="M33" s="25" t="inlineStr">
        <is>
          <t>R</t>
        </is>
      </c>
      <c r="N33" s="25" t="n"/>
      <c r="O33" s="12" t="n"/>
    </row>
    <row r="34" outlineLevel="1">
      <c r="A34" s="25" t="n">
        <v>2</v>
      </c>
      <c r="B34" s="25" t="inlineStr">
        <is>
          <t>HCFCHFC5-V3</t>
        </is>
      </c>
      <c r="C34" s="12" t="inlineStr">
        <is>
          <t xml:space="preserve">        Junta tórica del vástago</t>
        </is>
      </c>
      <c r="D34" s="25" t="n">
        <v>1</v>
      </c>
      <c r="E34" s="25" t="inlineStr">
        <is>
          <t>u</t>
        </is>
      </c>
      <c r="F34" s="26" t="n">
        <v>0.001</v>
      </c>
      <c r="G34" s="26">
        <f>D34*F34</f>
        <v/>
      </c>
      <c r="H34" s="25" t="inlineStr">
        <is>
          <t>NBR 70 Shore A</t>
        </is>
      </c>
      <c r="I34" s="12" t="inlineStr">
        <is>
          <t>según válvula</t>
        </is>
      </c>
      <c r="J34" s="25" t="inlineStr">
        <is>
          <t>Compra</t>
        </is>
      </c>
      <c r="K34" s="12" t="inlineStr">
        <is>
          <t>19 Ensamblaje</t>
        </is>
      </c>
      <c r="L34" s="12" t="n"/>
      <c r="M34" s="25" t="inlineStr">
        <is>
          <t>P</t>
        </is>
      </c>
      <c r="N34" s="25" t="n"/>
      <c r="O34" s="12" t="inlineStr">
        <is>
          <t>Figura en el plano como «vástago con junta tórica»</t>
        </is>
      </c>
    </row>
    <row r="35">
      <c r="A35" s="22" t="n">
        <v>1</v>
      </c>
      <c r="B35" s="22" t="inlineStr">
        <is>
          <t>HCFCHFC5-S3</t>
        </is>
      </c>
      <c r="C35" s="23" t="inlineStr">
        <is>
          <t xml:space="preserve">    Dispositivo de descarga</t>
        </is>
      </c>
      <c r="D35" s="22" t="n">
        <v>1</v>
      </c>
      <c r="E35" s="22" t="inlineStr">
        <is>
          <t>u</t>
        </is>
      </c>
      <c r="F35" s="24" t="n"/>
      <c r="G35" s="24">
        <f>G36+G37+G38+G39</f>
        <v/>
      </c>
      <c r="H35" s="22" t="n"/>
      <c r="I35" s="23" t="n"/>
      <c r="J35" s="22" t="inlineStr">
        <is>
          <t>Compra / armado</t>
        </is>
      </c>
      <c r="K35" s="23" t="n"/>
      <c r="L35" s="23" t="n"/>
      <c r="M35" s="22" t="inlineStr">
        <is>
          <t>P</t>
        </is>
      </c>
      <c r="N35" s="22" t="inlineStr">
        <is>
          <t>FL_DES_HCFC-HFC_5kg</t>
        </is>
      </c>
      <c r="O35" s="23" t="n"/>
    </row>
    <row r="36" outlineLevel="1">
      <c r="A36" s="25" t="n">
        <v>2</v>
      </c>
      <c r="B36" s="25" t="inlineStr">
        <is>
          <t>HCFCHFC5-15</t>
        </is>
      </c>
      <c r="C36" s="12" t="inlineStr">
        <is>
          <t xml:space="preserve">        Racor de manguera</t>
        </is>
      </c>
      <c r="D36" s="25" t="n">
        <v>1</v>
      </c>
      <c r="E36" s="25" t="inlineStr">
        <is>
          <t>u</t>
        </is>
      </c>
      <c r="F36" s="26" t="n">
        <v>0.0258</v>
      </c>
      <c r="G36" s="26">
        <f>D36*F36</f>
        <v/>
      </c>
      <c r="H36" s="25" t="inlineStr">
        <is>
          <t>Latón</t>
        </is>
      </c>
      <c r="I36" s="12" t="inlineStr">
        <is>
          <t>18 × 18 × 12</t>
        </is>
      </c>
      <c r="J36" s="25" t="inlineStr">
        <is>
          <t>Compra (en el conjunto)</t>
        </is>
      </c>
      <c r="K36" s="12" t="inlineStr">
        <is>
          <t>S4 - se compra terminado (tercerizado con sello IRAM)</t>
        </is>
      </c>
      <c r="L36" s="12" t="n"/>
      <c r="M36" s="25" t="inlineStr">
        <is>
          <t>P</t>
        </is>
      </c>
      <c r="N36" s="25" t="inlineStr">
        <is>
          <t>FL_DES_HCFC-HFC_5kg</t>
        </is>
      </c>
      <c r="O36" s="12" t="n"/>
    </row>
    <row r="37" outlineLevel="1">
      <c r="A37" s="25" t="n">
        <v>2</v>
      </c>
      <c r="B37" s="25" t="inlineStr">
        <is>
          <t>HCFCHFC5-16</t>
        </is>
      </c>
      <c r="C37" s="12" t="inlineStr">
        <is>
          <t xml:space="preserve">        Manguera</t>
        </is>
      </c>
      <c r="D37" s="25" t="n">
        <v>1</v>
      </c>
      <c r="E37" s="25" t="inlineStr">
        <is>
          <t>u</t>
        </is>
      </c>
      <c r="F37" s="26" t="n">
        <v>0.046</v>
      </c>
      <c r="G37" s="26">
        <f>D37*F37</f>
        <v/>
      </c>
      <c r="H37" s="25" t="inlineStr">
        <is>
          <t>Caucho sintético</t>
        </is>
      </c>
      <c r="I37" s="12" t="inlineStr">
        <is>
          <t>Ø16 × 298 de largo desarrollado</t>
        </is>
      </c>
      <c r="J37" s="25" t="inlineStr">
        <is>
          <t>Compra (en el conjunto)</t>
        </is>
      </c>
      <c r="K37" s="12" t="inlineStr">
        <is>
          <t>S4 - se compra terminado (tercerizado con sello IRAM)</t>
        </is>
      </c>
      <c r="L37" s="12" t="n"/>
      <c r="M37" s="25" t="inlineStr">
        <is>
          <t>P</t>
        </is>
      </c>
      <c r="N37" s="25" t="inlineStr">
        <is>
          <t>FL_DES_HCFC-HFC_5kg</t>
        </is>
      </c>
      <c r="O37" s="12" t="n"/>
    </row>
    <row r="38" outlineLevel="1">
      <c r="A38" s="25" t="n">
        <v>2</v>
      </c>
      <c r="B38" s="25" t="inlineStr">
        <is>
          <t>HCFCHFC5-17</t>
        </is>
      </c>
      <c r="C38" s="12" t="inlineStr">
        <is>
          <t xml:space="preserve">        Tobera con portatobera</t>
        </is>
      </c>
      <c r="D38" s="25" t="n">
        <v>1</v>
      </c>
      <c r="E38" s="25" t="inlineStr">
        <is>
          <t>u</t>
        </is>
      </c>
      <c r="F38" s="26" t="n">
        <v>0.0166</v>
      </c>
      <c r="G38" s="26">
        <f>D38*F38</f>
        <v/>
      </c>
      <c r="H38" s="25" t="inlineStr">
        <is>
          <t>Polipropileno</t>
        </is>
      </c>
      <c r="I38" s="12" t="inlineStr">
        <is>
          <t>75 × 24 × 24</t>
        </is>
      </c>
      <c r="J38" s="25" t="inlineStr">
        <is>
          <t>Compra (en el conjunto)</t>
        </is>
      </c>
      <c r="K38" s="12" t="inlineStr">
        <is>
          <t>S4 - se compra terminado (tercerizado con sello IRAM)</t>
        </is>
      </c>
      <c r="L38" s="12" t="n"/>
      <c r="M38" s="25" t="inlineStr">
        <is>
          <t>P</t>
        </is>
      </c>
      <c r="N38" s="25" t="inlineStr">
        <is>
          <t>FL_DES_HCFC-HFC_5kg</t>
        </is>
      </c>
      <c r="O38" s="12" t="n"/>
    </row>
    <row r="39" outlineLevel="1">
      <c r="A39" s="25" t="n">
        <v>2</v>
      </c>
      <c r="B39" s="25" t="inlineStr">
        <is>
          <t>HCFCHFC5-18</t>
        </is>
      </c>
      <c r="C39" s="12" t="inlineStr">
        <is>
          <t xml:space="preserve">        Suncho portatobera</t>
        </is>
      </c>
      <c r="D39" s="25" t="n">
        <v>1</v>
      </c>
      <c r="E39" s="25" t="inlineStr">
        <is>
          <t>u</t>
        </is>
      </c>
      <c r="F39" s="26" t="n">
        <v>0.1319</v>
      </c>
      <c r="G39" s="26">
        <f>D39*F39</f>
        <v/>
      </c>
      <c r="H39" s="25" t="inlineStr">
        <is>
          <t>Fleje acero SAE 1010 pintado</t>
        </is>
      </c>
      <c r="I39" s="12" t="inlineStr">
        <is>
          <t>159,9 × 156 × 18</t>
        </is>
      </c>
      <c r="J39" s="25" t="inlineStr">
        <is>
          <t>Compra (en el conjunto)</t>
        </is>
      </c>
      <c r="K39" s="12" t="inlineStr">
        <is>
          <t>S4 - se compra terminado (tercerizado con sello IRAM)</t>
        </is>
      </c>
      <c r="L39" s="12" t="n"/>
      <c r="M39" s="25" t="inlineStr">
        <is>
          <t>P</t>
        </is>
      </c>
      <c r="N39" s="25" t="inlineStr">
        <is>
          <t>FL_DES_HCFC-HFC_5kg</t>
        </is>
      </c>
      <c r="O39" s="12" t="n"/>
    </row>
    <row r="40">
      <c r="A40" s="22" t="n">
        <v>1</v>
      </c>
      <c r="B40" s="22" t="inlineStr">
        <is>
          <t>HCFCHFC5-S5</t>
        </is>
      </c>
      <c r="C40" s="23" t="inlineStr">
        <is>
          <t xml:space="preserve">    Carga: agente extintor y gas impulsor</t>
        </is>
      </c>
      <c r="D40" s="22" t="n">
        <v>1</v>
      </c>
      <c r="E40" s="22" t="inlineStr">
        <is>
          <t>u</t>
        </is>
      </c>
      <c r="F40" s="24" t="n"/>
      <c r="G40" s="24">
        <f>G41+G42</f>
        <v/>
      </c>
      <c r="H40" s="22" t="n"/>
      <c r="I40" s="23" t="n"/>
      <c r="J40" s="22" t="inlineStr">
        <is>
          <t>Compra</t>
        </is>
      </c>
      <c r="K40" s="23" t="n"/>
      <c r="L40" s="23" t="n"/>
      <c r="M40" s="22" t="n"/>
      <c r="N40" s="22" t="n"/>
      <c r="O40" s="23" t="n"/>
    </row>
    <row r="41" outlineLevel="1">
      <c r="A41" s="25" t="n">
        <v>2</v>
      </c>
      <c r="B41" s="25" t="inlineStr">
        <is>
          <t>HCFCHFC5-A1</t>
        </is>
      </c>
      <c r="C41" s="12" t="inlineStr">
        <is>
          <t xml:space="preserve">        HCFC 123 / HFC 236fa - HCFC-123 (Mezcla B) &gt; 93 %</t>
        </is>
      </c>
      <c r="D41" s="25" t="n">
        <v>5</v>
      </c>
      <c r="E41" s="25" t="inlineStr">
        <is>
          <t>kg</t>
        </is>
      </c>
      <c r="F41" s="26" t="n">
        <v>1</v>
      </c>
      <c r="G41" s="26">
        <f>D41*F41</f>
        <v/>
      </c>
      <c r="H41" s="25" t="inlineStr">
        <is>
          <t>HCFC 123 / HFC 236fa - HCFC-123 (Mezcla B) &gt; 93 %</t>
        </is>
      </c>
      <c r="I41" s="12" t="inlineStr">
        <is>
          <t>nominal 5 kg; tolerancia 0 / -3 % (IRAM 3517-2:2020 tabla 3)</t>
        </is>
      </c>
      <c r="J41" s="25" t="inlineStr">
        <is>
          <t>Compra</t>
        </is>
      </c>
      <c r="K41" s="12" t="inlineStr">
        <is>
          <t>SP-1 almacén previo a la carga</t>
        </is>
      </c>
      <c r="L41" s="12" t="inlineStr">
        <is>
          <t>IRAM 3526-1</t>
        </is>
      </c>
      <c r="M41" s="25" t="inlineStr">
        <is>
          <t>N</t>
        </is>
      </c>
      <c r="N41" s="25" t="n"/>
      <c r="O41" s="12" t="inlineStr">
        <is>
          <t>potencial -</t>
        </is>
      </c>
    </row>
    <row r="42" outlineLevel="1">
      <c r="A42" s="25" t="n">
        <v>2</v>
      </c>
      <c r="B42" s="25" t="inlineStr">
        <is>
          <t>HCFCHFC5-A2</t>
        </is>
      </c>
      <c r="C42" s="12" t="inlineStr">
        <is>
          <t xml:space="preserve">        Gas impulsor: Argón</t>
        </is>
      </c>
      <c r="D42" s="25" t="n">
        <v>0.0388</v>
      </c>
      <c r="E42" s="25" t="inlineStr">
        <is>
          <t>kg</t>
        </is>
      </c>
      <c r="F42" s="26" t="n">
        <v>1</v>
      </c>
      <c r="G42" s="26">
        <f>D42*F42</f>
        <v/>
      </c>
      <c r="H42" s="25" t="inlineStr">
        <is>
          <t>Argón</t>
        </is>
      </c>
      <c r="I42" s="12" t="inlineStr">
        <is>
          <t>21,7 L normales para 0,8 MPa a 20 °C en 2,62 dm³ libres</t>
        </is>
      </c>
      <c r="J42" s="25" t="inlineStr">
        <is>
          <t>Compra</t>
        </is>
      </c>
      <c r="K42" s="12" t="inlineStr">
        <is>
          <t>20 Presurización (T05) / C10</t>
        </is>
      </c>
      <c r="L42" s="12" t="inlineStr">
        <is>
          <t>IRAM 3517-2 9.4.9 (tabla 2) · IRAM 3523 2.3 y 3.10</t>
        </is>
      </c>
      <c r="M42" s="25" t="inlineStr">
        <is>
          <t>C</t>
        </is>
      </c>
      <c r="N42" s="25" t="n"/>
      <c r="O42" s="12" t="inlineStr">
        <is>
          <t>Batería en SP-1; punto de rocío ≤ -56,7 °C para gases limpios</t>
        </is>
      </c>
    </row>
    <row r="43">
      <c r="A43" s="22" t="n">
        <v>1</v>
      </c>
      <c r="B43" s="22" t="inlineStr">
        <is>
          <t>HCFCHFC5-S6</t>
        </is>
      </c>
      <c r="C43" s="23" t="inlineStr">
        <is>
          <t xml:space="preserve">    Identificación y precinto</t>
        </is>
      </c>
      <c r="D43" s="22" t="n">
        <v>1</v>
      </c>
      <c r="E43" s="22" t="inlineStr">
        <is>
          <t>u</t>
        </is>
      </c>
      <c r="F43" s="24" t="n"/>
      <c r="G43" s="24">
        <f>G44+G45+G46+G47+G48</f>
        <v/>
      </c>
      <c r="H43" s="22" t="n"/>
      <c r="I43" s="23" t="n"/>
      <c r="J43" s="22" t="inlineStr">
        <is>
          <t>Compra</t>
        </is>
      </c>
      <c r="K43" s="23" t="inlineStr">
        <is>
          <t>22 Etiquetado (T07)</t>
        </is>
      </c>
      <c r="L43" s="23" t="n"/>
      <c r="M43" s="22" t="n"/>
      <c r="N43" s="22" t="n"/>
      <c r="O43" s="23" t="n"/>
    </row>
    <row r="44" outlineLevel="1">
      <c r="A44" s="25" t="n">
        <v>2</v>
      </c>
      <c r="B44" s="25" t="inlineStr">
        <is>
          <t>HCFCHFC5-19</t>
        </is>
      </c>
      <c r="C44" s="12" t="inlineStr">
        <is>
          <t xml:space="preserve">        Placa de características</t>
        </is>
      </c>
      <c r="D44" s="25" t="n">
        <v>1</v>
      </c>
      <c r="E44" s="25" t="inlineStr">
        <is>
          <t>u</t>
        </is>
      </c>
      <c r="F44" s="26" t="n">
        <v>0.008399999999999999</v>
      </c>
      <c r="G44" s="26">
        <f>D44*F44</f>
        <v/>
      </c>
      <c r="H44" s="25" t="inlineStr">
        <is>
          <t>Vinilo autoadhesivo laminado</t>
        </is>
      </c>
      <c r="I44" s="12" t="inlineStr">
        <is>
          <t>144 × 139 (desarrollo × alto), e ≈ 0,3</t>
        </is>
      </c>
      <c r="J44" s="25" t="inlineStr">
        <is>
          <t>Compra</t>
        </is>
      </c>
      <c r="K44" s="12" t="inlineStr">
        <is>
          <t>22 Etiquetado (T07)</t>
        </is>
      </c>
      <c r="L44" s="12" t="inlineStr">
        <is>
          <t>IRAM 3534 · IRAM 3504 cap. 5</t>
        </is>
      </c>
      <c r="M44" s="25" t="inlineStr">
        <is>
          <t>P</t>
        </is>
      </c>
      <c r="N44" s="25" t="inlineStr">
        <is>
          <t>FL_DES_HCFC-HFC_5kg</t>
        </is>
      </c>
      <c r="O44" s="12" t="inlineStr">
        <is>
          <t>IRAM 3534</t>
        </is>
      </c>
    </row>
    <row r="45" outlineLevel="1">
      <c r="A45" s="25" t="n">
        <v>2</v>
      </c>
      <c r="B45" s="25" t="inlineStr">
        <is>
          <t>HCFCHFC5-20</t>
        </is>
      </c>
      <c r="C45" s="12" t="inlineStr">
        <is>
          <t xml:space="preserve">        Oblea de fabricación (PBA)</t>
        </is>
      </c>
      <c r="D45" s="25" t="n">
        <v>1</v>
      </c>
      <c r="E45" s="25" t="inlineStr">
        <is>
          <t>u</t>
        </is>
      </c>
      <c r="F45" s="26" t="n">
        <v>0.0009</v>
      </c>
      <c r="G45" s="26">
        <f>D45*F45</f>
        <v/>
      </c>
      <c r="H45" s="25" t="inlineStr">
        <is>
          <t>Papel de seguridad autodestructible</t>
        </is>
      </c>
      <c r="I45" s="12" t="inlineStr">
        <is>
          <t>Ø46 (Res. OPDS 522/07), numerada, autodestructible</t>
        </is>
      </c>
      <c r="J45" s="25" t="inlineStr">
        <is>
          <t>Compra</t>
        </is>
      </c>
      <c r="K45" s="12" t="inlineStr">
        <is>
          <t>22 Etiquetado (T07)</t>
        </is>
      </c>
      <c r="L45" s="12" t="inlineStr">
        <is>
          <t>Res. OPDS 522/07 anexos 1, 2 y 6</t>
        </is>
      </c>
      <c r="M45" s="25" t="inlineStr">
        <is>
          <t>P</t>
        </is>
      </c>
      <c r="N45" s="25" t="inlineStr">
        <is>
          <t>FL_DES_HCFC-HFC_5kg</t>
        </is>
      </c>
      <c r="O45" s="12" t="inlineStr">
        <is>
          <t>Res. 522/07</t>
        </is>
      </c>
    </row>
    <row r="46" outlineLevel="1">
      <c r="A46" s="25" t="n">
        <v>2</v>
      </c>
      <c r="B46" s="25" t="inlineStr">
        <is>
          <t>HCFCHFC5-21</t>
        </is>
      </c>
      <c r="C46" s="12" t="inlineStr">
        <is>
          <t xml:space="preserve">        Estampilla IRAM de conformidad</t>
        </is>
      </c>
      <c r="D46" s="25" t="n">
        <v>1</v>
      </c>
      <c r="E46" s="25" t="inlineStr">
        <is>
          <t>u</t>
        </is>
      </c>
      <c r="F46" s="26" t="n">
        <v>0.001</v>
      </c>
      <c r="G46" s="26">
        <f>D46*F46</f>
        <v/>
      </c>
      <c r="H46" s="25" t="inlineStr">
        <is>
          <t>Provista por IRAM (Anexo R)</t>
        </is>
      </c>
      <c r="I46" s="12" t="inlineStr">
        <is>
          <t>60 × 40</t>
        </is>
      </c>
      <c r="J46" s="25" t="inlineStr">
        <is>
          <t>Compra</t>
        </is>
      </c>
      <c r="K46" s="12" t="inlineStr">
        <is>
          <t>22 Etiquetado (T07)</t>
        </is>
      </c>
      <c r="L46" s="12" t="inlineStr">
        <is>
          <t>IRAM Anexo R (DC-PG-129)</t>
        </is>
      </c>
      <c r="M46" s="25" t="inlineStr">
        <is>
          <t>P</t>
        </is>
      </c>
      <c r="N46" s="25" t="inlineStr">
        <is>
          <t>FL_DES_HCFC-HFC_5kg</t>
        </is>
      </c>
      <c r="O46" s="12" t="inlineStr">
        <is>
          <t>numerada</t>
        </is>
      </c>
    </row>
    <row r="47" outlineLevel="1">
      <c r="A47" s="25" t="n">
        <v>2</v>
      </c>
      <c r="B47" s="25" t="inlineStr">
        <is>
          <t>HCFCHFC5-23</t>
        </is>
      </c>
      <c r="C47" s="12" t="inlineStr">
        <is>
          <t xml:space="preserve">        Precinto de fábrica</t>
        </is>
      </c>
      <c r="D47" s="25" t="n">
        <v>1</v>
      </c>
      <c r="E47" s="25" t="inlineStr">
        <is>
          <t>u</t>
        </is>
      </c>
      <c r="F47" s="26" t="n">
        <v>0.0002</v>
      </c>
      <c r="G47" s="26">
        <f>D47*F47</f>
        <v/>
      </c>
      <c r="H47" s="25" t="inlineStr">
        <is>
          <t>Polipropileno</t>
        </is>
      </c>
      <c r="I47" s="12" t="inlineStr">
        <is>
          <t>Ø5 × 10, numerado, rotura 30-50 N</t>
        </is>
      </c>
      <c r="J47" s="25" t="inlineStr">
        <is>
          <t>Compra</t>
        </is>
      </c>
      <c r="K47" s="12" t="inlineStr">
        <is>
          <t>20 Presurización (T05)</t>
        </is>
      </c>
      <c r="L47" s="12" t="inlineStr">
        <is>
          <t>IRAM 3523 3.3.2 · IRAM 3517-2:2020 9.4.13</t>
        </is>
      </c>
      <c r="M47" s="25" t="inlineStr">
        <is>
          <t>P</t>
        </is>
      </c>
      <c r="N47" s="25" t="inlineStr">
        <is>
          <t>FL_DES_HCFC-HFC_5kg</t>
        </is>
      </c>
      <c r="O47" s="12" t="inlineStr">
        <is>
          <t>id. FLAMA y lote</t>
        </is>
      </c>
    </row>
    <row r="48" outlineLevel="1">
      <c r="A48" s="25" t="n">
        <v>2</v>
      </c>
      <c r="B48" s="25" t="inlineStr">
        <is>
          <t>HCFCHFC5-I3</t>
        </is>
      </c>
      <c r="C48" s="12" t="inlineStr">
        <is>
          <t xml:space="preserve">        Tarjeta oficial de vigencia (CABA)</t>
        </is>
      </c>
      <c r="D48" s="25" t="n">
        <v>1</v>
      </c>
      <c r="E48" s="25" t="inlineStr">
        <is>
          <t>u</t>
        </is>
      </c>
      <c r="F48" s="26" t="n">
        <v>0.002</v>
      </c>
      <c r="G48" s="26">
        <f>D48*F48</f>
        <v/>
      </c>
      <c r="H48" s="25" t="inlineStr">
        <is>
          <t>Formulario oficial</t>
        </is>
      </c>
      <c r="I48" s="12" t="inlineStr">
        <is>
          <t>provista por DG Rentas GCBA</t>
        </is>
      </c>
      <c r="J48" s="25" t="inlineStr">
        <is>
          <t>Compra</t>
        </is>
      </c>
      <c r="K48" s="12" t="inlineStr">
        <is>
          <t>22 Etiquetado</t>
        </is>
      </c>
      <c r="L48" s="12" t="inlineStr">
        <is>
          <t>Ordenanza 40.473 art. 6</t>
        </is>
      </c>
      <c r="M48" s="25" t="inlineStr">
        <is>
          <t>N</t>
        </is>
      </c>
      <c r="N48" s="25" t="n"/>
      <c r="O48" s="12" t="inlineStr">
        <is>
          <t>Clase, capacidad, fecha de carga y vencimiento, garantía; se anexa al matafuego (no se dibuja)</t>
        </is>
      </c>
    </row>
    <row r="49">
      <c r="A49" s="22" t="n">
        <v>1</v>
      </c>
      <c r="B49" s="22" t="inlineStr">
        <is>
          <t>HCFCHFC5-S8</t>
        </is>
      </c>
      <c r="C49" s="23" t="inlineStr">
        <is>
          <t xml:space="preserve">    Soporte (accesorio de montaje)</t>
        </is>
      </c>
      <c r="D49" s="22" t="n">
        <v>1</v>
      </c>
      <c r="E49" s="22" t="inlineStr">
        <is>
          <t>u</t>
        </is>
      </c>
      <c r="F49" s="24" t="n"/>
      <c r="G49" s="24">
        <f>G50+G51</f>
        <v/>
      </c>
      <c r="H49" s="22" t="n"/>
      <c r="I49" s="23" t="n"/>
      <c r="J49" s="22" t="inlineStr">
        <is>
          <t>Compra</t>
        </is>
      </c>
      <c r="K49" s="23" t="inlineStr">
        <is>
          <t>23 Embalaje (va dentro de la caja)</t>
        </is>
      </c>
      <c r="L49" s="23" t="inlineStr">
        <is>
          <t>IRAM 3517-2 7.4</t>
        </is>
      </c>
      <c r="M49" s="22" t="n"/>
      <c r="N49" s="22" t="n"/>
      <c r="O49" s="23" t="n"/>
    </row>
    <row r="50" outlineLevel="1">
      <c r="A50" s="25" t="n">
        <v>2</v>
      </c>
      <c r="B50" s="25" t="inlineStr">
        <is>
          <t>HCFCHFC5-I5</t>
        </is>
      </c>
      <c r="C50" s="12" t="inlineStr">
        <is>
          <t xml:space="preserve">        Soporte de pared (FL_ACC_01)</t>
        </is>
      </c>
      <c r="D50" s="25" t="n">
        <v>1</v>
      </c>
      <c r="E50" s="25" t="inlineStr">
        <is>
          <t>u</t>
        </is>
      </c>
      <c r="F50" s="26" t="n">
        <v>0.29</v>
      </c>
      <c r="G50" s="26">
        <f>D50*F50</f>
        <v/>
      </c>
      <c r="H50" s="25" t="inlineStr">
        <is>
          <t>Chapa acero SAE 1010 e=2 pintada</t>
        </is>
      </c>
      <c r="I50" s="12" t="inlineStr">
        <is>
          <t>placa 60 × 180, ala con ranura Ø cuello + 3</t>
        </is>
      </c>
      <c r="J50" s="25" t="inlineStr">
        <is>
          <t>Compra</t>
        </is>
      </c>
      <c r="K50" s="12" t="inlineStr">
        <is>
          <t>23 Embalaje</t>
        </is>
      </c>
      <c r="L50" s="12" t="inlineStr">
        <is>
          <t>IRAM 3517-2 7.4</t>
        </is>
      </c>
      <c r="M50" s="25" t="inlineStr">
        <is>
          <t>P</t>
        </is>
      </c>
      <c r="N50" s="25" t="inlineStr">
        <is>
          <t>FL_ACC_01</t>
        </is>
      </c>
      <c r="O50" s="12" t="n"/>
    </row>
    <row r="51" outlineLevel="1">
      <c r="A51" s="25" t="n">
        <v>2</v>
      </c>
      <c r="B51" s="25" t="inlineStr">
        <is>
          <t>HCFCHFC5-I6</t>
        </is>
      </c>
      <c r="C51" s="12" t="inlineStr">
        <is>
          <t xml:space="preserve">        Tornillo y tarugo de fijación</t>
        </is>
      </c>
      <c r="D51" s="25" t="n">
        <v>2</v>
      </c>
      <c r="E51" s="25" t="inlineStr">
        <is>
          <t>u</t>
        </is>
      </c>
      <c r="F51" s="26" t="n">
        <v>0.01</v>
      </c>
      <c r="G51" s="26">
        <f>D51*F51</f>
        <v/>
      </c>
      <c r="H51" s="25" t="inlineStr">
        <is>
          <t>Acero cincado / nylon</t>
        </is>
      </c>
      <c r="I51" s="12" t="inlineStr">
        <is>
          <t>M6 × 50 + tarugo 8</t>
        </is>
      </c>
      <c r="J51" s="25" t="inlineStr">
        <is>
          <t>Compra</t>
        </is>
      </c>
      <c r="K51" s="12" t="inlineStr">
        <is>
          <t>23 Embalaje</t>
        </is>
      </c>
      <c r="L51" s="12" t="n"/>
      <c r="M51" s="25" t="inlineStr">
        <is>
          <t>R</t>
        </is>
      </c>
      <c r="N51" s="25" t="n"/>
      <c r="O51" s="12" t="n"/>
    </row>
    <row r="52" outlineLevel="1">
      <c r="A52" s="25" t="n">
        <v>2</v>
      </c>
      <c r="B52" s="25" t="inlineStr">
        <is>
          <t>HCFCHFC5-I8</t>
        </is>
      </c>
      <c r="C52" s="12" t="inlineStr">
        <is>
          <t xml:space="preserve">        Soporte opcional (pared o vehicular, según pedido)</t>
        </is>
      </c>
      <c r="D52" s="25" t="n">
        <v>0</v>
      </c>
      <c r="E52" s="25" t="inlineStr">
        <is>
          <t>u</t>
        </is>
      </c>
      <c r="F52" s="26" t="n"/>
      <c r="G52" s="26" t="n"/>
      <c r="H52" s="25" t="inlineStr">
        <is>
          <t>-</t>
        </is>
      </c>
      <c r="I52" s="12" t="inlineStr">
        <is>
          <t>-</t>
        </is>
      </c>
      <c r="J52" s="25" t="inlineStr">
        <is>
          <t>Compra</t>
        </is>
      </c>
      <c r="K52" s="12" t="n"/>
      <c r="L52" s="12" t="n"/>
      <c r="M52" s="25" t="inlineStr">
        <is>
          <t>C</t>
        </is>
      </c>
      <c r="N52" s="25" t="n"/>
      <c r="O52" s="12" t="inlineStr">
        <is>
          <t>Sólo si el pedido lo incluye</t>
        </is>
      </c>
    </row>
    <row r="53">
      <c r="A53" s="22" t="n">
        <v>1</v>
      </c>
      <c r="B53" s="22" t="inlineStr">
        <is>
          <t>HCFCHFC5-S7</t>
        </is>
      </c>
      <c r="C53" s="23" t="inlineStr">
        <is>
          <t xml:space="preserve">    Embalaje</t>
        </is>
      </c>
      <c r="D53" s="22" t="n">
        <v>1</v>
      </c>
      <c r="E53" s="22" t="inlineStr">
        <is>
          <t>u</t>
        </is>
      </c>
      <c r="F53" s="24" t="n"/>
      <c r="G53" s="24">
        <f>G54+G55+G56+G57+G58</f>
        <v/>
      </c>
      <c r="H53" s="22" t="n"/>
      <c r="I53" s="23" t="n"/>
      <c r="J53" s="22" t="inlineStr">
        <is>
          <t>Compra</t>
        </is>
      </c>
      <c r="K53" s="23" t="inlineStr">
        <is>
          <t>23 Embalaje -&gt; 24 envolvedora (T11)</t>
        </is>
      </c>
      <c r="L53" s="23" t="n"/>
      <c r="M53" s="22" t="n"/>
      <c r="N53" s="22" t="n"/>
      <c r="O53" s="23" t="n"/>
    </row>
    <row r="54" outlineLevel="1">
      <c r="A54" s="25" t="n">
        <v>2</v>
      </c>
      <c r="B54" s="25" t="inlineStr">
        <is>
          <t>HCFCHFC5-E1</t>
        </is>
      </c>
      <c r="C54" s="12" t="inlineStr">
        <is>
          <t xml:space="preserve">        Caja de cartón corrugado simple</t>
        </is>
      </c>
      <c r="D54" s="25" t="n">
        <v>1</v>
      </c>
      <c r="E54" s="25" t="inlineStr">
        <is>
          <t>u</t>
        </is>
      </c>
      <c r="F54" s="26" t="n">
        <v>0.25</v>
      </c>
      <c r="G54" s="26">
        <f>D54*F54</f>
        <v/>
      </c>
      <c r="H54" s="25" t="inlineStr">
        <is>
          <t>Cartón corrugado</t>
        </is>
      </c>
      <c r="I54" s="12" t="inlineStr">
        <is>
          <t>255 × 186 × 500 interior</t>
        </is>
      </c>
      <c r="J54" s="25" t="inlineStr">
        <is>
          <t>Compra</t>
        </is>
      </c>
      <c r="K54" s="12" t="inlineStr">
        <is>
          <t>23 Embalaje</t>
        </is>
      </c>
      <c r="L54" s="12" t="n"/>
      <c r="M54" s="25" t="inlineStr">
        <is>
          <t>R</t>
        </is>
      </c>
      <c r="N54" s="25" t="n"/>
      <c r="O54" s="12" t="n"/>
    </row>
    <row r="55" outlineLevel="1">
      <c r="A55" s="25" t="n">
        <v>2</v>
      </c>
      <c r="B55" s="25" t="inlineStr">
        <is>
          <t>HCFCHFC5-E2</t>
        </is>
      </c>
      <c r="C55" s="12" t="inlineStr">
        <is>
          <t xml:space="preserve">        Instructivo de uso y mantenimiento</t>
        </is>
      </c>
      <c r="D55" s="25" t="n">
        <v>1</v>
      </c>
      <c r="E55" s="25" t="inlineStr">
        <is>
          <t>u</t>
        </is>
      </c>
      <c r="F55" s="26" t="n">
        <v>0.01</v>
      </c>
      <c r="G55" s="26">
        <f>D55*F55</f>
        <v/>
      </c>
      <c r="H55" s="25" t="inlineStr">
        <is>
          <t>Papel</t>
        </is>
      </c>
      <c r="I55" s="12" t="inlineStr">
        <is>
          <t>A5</t>
        </is>
      </c>
      <c r="J55" s="25" t="inlineStr">
        <is>
          <t>Compra</t>
        </is>
      </c>
      <c r="K55" s="12" t="inlineStr">
        <is>
          <t>23 Embalaje</t>
        </is>
      </c>
      <c r="L55" s="12" t="inlineStr">
        <is>
          <t>IRAM 3517-2 (información al usuario)</t>
        </is>
      </c>
      <c r="M55" s="25" t="inlineStr">
        <is>
          <t>R</t>
        </is>
      </c>
      <c r="N55" s="25" t="n"/>
      <c r="O55" s="12" t="n"/>
    </row>
    <row r="56" outlineLevel="1">
      <c r="A56" s="25" t="n">
        <v>2</v>
      </c>
      <c r="B56" s="25" t="inlineStr">
        <is>
          <t>HCFCHFC5-E3</t>
        </is>
      </c>
      <c r="C56" s="12" t="inlineStr">
        <is>
          <t xml:space="preserve">        Pallet 1200 × 1000 (fracción)</t>
        </is>
      </c>
      <c r="D56" s="25" t="n">
        <v>0.025</v>
      </c>
      <c r="E56" s="25" t="inlineStr">
        <is>
          <t>u</t>
        </is>
      </c>
      <c r="F56" s="26" t="n">
        <v>0.55</v>
      </c>
      <c r="G56" s="26">
        <f>D56*F56</f>
        <v/>
      </c>
      <c r="H56" s="25" t="inlineStr">
        <is>
          <t>Madera</t>
        </is>
      </c>
      <c r="I56" s="12" t="inlineStr">
        <is>
          <t>40 u por pallet</t>
        </is>
      </c>
      <c r="J56" s="25" t="inlineStr">
        <is>
          <t>Compra</t>
        </is>
      </c>
      <c r="K56" s="12" t="inlineStr">
        <is>
          <t>23 Embalaje</t>
        </is>
      </c>
      <c r="L56" s="12" t="n"/>
      <c r="M56" s="25" t="inlineStr">
        <is>
          <t>R</t>
        </is>
      </c>
      <c r="N56" s="25" t="n"/>
      <c r="O56" s="12" t="n"/>
    </row>
    <row r="57" outlineLevel="1">
      <c r="A57" s="25" t="n">
        <v>2</v>
      </c>
      <c r="B57" s="25" t="inlineStr">
        <is>
          <t>HCFCHFC5-E4</t>
        </is>
      </c>
      <c r="C57" s="12" t="inlineStr">
        <is>
          <t xml:space="preserve">        Film stretch (fracción del pallet)</t>
        </is>
      </c>
      <c r="D57" s="25" t="n">
        <v>0.008699999999999999</v>
      </c>
      <c r="E57" s="25" t="inlineStr">
        <is>
          <t>kg</t>
        </is>
      </c>
      <c r="F57" s="26" t="n">
        <v>1</v>
      </c>
      <c r="G57" s="26">
        <f>D57*F57</f>
        <v/>
      </c>
      <c r="H57" s="25" t="inlineStr">
        <is>
          <t>PE lineal 23 µm</t>
        </is>
      </c>
      <c r="I57" s="12" t="inlineStr">
        <is>
          <t>envolvedora EDOS PS5</t>
        </is>
      </c>
      <c r="J57" s="25" t="inlineStr">
        <is>
          <t>Compra</t>
        </is>
      </c>
      <c r="K57" s="12" t="inlineStr">
        <is>
          <t>24 Envolvedora (T11)</t>
        </is>
      </c>
      <c r="L57" s="12" t="n"/>
      <c r="M57" s="25" t="inlineStr">
        <is>
          <t>R</t>
        </is>
      </c>
      <c r="N57" s="25" t="n"/>
      <c r="O57" s="12" t="n"/>
    </row>
    <row r="58" outlineLevel="1">
      <c r="A58" s="25" t="n">
        <v>2</v>
      </c>
      <c r="B58" s="25" t="inlineStr">
        <is>
          <t>HCFCHFC5-E5</t>
        </is>
      </c>
      <c r="C58" s="12" t="inlineStr">
        <is>
          <t xml:space="preserve">        Etiqueta de pallet (lote y destino, fracción)</t>
        </is>
      </c>
      <c r="D58" s="25" t="n">
        <v>0.025</v>
      </c>
      <c r="E58" s="25" t="inlineStr">
        <is>
          <t>u</t>
        </is>
      </c>
      <c r="F58" s="26" t="n">
        <v>0</v>
      </c>
      <c r="G58" s="26">
        <f>D58*F58</f>
        <v/>
      </c>
      <c r="H58" s="25" t="inlineStr">
        <is>
          <t>Papel térmico</t>
        </is>
      </c>
      <c r="I58" s="12" t="inlineStr">
        <is>
          <t>100 × 150</t>
        </is>
      </c>
      <c r="J58" s="25" t="inlineStr">
        <is>
          <t>Compra</t>
        </is>
      </c>
      <c r="K58" s="12" t="inlineStr">
        <is>
          <t>24 Envolvedora</t>
        </is>
      </c>
      <c r="L58" s="12" t="n"/>
      <c r="M58" s="25" t="inlineStr">
        <is>
          <t>R</t>
        </is>
      </c>
      <c r="N58" s="25" t="n"/>
      <c r="O58" s="12" t="n"/>
    </row>
  </sheetData>
  <autoFilter ref="A10:O58"/>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O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FL_MAT_CLASED_9l</t>
        </is>
      </c>
    </row>
    <row r="2">
      <c r="A2" s="2" t="inlineStr">
        <is>
          <t>Extintor Clase D 9 l</t>
        </is>
      </c>
    </row>
    <row r="3">
      <c r="A3" s="14" t="inlineStr">
        <is>
          <t>Plano de origen</t>
        </is>
      </c>
      <c r="C3" t="inlineStr">
        <is>
          <t>FL_MAT_CLASED_9l  (3 láminas)</t>
        </is>
      </c>
      <c r="E3" s="14" t="inlineStr">
        <is>
          <t>Peso vacío S1-S4 (kg)</t>
        </is>
      </c>
      <c r="G3" s="30">
        <f>G12+G22+G36</f>
        <v/>
      </c>
    </row>
    <row r="4">
      <c r="A4" s="14" t="inlineStr">
        <is>
          <t>Plano de despiece</t>
        </is>
      </c>
      <c r="C4" t="inlineStr">
        <is>
          <t>FL_DES_CLASED_9l (salida/despiece/)</t>
        </is>
      </c>
      <c r="E4" s="14" t="inlineStr">
        <is>
          <t>Peso cargado S1-S6 (kg)</t>
        </is>
      </c>
      <c r="G4" s="30">
        <f>G12+G22+G36+G42+G45</f>
        <v/>
      </c>
    </row>
    <row r="5">
      <c r="A5" s="14" t="inlineStr">
        <is>
          <t>Norma del producto</t>
        </is>
      </c>
      <c r="C5" t="inlineStr">
        <is>
          <t>IRAM 3523</t>
        </is>
      </c>
      <c r="E5" s="14" t="inlineStr">
        <is>
          <t>Peso con soporte y embalaje (kg)</t>
        </is>
      </c>
      <c r="G5" s="30">
        <f>G12+G22+G36+G42+G45+G54+G51</f>
        <v/>
      </c>
    </row>
    <row r="6">
      <c r="A6" s="14" t="inlineStr">
        <is>
          <t>Fabricación</t>
        </is>
      </c>
      <c r="C6" t="inlineStr">
        <is>
          <t>Fabricación propia</t>
        </is>
      </c>
      <c r="E6" s="14" t="inlineStr">
        <is>
          <t>Desvío cargado vs catálogo</t>
        </is>
      </c>
      <c r="G6" s="10">
        <f>G4/C7-1</f>
        <v/>
      </c>
    </row>
    <row r="7">
      <c r="A7" s="14" t="inlineStr">
        <is>
          <t>Peso catálogo cargado (kg)</t>
        </is>
      </c>
      <c r="C7" t="n">
        <v>16.5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FL_MAT_CLASED_9l</t>
        </is>
      </c>
      <c r="C11" s="20" t="inlineStr">
        <is>
          <t>Extintor Clase D 9 l</t>
        </is>
      </c>
      <c r="D11" s="19" t="n">
        <v>1</v>
      </c>
      <c r="E11" s="19" t="inlineStr">
        <is>
          <t>u</t>
        </is>
      </c>
      <c r="F11" s="21" t="n"/>
      <c r="G11" s="21">
        <f>G5</f>
        <v/>
      </c>
      <c r="H11" s="19" t="n"/>
      <c r="I11" s="20" t="n"/>
      <c r="J11" s="19" t="n"/>
      <c r="K11" s="20" t="n"/>
      <c r="L11" s="20" t="inlineStr">
        <is>
          <t>IRAM 3523</t>
        </is>
      </c>
      <c r="M11" s="19" t="inlineStr">
        <is>
          <t>P</t>
        </is>
      </c>
      <c r="N11" s="19" t="inlineStr">
        <is>
          <t>FL_MAT_CLASED_9l</t>
        </is>
      </c>
      <c r="O11" s="20" t="inlineStr">
        <is>
          <t>Fabricación propia</t>
        </is>
      </c>
    </row>
    <row r="12">
      <c r="A12" s="22" t="n">
        <v>1</v>
      </c>
      <c r="B12" s="22" t="inlineStr">
        <is>
          <t>CLASED9-S1</t>
        </is>
      </c>
      <c r="C12" s="23" t="inlineStr">
        <is>
          <t xml:space="preserve">    Recipiente (cilindro)</t>
        </is>
      </c>
      <c r="D12" s="22" t="n">
        <v>1</v>
      </c>
      <c r="E12" s="22" t="inlineStr">
        <is>
          <t>u</t>
        </is>
      </c>
      <c r="F12" s="24" t="n"/>
      <c r="G12" s="24">
        <f>G13+G14+G15+G16+G18+G21</f>
        <v/>
      </c>
      <c r="H12" s="22" t="n"/>
      <c r="I12" s="23" t="n"/>
      <c r="J12" s="22" t="inlineStr">
        <is>
          <t>Fabricación</t>
        </is>
      </c>
      <c r="K12" s="23" t="n"/>
      <c r="L12" s="23" t="inlineStr">
        <is>
          <t>IRAM 3523 / 3550 (recipiente)</t>
        </is>
      </c>
      <c r="M12" s="22" t="inlineStr">
        <is>
          <t>P</t>
        </is>
      </c>
      <c r="N12" s="22" t="inlineStr">
        <is>
          <t>FL_DES_CLASED_9l</t>
        </is>
      </c>
      <c r="O12" s="23" t="n"/>
    </row>
    <row r="13" outlineLevel="1">
      <c r="A13" s="25" t="n">
        <v>2</v>
      </c>
      <c r="B13" s="25" t="inlineStr">
        <is>
          <t>CLASED9-01</t>
        </is>
      </c>
      <c r="C13" s="12" t="inlineStr">
        <is>
          <t xml:space="preserve">        Cuerpo (virola)</t>
        </is>
      </c>
      <c r="D13" s="25" t="n">
        <v>1</v>
      </c>
      <c r="E13" s="25" t="inlineStr">
        <is>
          <t>u</t>
        </is>
      </c>
      <c r="F13" s="26" t="n">
        <v>4.3132</v>
      </c>
      <c r="G13" s="26">
        <f>D13*F13</f>
        <v/>
      </c>
      <c r="H13" s="25" t="inlineStr">
        <is>
          <t>Chapa acero SAE 1010 e=2</t>
        </is>
      </c>
      <c r="I13" s="12" t="inlineStr">
        <is>
          <t>Ø181,5 × e2 × 487,2 de alto; desarrollo 563,9 × 487,2</t>
        </is>
      </c>
      <c r="J13" s="25" t="inlineStr">
        <is>
          <t>Fabricación</t>
        </is>
      </c>
      <c r="K13" s="12" t="inlineStr">
        <is>
          <t>1 Guillotina -&gt; 2 numerado -&gt; 3 cilindrado -&gt; 4 soldadura longitudinal</t>
        </is>
      </c>
      <c r="L13" s="12" t="n"/>
      <c r="M13" s="25" t="inlineStr">
        <is>
          <t>P</t>
        </is>
      </c>
      <c r="N13" s="25" t="inlineStr">
        <is>
          <t>FL_DES_CLASED_9l</t>
        </is>
      </c>
      <c r="O13" s="12" t="inlineStr">
        <is>
          <t>costura long. MIG</t>
        </is>
      </c>
    </row>
    <row r="14" outlineLevel="1">
      <c r="A14" s="25" t="n">
        <v>2</v>
      </c>
      <c r="B14" s="25" t="inlineStr">
        <is>
          <t>CLASED9-02</t>
        </is>
      </c>
      <c r="C14" s="12" t="inlineStr">
        <is>
          <t xml:space="preserve">        Cúpula</t>
        </is>
      </c>
      <c r="D14" s="25" t="n">
        <v>1</v>
      </c>
      <c r="E14" s="25" t="inlineStr">
        <is>
          <t>u</t>
        </is>
      </c>
      <c r="F14" s="26" t="n">
        <v>0.4871</v>
      </c>
      <c r="G14" s="26">
        <f>D14*F14</f>
        <v/>
      </c>
      <c r="H14" s="25" t="inlineStr">
        <is>
          <t>Chapa acero SAE 1010 e=1,6</t>
        </is>
      </c>
      <c r="I14" s="12" t="inlineStr">
        <is>
          <t>Ø181,5 × e1,6 × 61,3 de alto; disco Ø228,9</t>
        </is>
      </c>
      <c r="J14" s="25" t="inlineStr">
        <is>
          <t>Fabricación</t>
        </is>
      </c>
      <c r="K14" s="12" t="inlineStr">
        <is>
          <t>6 Desbobinado + embutido (M06-M08)</t>
        </is>
      </c>
      <c r="L14" s="12" t="n"/>
      <c r="M14" s="25" t="inlineStr">
        <is>
          <t>P</t>
        </is>
      </c>
      <c r="N14" s="25" t="inlineStr">
        <is>
          <t>FL_DES_CLASED_9l</t>
        </is>
      </c>
      <c r="O14" s="12" t="inlineStr">
        <is>
          <t>embutida</t>
        </is>
      </c>
    </row>
    <row r="15" outlineLevel="1">
      <c r="A15" s="25" t="n">
        <v>2</v>
      </c>
      <c r="B15" s="25" t="inlineStr">
        <is>
          <t>CLASED9-03</t>
        </is>
      </c>
      <c r="C15" s="12" t="inlineStr">
        <is>
          <t xml:space="preserve">        Fondo</t>
        </is>
      </c>
      <c r="D15" s="25" t="n">
        <v>1</v>
      </c>
      <c r="E15" s="25" t="inlineStr">
        <is>
          <t>u</t>
        </is>
      </c>
      <c r="F15" s="26" t="n">
        <v>0.3885</v>
      </c>
      <c r="G15" s="26">
        <f>D15*F15</f>
        <v/>
      </c>
      <c r="H15" s="25" t="inlineStr">
        <is>
          <t>Chapa acero SAE 1010 e=2</t>
        </is>
      </c>
      <c r="I15" s="12" t="inlineStr">
        <is>
          <t>Ø181,5 × e2 × 13,7 de alto; disco Ø182,8</t>
        </is>
      </c>
      <c r="J15" s="25" t="inlineStr">
        <is>
          <t>Fabricación</t>
        </is>
      </c>
      <c r="K15" s="12" t="inlineStr">
        <is>
          <t>6 Desbobinado + embutido (M06-M08)</t>
        </is>
      </c>
      <c r="L15" s="12" t="n"/>
      <c r="M15" s="25" t="inlineStr">
        <is>
          <t>P</t>
        </is>
      </c>
      <c r="N15" s="25" t="inlineStr">
        <is>
          <t>FL_DES_CLASED_9l</t>
        </is>
      </c>
      <c r="O15" s="12" t="inlineStr">
        <is>
          <t>embutido</t>
        </is>
      </c>
    </row>
    <row r="16" outlineLevel="1">
      <c r="A16" s="25" t="n">
        <v>2</v>
      </c>
      <c r="B16" s="25" t="inlineStr">
        <is>
          <t>CLASED9-04</t>
        </is>
      </c>
      <c r="C16" s="12" t="inlineStr">
        <is>
          <t xml:space="preserve">        Cuello roscado</t>
        </is>
      </c>
      <c r="D16" s="25" t="n">
        <v>1</v>
      </c>
      <c r="E16" s="25" t="inlineStr">
        <is>
          <t>u</t>
        </is>
      </c>
      <c r="F16" s="26" t="n">
        <v>0.0542</v>
      </c>
      <c r="G16" s="26">
        <f>D16*F16</f>
        <v/>
      </c>
      <c r="H16" s="25" t="inlineStr">
        <is>
          <t>Acero SAE 1010</t>
        </is>
      </c>
      <c r="I16" s="12" t="inlineStr">
        <is>
          <t>Ø36,8 × 14 de alto, rosca M30x1,5, asiento Ø35</t>
        </is>
      </c>
      <c r="J16" s="25" t="inlineStr">
        <is>
          <t>Fabricación</t>
        </is>
      </c>
      <c r="K16" s="12" t="inlineStr">
        <is>
          <t>7 Preparación de cuello -&gt; 8 soldadura de cuello</t>
        </is>
      </c>
      <c r="L16" s="12" t="n"/>
      <c r="M16" s="25" t="inlineStr">
        <is>
          <t>P</t>
        </is>
      </c>
      <c r="N16" s="25" t="inlineStr">
        <is>
          <t>FL_DES_CLASED_9l</t>
        </is>
      </c>
      <c r="O16" s="12" t="inlineStr">
        <is>
          <t>M30x1,5</t>
        </is>
      </c>
    </row>
    <row r="17" outlineLevel="2">
      <c r="A17" s="27" t="n">
        <v>3</v>
      </c>
      <c r="B17" s="27" t="inlineStr">
        <is>
          <t>MP-CUELLO</t>
        </is>
      </c>
      <c r="C17" s="28" t="inlineStr">
        <is>
          <t xml:space="preserve">            Cuello roscado mecanizado (pieza comprada lista para soldar)</t>
        </is>
      </c>
      <c r="D17" s="27" t="n">
        <v>1</v>
      </c>
      <c r="E17" s="27" t="inlineStr">
        <is>
          <t>u</t>
        </is>
      </c>
      <c r="F17" s="29" t="n">
        <v>0.054</v>
      </c>
      <c r="G17" s="29">
        <f>D17*F17</f>
        <v/>
      </c>
      <c r="H17" s="27" t="inlineStr">
        <is>
          <t>Acero SAE 1010 / 1020</t>
        </is>
      </c>
      <c r="I17" s="28" t="inlineStr">
        <is>
          <t>rosca M30x1,5</t>
        </is>
      </c>
      <c r="J17" s="27" t="inlineStr">
        <is>
          <t>Compra (Eli-Met)</t>
        </is>
      </c>
      <c r="K17" s="28" t="inlineStr">
        <is>
          <t>AL-1C cuellos y roscas</t>
        </is>
      </c>
      <c r="L17" s="28" t="n"/>
      <c r="M17" s="27" t="inlineStr">
        <is>
          <t>L</t>
        </is>
      </c>
      <c r="N17" s="27" t="n"/>
      <c r="O17" s="28" t="n"/>
    </row>
    <row r="18" outlineLevel="1">
      <c r="A18" s="25" t="n">
        <v>2</v>
      </c>
      <c r="B18" s="25" t="inlineStr">
        <is>
          <t>CLASED9-C1</t>
        </is>
      </c>
      <c r="C18" s="12" t="inlineStr">
        <is>
          <t xml:space="preserve">        Aporte de soldadura: Alambre MAG ER70S-6 Ø0,9/1,2</t>
        </is>
      </c>
      <c r="D18" s="25" t="n">
        <v>0.1019</v>
      </c>
      <c r="E18" s="25" t="inlineStr">
        <is>
          <t>kg</t>
        </is>
      </c>
      <c r="F18" s="26" t="n">
        <v>0.92</v>
      </c>
      <c r="G18" s="26">
        <f>D18*F18</f>
        <v/>
      </c>
      <c r="H18" s="25" t="inlineStr">
        <is>
          <t>Alambre MAG ER70S-6 Ø0,9/1,2</t>
        </is>
      </c>
      <c r="I18" s="12" t="inlineStr">
        <is>
          <t>cordones del plano: 94 g depositados (rend. 92 %)</t>
        </is>
      </c>
      <c r="J18" s="25" t="inlineStr">
        <is>
          <t>Compra</t>
        </is>
      </c>
      <c r="K18" s="12" t="inlineStr">
        <is>
          <t>4 sold. long. / 8 cuello / 11 circunferencial</t>
        </is>
      </c>
      <c r="L18" s="12" t="inlineStr">
        <is>
          <t>ISO 4063 131 / 141</t>
        </is>
      </c>
      <c r="M18" s="25" t="inlineStr">
        <is>
          <t>P</t>
        </is>
      </c>
      <c r="N18" s="25" t="n"/>
      <c r="O18" s="12" t="n"/>
    </row>
    <row r="19" outlineLevel="1">
      <c r="A19" s="25" t="n">
        <v>2</v>
      </c>
      <c r="B19" s="25" t="inlineStr">
        <is>
          <t>CLASED9-C2</t>
        </is>
      </c>
      <c r="C19" s="12" t="inlineStr">
        <is>
          <t xml:space="preserve">        Gas de protección: Arcal 21 (Ar + 18 % CO₂)</t>
        </is>
      </c>
      <c r="D19" s="25" t="n">
        <v>45.8</v>
      </c>
      <c r="E19" s="25" t="inlineStr">
        <is>
          <t>L</t>
        </is>
      </c>
      <c r="F19" s="26" t="n"/>
      <c r="G19" s="26" t="n"/>
      <c r="H19" s="25" t="inlineStr">
        <is>
          <t>Arcal 21 (Ar + 18 % CO₂)</t>
        </is>
      </c>
      <c r="I19" s="12" t="inlineStr">
        <is>
          <t>3,1 min de arco × 15 L/min</t>
        </is>
      </c>
      <c r="J19" s="25" t="inlineStr">
        <is>
          <t>Compra</t>
        </is>
      </c>
      <c r="K19" s="12" t="inlineStr">
        <is>
          <t>Colector SC</t>
        </is>
      </c>
      <c r="L19" s="12" t="n"/>
      <c r="M19" s="25" t="inlineStr">
        <is>
          <t>R</t>
        </is>
      </c>
      <c r="N19" s="25" t="n"/>
      <c r="O19" s="12" t="n"/>
    </row>
    <row r="20" outlineLevel="1">
      <c r="A20" s="25" t="n">
        <v>2</v>
      </c>
      <c r="B20" s="25" t="inlineStr">
        <is>
          <t>CLASED9-C3</t>
        </is>
      </c>
      <c r="C20" s="12" t="inlineStr">
        <is>
          <t xml:space="preserve">        Granalla de acero (consumo)</t>
        </is>
      </c>
      <c r="D20" s="25" t="n">
        <v>0.027</v>
      </c>
      <c r="E20" s="25" t="inlineStr">
        <is>
          <t>kg</t>
        </is>
      </c>
      <c r="F20" s="26" t="n"/>
      <c r="G20" s="26" t="n"/>
      <c r="H20" s="25" t="inlineStr">
        <is>
          <t>Granalla S-230</t>
        </is>
      </c>
      <c r="I20" s="12" t="inlineStr">
        <is>
          <t>0,338 m² a Sa 2½</t>
        </is>
      </c>
      <c r="J20" s="25" t="inlineStr">
        <is>
          <t>Compra</t>
        </is>
      </c>
      <c r="K20" s="12" t="inlineStr">
        <is>
          <t>14 Granallado (B08)</t>
        </is>
      </c>
      <c r="L20" s="12" t="inlineStr">
        <is>
          <t>ISO 8501-1</t>
        </is>
      </c>
      <c r="M20" s="25" t="inlineStr">
        <is>
          <t>R</t>
        </is>
      </c>
      <c r="N20" s="25" t="n"/>
      <c r="O20" s="12" t="n"/>
    </row>
    <row r="21" outlineLevel="1">
      <c r="A21" s="25" t="n">
        <v>2</v>
      </c>
      <c r="B21" s="25" t="inlineStr">
        <is>
          <t>CLASED9-C4</t>
        </is>
      </c>
      <c r="C21" s="12" t="inlineStr">
        <is>
          <t xml:space="preserve">        Pintura en polvo poliéster rojo</t>
        </is>
      </c>
      <c r="D21" s="25" t="n">
        <v>0.063</v>
      </c>
      <c r="E21" s="25" t="inlineStr">
        <is>
          <t>kg</t>
        </is>
      </c>
      <c r="F21" s="26" t="n">
        <v>0.65</v>
      </c>
      <c r="G21" s="26">
        <f>D21*F21</f>
        <v/>
      </c>
      <c r="H21" s="25" t="inlineStr">
        <is>
          <t>Poliéster rojo 03-1-050</t>
        </is>
      </c>
      <c r="I21" s="12" t="inlineStr">
        <is>
          <t>0,338 m² × 80 µm (60-100 µm), rendimiento 65 %</t>
        </is>
      </c>
      <c r="J21" s="25" t="inlineStr">
        <is>
          <t>Compra</t>
        </is>
      </c>
      <c r="K21" s="12" t="inlineStr">
        <is>
          <t>17 Pintura (S-P) / tercerizada en carros</t>
        </is>
      </c>
      <c r="L21" s="12" t="inlineStr">
        <is>
          <t>DOC-01 · IRAM 3517-2 9.10</t>
        </is>
      </c>
      <c r="M21" s="25" t="inlineStr">
        <is>
          <t>R</t>
        </is>
      </c>
      <c r="N21" s="25" t="n"/>
      <c r="O21" s="12" t="n"/>
    </row>
    <row r="22">
      <c r="A22" s="22" t="n">
        <v>1</v>
      </c>
      <c r="B22" s="22" t="inlineStr">
        <is>
          <t>CLASED9-S2</t>
        </is>
      </c>
      <c r="C22" s="23" t="inlineStr">
        <is>
          <t xml:space="preserve">    Conjunto de válvula</t>
        </is>
      </c>
      <c r="D22" s="22" t="n">
        <v>1</v>
      </c>
      <c r="E22" s="22" t="inlineStr">
        <is>
          <t>u</t>
        </is>
      </c>
      <c r="F22" s="24" t="n"/>
      <c r="G22" s="24">
        <f>G23+G24+G25+G26+G27+G28+G29+G30+G31+G32+G33+G34+G35</f>
        <v/>
      </c>
      <c r="H22" s="22" t="n"/>
      <c r="I22" s="23" t="n"/>
      <c r="J22" s="22" t="inlineStr">
        <is>
          <t>Compra / armado</t>
        </is>
      </c>
      <c r="K22" s="23" t="n"/>
      <c r="L22" s="23" t="inlineStr">
        <is>
          <t>Manómetro IRAM 3533</t>
        </is>
      </c>
      <c r="M22" s="22" t="inlineStr">
        <is>
          <t>P</t>
        </is>
      </c>
      <c r="N22" s="22" t="inlineStr">
        <is>
          <t>FL_DES_CLASED_9l</t>
        </is>
      </c>
      <c r="O22" s="23" t="n"/>
    </row>
    <row r="23" outlineLevel="1">
      <c r="A23" s="25" t="n">
        <v>2</v>
      </c>
      <c r="B23" s="25" t="inlineStr">
        <is>
          <t>CLASED9-05</t>
        </is>
      </c>
      <c r="C23" s="12" t="inlineStr">
        <is>
          <t xml:space="preserve">        Collarín de válvula</t>
        </is>
      </c>
      <c r="D23" s="25" t="n">
        <v>1</v>
      </c>
      <c r="E23" s="25" t="inlineStr">
        <is>
          <t>u</t>
        </is>
      </c>
      <c r="F23" s="26" t="n">
        <v>0.08210000000000001</v>
      </c>
      <c r="G23" s="26">
        <f>D23*F23</f>
        <v/>
      </c>
      <c r="H23" s="25" t="inlineStr">
        <is>
          <t>Latón forjado</t>
        </is>
      </c>
      <c r="I23" s="12" t="inlineStr">
        <is>
          <t>42,8 × 42,8 × 10</t>
        </is>
      </c>
      <c r="J23" s="25" t="inlineStr">
        <is>
          <t>Compra</t>
        </is>
      </c>
      <c r="K23" s="12" t="inlineStr">
        <is>
          <t>19 Ensamblaje de válvula (T03/T04)</t>
        </is>
      </c>
      <c r="L23" s="12" t="n"/>
      <c r="M23" s="25" t="inlineStr">
        <is>
          <t>P</t>
        </is>
      </c>
      <c r="N23" s="25" t="inlineStr">
        <is>
          <t>FL_DES_CLASED_9l</t>
        </is>
      </c>
      <c r="O23" s="12" t="n"/>
    </row>
    <row r="24" outlineLevel="1">
      <c r="A24" s="25" t="n">
        <v>2</v>
      </c>
      <c r="B24" s="25" t="inlineStr">
        <is>
          <t>CLASED9-06</t>
        </is>
      </c>
      <c r="C24" s="12" t="inlineStr">
        <is>
          <t xml:space="preserve">        Espiga roscada</t>
        </is>
      </c>
      <c r="D24" s="25" t="n">
        <v>1</v>
      </c>
      <c r="E24" s="25" t="inlineStr">
        <is>
          <t>u</t>
        </is>
      </c>
      <c r="F24" s="26" t="n">
        <v>0.0243</v>
      </c>
      <c r="G24" s="26">
        <f>D24*F24</f>
        <v/>
      </c>
      <c r="H24" s="25" t="inlineStr">
        <is>
          <t>Latón forjado</t>
        </is>
      </c>
      <c r="I24" s="12" t="inlineStr">
        <is>
          <t>28,4 × 28,4 × 12</t>
        </is>
      </c>
      <c r="J24" s="25" t="inlineStr">
        <is>
          <t>Compra</t>
        </is>
      </c>
      <c r="K24" s="12" t="inlineStr">
        <is>
          <t>19 Ensamblaje de válvula (T03/T04)</t>
        </is>
      </c>
      <c r="L24" s="12" t="n"/>
      <c r="M24" s="25" t="inlineStr">
        <is>
          <t>P</t>
        </is>
      </c>
      <c r="N24" s="25" t="inlineStr">
        <is>
          <t>FL_DES_CLASED_9l</t>
        </is>
      </c>
      <c r="O24" s="12" t="n"/>
    </row>
    <row r="25" outlineLevel="1">
      <c r="A25" s="25" t="n">
        <v>2</v>
      </c>
      <c r="B25" s="25" t="inlineStr">
        <is>
          <t>CLASED9-07</t>
        </is>
      </c>
      <c r="C25" s="12" t="inlineStr">
        <is>
          <t xml:space="preserve">        Cuerpo de válvula</t>
        </is>
      </c>
      <c r="D25" s="25" t="n">
        <v>1</v>
      </c>
      <c r="E25" s="25" t="inlineStr">
        <is>
          <t>u</t>
        </is>
      </c>
      <c r="F25" s="26" t="n">
        <v>0.4487</v>
      </c>
      <c r="G25" s="26">
        <f>D25*F25</f>
        <v/>
      </c>
      <c r="H25" s="25" t="inlineStr">
        <is>
          <t>Latón forjado</t>
        </is>
      </c>
      <c r="I25" s="12" t="inlineStr">
        <is>
          <t>61,4 × 43 × 34</t>
        </is>
      </c>
      <c r="J25" s="25" t="inlineStr">
        <is>
          <t>Compra</t>
        </is>
      </c>
      <c r="K25" s="12" t="inlineStr">
        <is>
          <t>19 Ensamblaje de válvula (T03/T04)</t>
        </is>
      </c>
      <c r="L25" s="12" t="n"/>
      <c r="M25" s="25" t="inlineStr">
        <is>
          <t>P</t>
        </is>
      </c>
      <c r="N25" s="25" t="inlineStr">
        <is>
          <t>FL_DES_CLASED_9l</t>
        </is>
      </c>
      <c r="O25" s="12" t="n"/>
    </row>
    <row r="26" outlineLevel="1">
      <c r="A26" s="25" t="n">
        <v>2</v>
      </c>
      <c r="B26" s="25" t="inlineStr">
        <is>
          <t>CLASED9-08</t>
        </is>
      </c>
      <c r="C26" s="12" t="inlineStr">
        <is>
          <t xml:space="preserve">        Manómetro</t>
        </is>
      </c>
      <c r="D26" s="25" t="n">
        <v>1</v>
      </c>
      <c r="E26" s="25" t="inlineStr">
        <is>
          <t>u</t>
        </is>
      </c>
      <c r="F26" s="26" t="n">
        <v>0.06</v>
      </c>
      <c r="G26" s="26">
        <f>D26*F26</f>
        <v/>
      </c>
      <c r="H26" s="25" t="inlineStr">
        <is>
          <t>Comercial</t>
        </is>
      </c>
      <c r="I26" s="12" t="inlineStr">
        <is>
          <t>Ø38 esfera, rango 0-3,5 MPa, sector verde en 1,4</t>
        </is>
      </c>
      <c r="J26" s="25" t="inlineStr">
        <is>
          <t>Compra</t>
        </is>
      </c>
      <c r="K26" s="12" t="inlineStr">
        <is>
          <t>19 Ensamblaje de válvula (T03/T04)</t>
        </is>
      </c>
      <c r="L26" s="12" t="inlineStr">
        <is>
          <t>IRAM 3533</t>
        </is>
      </c>
      <c r="M26" s="25" t="inlineStr">
        <is>
          <t>R</t>
        </is>
      </c>
      <c r="N26" s="25" t="inlineStr">
        <is>
          <t>FL_DES_CLASED_9l</t>
        </is>
      </c>
      <c r="O26" s="12" t="inlineStr">
        <is>
          <t>Pieza comercial; sello IRAM 3533</t>
        </is>
      </c>
    </row>
    <row r="27" outlineLevel="1">
      <c r="A27" s="25" t="n">
        <v>2</v>
      </c>
      <c r="B27" s="25" t="inlineStr">
        <is>
          <t>CLASED9-09</t>
        </is>
      </c>
      <c r="C27" s="12" t="inlineStr">
        <is>
          <t xml:space="preserve">        Manija de transporte</t>
        </is>
      </c>
      <c r="D27" s="25" t="n">
        <v>1</v>
      </c>
      <c r="E27" s="25" t="inlineStr">
        <is>
          <t>u</t>
        </is>
      </c>
      <c r="F27" s="26" t="n">
        <v>0.0459</v>
      </c>
      <c r="G27" s="26">
        <f>D27*F27</f>
        <v/>
      </c>
      <c r="H27" s="25" t="inlineStr">
        <is>
          <t>Chapa acero SAE 1010 pintada</t>
        </is>
      </c>
      <c r="I27" s="12" t="inlineStr">
        <is>
          <t>73,1 × 20 × 11,6</t>
        </is>
      </c>
      <c r="J27" s="25" t="inlineStr">
        <is>
          <t>Compra</t>
        </is>
      </c>
      <c r="K27" s="12" t="inlineStr">
        <is>
          <t>19 Ensamblaje de válvula (T03/T04)</t>
        </is>
      </c>
      <c r="L27" s="12" t="n"/>
      <c r="M27" s="25" t="inlineStr">
        <is>
          <t>P</t>
        </is>
      </c>
      <c r="N27" s="25" t="inlineStr">
        <is>
          <t>FL_DES_CLASED_9l</t>
        </is>
      </c>
      <c r="O27" s="12" t="n"/>
    </row>
    <row r="28" outlineLevel="1">
      <c r="A28" s="25" t="n">
        <v>2</v>
      </c>
      <c r="B28" s="25" t="inlineStr">
        <is>
          <t>CLASED9-10</t>
        </is>
      </c>
      <c r="C28" s="12" t="inlineStr">
        <is>
          <t xml:space="preserve">        Manija de accionamiento</t>
        </is>
      </c>
      <c r="D28" s="25" t="n">
        <v>1</v>
      </c>
      <c r="E28" s="25" t="inlineStr">
        <is>
          <t>u</t>
        </is>
      </c>
      <c r="F28" s="26" t="n">
        <v>0.07290000000000001</v>
      </c>
      <c r="G28" s="26">
        <f>D28*F28</f>
        <v/>
      </c>
      <c r="H28" s="25" t="inlineStr">
        <is>
          <t>Chapa acero SAE 1010 pintada</t>
        </is>
      </c>
      <c r="I28" s="12" t="inlineStr">
        <is>
          <t>115,7 × 20 × 18,1</t>
        </is>
      </c>
      <c r="J28" s="25" t="inlineStr">
        <is>
          <t>Compra</t>
        </is>
      </c>
      <c r="K28" s="12" t="inlineStr">
        <is>
          <t>19 Ensamblaje de válvula (T03/T04)</t>
        </is>
      </c>
      <c r="L28" s="12" t="n"/>
      <c r="M28" s="25" t="inlineStr">
        <is>
          <t>P</t>
        </is>
      </c>
      <c r="N28" s="25" t="inlineStr">
        <is>
          <t>FL_DES_CLASED_9l</t>
        </is>
      </c>
      <c r="O28" s="12" t="n"/>
    </row>
    <row r="29" outlineLevel="1">
      <c r="A29" s="25" t="n">
        <v>2</v>
      </c>
      <c r="B29" s="25" t="inlineStr">
        <is>
          <t>CLASED9-11</t>
        </is>
      </c>
      <c r="C29" s="12" t="inlineStr">
        <is>
          <t xml:space="preserve">        Eje de palanca</t>
        </is>
      </c>
      <c r="D29" s="25" t="n">
        <v>1</v>
      </c>
      <c r="E29" s="25" t="inlineStr">
        <is>
          <t>u</t>
        </is>
      </c>
      <c r="F29" s="26" t="n">
        <v>0.0081</v>
      </c>
      <c r="G29" s="26">
        <f>D29*F29</f>
        <v/>
      </c>
      <c r="H29" s="25" t="inlineStr">
        <is>
          <t>Acero inox. AISI 304</t>
        </is>
      </c>
      <c r="I29" s="12" t="inlineStr">
        <is>
          <t>36 × 6 × 6</t>
        </is>
      </c>
      <c r="J29" s="25" t="inlineStr">
        <is>
          <t>Compra</t>
        </is>
      </c>
      <c r="K29" s="12" t="inlineStr">
        <is>
          <t>19 Ensamblaje de válvula (T03/T04)</t>
        </is>
      </c>
      <c r="L29" s="12" t="n"/>
      <c r="M29" s="25" t="inlineStr">
        <is>
          <t>P</t>
        </is>
      </c>
      <c r="N29" s="25" t="inlineStr">
        <is>
          <t>FL_DES_CLASED_9l</t>
        </is>
      </c>
      <c r="O29" s="12" t="n"/>
    </row>
    <row r="30" outlineLevel="1">
      <c r="A30" s="25" t="n">
        <v>2</v>
      </c>
      <c r="B30" s="25" t="inlineStr">
        <is>
          <t>CLASED9-12</t>
        </is>
      </c>
      <c r="C30" s="12" t="inlineStr">
        <is>
          <t xml:space="preserve">        Vástago</t>
        </is>
      </c>
      <c r="D30" s="25" t="n">
        <v>1</v>
      </c>
      <c r="E30" s="25" t="inlineStr">
        <is>
          <t>u</t>
        </is>
      </c>
      <c r="F30" s="26" t="n">
        <v>0.0017</v>
      </c>
      <c r="G30" s="26">
        <f>D30*F30</f>
        <v/>
      </c>
      <c r="H30" s="25" t="inlineStr">
        <is>
          <t>Latón</t>
        </is>
      </c>
      <c r="I30" s="12" t="inlineStr">
        <is>
          <t>8 × 8 × 4</t>
        </is>
      </c>
      <c r="J30" s="25" t="inlineStr">
        <is>
          <t>Compra</t>
        </is>
      </c>
      <c r="K30" s="12" t="inlineStr">
        <is>
          <t>19 Ensamblaje de válvula (T03/T04)</t>
        </is>
      </c>
      <c r="L30" s="12" t="n"/>
      <c r="M30" s="25" t="inlineStr">
        <is>
          <t>P</t>
        </is>
      </c>
      <c r="N30" s="25" t="inlineStr">
        <is>
          <t>FL_DES_CLASED_9l</t>
        </is>
      </c>
      <c r="O30" s="12" t="inlineStr">
        <is>
          <t>con junta tórica</t>
        </is>
      </c>
    </row>
    <row r="31" outlineLevel="1">
      <c r="A31" s="25" t="n">
        <v>2</v>
      </c>
      <c r="B31" s="25" t="inlineStr">
        <is>
          <t>CLASED9-13</t>
        </is>
      </c>
      <c r="C31" s="12" t="inlineStr">
        <is>
          <t xml:space="preserve">        Pasador de seguridad</t>
        </is>
      </c>
      <c r="D31" s="25" t="n">
        <v>1</v>
      </c>
      <c r="E31" s="25" t="inlineStr">
        <is>
          <t>u</t>
        </is>
      </c>
      <c r="F31" s="26" t="n">
        <v>0.0055</v>
      </c>
      <c r="G31" s="26">
        <f>D31*F31</f>
        <v/>
      </c>
      <c r="H31" s="25" t="inlineStr">
        <is>
          <t>Alambre acero inox. AISI 304</t>
        </is>
      </c>
      <c r="I31" s="12" t="inlineStr">
        <is>
          <t>45,4 × 21 × 20,8</t>
        </is>
      </c>
      <c r="J31" s="25" t="inlineStr">
        <is>
          <t>Compra</t>
        </is>
      </c>
      <c r="K31" s="12" t="inlineStr">
        <is>
          <t>19 Ensamblaje de válvula (T03/T04)</t>
        </is>
      </c>
      <c r="L31" s="12" t="n"/>
      <c r="M31" s="25" t="inlineStr">
        <is>
          <t>P</t>
        </is>
      </c>
      <c r="N31" s="25" t="inlineStr">
        <is>
          <t>FL_DES_CLASED_9l</t>
        </is>
      </c>
      <c r="O31" s="12" t="inlineStr">
        <is>
          <t>con precinto</t>
        </is>
      </c>
    </row>
    <row r="32" outlineLevel="1">
      <c r="A32" s="25" t="n">
        <v>2</v>
      </c>
      <c r="B32" s="25" t="inlineStr">
        <is>
          <t>CLASED9-14</t>
        </is>
      </c>
      <c r="C32" s="12" t="inlineStr">
        <is>
          <t xml:space="preserve">        Caño de pesca (sifón)</t>
        </is>
      </c>
      <c r="D32" s="25" t="n">
        <v>1</v>
      </c>
      <c r="E32" s="25" t="inlineStr">
        <is>
          <t>u</t>
        </is>
      </c>
      <c r="F32" s="26" t="n">
        <v>0.0364</v>
      </c>
      <c r="G32" s="26">
        <f>D32*F32</f>
        <v/>
      </c>
      <c r="H32" s="25" t="inlineStr">
        <is>
          <t>Tubo PVC rígido</t>
        </is>
      </c>
      <c r="I32" s="12" t="inlineStr">
        <is>
          <t>Ø12 × 525,7 de largo</t>
        </is>
      </c>
      <c r="J32" s="25" t="inlineStr">
        <is>
          <t>Compra</t>
        </is>
      </c>
      <c r="K32" s="12" t="inlineStr">
        <is>
          <t>19 Ensamblaje de válvula (T03/T04)</t>
        </is>
      </c>
      <c r="L32" s="12" t="n"/>
      <c r="M32" s="25" t="inlineStr">
        <is>
          <t>P</t>
        </is>
      </c>
      <c r="N32" s="25" t="inlineStr">
        <is>
          <t>FL_DES_CLASED_9l</t>
        </is>
      </c>
      <c r="O32" s="12" t="n"/>
    </row>
    <row r="33" outlineLevel="1">
      <c r="A33" s="25" t="n">
        <v>2</v>
      </c>
      <c r="B33" s="25" t="inlineStr">
        <is>
          <t>CLASED9-23</t>
        </is>
      </c>
      <c r="C33" s="12" t="inlineStr">
        <is>
          <t xml:space="preserve">        Junta tórica de asiento</t>
        </is>
      </c>
      <c r="D33" s="25" t="n">
        <v>1</v>
      </c>
      <c r="E33" s="25" t="inlineStr">
        <is>
          <t>u</t>
        </is>
      </c>
      <c r="F33" s="26" t="n">
        <v>0.001</v>
      </c>
      <c r="G33" s="26">
        <f>D33*F33</f>
        <v/>
      </c>
      <c r="H33" s="25" t="inlineStr">
        <is>
          <t>NBR 70 Shore A</t>
        </is>
      </c>
      <c r="I33" s="12" t="inlineStr">
        <is>
          <t>Ø31,4 ext. × cordón 3</t>
        </is>
      </c>
      <c r="J33" s="25" t="inlineStr">
        <is>
          <t>Compra</t>
        </is>
      </c>
      <c r="K33" s="12" t="inlineStr">
        <is>
          <t>19 Ensamblaje de válvula (T03/T04)</t>
        </is>
      </c>
      <c r="L33" s="12" t="n"/>
      <c r="M33" s="25" t="inlineStr">
        <is>
          <t>P</t>
        </is>
      </c>
      <c r="N33" s="25" t="inlineStr">
        <is>
          <t>FL_DES_CLASED_9l</t>
        </is>
      </c>
      <c r="O33" s="12" t="inlineStr">
        <is>
          <t>cambio c/recarga</t>
        </is>
      </c>
    </row>
    <row r="34" outlineLevel="1">
      <c r="A34" s="25" t="n">
        <v>2</v>
      </c>
      <c r="B34" s="25" t="inlineStr">
        <is>
          <t>CLASED9-V2</t>
        </is>
      </c>
      <c r="C34" s="12" t="inlineStr">
        <is>
          <t xml:space="preserve">        Resorte de retorno del vástago</t>
        </is>
      </c>
      <c r="D34" s="25" t="n">
        <v>1</v>
      </c>
      <c r="E34" s="25" t="inlineStr">
        <is>
          <t>u</t>
        </is>
      </c>
      <c r="F34" s="26" t="n">
        <v>0.003</v>
      </c>
      <c r="G34" s="26">
        <f>D34*F34</f>
        <v/>
      </c>
      <c r="H34" s="25" t="inlineStr">
        <is>
          <t>Alambre acero inox. AISI 302</t>
        </is>
      </c>
      <c r="I34" s="12" t="inlineStr">
        <is>
          <t>según válvula</t>
        </is>
      </c>
      <c r="J34" s="25" t="inlineStr">
        <is>
          <t>Compra</t>
        </is>
      </c>
      <c r="K34" s="12" t="inlineStr">
        <is>
          <t>19 Ensamblaje</t>
        </is>
      </c>
      <c r="L34" s="12" t="n"/>
      <c r="M34" s="25" t="inlineStr">
        <is>
          <t>R</t>
        </is>
      </c>
      <c r="N34" s="25" t="n"/>
      <c r="O34" s="12" t="n"/>
    </row>
    <row r="35" outlineLevel="1">
      <c r="A35" s="25" t="n">
        <v>2</v>
      </c>
      <c r="B35" s="25" t="inlineStr">
        <is>
          <t>CLASED9-V3</t>
        </is>
      </c>
      <c r="C35" s="12" t="inlineStr">
        <is>
          <t xml:space="preserve">        Junta tórica del vástago</t>
        </is>
      </c>
      <c r="D35" s="25" t="n">
        <v>1</v>
      </c>
      <c r="E35" s="25" t="inlineStr">
        <is>
          <t>u</t>
        </is>
      </c>
      <c r="F35" s="26" t="n">
        <v>0.001</v>
      </c>
      <c r="G35" s="26">
        <f>D35*F35</f>
        <v/>
      </c>
      <c r="H35" s="25" t="inlineStr">
        <is>
          <t>NBR 70 Shore A</t>
        </is>
      </c>
      <c r="I35" s="12" t="inlineStr">
        <is>
          <t>según válvula</t>
        </is>
      </c>
      <c r="J35" s="25" t="inlineStr">
        <is>
          <t>Compra</t>
        </is>
      </c>
      <c r="K35" s="12" t="inlineStr">
        <is>
          <t>19 Ensamblaje</t>
        </is>
      </c>
      <c r="L35" s="12" t="n"/>
      <c r="M35" s="25" t="inlineStr">
        <is>
          <t>P</t>
        </is>
      </c>
      <c r="N35" s="25" t="n"/>
      <c r="O35" s="12" t="inlineStr">
        <is>
          <t>Figura en el plano como «vástago con junta tórica»</t>
        </is>
      </c>
    </row>
    <row r="36">
      <c r="A36" s="22" t="n">
        <v>1</v>
      </c>
      <c r="B36" s="22" t="inlineStr">
        <is>
          <t>CLASED9-S3</t>
        </is>
      </c>
      <c r="C36" s="23" t="inlineStr">
        <is>
          <t xml:space="preserve">    Dispositivo de descarga</t>
        </is>
      </c>
      <c r="D36" s="22" t="n">
        <v>1</v>
      </c>
      <c r="E36" s="22" t="inlineStr">
        <is>
          <t>u</t>
        </is>
      </c>
      <c r="F36" s="24" t="n"/>
      <c r="G36" s="24">
        <f>G37+G38+G39+G40+G41</f>
        <v/>
      </c>
      <c r="H36" s="22" t="n"/>
      <c r="I36" s="23" t="n"/>
      <c r="J36" s="22" t="inlineStr">
        <is>
          <t>Compra / armado</t>
        </is>
      </c>
      <c r="K36" s="23" t="n"/>
      <c r="L36" s="23" t="n"/>
      <c r="M36" s="22" t="inlineStr">
        <is>
          <t>P</t>
        </is>
      </c>
      <c r="N36" s="22" t="inlineStr">
        <is>
          <t>FL_DES_CLASED_9l</t>
        </is>
      </c>
      <c r="O36" s="23" t="n"/>
    </row>
    <row r="37" outlineLevel="1">
      <c r="A37" s="25" t="n">
        <v>2</v>
      </c>
      <c r="B37" s="25" t="inlineStr">
        <is>
          <t>CLASED9-15</t>
        </is>
      </c>
      <c r="C37" s="12" t="inlineStr">
        <is>
          <t xml:space="preserve">        Racor de manguera</t>
        </is>
      </c>
      <c r="D37" s="25" t="n">
        <v>1</v>
      </c>
      <c r="E37" s="25" t="inlineStr">
        <is>
          <t>u</t>
        </is>
      </c>
      <c r="F37" s="26" t="n">
        <v>0.0258</v>
      </c>
      <c r="G37" s="26">
        <f>D37*F37</f>
        <v/>
      </c>
      <c r="H37" s="25" t="inlineStr">
        <is>
          <t>Latón</t>
        </is>
      </c>
      <c r="I37" s="12" t="inlineStr">
        <is>
          <t>18 × 18 × 12</t>
        </is>
      </c>
      <c r="J37" s="25" t="inlineStr">
        <is>
          <t>Compra</t>
        </is>
      </c>
      <c r="K37" s="12" t="inlineStr">
        <is>
          <t>19 Ensamblaje (T03/T04)</t>
        </is>
      </c>
      <c r="L37" s="12" t="n"/>
      <c r="M37" s="25" t="inlineStr">
        <is>
          <t>P</t>
        </is>
      </c>
      <c r="N37" s="25" t="inlineStr">
        <is>
          <t>FL_DES_CLASED_9l</t>
        </is>
      </c>
      <c r="O37" s="12" t="n"/>
    </row>
    <row r="38" outlineLevel="1">
      <c r="A38" s="25" t="n">
        <v>2</v>
      </c>
      <c r="B38" s="25" t="inlineStr">
        <is>
          <t>CLASED9-16</t>
        </is>
      </c>
      <c r="C38" s="12" t="inlineStr">
        <is>
          <t xml:space="preserve">        Manguera</t>
        </is>
      </c>
      <c r="D38" s="25" t="n">
        <v>1</v>
      </c>
      <c r="E38" s="25" t="inlineStr">
        <is>
          <t>u</t>
        </is>
      </c>
      <c r="F38" s="26" t="n">
        <v>0.0281</v>
      </c>
      <c r="G38" s="26">
        <f>D38*F38</f>
        <v/>
      </c>
      <c r="H38" s="25" t="inlineStr">
        <is>
          <t>Caucho sintético</t>
        </is>
      </c>
      <c r="I38" s="12" t="inlineStr">
        <is>
          <t>Ø16 × 182 de largo desarrollado</t>
        </is>
      </c>
      <c r="J38" s="25" t="inlineStr">
        <is>
          <t>Compra</t>
        </is>
      </c>
      <c r="K38" s="12" t="inlineStr">
        <is>
          <t>19 Ensamblaje (T03/T04)</t>
        </is>
      </c>
      <c r="L38" s="12" t="n"/>
      <c r="M38" s="25" t="inlineStr">
        <is>
          <t>P</t>
        </is>
      </c>
      <c r="N38" s="25" t="inlineStr">
        <is>
          <t>FL_DES_CLASED_9l</t>
        </is>
      </c>
      <c r="O38" s="12" t="n"/>
    </row>
    <row r="39" outlineLevel="1">
      <c r="A39" s="25" t="n">
        <v>2</v>
      </c>
      <c r="B39" s="25" t="inlineStr">
        <is>
          <t>CLASED9-17</t>
        </is>
      </c>
      <c r="C39" s="12" t="inlineStr">
        <is>
          <t xml:space="preserve">        Lanza aplicadora flujo suave</t>
        </is>
      </c>
      <c r="D39" s="25" t="n">
        <v>1</v>
      </c>
      <c r="E39" s="25" t="inlineStr">
        <is>
          <t>u</t>
        </is>
      </c>
      <c r="F39" s="26" t="n">
        <v>0.1201</v>
      </c>
      <c r="G39" s="26">
        <f>D39*F39</f>
        <v/>
      </c>
      <c r="H39" s="25" t="inlineStr">
        <is>
          <t>Tubo aluminio</t>
        </is>
      </c>
      <c r="I39" s="12" t="inlineStr">
        <is>
          <t>360 × 40 × 40</t>
        </is>
      </c>
      <c r="J39" s="25" t="inlineStr">
        <is>
          <t>Compra</t>
        </is>
      </c>
      <c r="K39" s="12" t="inlineStr">
        <is>
          <t>19 Ensamblaje (T03/T04)</t>
        </is>
      </c>
      <c r="L39" s="12" t="n"/>
      <c r="M39" s="25" t="inlineStr">
        <is>
          <t>P</t>
        </is>
      </c>
      <c r="N39" s="25" t="inlineStr">
        <is>
          <t>FL_DES_CLASED_9l</t>
        </is>
      </c>
      <c r="O39" s="12" t="n"/>
    </row>
    <row r="40" outlineLevel="1">
      <c r="A40" s="25" t="n">
        <v>2</v>
      </c>
      <c r="B40" s="25" t="inlineStr">
        <is>
          <t>CLASED9-18</t>
        </is>
      </c>
      <c r="C40" s="12" t="inlineStr">
        <is>
          <t xml:space="preserve">        Empuñadura</t>
        </is>
      </c>
      <c r="D40" s="25" t="n">
        <v>1</v>
      </c>
      <c r="E40" s="25" t="inlineStr">
        <is>
          <t>u</t>
        </is>
      </c>
      <c r="F40" s="26" t="n">
        <v>0.0239</v>
      </c>
      <c r="G40" s="26">
        <f>D40*F40</f>
        <v/>
      </c>
      <c r="H40" s="25" t="inlineStr">
        <is>
          <t>Polipropileno</t>
        </is>
      </c>
      <c r="I40" s="12" t="inlineStr">
        <is>
          <t>90 × 28 × 28</t>
        </is>
      </c>
      <c r="J40" s="25" t="inlineStr">
        <is>
          <t>Compra</t>
        </is>
      </c>
      <c r="K40" s="12" t="inlineStr">
        <is>
          <t>19 Ensamblaje (T03/T04)</t>
        </is>
      </c>
      <c r="L40" s="12" t="n"/>
      <c r="M40" s="25" t="inlineStr">
        <is>
          <t>P</t>
        </is>
      </c>
      <c r="N40" s="25" t="inlineStr">
        <is>
          <t>FL_DES_CLASED_9l</t>
        </is>
      </c>
      <c r="O40" s="12" t="n"/>
    </row>
    <row r="41" outlineLevel="1">
      <c r="A41" s="25" t="n">
        <v>2</v>
      </c>
      <c r="B41" s="25" t="inlineStr">
        <is>
          <t>CLASED9-19</t>
        </is>
      </c>
      <c r="C41" s="12" t="inlineStr">
        <is>
          <t xml:space="preserve">        Suncho portatobera</t>
        </is>
      </c>
      <c r="D41" s="25" t="n">
        <v>1</v>
      </c>
      <c r="E41" s="25" t="inlineStr">
        <is>
          <t>u</t>
        </is>
      </c>
      <c r="F41" s="26" t="n">
        <v>0.1773</v>
      </c>
      <c r="G41" s="26">
        <f>D41*F41</f>
        <v/>
      </c>
      <c r="H41" s="25" t="inlineStr">
        <is>
          <t>Fleje acero SAE 1010 pintado</t>
        </is>
      </c>
      <c r="I41" s="12" t="inlineStr">
        <is>
          <t>198,8 × 184,5 × 18</t>
        </is>
      </c>
      <c r="J41" s="25" t="inlineStr">
        <is>
          <t>Compra (estructura)</t>
        </is>
      </c>
      <c r="K41" s="12" t="inlineStr">
        <is>
          <t>19 Ensamblaje (T03/T04)</t>
        </is>
      </c>
      <c r="L41" s="12" t="n"/>
      <c r="M41" s="25" t="inlineStr">
        <is>
          <t>P</t>
        </is>
      </c>
      <c r="N41" s="25" t="inlineStr">
        <is>
          <t>FL_DES_CLASED_9l</t>
        </is>
      </c>
      <c r="O41" s="12" t="n"/>
    </row>
    <row r="42">
      <c r="A42" s="22" t="n">
        <v>1</v>
      </c>
      <c r="B42" s="22" t="inlineStr">
        <is>
          <t>CLASED9-S5</t>
        </is>
      </c>
      <c r="C42" s="23" t="inlineStr">
        <is>
          <t xml:space="preserve">    Carga: agente extintor y gas impulsor</t>
        </is>
      </c>
      <c r="D42" s="22" t="n">
        <v>1</v>
      </c>
      <c r="E42" s="22" t="inlineStr">
        <is>
          <t>u</t>
        </is>
      </c>
      <c r="F42" s="24" t="n"/>
      <c r="G42" s="24">
        <f>G43+G44</f>
        <v/>
      </c>
      <c r="H42" s="22" t="n"/>
      <c r="I42" s="23" t="n"/>
      <c r="J42" s="22" t="inlineStr">
        <is>
          <t>Carga en planta</t>
        </is>
      </c>
      <c r="K42" s="23" t="inlineStr">
        <is>
          <t>18 Carga de polvo (T01) / C8 (T02)</t>
        </is>
      </c>
      <c r="L42" s="23" t="n"/>
      <c r="M42" s="22" t="n"/>
      <c r="N42" s="22" t="n"/>
      <c r="O42" s="23" t="n"/>
    </row>
    <row r="43" outlineLevel="1">
      <c r="A43" s="25" t="n">
        <v>2</v>
      </c>
      <c r="B43" s="25" t="inlineStr">
        <is>
          <t>CLASED9-A1</t>
        </is>
      </c>
      <c r="C43" s="12" t="inlineStr">
        <is>
          <t xml:space="preserve">        Polvo para metales combustibles clase D - Clase D (NaCl &gt; 90 %)</t>
        </is>
      </c>
      <c r="D43" s="25" t="n">
        <v>9.15</v>
      </c>
      <c r="E43" s="25" t="inlineStr">
        <is>
          <t>kg</t>
        </is>
      </c>
      <c r="F43" s="26" t="n">
        <v>1</v>
      </c>
      <c r="G43" s="26">
        <f>D43*F43</f>
        <v/>
      </c>
      <c r="H43" s="25" t="inlineStr">
        <is>
          <t>Polvo para metales combustibles clase D - Clase D (NaCl &gt; 90 %)</t>
        </is>
      </c>
      <c r="I43" s="12" t="inlineStr">
        <is>
          <t>nominal 9 kg; tolerancia 0 / +300 g (IRAM 3517-2:2020 tabla 3 · IRAM 3523 tabla II)</t>
        </is>
      </c>
      <c r="J43" s="25" t="inlineStr">
        <is>
          <t>Compra</t>
        </is>
      </c>
      <c r="K43" s="12" t="inlineStr">
        <is>
          <t>SP-1 almacén previo a la carga</t>
        </is>
      </c>
      <c r="L43" s="12" t="inlineStr">
        <is>
          <t>sin norma IRAM de agente (DEMSA ISO 9001)</t>
        </is>
      </c>
      <c r="M43" s="25" t="inlineStr">
        <is>
          <t>N</t>
        </is>
      </c>
      <c r="N43" s="25" t="n"/>
      <c r="O43" s="12" t="inlineStr">
        <is>
          <t>potencial -</t>
        </is>
      </c>
    </row>
    <row r="44" outlineLevel="1">
      <c r="A44" s="25" t="n">
        <v>2</v>
      </c>
      <c r="B44" s="25" t="inlineStr">
        <is>
          <t>CLASED9-A2</t>
        </is>
      </c>
      <c r="C44" s="12" t="inlineStr">
        <is>
          <t xml:space="preserve">        Gas impulsor: N₂</t>
        </is>
      </c>
      <c r="D44" s="25" t="n">
        <v>0.0604</v>
      </c>
      <c r="E44" s="25" t="inlineStr">
        <is>
          <t>kg</t>
        </is>
      </c>
      <c r="F44" s="26" t="n">
        <v>1</v>
      </c>
      <c r="G44" s="26">
        <f>D44*F44</f>
        <v/>
      </c>
      <c r="H44" s="25" t="inlineStr">
        <is>
          <t>N₂</t>
        </is>
      </c>
      <c r="I44" s="12" t="inlineStr">
        <is>
          <t>48,3 L normales para 1,4 MPa a 20 °C en 3,5 dm³ libres</t>
        </is>
      </c>
      <c r="J44" s="25" t="inlineStr">
        <is>
          <t>Compra</t>
        </is>
      </c>
      <c r="K44" s="12" t="inlineStr">
        <is>
          <t>20 Presurización (T05) / C10</t>
        </is>
      </c>
      <c r="L44" s="12" t="inlineStr">
        <is>
          <t>IRAM 3517-2 9.4.9 (tabla 2) · IRAM 3523 2.3 y 3.10</t>
        </is>
      </c>
      <c r="M44" s="25" t="inlineStr">
        <is>
          <t>C</t>
        </is>
      </c>
      <c r="N44" s="25" t="n"/>
      <c r="O44" s="12" t="inlineStr">
        <is>
          <t>Batería en SP-1; punto de rocío ≤ -56,7 °C para gases limpios</t>
        </is>
      </c>
    </row>
    <row r="45">
      <c r="A45" s="22" t="n">
        <v>1</v>
      </c>
      <c r="B45" s="22" t="inlineStr">
        <is>
          <t>CLASED9-S6</t>
        </is>
      </c>
      <c r="C45" s="23" t="inlineStr">
        <is>
          <t xml:space="preserve">    Identificación y precinto</t>
        </is>
      </c>
      <c r="D45" s="22" t="n">
        <v>1</v>
      </c>
      <c r="E45" s="22" t="inlineStr">
        <is>
          <t>u</t>
        </is>
      </c>
      <c r="F45" s="24" t="n"/>
      <c r="G45" s="24">
        <f>G46+G47+G48+G49+G50</f>
        <v/>
      </c>
      <c r="H45" s="22" t="n"/>
      <c r="I45" s="23" t="n"/>
      <c r="J45" s="22" t="inlineStr">
        <is>
          <t>Compra</t>
        </is>
      </c>
      <c r="K45" s="23" t="inlineStr">
        <is>
          <t>22 Etiquetado (T07)</t>
        </is>
      </c>
      <c r="L45" s="23" t="n"/>
      <c r="M45" s="22" t="n"/>
      <c r="N45" s="22" t="n"/>
      <c r="O45" s="23" t="n"/>
    </row>
    <row r="46" outlineLevel="1">
      <c r="A46" s="25" t="n">
        <v>2</v>
      </c>
      <c r="B46" s="25" t="inlineStr">
        <is>
          <t>CLASED9-20</t>
        </is>
      </c>
      <c r="C46" s="12" t="inlineStr">
        <is>
          <t xml:space="preserve">        Placa de características</t>
        </is>
      </c>
      <c r="D46" s="25" t="n">
        <v>1</v>
      </c>
      <c r="E46" s="25" t="inlineStr">
        <is>
          <t>u</t>
        </is>
      </c>
      <c r="F46" s="26" t="n">
        <v>0.0109</v>
      </c>
      <c r="G46" s="26">
        <f>D46*F46</f>
        <v/>
      </c>
      <c r="H46" s="25" t="inlineStr">
        <is>
          <t>Vinilo autoadhesivo laminado</t>
        </is>
      </c>
      <c r="I46" s="12" t="inlineStr">
        <is>
          <t>171 × 151 (desarrollo × alto), e ≈ 0,3</t>
        </is>
      </c>
      <c r="J46" s="25" t="inlineStr">
        <is>
          <t>Compra</t>
        </is>
      </c>
      <c r="K46" s="12" t="inlineStr">
        <is>
          <t>22 Etiquetado (T07)</t>
        </is>
      </c>
      <c r="L46" s="12" t="inlineStr">
        <is>
          <t>IRAM 3534 · IRAM 3523 cap. 5</t>
        </is>
      </c>
      <c r="M46" s="25" t="inlineStr">
        <is>
          <t>P</t>
        </is>
      </c>
      <c r="N46" s="25" t="inlineStr">
        <is>
          <t>FL_DES_CLASED_9l</t>
        </is>
      </c>
      <c r="O46" s="12" t="inlineStr">
        <is>
          <t>IRAM 3534</t>
        </is>
      </c>
    </row>
    <row r="47" outlineLevel="1">
      <c r="A47" s="25" t="n">
        <v>2</v>
      </c>
      <c r="B47" s="25" t="inlineStr">
        <is>
          <t>CLASED9-21</t>
        </is>
      </c>
      <c r="C47" s="12" t="inlineStr">
        <is>
          <t xml:space="preserve">        Oblea de fabricación (PBA)</t>
        </is>
      </c>
      <c r="D47" s="25" t="n">
        <v>1</v>
      </c>
      <c r="E47" s="25" t="inlineStr">
        <is>
          <t>u</t>
        </is>
      </c>
      <c r="F47" s="26" t="n">
        <v>0.0009</v>
      </c>
      <c r="G47" s="26">
        <f>D47*F47</f>
        <v/>
      </c>
      <c r="H47" s="25" t="inlineStr">
        <is>
          <t>Papel de seguridad autodestructible</t>
        </is>
      </c>
      <c r="I47" s="12" t="inlineStr">
        <is>
          <t>Ø46 (Res. OPDS 522/07), numerada, autodestructible</t>
        </is>
      </c>
      <c r="J47" s="25" t="inlineStr">
        <is>
          <t>Compra</t>
        </is>
      </c>
      <c r="K47" s="12" t="inlineStr">
        <is>
          <t>22 Etiquetado (T07)</t>
        </is>
      </c>
      <c r="L47" s="12" t="inlineStr">
        <is>
          <t>Res. OPDS 522/07 anexos 1, 2 y 6</t>
        </is>
      </c>
      <c r="M47" s="25" t="inlineStr">
        <is>
          <t>P</t>
        </is>
      </c>
      <c r="N47" s="25" t="inlineStr">
        <is>
          <t>FL_DES_CLASED_9l</t>
        </is>
      </c>
      <c r="O47" s="12" t="inlineStr">
        <is>
          <t>Res. 522/07</t>
        </is>
      </c>
    </row>
    <row r="48" outlineLevel="1">
      <c r="A48" s="25" t="n">
        <v>2</v>
      </c>
      <c r="B48" s="25" t="inlineStr">
        <is>
          <t>CLASED9-22</t>
        </is>
      </c>
      <c r="C48" s="12" t="inlineStr">
        <is>
          <t xml:space="preserve">        Estampilla IRAM de conformidad</t>
        </is>
      </c>
      <c r="D48" s="25" t="n">
        <v>1</v>
      </c>
      <c r="E48" s="25" t="inlineStr">
        <is>
          <t>u</t>
        </is>
      </c>
      <c r="F48" s="26" t="n">
        <v>0.001</v>
      </c>
      <c r="G48" s="26">
        <f>D48*F48</f>
        <v/>
      </c>
      <c r="H48" s="25" t="inlineStr">
        <is>
          <t>Provista por IRAM (Anexo R)</t>
        </is>
      </c>
      <c r="I48" s="12" t="inlineStr">
        <is>
          <t>60 × 40</t>
        </is>
      </c>
      <c r="J48" s="25" t="inlineStr">
        <is>
          <t>Compra</t>
        </is>
      </c>
      <c r="K48" s="12" t="inlineStr">
        <is>
          <t>22 Etiquetado (T07)</t>
        </is>
      </c>
      <c r="L48" s="12" t="inlineStr">
        <is>
          <t>IRAM Anexo R (DC-PG-129)</t>
        </is>
      </c>
      <c r="M48" s="25" t="inlineStr">
        <is>
          <t>P</t>
        </is>
      </c>
      <c r="N48" s="25" t="inlineStr">
        <is>
          <t>FL_DES_CLASED_9l</t>
        </is>
      </c>
      <c r="O48" s="12" t="inlineStr">
        <is>
          <t>numerada</t>
        </is>
      </c>
    </row>
    <row r="49" outlineLevel="1">
      <c r="A49" s="25" t="n">
        <v>2</v>
      </c>
      <c r="B49" s="25" t="inlineStr">
        <is>
          <t>CLASED9-24</t>
        </is>
      </c>
      <c r="C49" s="12" t="inlineStr">
        <is>
          <t xml:space="preserve">        Precinto de fábrica</t>
        </is>
      </c>
      <c r="D49" s="25" t="n">
        <v>1</v>
      </c>
      <c r="E49" s="25" t="inlineStr">
        <is>
          <t>u</t>
        </is>
      </c>
      <c r="F49" s="26" t="n">
        <v>0.0002</v>
      </c>
      <c r="G49" s="26">
        <f>D49*F49</f>
        <v/>
      </c>
      <c r="H49" s="25" t="inlineStr">
        <is>
          <t>Polipropileno</t>
        </is>
      </c>
      <c r="I49" s="12" t="inlineStr">
        <is>
          <t>Ø5 × 10, numerado, rotura 30-50 N</t>
        </is>
      </c>
      <c r="J49" s="25" t="inlineStr">
        <is>
          <t>Compra</t>
        </is>
      </c>
      <c r="K49" s="12" t="inlineStr">
        <is>
          <t>20 Presurización (T05)</t>
        </is>
      </c>
      <c r="L49" s="12" t="inlineStr">
        <is>
          <t>IRAM 3523 3.3.2 · IRAM 3517-2:2020 9.4.13</t>
        </is>
      </c>
      <c r="M49" s="25" t="inlineStr">
        <is>
          <t>P</t>
        </is>
      </c>
      <c r="N49" s="25" t="inlineStr">
        <is>
          <t>FL_DES_CLASED_9l</t>
        </is>
      </c>
      <c r="O49" s="12" t="inlineStr">
        <is>
          <t>id. FLAMA y lote</t>
        </is>
      </c>
    </row>
    <row r="50" outlineLevel="1">
      <c r="A50" s="25" t="n">
        <v>2</v>
      </c>
      <c r="B50" s="25" t="inlineStr">
        <is>
          <t>CLASED9-I3</t>
        </is>
      </c>
      <c r="C50" s="12" t="inlineStr">
        <is>
          <t xml:space="preserve">        Tarjeta oficial de vigencia (CABA)</t>
        </is>
      </c>
      <c r="D50" s="25" t="n">
        <v>1</v>
      </c>
      <c r="E50" s="25" t="inlineStr">
        <is>
          <t>u</t>
        </is>
      </c>
      <c r="F50" s="26" t="n">
        <v>0.002</v>
      </c>
      <c r="G50" s="26">
        <f>D50*F50</f>
        <v/>
      </c>
      <c r="H50" s="25" t="inlineStr">
        <is>
          <t>Formulario oficial</t>
        </is>
      </c>
      <c r="I50" s="12" t="inlineStr">
        <is>
          <t>provista por DG Rentas GCBA</t>
        </is>
      </c>
      <c r="J50" s="25" t="inlineStr">
        <is>
          <t>Compra</t>
        </is>
      </c>
      <c r="K50" s="12" t="inlineStr">
        <is>
          <t>22 Etiquetado</t>
        </is>
      </c>
      <c r="L50" s="12" t="inlineStr">
        <is>
          <t>Ordenanza 40.473 art. 6</t>
        </is>
      </c>
      <c r="M50" s="25" t="inlineStr">
        <is>
          <t>N</t>
        </is>
      </c>
      <c r="N50" s="25" t="n"/>
      <c r="O50" s="12" t="inlineStr">
        <is>
          <t>Clase, capacidad, fecha de carga y vencimiento, garantía; se anexa al matafuego (no se dibuja)</t>
        </is>
      </c>
    </row>
    <row r="51">
      <c r="A51" s="22" t="n">
        <v>1</v>
      </c>
      <c r="B51" s="22" t="inlineStr">
        <is>
          <t>CLASED9-S8</t>
        </is>
      </c>
      <c r="C51" s="23" t="inlineStr">
        <is>
          <t xml:space="preserve">    Soporte (accesorio de montaje)</t>
        </is>
      </c>
      <c r="D51" s="22" t="n">
        <v>1</v>
      </c>
      <c r="E51" s="22" t="inlineStr">
        <is>
          <t>u</t>
        </is>
      </c>
      <c r="F51" s="24" t="n"/>
      <c r="G51" s="24">
        <f>G52+G53</f>
        <v/>
      </c>
      <c r="H51" s="22" t="n"/>
      <c r="I51" s="23" t="n"/>
      <c r="J51" s="22" t="inlineStr">
        <is>
          <t>Compra</t>
        </is>
      </c>
      <c r="K51" s="23" t="inlineStr">
        <is>
          <t>23 Embalaje (va dentro de la caja)</t>
        </is>
      </c>
      <c r="L51" s="23" t="inlineStr">
        <is>
          <t>IRAM 3517-2 7.4</t>
        </is>
      </c>
      <c r="M51" s="22" t="n"/>
      <c r="N51" s="22" t="n"/>
      <c r="O51" s="23" t="n"/>
    </row>
    <row r="52" outlineLevel="1">
      <c r="A52" s="25" t="n">
        <v>2</v>
      </c>
      <c r="B52" s="25" t="inlineStr">
        <is>
          <t>CLASED9-I5</t>
        </is>
      </c>
      <c r="C52" s="12" t="inlineStr">
        <is>
          <t xml:space="preserve">        Soporte de pared (FL_ACC_01)</t>
        </is>
      </c>
      <c r="D52" s="25" t="n">
        <v>1</v>
      </c>
      <c r="E52" s="25" t="inlineStr">
        <is>
          <t>u</t>
        </is>
      </c>
      <c r="F52" s="26" t="n">
        <v>0.319</v>
      </c>
      <c r="G52" s="26">
        <f>D52*F52</f>
        <v/>
      </c>
      <c r="H52" s="25" t="inlineStr">
        <is>
          <t>Chapa acero SAE 1010 e=2 pintada</t>
        </is>
      </c>
      <c r="I52" s="12" t="inlineStr">
        <is>
          <t>placa 60 × 180, ala con ranura Ø cuello + 3</t>
        </is>
      </c>
      <c r="J52" s="25" t="inlineStr">
        <is>
          <t>Compra</t>
        </is>
      </c>
      <c r="K52" s="12" t="inlineStr">
        <is>
          <t>23 Embalaje</t>
        </is>
      </c>
      <c r="L52" s="12" t="inlineStr">
        <is>
          <t>IRAM 3517-2 7.4</t>
        </is>
      </c>
      <c r="M52" s="25" t="inlineStr">
        <is>
          <t>P</t>
        </is>
      </c>
      <c r="N52" s="25" t="inlineStr">
        <is>
          <t>FL_ACC_01</t>
        </is>
      </c>
      <c r="O52" s="12" t="n"/>
    </row>
    <row r="53" outlineLevel="1">
      <c r="A53" s="25" t="n">
        <v>2</v>
      </c>
      <c r="B53" s="25" t="inlineStr">
        <is>
          <t>CLASED9-I6</t>
        </is>
      </c>
      <c r="C53" s="12" t="inlineStr">
        <is>
          <t xml:space="preserve">        Tornillo y tarugo de fijación</t>
        </is>
      </c>
      <c r="D53" s="25" t="n">
        <v>2</v>
      </c>
      <c r="E53" s="25" t="inlineStr">
        <is>
          <t>u</t>
        </is>
      </c>
      <c r="F53" s="26" t="n">
        <v>0.01</v>
      </c>
      <c r="G53" s="26">
        <f>D53*F53</f>
        <v/>
      </c>
      <c r="H53" s="25" t="inlineStr">
        <is>
          <t>Acero cincado / nylon</t>
        </is>
      </c>
      <c r="I53" s="12" t="inlineStr">
        <is>
          <t>M6 × 50 + tarugo 8</t>
        </is>
      </c>
      <c r="J53" s="25" t="inlineStr">
        <is>
          <t>Compra</t>
        </is>
      </c>
      <c r="K53" s="12" t="inlineStr">
        <is>
          <t>23 Embalaje</t>
        </is>
      </c>
      <c r="L53" s="12" t="n"/>
      <c r="M53" s="25" t="inlineStr">
        <is>
          <t>R</t>
        </is>
      </c>
      <c r="N53" s="25" t="n"/>
      <c r="O53" s="12" t="n"/>
    </row>
    <row r="54">
      <c r="A54" s="22" t="n">
        <v>1</v>
      </c>
      <c r="B54" s="22" t="inlineStr">
        <is>
          <t>CLASED9-S7</t>
        </is>
      </c>
      <c r="C54" s="23" t="inlineStr">
        <is>
          <t xml:space="preserve">    Embalaje</t>
        </is>
      </c>
      <c r="D54" s="22" t="n">
        <v>1</v>
      </c>
      <c r="E54" s="22" t="inlineStr">
        <is>
          <t>u</t>
        </is>
      </c>
      <c r="F54" s="24" t="n"/>
      <c r="G54" s="24">
        <f>G55+G56+G57+G58+G59</f>
        <v/>
      </c>
      <c r="H54" s="22" t="n"/>
      <c r="I54" s="23" t="n"/>
      <c r="J54" s="22" t="inlineStr">
        <is>
          <t>Compra</t>
        </is>
      </c>
      <c r="K54" s="23" t="inlineStr">
        <is>
          <t>23 Embalaje -&gt; 24 envolvedora (T11)</t>
        </is>
      </c>
      <c r="L54" s="23" t="n"/>
      <c r="M54" s="22" t="n"/>
      <c r="N54" s="22" t="n"/>
      <c r="O54" s="23" t="n"/>
    </row>
    <row r="55" outlineLevel="1">
      <c r="A55" s="25" t="n">
        <v>2</v>
      </c>
      <c r="B55" s="25" t="inlineStr">
        <is>
          <t>CLASED9-E1</t>
        </is>
      </c>
      <c r="C55" s="12" t="inlineStr">
        <is>
          <t xml:space="preserve">        Caja de cartón corrugado doble</t>
        </is>
      </c>
      <c r="D55" s="25" t="n">
        <v>1</v>
      </c>
      <c r="E55" s="25" t="inlineStr">
        <is>
          <t>u</t>
        </is>
      </c>
      <c r="F55" s="26" t="n">
        <v>0.5</v>
      </c>
      <c r="G55" s="26">
        <f>D55*F55</f>
        <v/>
      </c>
      <c r="H55" s="25" t="inlineStr">
        <is>
          <t>Cartón corrugado</t>
        </is>
      </c>
      <c r="I55" s="12" t="inlineStr">
        <is>
          <t>260 × 214 × 675 interior</t>
        </is>
      </c>
      <c r="J55" s="25" t="inlineStr">
        <is>
          <t>Compra</t>
        </is>
      </c>
      <c r="K55" s="12" t="inlineStr">
        <is>
          <t>23 Embalaje</t>
        </is>
      </c>
      <c r="L55" s="12" t="n"/>
      <c r="M55" s="25" t="inlineStr">
        <is>
          <t>R</t>
        </is>
      </c>
      <c r="N55" s="25" t="n"/>
      <c r="O55" s="12" t="n"/>
    </row>
    <row r="56" outlineLevel="1">
      <c r="A56" s="25" t="n">
        <v>2</v>
      </c>
      <c r="B56" s="25" t="inlineStr">
        <is>
          <t>CLASED9-E2</t>
        </is>
      </c>
      <c r="C56" s="12" t="inlineStr">
        <is>
          <t xml:space="preserve">        Instructivo de uso y mantenimiento</t>
        </is>
      </c>
      <c r="D56" s="25" t="n">
        <v>1</v>
      </c>
      <c r="E56" s="25" t="inlineStr">
        <is>
          <t>u</t>
        </is>
      </c>
      <c r="F56" s="26" t="n">
        <v>0.01</v>
      </c>
      <c r="G56" s="26">
        <f>D56*F56</f>
        <v/>
      </c>
      <c r="H56" s="25" t="inlineStr">
        <is>
          <t>Papel</t>
        </is>
      </c>
      <c r="I56" s="12" t="inlineStr">
        <is>
          <t>A5</t>
        </is>
      </c>
      <c r="J56" s="25" t="inlineStr">
        <is>
          <t>Compra</t>
        </is>
      </c>
      <c r="K56" s="12" t="inlineStr">
        <is>
          <t>23 Embalaje</t>
        </is>
      </c>
      <c r="L56" s="12" t="inlineStr">
        <is>
          <t>IRAM 3517-2 (información al usuario)</t>
        </is>
      </c>
      <c r="M56" s="25" t="inlineStr">
        <is>
          <t>R</t>
        </is>
      </c>
      <c r="N56" s="25" t="n"/>
      <c r="O56" s="12" t="n"/>
    </row>
    <row r="57" outlineLevel="1">
      <c r="A57" s="25" t="n">
        <v>2</v>
      </c>
      <c r="B57" s="25" t="inlineStr">
        <is>
          <t>CLASED9-E3</t>
        </is>
      </c>
      <c r="C57" s="12" t="inlineStr">
        <is>
          <t xml:space="preserve">        Pallet 1200 × 1000 (fracción)</t>
        </is>
      </c>
      <c r="D57" s="25" t="n">
        <v>0.0312</v>
      </c>
      <c r="E57" s="25" t="inlineStr">
        <is>
          <t>u</t>
        </is>
      </c>
      <c r="F57" s="26" t="n">
        <v>0.6879999999999999</v>
      </c>
      <c r="G57" s="26">
        <f>D57*F57</f>
        <v/>
      </c>
      <c r="H57" s="25" t="inlineStr">
        <is>
          <t>Madera</t>
        </is>
      </c>
      <c r="I57" s="12" t="inlineStr">
        <is>
          <t>32 u por pallet</t>
        </is>
      </c>
      <c r="J57" s="25" t="inlineStr">
        <is>
          <t>Compra</t>
        </is>
      </c>
      <c r="K57" s="12" t="inlineStr">
        <is>
          <t>23 Embalaje</t>
        </is>
      </c>
      <c r="L57" s="12" t="n"/>
      <c r="M57" s="25" t="inlineStr">
        <is>
          <t>R</t>
        </is>
      </c>
      <c r="N57" s="25" t="n"/>
      <c r="O57" s="12" t="n"/>
    </row>
    <row r="58" outlineLevel="1">
      <c r="A58" s="25" t="n">
        <v>2</v>
      </c>
      <c r="B58" s="25" t="inlineStr">
        <is>
          <t>CLASED9-E4</t>
        </is>
      </c>
      <c r="C58" s="12" t="inlineStr">
        <is>
          <t xml:space="preserve">        Film stretch (fracción del pallet)</t>
        </is>
      </c>
      <c r="D58" s="25" t="n">
        <v>0.0109</v>
      </c>
      <c r="E58" s="25" t="inlineStr">
        <is>
          <t>kg</t>
        </is>
      </c>
      <c r="F58" s="26" t="n">
        <v>1</v>
      </c>
      <c r="G58" s="26">
        <f>D58*F58</f>
        <v/>
      </c>
      <c r="H58" s="25" t="inlineStr">
        <is>
          <t>PE lineal 23 µm</t>
        </is>
      </c>
      <c r="I58" s="12" t="inlineStr">
        <is>
          <t>envolvedora EDOS PS5</t>
        </is>
      </c>
      <c r="J58" s="25" t="inlineStr">
        <is>
          <t>Compra</t>
        </is>
      </c>
      <c r="K58" s="12" t="inlineStr">
        <is>
          <t>24 Envolvedora (T11)</t>
        </is>
      </c>
      <c r="L58" s="12" t="n"/>
      <c r="M58" s="25" t="inlineStr">
        <is>
          <t>R</t>
        </is>
      </c>
      <c r="N58" s="25" t="n"/>
      <c r="O58" s="12" t="n"/>
    </row>
    <row r="59" outlineLevel="1">
      <c r="A59" s="25" t="n">
        <v>2</v>
      </c>
      <c r="B59" s="25" t="inlineStr">
        <is>
          <t>CLASED9-E5</t>
        </is>
      </c>
      <c r="C59" s="12" t="inlineStr">
        <is>
          <t xml:space="preserve">        Etiqueta de pallet (lote y destino, fracción)</t>
        </is>
      </c>
      <c r="D59" s="25" t="n">
        <v>0.0312</v>
      </c>
      <c r="E59" s="25" t="inlineStr">
        <is>
          <t>u</t>
        </is>
      </c>
      <c r="F59" s="26" t="n">
        <v>0</v>
      </c>
      <c r="G59" s="26">
        <f>D59*F59</f>
        <v/>
      </c>
      <c r="H59" s="25" t="inlineStr">
        <is>
          <t>Papel térmico</t>
        </is>
      </c>
      <c r="I59" s="12" t="inlineStr">
        <is>
          <t>100 × 150</t>
        </is>
      </c>
      <c r="J59" s="25" t="inlineStr">
        <is>
          <t>Compra</t>
        </is>
      </c>
      <c r="K59" s="12" t="inlineStr">
        <is>
          <t>24 Envolvedora</t>
        </is>
      </c>
      <c r="L59" s="12" t="n"/>
      <c r="M59" s="25" t="inlineStr">
        <is>
          <t>R</t>
        </is>
      </c>
      <c r="N59" s="25" t="n"/>
      <c r="O59" s="12" t="n"/>
    </row>
  </sheetData>
  <autoFilter ref="A10:O59"/>
  <pageMargins left="0.75" right="0.75" top="1" bottom="1" header="0.5" footer="0.5"/>
  <pageSetup orientation="landscape" fitToHeight="0" fitToWidth="1"/>
</worksheet>
</file>

<file path=xl/worksheets/sheet20.xml><?xml version="1.0" encoding="utf-8"?>
<worksheet xmlns="http://schemas.openxmlformats.org/spreadsheetml/2006/main">
  <sheetPr>
    <tabColor rgb="007F1D1D"/>
    <outlinePr summaryBelow="0" summaryRight="1"/>
    <pageSetUpPr fitToPage="1"/>
  </sheetPr>
  <dimension ref="A1:O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FL_MAT_ABC_25kg</t>
        </is>
      </c>
    </row>
    <row r="2">
      <c r="A2" s="2" t="inlineStr">
        <is>
          <t>Extintor ABC 25 kg sobre ruedas</t>
        </is>
      </c>
    </row>
    <row r="3">
      <c r="A3" s="14" t="inlineStr">
        <is>
          <t>Plano de origen</t>
        </is>
      </c>
      <c r="C3" t="inlineStr">
        <is>
          <t>FL_MAT_ABC_25kg  (3 láminas)</t>
        </is>
      </c>
      <c r="E3" s="14" t="inlineStr">
        <is>
          <t>Peso vacío S1-S4 (kg)</t>
        </is>
      </c>
      <c r="G3" s="30">
        <f>G12+G23+G37+G44</f>
        <v/>
      </c>
    </row>
    <row r="4">
      <c r="A4" s="14" t="inlineStr">
        <is>
          <t>Plano de despiece</t>
        </is>
      </c>
      <c r="C4" t="inlineStr">
        <is>
          <t>FL_DES_ABC_25kg (salida/despiece/)</t>
        </is>
      </c>
      <c r="E4" s="14" t="inlineStr">
        <is>
          <t>Peso cargado S1-S6 (kg)</t>
        </is>
      </c>
      <c r="G4" s="30">
        <f>G12+G23+G37+G44+G51+G54</f>
        <v/>
      </c>
    </row>
    <row r="5">
      <c r="A5" s="14" t="inlineStr">
        <is>
          <t>Norma del producto</t>
        </is>
      </c>
      <c r="C5" t="inlineStr">
        <is>
          <t>IRAM 3550</t>
        </is>
      </c>
      <c r="E5" s="14" t="inlineStr">
        <is>
          <t>Peso con soporte y embalaje (kg)</t>
        </is>
      </c>
      <c r="G5" s="30">
        <f>G12+G23+G37+G44+G51+G54+G60</f>
        <v/>
      </c>
    </row>
    <row r="6">
      <c r="A6" s="14" t="inlineStr">
        <is>
          <t>Fabricación</t>
        </is>
      </c>
      <c r="C6" t="inlineStr">
        <is>
          <t>Fabricación propia</t>
        </is>
      </c>
      <c r="E6" s="14" t="inlineStr">
        <is>
          <t>Desvío cargado vs catálogo</t>
        </is>
      </c>
      <c r="G6" s="10">
        <f>G4/C7-1</f>
        <v/>
      </c>
    </row>
    <row r="7">
      <c r="A7" s="14" t="inlineStr">
        <is>
          <t>Peso catálogo cargado (kg)</t>
        </is>
      </c>
      <c r="C7" t="n">
        <v>55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FL_MAT_ABC_25kg</t>
        </is>
      </c>
      <c r="C11" s="20" t="inlineStr">
        <is>
          <t>Extintor ABC 25 kg sobre ruedas</t>
        </is>
      </c>
      <c r="D11" s="19" t="n">
        <v>1</v>
      </c>
      <c r="E11" s="19" t="inlineStr">
        <is>
          <t>u</t>
        </is>
      </c>
      <c r="F11" s="21" t="n"/>
      <c r="G11" s="21">
        <f>G5</f>
        <v/>
      </c>
      <c r="H11" s="19" t="n"/>
      <c r="I11" s="20" t="n"/>
      <c r="J11" s="19" t="n"/>
      <c r="K11" s="20" t="n"/>
      <c r="L11" s="20" t="inlineStr">
        <is>
          <t>IRAM 3550</t>
        </is>
      </c>
      <c r="M11" s="19" t="inlineStr">
        <is>
          <t>P</t>
        </is>
      </c>
      <c r="N11" s="19" t="inlineStr">
        <is>
          <t>FL_MAT_ABC_25kg</t>
        </is>
      </c>
      <c r="O11" s="20" t="inlineStr">
        <is>
          <t>Fabricación propia</t>
        </is>
      </c>
    </row>
    <row r="12">
      <c r="A12" s="22" t="n">
        <v>1</v>
      </c>
      <c r="B12" s="22" t="inlineStr">
        <is>
          <t>FL_REC_ABC_25kg</t>
        </is>
      </c>
      <c r="C12" s="23" t="inlineStr">
        <is>
          <t xml:space="preserve">    Recipiente (cilindro)</t>
        </is>
      </c>
      <c r="D12" s="22" t="n">
        <v>1</v>
      </c>
      <c r="E12" s="22" t="inlineStr">
        <is>
          <t>u</t>
        </is>
      </c>
      <c r="F12" s="24" t="n"/>
      <c r="G12" s="24">
        <f>G13+G15+G16+G17+G19+G22</f>
        <v/>
      </c>
      <c r="H12" s="22" t="n"/>
      <c r="I12" s="23" t="n"/>
      <c r="J12" s="22" t="inlineStr">
        <is>
          <t>Fabricación</t>
        </is>
      </c>
      <c r="K12" s="23" t="n"/>
      <c r="L12" s="23" t="inlineStr">
        <is>
          <t>IRAM 3523 / 3550 (recipiente)</t>
        </is>
      </c>
      <c r="M12" s="22" t="inlineStr">
        <is>
          <t>P</t>
        </is>
      </c>
      <c r="N12" s="22" t="inlineStr">
        <is>
          <t>FL_REC_ABC_25kg</t>
        </is>
      </c>
      <c r="O12" s="23" t="n"/>
    </row>
    <row r="13" outlineLevel="1">
      <c r="A13" s="25" t="n">
        <v>2</v>
      </c>
      <c r="B13" s="25" t="inlineStr">
        <is>
          <t>ABC25-01</t>
        </is>
      </c>
      <c r="C13" s="12" t="inlineStr">
        <is>
          <t xml:space="preserve">        Cuerpo (virola)</t>
        </is>
      </c>
      <c r="D13" s="25" t="n">
        <v>1</v>
      </c>
      <c r="E13" s="25" t="inlineStr">
        <is>
          <t>u</t>
        </is>
      </c>
      <c r="F13" s="26" t="n">
        <v>8.756600000000001</v>
      </c>
      <c r="G13" s="26">
        <f>D13*F13</f>
        <v/>
      </c>
      <c r="H13" s="25" t="inlineStr">
        <is>
          <t>Chapa acero SAE 1010 e=3,2</t>
        </is>
      </c>
      <c r="I13" s="12" t="inlineStr">
        <is>
          <t>Ø276,5 × e3,2 × 406 de alto; desarrollo 858,6 × 406</t>
        </is>
      </c>
      <c r="J13" s="25" t="inlineStr">
        <is>
          <t>Fabricación</t>
        </is>
      </c>
      <c r="K13" s="12" t="inlineStr">
        <is>
          <t>1 Guillotina -&gt; C1 cilindrado -&gt; C2 punteo -&gt; C3 sold. long.</t>
        </is>
      </c>
      <c r="L13" s="12" t="n"/>
      <c r="M13" s="25" t="inlineStr">
        <is>
          <t>P</t>
        </is>
      </c>
      <c r="N13" s="25" t="inlineStr">
        <is>
          <t>FL_DES_ABC_25kg</t>
        </is>
      </c>
      <c r="O13" s="12" t="inlineStr">
        <is>
          <t>costura long. MIG</t>
        </is>
      </c>
    </row>
    <row r="14" outlineLevel="2">
      <c r="A14" s="27" t="n">
        <v>3</v>
      </c>
      <c r="B14" s="27" t="inlineStr">
        <is>
          <t>MP-HOJA</t>
        </is>
      </c>
      <c r="C14" s="28" t="inlineStr">
        <is>
          <t xml:space="preserve">            Recorte de hoja LAC 1500 × 3000 e=3,2</t>
        </is>
      </c>
      <c r="D14" s="27" t="n">
        <v>1</v>
      </c>
      <c r="E14" s="27" t="inlineStr">
        <is>
          <t>u</t>
        </is>
      </c>
      <c r="F14" s="29" t="n">
        <v>12.558</v>
      </c>
      <c r="G14" s="29">
        <f>D14*F14</f>
        <v/>
      </c>
      <c r="H14" s="27" t="inlineStr">
        <is>
          <t>Chapa SAE 1010 LAC</t>
        </is>
      </c>
      <c r="I14" s="28" t="inlineStr">
        <is>
          <t>490 × 858 (aprovech. 84,1 %)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ABC25-02</t>
        </is>
      </c>
      <c r="C15" s="12" t="inlineStr">
        <is>
          <t xml:space="preserve">        Cúpula</t>
        </is>
      </c>
      <c r="D15" s="25" t="n">
        <v>1</v>
      </c>
      <c r="E15" s="25" t="inlineStr">
        <is>
          <t>u</t>
        </is>
      </c>
      <c r="F15" s="26" t="n">
        <v>2.162</v>
      </c>
      <c r="G15" s="26">
        <f>D15*F15</f>
        <v/>
      </c>
      <c r="H15" s="25" t="inlineStr">
        <is>
          <t>Chapa acero SAE 1010 e=3,2</t>
        </is>
      </c>
      <c r="I15" s="12" t="inlineStr">
        <is>
          <t>Ø276,5 × e3,2 × 86,3 de alto; disco Ø341</t>
        </is>
      </c>
      <c r="J15" s="25" t="inlineStr">
        <is>
          <t>Compra</t>
        </is>
      </c>
      <c r="K15" s="12" t="inlineStr">
        <is>
          <t>Compra (casquetes de carros, rack RK1)</t>
        </is>
      </c>
      <c r="L15" s="12" t="n"/>
      <c r="M15" s="25" t="inlineStr">
        <is>
          <t>P</t>
        </is>
      </c>
      <c r="N15" s="25" t="inlineStr">
        <is>
          <t>FL_DES_ABC_25kg</t>
        </is>
      </c>
      <c r="O15" s="12" t="inlineStr">
        <is>
          <t>embutida</t>
        </is>
      </c>
    </row>
    <row r="16" outlineLevel="1">
      <c r="A16" s="25" t="n">
        <v>2</v>
      </c>
      <c r="B16" s="25" t="inlineStr">
        <is>
          <t>ABC25-03</t>
        </is>
      </c>
      <c r="C16" s="12" t="inlineStr">
        <is>
          <t xml:space="preserve">        Fondo</t>
        </is>
      </c>
      <c r="D16" s="25" t="n">
        <v>1</v>
      </c>
      <c r="E16" s="25" t="inlineStr">
        <is>
          <t>u</t>
        </is>
      </c>
      <c r="F16" s="26" t="n">
        <v>2.2425</v>
      </c>
      <c r="G16" s="26">
        <f>D16*F16</f>
        <v/>
      </c>
      <c r="H16" s="25" t="inlineStr">
        <is>
          <t>Chapa acero SAE 1010 e=3,2</t>
        </is>
      </c>
      <c r="I16" s="12" t="inlineStr">
        <is>
          <t>Ø276,5 × e3,2 × 87 de alto; disco Ø347,3</t>
        </is>
      </c>
      <c r="J16" s="25" t="inlineStr">
        <is>
          <t>Compra</t>
        </is>
      </c>
      <c r="K16" s="12" t="inlineStr">
        <is>
          <t>Compra (casquetes de carros, rack RK1)</t>
        </is>
      </c>
      <c r="L16" s="12" t="n"/>
      <c r="M16" s="25" t="inlineStr">
        <is>
          <t>P</t>
        </is>
      </c>
      <c r="N16" s="25" t="inlineStr">
        <is>
          <t>FL_DES_ABC_25kg</t>
        </is>
      </c>
      <c r="O16" s="12" t="inlineStr">
        <is>
          <t>embutido</t>
        </is>
      </c>
    </row>
    <row r="17" outlineLevel="1">
      <c r="A17" s="25" t="n">
        <v>2</v>
      </c>
      <c r="B17" s="25" t="inlineStr">
        <is>
          <t>ABC25-04</t>
        </is>
      </c>
      <c r="C17" s="12" t="inlineStr">
        <is>
          <t xml:space="preserve">        Cuello roscado</t>
        </is>
      </c>
      <c r="D17" s="25" t="n">
        <v>1</v>
      </c>
      <c r="E17" s="25" t="inlineStr">
        <is>
          <t>u</t>
        </is>
      </c>
      <c r="F17" s="26" t="n">
        <v>0.1326</v>
      </c>
      <c r="G17" s="26">
        <f>D17*F17</f>
        <v/>
      </c>
      <c r="H17" s="25" t="inlineStr">
        <is>
          <t>Acero SAE 1010</t>
        </is>
      </c>
      <c r="I17" s="12" t="inlineStr">
        <is>
          <t>Ø37 × 35 de alto, rosca M30x1,5, asiento Ø35</t>
        </is>
      </c>
      <c r="J17" s="25" t="inlineStr">
        <is>
          <t>Fabricación</t>
        </is>
      </c>
      <c r="K17" s="12" t="inlineStr">
        <is>
          <t>C2 punteo</t>
        </is>
      </c>
      <c r="L17" s="12" t="n"/>
      <c r="M17" s="25" t="inlineStr">
        <is>
          <t>P</t>
        </is>
      </c>
      <c r="N17" s="25" t="inlineStr">
        <is>
          <t>FL_DES_ABC_25kg</t>
        </is>
      </c>
      <c r="O17" s="12" t="inlineStr">
        <is>
          <t>M30x1,5</t>
        </is>
      </c>
    </row>
    <row r="18" outlineLevel="2">
      <c r="A18" s="27" t="n">
        <v>3</v>
      </c>
      <c r="B18" s="27" t="inlineStr">
        <is>
          <t>MP-CUELLO</t>
        </is>
      </c>
      <c r="C18" s="28" t="inlineStr">
        <is>
          <t xml:space="preserve">            Cuello roscado mecanizado (pieza comprada lista para soldar)</t>
        </is>
      </c>
      <c r="D18" s="27" t="n">
        <v>1</v>
      </c>
      <c r="E18" s="27" t="inlineStr">
        <is>
          <t>u</t>
        </is>
      </c>
      <c r="F18" s="29" t="n">
        <v>0.133</v>
      </c>
      <c r="G18" s="29">
        <f>D18*F18</f>
        <v/>
      </c>
      <c r="H18" s="27" t="inlineStr">
        <is>
          <t>Acero SAE 1010 / 1020</t>
        </is>
      </c>
      <c r="I18" s="28" t="inlineStr">
        <is>
          <t>rosca M30x1,5</t>
        </is>
      </c>
      <c r="J18" s="27" t="inlineStr">
        <is>
          <t>Compra (Eli-Met)</t>
        </is>
      </c>
      <c r="K18" s="28" t="inlineStr">
        <is>
          <t>AL-1C cuellos y roscas</t>
        </is>
      </c>
      <c r="L18" s="28" t="n"/>
      <c r="M18" s="27" t="inlineStr">
        <is>
          <t>L</t>
        </is>
      </c>
      <c r="N18" s="27" t="n"/>
      <c r="O18" s="28" t="n"/>
    </row>
    <row r="19" outlineLevel="1">
      <c r="A19" s="25" t="n">
        <v>2</v>
      </c>
      <c r="B19" s="25" t="inlineStr">
        <is>
          <t>ABC25-C1</t>
        </is>
      </c>
      <c r="C19" s="12" t="inlineStr">
        <is>
          <t xml:space="preserve">        Aporte de soldadura: Alambre MAG ER70S-6 Ø0,9/1,2</t>
        </is>
      </c>
      <c r="D19" s="25" t="n">
        <v>0.3484</v>
      </c>
      <c r="E19" s="25" t="inlineStr">
        <is>
          <t>kg</t>
        </is>
      </c>
      <c r="F19" s="26" t="n">
        <v>0.92</v>
      </c>
      <c r="G19" s="26">
        <f>D19*F19</f>
        <v/>
      </c>
      <c r="H19" s="25" t="inlineStr">
        <is>
          <t>Alambre MAG ER70S-6 Ø0,9/1,2</t>
        </is>
      </c>
      <c r="I19" s="12" t="inlineStr">
        <is>
          <t>cordones del plano: 321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ABC25-C2</t>
        </is>
      </c>
      <c r="C20" s="12" t="inlineStr">
        <is>
          <t xml:space="preserve">        Gas de protección: Arcal 21 (Ar + 18 % CO₂)</t>
        </is>
      </c>
      <c r="D20" s="25" t="n">
        <v>156.8</v>
      </c>
      <c r="E20" s="25" t="inlineStr">
        <is>
          <t>L</t>
        </is>
      </c>
      <c r="F20" s="26" t="n"/>
      <c r="G20" s="26" t="n"/>
      <c r="H20" s="25" t="inlineStr">
        <is>
          <t>Arcal 21 (Ar + 18 % CO₂)</t>
        </is>
      </c>
      <c r="I20" s="12" t="inlineStr">
        <is>
          <t>10,5 min de arco × 15 L/min</t>
        </is>
      </c>
      <c r="J20" s="25" t="inlineStr">
        <is>
          <t>Compra</t>
        </is>
      </c>
      <c r="K20" s="12" t="inlineStr">
        <is>
          <t>Colector SC</t>
        </is>
      </c>
      <c r="L20" s="12" t="n"/>
      <c r="M20" s="25" t="inlineStr">
        <is>
          <t>R</t>
        </is>
      </c>
      <c r="N20" s="25" t="n"/>
      <c r="O20" s="12" t="n"/>
    </row>
    <row r="21" outlineLevel="1">
      <c r="A21" s="25" t="n">
        <v>2</v>
      </c>
      <c r="B21" s="25" t="inlineStr">
        <is>
          <t>ABC25-C3</t>
        </is>
      </c>
      <c r="C21" s="12" t="inlineStr">
        <is>
          <t xml:space="preserve">        Granalla de acero (consumo)</t>
        </is>
      </c>
      <c r="D21" s="25" t="n">
        <v>0.042</v>
      </c>
      <c r="E21" s="25" t="inlineStr">
        <is>
          <t>kg</t>
        </is>
      </c>
      <c r="F21" s="26" t="n"/>
      <c r="G21" s="26" t="n"/>
      <c r="H21" s="25" t="inlineStr">
        <is>
          <t>Granalla S-230</t>
        </is>
      </c>
      <c r="I21" s="12" t="inlineStr">
        <is>
          <t>0,524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ABC25-C4</t>
        </is>
      </c>
      <c r="C22" s="12" t="inlineStr">
        <is>
          <t xml:space="preserve">        Pintura en polvo poliéster rojo</t>
        </is>
      </c>
      <c r="D22" s="25" t="n">
        <v>0.097</v>
      </c>
      <c r="E22" s="25" t="inlineStr">
        <is>
          <t>kg</t>
        </is>
      </c>
      <c r="F22" s="26" t="n">
        <v>0.65</v>
      </c>
      <c r="G22" s="26">
        <f>D22*F22</f>
        <v/>
      </c>
      <c r="H22" s="25" t="inlineStr">
        <is>
          <t>Poliéster rojo 03-1-050</t>
        </is>
      </c>
      <c r="I22" s="12" t="inlineStr">
        <is>
          <t>0,524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c r="A23" s="22" t="n">
        <v>1</v>
      </c>
      <c r="B23" s="22" t="inlineStr">
        <is>
          <t>ABC25-S2</t>
        </is>
      </c>
      <c r="C23" s="23" t="inlineStr">
        <is>
          <t xml:space="preserve">    Conjunto de válvula</t>
        </is>
      </c>
      <c r="D23" s="22" t="n">
        <v>1</v>
      </c>
      <c r="E23" s="22" t="inlineStr">
        <is>
          <t>u</t>
        </is>
      </c>
      <c r="F23" s="24" t="n"/>
      <c r="G23" s="24">
        <f>G24+G25+G26+G27+G28+G29+G30+G31+G32+G33+G34+G35+G36</f>
        <v/>
      </c>
      <c r="H23" s="22" t="n"/>
      <c r="I23" s="23" t="n"/>
      <c r="J23" s="22" t="inlineStr">
        <is>
          <t>Compra / armado</t>
        </is>
      </c>
      <c r="K23" s="23" t="n"/>
      <c r="L23" s="23" t="inlineStr">
        <is>
          <t>Manómetro IRAM 3533</t>
        </is>
      </c>
      <c r="M23" s="22" t="inlineStr">
        <is>
          <t>P</t>
        </is>
      </c>
      <c r="N23" s="22" t="inlineStr">
        <is>
          <t>FL_DES_ABC_25kg</t>
        </is>
      </c>
      <c r="O23" s="23" t="n"/>
    </row>
    <row r="24" outlineLevel="1">
      <c r="A24" s="25" t="n">
        <v>2</v>
      </c>
      <c r="B24" s="25" t="inlineStr">
        <is>
          <t>ABC25-11</t>
        </is>
      </c>
      <c r="C24" s="12" t="inlineStr">
        <is>
          <t xml:space="preserve">        Collarín de válvula</t>
        </is>
      </c>
      <c r="D24" s="25" t="n">
        <v>1</v>
      </c>
      <c r="E24" s="25" t="inlineStr">
        <is>
          <t>u</t>
        </is>
      </c>
      <c r="F24" s="26" t="n">
        <v>0.129</v>
      </c>
      <c r="G24" s="26">
        <f>D24*F24</f>
        <v/>
      </c>
      <c r="H24" s="25" t="inlineStr">
        <is>
          <t>Latón forjado</t>
        </is>
      </c>
      <c r="I24" s="12" t="inlineStr">
        <is>
          <t>45,1 × 45,1 × 13,5</t>
        </is>
      </c>
      <c r="J24" s="25" t="inlineStr">
        <is>
          <t>Compra</t>
        </is>
      </c>
      <c r="K24" s="12" t="inlineStr">
        <is>
          <t>C9 armado</t>
        </is>
      </c>
      <c r="L24" s="12" t="n"/>
      <c r="M24" s="25" t="inlineStr">
        <is>
          <t>P</t>
        </is>
      </c>
      <c r="N24" s="25" t="inlineStr">
        <is>
          <t>FL_DES_ABC_25kg</t>
        </is>
      </c>
      <c r="O24" s="12" t="n"/>
    </row>
    <row r="25" outlineLevel="1">
      <c r="A25" s="25" t="n">
        <v>2</v>
      </c>
      <c r="B25" s="25" t="inlineStr">
        <is>
          <t>ABC25-12</t>
        </is>
      </c>
      <c r="C25" s="12" t="inlineStr">
        <is>
          <t xml:space="preserve">        Espiga roscada</t>
        </is>
      </c>
      <c r="D25" s="25" t="n">
        <v>1</v>
      </c>
      <c r="E25" s="25" t="inlineStr">
        <is>
          <t>u</t>
        </is>
      </c>
      <c r="F25" s="26" t="n">
        <v>0.0424</v>
      </c>
      <c r="G25" s="26">
        <f>D25*F25</f>
        <v/>
      </c>
      <c r="H25" s="25" t="inlineStr">
        <is>
          <t>Latón forjado</t>
        </is>
      </c>
      <c r="I25" s="12" t="inlineStr">
        <is>
          <t>28,4 × 28,4 × 16,2</t>
        </is>
      </c>
      <c r="J25" s="25" t="inlineStr">
        <is>
          <t>Compra</t>
        </is>
      </c>
      <c r="K25" s="12" t="inlineStr">
        <is>
          <t>C9 armado</t>
        </is>
      </c>
      <c r="L25" s="12" t="n"/>
      <c r="M25" s="25" t="inlineStr">
        <is>
          <t>P</t>
        </is>
      </c>
      <c r="N25" s="25" t="inlineStr">
        <is>
          <t>FL_DES_ABC_25kg</t>
        </is>
      </c>
      <c r="O25" s="12" t="n"/>
    </row>
    <row r="26" outlineLevel="1">
      <c r="A26" s="25" t="n">
        <v>2</v>
      </c>
      <c r="B26" s="25" t="inlineStr">
        <is>
          <t>ABC25-13</t>
        </is>
      </c>
      <c r="C26" s="12" t="inlineStr">
        <is>
          <t xml:space="preserve">        Cuerpo de válvula</t>
        </is>
      </c>
      <c r="D26" s="25" t="n">
        <v>1</v>
      </c>
      <c r="E26" s="25" t="inlineStr">
        <is>
          <t>u</t>
        </is>
      </c>
      <c r="F26" s="26" t="n">
        <v>0.7378</v>
      </c>
      <c r="G26" s="26">
        <f>D26*F26</f>
        <v/>
      </c>
      <c r="H26" s="25" t="inlineStr">
        <is>
          <t>Latón forjado</t>
        </is>
      </c>
      <c r="I26" s="12" t="inlineStr">
        <is>
          <t>58,4 × 54 × 46,3</t>
        </is>
      </c>
      <c r="J26" s="25" t="inlineStr">
        <is>
          <t>Compra</t>
        </is>
      </c>
      <c r="K26" s="12" t="inlineStr">
        <is>
          <t>C9 armado</t>
        </is>
      </c>
      <c r="L26" s="12" t="n"/>
      <c r="M26" s="25" t="inlineStr">
        <is>
          <t>P</t>
        </is>
      </c>
      <c r="N26" s="25" t="inlineStr">
        <is>
          <t>FL_DES_ABC_25kg</t>
        </is>
      </c>
      <c r="O26" s="12" t="n"/>
    </row>
    <row r="27" outlineLevel="1">
      <c r="A27" s="25" t="n">
        <v>2</v>
      </c>
      <c r="B27" s="25" t="inlineStr">
        <is>
          <t>ABC25-14</t>
        </is>
      </c>
      <c r="C27" s="12" t="inlineStr">
        <is>
          <t xml:space="preserve">        Manómetro</t>
        </is>
      </c>
      <c r="D27" s="25" t="n">
        <v>1</v>
      </c>
      <c r="E27" s="25" t="inlineStr">
        <is>
          <t>u</t>
        </is>
      </c>
      <c r="F27" s="26" t="n">
        <v>0.12</v>
      </c>
      <c r="G27" s="26">
        <f>D27*F27</f>
        <v/>
      </c>
      <c r="H27" s="25" t="inlineStr">
        <is>
          <t>Comercial</t>
        </is>
      </c>
      <c r="I27" s="12" t="inlineStr">
        <is>
          <t>Ø50 esfera, rango 0-3,5 MPa, sector verde en 1,4</t>
        </is>
      </c>
      <c r="J27" s="25" t="inlineStr">
        <is>
          <t>Compra</t>
        </is>
      </c>
      <c r="K27" s="12" t="inlineStr">
        <is>
          <t>C9 armado</t>
        </is>
      </c>
      <c r="L27" s="12" t="inlineStr">
        <is>
          <t>IRAM 3533</t>
        </is>
      </c>
      <c r="M27" s="25" t="inlineStr">
        <is>
          <t>R</t>
        </is>
      </c>
      <c r="N27" s="25" t="inlineStr">
        <is>
          <t>FL_DES_ABC_25kg</t>
        </is>
      </c>
      <c r="O27" s="12" t="inlineStr">
        <is>
          <t>Pieza comercial; sello IRAM 3533</t>
        </is>
      </c>
    </row>
    <row r="28" outlineLevel="1">
      <c r="A28" s="25" t="n">
        <v>2</v>
      </c>
      <c r="B28" s="25" t="inlineStr">
        <is>
          <t>ABC25-15</t>
        </is>
      </c>
      <c r="C28" s="12" t="inlineStr">
        <is>
          <t xml:space="preserve">        Manija de transporte</t>
        </is>
      </c>
      <c r="D28" s="25" t="n">
        <v>1</v>
      </c>
      <c r="E28" s="25" t="inlineStr">
        <is>
          <t>u</t>
        </is>
      </c>
      <c r="F28" s="26" t="n">
        <v>0.0815</v>
      </c>
      <c r="G28" s="26">
        <f>D28*F28</f>
        <v/>
      </c>
      <c r="H28" s="25" t="inlineStr">
        <is>
          <t>Chapa acero SAE 1010 pintada</t>
        </is>
      </c>
      <c r="I28" s="12" t="inlineStr">
        <is>
          <t>71,4 × 27 × 12,8</t>
        </is>
      </c>
      <c r="J28" s="25" t="inlineStr">
        <is>
          <t>Compra</t>
        </is>
      </c>
      <c r="K28" s="12" t="inlineStr">
        <is>
          <t>C9 armado</t>
        </is>
      </c>
      <c r="L28" s="12" t="n"/>
      <c r="M28" s="25" t="inlineStr">
        <is>
          <t>P</t>
        </is>
      </c>
      <c r="N28" s="25" t="inlineStr">
        <is>
          <t>FL_DES_ABC_25kg</t>
        </is>
      </c>
      <c r="O28" s="12" t="n"/>
    </row>
    <row r="29" outlineLevel="1">
      <c r="A29" s="25" t="n">
        <v>2</v>
      </c>
      <c r="B29" s="25" t="inlineStr">
        <is>
          <t>ABC25-16</t>
        </is>
      </c>
      <c r="C29" s="12" t="inlineStr">
        <is>
          <t xml:space="preserve">        Manija de accionamiento</t>
        </is>
      </c>
      <c r="D29" s="25" t="n">
        <v>1</v>
      </c>
      <c r="E29" s="25" t="inlineStr">
        <is>
          <t>u</t>
        </is>
      </c>
      <c r="F29" s="26" t="n">
        <v>0.1496</v>
      </c>
      <c r="G29" s="26">
        <f>D29*F29</f>
        <v/>
      </c>
      <c r="H29" s="25" t="inlineStr">
        <is>
          <t>Chapa acero SAE 1010 pintada</t>
        </is>
      </c>
      <c r="I29" s="12" t="inlineStr">
        <is>
          <t>130,4 × 27 × 21,3</t>
        </is>
      </c>
      <c r="J29" s="25" t="inlineStr">
        <is>
          <t>Compra</t>
        </is>
      </c>
      <c r="K29" s="12" t="inlineStr">
        <is>
          <t>C9 armado</t>
        </is>
      </c>
      <c r="L29" s="12" t="n"/>
      <c r="M29" s="25" t="inlineStr">
        <is>
          <t>P</t>
        </is>
      </c>
      <c r="N29" s="25" t="inlineStr">
        <is>
          <t>FL_DES_ABC_25kg</t>
        </is>
      </c>
      <c r="O29" s="12" t="n"/>
    </row>
    <row r="30" outlineLevel="1">
      <c r="A30" s="25" t="n">
        <v>2</v>
      </c>
      <c r="B30" s="25" t="inlineStr">
        <is>
          <t>ABC25-17</t>
        </is>
      </c>
      <c r="C30" s="12" t="inlineStr">
        <is>
          <t xml:space="preserve">        Eje de palanca</t>
        </is>
      </c>
      <c r="D30" s="25" t="n">
        <v>1</v>
      </c>
      <c r="E30" s="25" t="inlineStr">
        <is>
          <t>u</t>
        </is>
      </c>
      <c r="F30" s="26" t="n">
        <v>0.0199</v>
      </c>
      <c r="G30" s="26">
        <f>D30*F30</f>
        <v/>
      </c>
      <c r="H30" s="25" t="inlineStr">
        <is>
          <t>Acero inox. AISI 304</t>
        </is>
      </c>
      <c r="I30" s="12" t="inlineStr">
        <is>
          <t>48,6 × 8,1 × 8,1</t>
        </is>
      </c>
      <c r="J30" s="25" t="inlineStr">
        <is>
          <t>Compra</t>
        </is>
      </c>
      <c r="K30" s="12" t="inlineStr">
        <is>
          <t>C9 armado</t>
        </is>
      </c>
      <c r="L30" s="12" t="n"/>
      <c r="M30" s="25" t="inlineStr">
        <is>
          <t>P</t>
        </is>
      </c>
      <c r="N30" s="25" t="inlineStr">
        <is>
          <t>FL_DES_ABC_25kg</t>
        </is>
      </c>
      <c r="O30" s="12" t="n"/>
    </row>
    <row r="31" outlineLevel="1">
      <c r="A31" s="25" t="n">
        <v>2</v>
      </c>
      <c r="B31" s="25" t="inlineStr">
        <is>
          <t>ABC25-18</t>
        </is>
      </c>
      <c r="C31" s="12" t="inlineStr">
        <is>
          <t xml:space="preserve">        Vástago</t>
        </is>
      </c>
      <c r="D31" s="25" t="n">
        <v>1</v>
      </c>
      <c r="E31" s="25" t="inlineStr">
        <is>
          <t>u</t>
        </is>
      </c>
      <c r="F31" s="26" t="n">
        <v>0.0039</v>
      </c>
      <c r="G31" s="26">
        <f>D31*F31</f>
        <v/>
      </c>
      <c r="H31" s="25" t="inlineStr">
        <is>
          <t>Latón</t>
        </is>
      </c>
      <c r="I31" s="12" t="inlineStr">
        <is>
          <t>10,8 × 10,8 × 5</t>
        </is>
      </c>
      <c r="J31" s="25" t="inlineStr">
        <is>
          <t>Compra</t>
        </is>
      </c>
      <c r="K31" s="12" t="inlineStr">
        <is>
          <t>C9 armado</t>
        </is>
      </c>
      <c r="L31" s="12" t="n"/>
      <c r="M31" s="25" t="inlineStr">
        <is>
          <t>P</t>
        </is>
      </c>
      <c r="N31" s="25" t="inlineStr">
        <is>
          <t>FL_DES_ABC_25kg</t>
        </is>
      </c>
      <c r="O31" s="12" t="inlineStr">
        <is>
          <t>con junta tórica</t>
        </is>
      </c>
    </row>
    <row r="32" outlineLevel="1">
      <c r="A32" s="25" t="n">
        <v>2</v>
      </c>
      <c r="B32" s="25" t="inlineStr">
        <is>
          <t>ABC25-19</t>
        </is>
      </c>
      <c r="C32" s="12" t="inlineStr">
        <is>
          <t xml:space="preserve">        Pasador de seguridad</t>
        </is>
      </c>
      <c r="D32" s="25" t="n">
        <v>1</v>
      </c>
      <c r="E32" s="25" t="inlineStr">
        <is>
          <t>u</t>
        </is>
      </c>
      <c r="F32" s="26" t="n">
        <v>0.0135</v>
      </c>
      <c r="G32" s="26">
        <f>D32*F32</f>
        <v/>
      </c>
      <c r="H32" s="25" t="inlineStr">
        <is>
          <t>Alambre acero inox. AISI 304</t>
        </is>
      </c>
      <c r="I32" s="12" t="inlineStr">
        <is>
          <t>61,3 × 28,4 × 28,1</t>
        </is>
      </c>
      <c r="J32" s="25" t="inlineStr">
        <is>
          <t>Compra</t>
        </is>
      </c>
      <c r="K32" s="12" t="inlineStr">
        <is>
          <t>C9 armado</t>
        </is>
      </c>
      <c r="L32" s="12" t="n"/>
      <c r="M32" s="25" t="inlineStr">
        <is>
          <t>P</t>
        </is>
      </c>
      <c r="N32" s="25" t="inlineStr">
        <is>
          <t>FL_DES_ABC_25kg</t>
        </is>
      </c>
      <c r="O32" s="12" t="inlineStr">
        <is>
          <t>con precinto</t>
        </is>
      </c>
    </row>
    <row r="33" outlineLevel="1">
      <c r="A33" s="25" t="n">
        <v>2</v>
      </c>
      <c r="B33" s="25" t="inlineStr">
        <is>
          <t>ABC25-20</t>
        </is>
      </c>
      <c r="C33" s="12" t="inlineStr">
        <is>
          <t xml:space="preserve">        Caño de pesca (sifón)</t>
        </is>
      </c>
      <c r="D33" s="25" t="n">
        <v>1</v>
      </c>
      <c r="E33" s="25" t="inlineStr">
        <is>
          <t>u</t>
        </is>
      </c>
      <c r="F33" s="26" t="n">
        <v>0.1347</v>
      </c>
      <c r="G33" s="26">
        <f>D33*F33</f>
        <v/>
      </c>
      <c r="H33" s="25" t="inlineStr">
        <is>
          <t>Tubo PVC rígido</t>
        </is>
      </c>
      <c r="I33" s="12" t="inlineStr">
        <is>
          <t>Ø24 × 569,9 de largo</t>
        </is>
      </c>
      <c r="J33" s="25" t="inlineStr">
        <is>
          <t>Compra</t>
        </is>
      </c>
      <c r="K33" s="12" t="inlineStr">
        <is>
          <t>C9 armado</t>
        </is>
      </c>
      <c r="L33" s="12" t="n"/>
      <c r="M33" s="25" t="inlineStr">
        <is>
          <t>P</t>
        </is>
      </c>
      <c r="N33" s="25" t="inlineStr">
        <is>
          <t>FL_DES_ABC_25kg</t>
        </is>
      </c>
      <c r="O33" s="12" t="n"/>
    </row>
    <row r="34" outlineLevel="1">
      <c r="A34" s="25" t="n">
        <v>2</v>
      </c>
      <c r="B34" s="25" t="inlineStr">
        <is>
          <t>ABC25-30</t>
        </is>
      </c>
      <c r="C34" s="12" t="inlineStr">
        <is>
          <t xml:space="preserve">        Junta tórica de asiento</t>
        </is>
      </c>
      <c r="D34" s="25" t="n">
        <v>1</v>
      </c>
      <c r="E34" s="25" t="inlineStr">
        <is>
          <t>u</t>
        </is>
      </c>
      <c r="F34" s="26" t="n">
        <v>0.001</v>
      </c>
      <c r="G34" s="26">
        <f>D34*F34</f>
        <v/>
      </c>
      <c r="H34" s="25" t="inlineStr">
        <is>
          <t>NBR 70 Shore A</t>
        </is>
      </c>
      <c r="I34" s="12" t="inlineStr">
        <is>
          <t>Ø31,4 ext. × cordón 3</t>
        </is>
      </c>
      <c r="J34" s="25" t="inlineStr">
        <is>
          <t>Compra</t>
        </is>
      </c>
      <c r="K34" s="12" t="inlineStr">
        <is>
          <t>C9 armado</t>
        </is>
      </c>
      <c r="L34" s="12" t="n"/>
      <c r="M34" s="25" t="inlineStr">
        <is>
          <t>P</t>
        </is>
      </c>
      <c r="N34" s="25" t="inlineStr">
        <is>
          <t>FL_DES_ABC_25kg</t>
        </is>
      </c>
      <c r="O34" s="12" t="inlineStr">
        <is>
          <t>cambio c/recarga</t>
        </is>
      </c>
    </row>
    <row r="35" outlineLevel="1">
      <c r="A35" s="25" t="n">
        <v>2</v>
      </c>
      <c r="B35" s="25" t="inlineStr">
        <is>
          <t>ABC25-V2</t>
        </is>
      </c>
      <c r="C35" s="12" t="inlineStr">
        <is>
          <t xml:space="preserve">        Resorte de retorno del vástago</t>
        </is>
      </c>
      <c r="D35" s="25" t="n">
        <v>1</v>
      </c>
      <c r="E35" s="25" t="inlineStr">
        <is>
          <t>u</t>
        </is>
      </c>
      <c r="F35" s="26" t="n">
        <v>0.003</v>
      </c>
      <c r="G35" s="26">
        <f>D35*F35</f>
        <v/>
      </c>
      <c r="H35" s="25" t="inlineStr">
        <is>
          <t>Alambre acero inox. AISI 302</t>
        </is>
      </c>
      <c r="I35" s="12" t="inlineStr">
        <is>
          <t>según válvula</t>
        </is>
      </c>
      <c r="J35" s="25" t="inlineStr">
        <is>
          <t>Compra</t>
        </is>
      </c>
      <c r="K35" s="12" t="inlineStr">
        <is>
          <t>19 Ensamblaje</t>
        </is>
      </c>
      <c r="L35" s="12" t="n"/>
      <c r="M35" s="25" t="inlineStr">
        <is>
          <t>R</t>
        </is>
      </c>
      <c r="N35" s="25" t="n"/>
      <c r="O35" s="12" t="n"/>
    </row>
    <row r="36" outlineLevel="1">
      <c r="A36" s="25" t="n">
        <v>2</v>
      </c>
      <c r="B36" s="25" t="inlineStr">
        <is>
          <t>ABC25-V3</t>
        </is>
      </c>
      <c r="C36" s="12" t="inlineStr">
        <is>
          <t xml:space="preserve">        Junta tórica del vástago</t>
        </is>
      </c>
      <c r="D36" s="25" t="n">
        <v>1</v>
      </c>
      <c r="E36" s="25" t="inlineStr">
        <is>
          <t>u</t>
        </is>
      </c>
      <c r="F36" s="26" t="n">
        <v>0.001</v>
      </c>
      <c r="G36" s="26">
        <f>D36*F36</f>
        <v/>
      </c>
      <c r="H36" s="25" t="inlineStr">
        <is>
          <t>NBR 70 Shore A</t>
        </is>
      </c>
      <c r="I36" s="12" t="inlineStr">
        <is>
          <t>según válvula</t>
        </is>
      </c>
      <c r="J36" s="25" t="inlineStr">
        <is>
          <t>Compra</t>
        </is>
      </c>
      <c r="K36" s="12" t="inlineStr">
        <is>
          <t>19 Ensamblaje</t>
        </is>
      </c>
      <c r="L36" s="12" t="n"/>
      <c r="M36" s="25" t="inlineStr">
        <is>
          <t>P</t>
        </is>
      </c>
      <c r="N36" s="25" t="n"/>
      <c r="O36" s="12" t="inlineStr">
        <is>
          <t>Figura en el plano como «vástago con junta tórica»</t>
        </is>
      </c>
    </row>
    <row r="37">
      <c r="A37" s="22" t="n">
        <v>1</v>
      </c>
      <c r="B37" s="22" t="inlineStr">
        <is>
          <t>ABC25-S3</t>
        </is>
      </c>
      <c r="C37" s="23" t="inlineStr">
        <is>
          <t xml:space="preserve">    Dispositivo de descarga</t>
        </is>
      </c>
      <c r="D37" s="22" t="n">
        <v>1</v>
      </c>
      <c r="E37" s="22" t="inlineStr">
        <is>
          <t>u</t>
        </is>
      </c>
      <c r="F37" s="24" t="n"/>
      <c r="G37" s="24">
        <f>G38+G39+G40+G41+G42+G43</f>
        <v/>
      </c>
      <c r="H37" s="22" t="n"/>
      <c r="I37" s="23" t="n"/>
      <c r="J37" s="22" t="inlineStr">
        <is>
          <t>Compra / armado</t>
        </is>
      </c>
      <c r="K37" s="23" t="n"/>
      <c r="L37" s="23" t="n"/>
      <c r="M37" s="22" t="inlineStr">
        <is>
          <t>P</t>
        </is>
      </c>
      <c r="N37" s="22" t="inlineStr">
        <is>
          <t>FL_DES_ABC_25kg</t>
        </is>
      </c>
      <c r="O37" s="23" t="n"/>
    </row>
    <row r="38" outlineLevel="1">
      <c r="A38" s="25" t="n">
        <v>2</v>
      </c>
      <c r="B38" s="25" t="inlineStr">
        <is>
          <t>ABC25-21</t>
        </is>
      </c>
      <c r="C38" s="12" t="inlineStr">
        <is>
          <t xml:space="preserve">        Manguera (tramo enrollado)</t>
        </is>
      </c>
      <c r="D38" s="25" t="n">
        <v>1</v>
      </c>
      <c r="E38" s="25" t="inlineStr">
        <is>
          <t>u</t>
        </is>
      </c>
      <c r="F38" s="26" t="n">
        <v>0.374</v>
      </c>
      <c r="G38" s="26">
        <f>D38*F38</f>
        <v/>
      </c>
      <c r="H38" s="25" t="inlineStr">
        <is>
          <t>Caucho sintético</t>
        </is>
      </c>
      <c r="I38" s="12" t="inlineStr">
        <is>
          <t>Ø25 × 992 de largo desarrollado</t>
        </is>
      </c>
      <c r="J38" s="25" t="inlineStr">
        <is>
          <t>Compra</t>
        </is>
      </c>
      <c r="K38" s="12" t="inlineStr">
        <is>
          <t>C9 armado de ruedas y manguera</t>
        </is>
      </c>
      <c r="L38" s="12" t="n"/>
      <c r="M38" s="25" t="inlineStr">
        <is>
          <t>P</t>
        </is>
      </c>
      <c r="N38" s="25" t="inlineStr">
        <is>
          <t>FL_DES_ABC_25kg</t>
        </is>
      </c>
      <c r="O38" s="12" t="n"/>
    </row>
    <row r="39" outlineLevel="1">
      <c r="A39" s="25" t="n">
        <v>2</v>
      </c>
      <c r="B39" s="25" t="inlineStr">
        <is>
          <t>ABC25-22</t>
        </is>
      </c>
      <c r="C39" s="12" t="inlineStr">
        <is>
          <t xml:space="preserve">        Soporte de manguera</t>
        </is>
      </c>
      <c r="D39" s="25" t="n">
        <v>1</v>
      </c>
      <c r="E39" s="25" t="inlineStr">
        <is>
          <t>u</t>
        </is>
      </c>
      <c r="F39" s="26" t="n">
        <v>1.5505</v>
      </c>
      <c r="G39" s="26">
        <f>D39*F39</f>
        <v/>
      </c>
      <c r="H39" s="25" t="inlineStr">
        <is>
          <t>Planchuela acero SAE 1010</t>
        </is>
      </c>
      <c r="I39" s="12" t="inlineStr">
        <is>
          <t>378,4 × 193,1 × 40,5</t>
        </is>
      </c>
      <c r="J39" s="25" t="inlineStr">
        <is>
          <t>Compra (estructura)</t>
        </is>
      </c>
      <c r="K39" s="12" t="inlineStr">
        <is>
          <t>C9 armado de ruedas y manguera</t>
        </is>
      </c>
      <c r="L39" s="12" t="n"/>
      <c r="M39" s="25" t="inlineStr">
        <is>
          <t>P</t>
        </is>
      </c>
      <c r="N39" s="25" t="inlineStr">
        <is>
          <t>FL_DES_ABC_25kg</t>
        </is>
      </c>
      <c r="O39" s="12" t="n"/>
    </row>
    <row r="40" outlineLevel="1">
      <c r="A40" s="25" t="n">
        <v>2</v>
      </c>
      <c r="B40" s="25" t="inlineStr">
        <is>
          <t>ABC25-23</t>
        </is>
      </c>
      <c r="C40" s="12" t="inlineStr">
        <is>
          <t xml:space="preserve">        Racor de manguera</t>
        </is>
      </c>
      <c r="D40" s="25" t="n">
        <v>1</v>
      </c>
      <c r="E40" s="25" t="inlineStr">
        <is>
          <t>u</t>
        </is>
      </c>
      <c r="F40" s="26" t="n">
        <v>0.0612</v>
      </c>
      <c r="G40" s="26">
        <f>D40*F40</f>
        <v/>
      </c>
      <c r="H40" s="25" t="inlineStr">
        <is>
          <t>Latón</t>
        </is>
      </c>
      <c r="I40" s="12" t="inlineStr">
        <is>
          <t>24 × 24 × 16</t>
        </is>
      </c>
      <c r="J40" s="25" t="inlineStr">
        <is>
          <t>Compra</t>
        </is>
      </c>
      <c r="K40" s="12" t="inlineStr">
        <is>
          <t>C9 armado de ruedas y manguera</t>
        </is>
      </c>
      <c r="L40" s="12" t="n"/>
      <c r="M40" s="25" t="inlineStr">
        <is>
          <t>P</t>
        </is>
      </c>
      <c r="N40" s="25" t="inlineStr">
        <is>
          <t>FL_DES_ABC_25kg</t>
        </is>
      </c>
      <c r="O40" s="12" t="n"/>
    </row>
    <row r="41" outlineLevel="1">
      <c r="A41" s="25" t="n">
        <v>2</v>
      </c>
      <c r="B41" s="25" t="inlineStr">
        <is>
          <t>ABC25-24</t>
        </is>
      </c>
      <c r="C41" s="12" t="inlineStr">
        <is>
          <t xml:space="preserve">        Manguera</t>
        </is>
      </c>
      <c r="D41" s="25" t="n">
        <v>1</v>
      </c>
      <c r="E41" s="25" t="inlineStr">
        <is>
          <t>u</t>
        </is>
      </c>
      <c r="F41" s="26" t="n">
        <v>0.1382</v>
      </c>
      <c r="G41" s="26">
        <f>D41*F41</f>
        <v/>
      </c>
      <c r="H41" s="25" t="inlineStr">
        <is>
          <t>Caucho sintético</t>
        </is>
      </c>
      <c r="I41" s="12" t="inlineStr">
        <is>
          <t>Ø16 × 895 de largo desarrollado</t>
        </is>
      </c>
      <c r="J41" s="25" t="inlineStr">
        <is>
          <t>Compra</t>
        </is>
      </c>
      <c r="K41" s="12" t="inlineStr">
        <is>
          <t>C9 armado de ruedas y manguera</t>
        </is>
      </c>
      <c r="L41" s="12" t="n"/>
      <c r="M41" s="25" t="inlineStr">
        <is>
          <t>P</t>
        </is>
      </c>
      <c r="N41" s="25" t="inlineStr">
        <is>
          <t>FL_DES_ABC_25kg</t>
        </is>
      </c>
      <c r="O41" s="12" t="n"/>
    </row>
    <row r="42" outlineLevel="1">
      <c r="A42" s="25" t="n">
        <v>2</v>
      </c>
      <c r="B42" s="25" t="inlineStr">
        <is>
          <t>ABC25-25</t>
        </is>
      </c>
      <c r="C42" s="12" t="inlineStr">
        <is>
          <t xml:space="preserve">        Válvula esférica</t>
        </is>
      </c>
      <c r="D42" s="25" t="n">
        <v>1</v>
      </c>
      <c r="E42" s="25" t="inlineStr">
        <is>
          <t>u</t>
        </is>
      </c>
      <c r="F42" s="26" t="n">
        <v>0.4225</v>
      </c>
      <c r="G42" s="26">
        <f>D42*F42</f>
        <v/>
      </c>
      <c r="H42" s="25" t="inlineStr">
        <is>
          <t>Latón cromado</t>
        </is>
      </c>
      <c r="I42" s="12" t="inlineStr">
        <is>
          <t>130 × 60 × 40</t>
        </is>
      </c>
      <c r="J42" s="25" t="inlineStr">
        <is>
          <t>Compra</t>
        </is>
      </c>
      <c r="K42" s="12" t="inlineStr">
        <is>
          <t>C9 armado de ruedas y manguera</t>
        </is>
      </c>
      <c r="L42" s="12" t="n"/>
      <c r="M42" s="25" t="inlineStr">
        <is>
          <t>P</t>
        </is>
      </c>
      <c r="N42" s="25" t="inlineStr">
        <is>
          <t>FL_DES_ABC_25kg</t>
        </is>
      </c>
      <c r="O42" s="12" t="n"/>
    </row>
    <row r="43" outlineLevel="1">
      <c r="A43" s="25" t="n">
        <v>2</v>
      </c>
      <c r="B43" s="25" t="inlineStr">
        <is>
          <t>ABC25-26</t>
        </is>
      </c>
      <c r="C43" s="12" t="inlineStr">
        <is>
          <t xml:space="preserve">        Tobera campana</t>
        </is>
      </c>
      <c r="D43" s="25" t="n">
        <v>1</v>
      </c>
      <c r="E43" s="25" t="inlineStr">
        <is>
          <t>u</t>
        </is>
      </c>
      <c r="F43" s="26" t="n">
        <v>0.07969999999999999</v>
      </c>
      <c r="G43" s="26">
        <f>D43*F43</f>
        <v/>
      </c>
      <c r="H43" s="25" t="inlineStr">
        <is>
          <t>Polipropileno</t>
        </is>
      </c>
      <c r="I43" s="12" t="inlineStr">
        <is>
          <t>200 × 68 × 68</t>
        </is>
      </c>
      <c r="J43" s="25" t="inlineStr">
        <is>
          <t>Compra</t>
        </is>
      </c>
      <c r="K43" s="12" t="inlineStr">
        <is>
          <t>C9 armado de ruedas y manguera</t>
        </is>
      </c>
      <c r="L43" s="12" t="n"/>
      <c r="M43" s="25" t="inlineStr">
        <is>
          <t>P</t>
        </is>
      </c>
      <c r="N43" s="25" t="inlineStr">
        <is>
          <t>FL_DES_ABC_25kg</t>
        </is>
      </c>
      <c r="O43" s="12" t="n"/>
    </row>
    <row r="44">
      <c r="A44" s="22" t="n">
        <v>1</v>
      </c>
      <c r="B44" s="22" t="inlineStr">
        <is>
          <t>ABC25-S4</t>
        </is>
      </c>
      <c r="C44" s="23" t="inlineStr">
        <is>
          <t xml:space="preserve">    Carro (bastidor y ruedas)</t>
        </is>
      </c>
      <c r="D44" s="22" t="n">
        <v>1</v>
      </c>
      <c r="E44" s="22" t="inlineStr">
        <is>
          <t>u</t>
        </is>
      </c>
      <c r="F44" s="24" t="n"/>
      <c r="G44" s="24">
        <f>G45+G46+G47+G48+G49+G50</f>
        <v/>
      </c>
      <c r="H44" s="22" t="n"/>
      <c r="I44" s="23" t="n"/>
      <c r="J44" s="22" t="inlineStr">
        <is>
          <t>Compra / armado</t>
        </is>
      </c>
      <c r="K44" s="23" t="n"/>
      <c r="L44" s="23" t="n"/>
      <c r="M44" s="22" t="inlineStr">
        <is>
          <t>P</t>
        </is>
      </c>
      <c r="N44" s="22" t="inlineStr">
        <is>
          <t>FL_DES_ABC_25kg</t>
        </is>
      </c>
      <c r="O44" s="23" t="n"/>
    </row>
    <row r="45" outlineLevel="1">
      <c r="A45" s="25" t="n">
        <v>2</v>
      </c>
      <c r="B45" s="25" t="inlineStr">
        <is>
          <t>ABC25-05</t>
        </is>
      </c>
      <c r="C45" s="12" t="inlineStr">
        <is>
          <t xml:space="preserve">        Neumático macizo</t>
        </is>
      </c>
      <c r="D45" s="25" t="n">
        <v>2</v>
      </c>
      <c r="E45" s="25" t="inlineStr">
        <is>
          <t>u</t>
        </is>
      </c>
      <c r="F45" s="26" t="n">
        <v>2.2468</v>
      </c>
      <c r="G45" s="26">
        <f>D45*F45</f>
        <v/>
      </c>
      <c r="H45" s="25" t="inlineStr">
        <is>
          <t>Caucho</t>
        </is>
      </c>
      <c r="I45" s="12" t="inlineStr">
        <is>
          <t>Ø300 × 55 de ancho</t>
        </is>
      </c>
      <c r="J45" s="25" t="inlineStr">
        <is>
          <t>Compra</t>
        </is>
      </c>
      <c r="K45" s="12" t="inlineStr">
        <is>
          <t>C9 armado de ruedas y manguera (S-TC)</t>
        </is>
      </c>
      <c r="L45" s="12" t="n"/>
      <c r="M45" s="25" t="inlineStr">
        <is>
          <t>P</t>
        </is>
      </c>
      <c r="N45" s="25" t="inlineStr">
        <is>
          <t>FL_DES_ABC_25kg</t>
        </is>
      </c>
      <c r="O45" s="12" t="n"/>
    </row>
    <row r="46" outlineLevel="1">
      <c r="A46" s="25" t="n">
        <v>2</v>
      </c>
      <c r="B46" s="25" t="inlineStr">
        <is>
          <t>ABC25-06</t>
        </is>
      </c>
      <c r="C46" s="12" t="inlineStr">
        <is>
          <t xml:space="preserve">        Llanta con cubo</t>
        </is>
      </c>
      <c r="D46" s="25" t="n">
        <v>2</v>
      </c>
      <c r="E46" s="25" t="inlineStr">
        <is>
          <t>u</t>
        </is>
      </c>
      <c r="F46" s="26" t="n">
        <v>2.9594</v>
      </c>
      <c r="G46" s="26">
        <f>D46*F46</f>
        <v/>
      </c>
      <c r="H46" s="25" t="inlineStr">
        <is>
          <t>Chapa acero SAE 1010</t>
        </is>
      </c>
      <c r="I46" s="12" t="inlineStr">
        <is>
          <t>Ø216 × 65 de ancho</t>
        </is>
      </c>
      <c r="J46" s="25" t="inlineStr">
        <is>
          <t>Compra</t>
        </is>
      </c>
      <c r="K46" s="12" t="inlineStr">
        <is>
          <t>C9 armado de ruedas y manguera (S-TC)</t>
        </is>
      </c>
      <c r="L46" s="12" t="n"/>
      <c r="M46" s="25" t="inlineStr">
        <is>
          <t>P</t>
        </is>
      </c>
      <c r="N46" s="25" t="inlineStr">
        <is>
          <t>FL_DES_ABC_25kg</t>
        </is>
      </c>
      <c r="O46" s="12" t="n"/>
    </row>
    <row r="47" outlineLevel="1">
      <c r="A47" s="25" t="n">
        <v>2</v>
      </c>
      <c r="B47" s="25" t="inlineStr">
        <is>
          <t>ABC25-07</t>
        </is>
      </c>
      <c r="C47" s="12" t="inlineStr">
        <is>
          <t xml:space="preserve">        Eje de ruedas</t>
        </is>
      </c>
      <c r="D47" s="25" t="n">
        <v>1</v>
      </c>
      <c r="E47" s="25" t="inlineStr">
        <is>
          <t>u</t>
        </is>
      </c>
      <c r="F47" s="26" t="n">
        <v>1.4065</v>
      </c>
      <c r="G47" s="26">
        <f>D47*F47</f>
        <v/>
      </c>
      <c r="H47" s="25" t="inlineStr">
        <is>
          <t>Acero SAE 1045</t>
        </is>
      </c>
      <c r="I47" s="12" t="inlineStr">
        <is>
          <t>Ø25 × 365 de largo</t>
        </is>
      </c>
      <c r="J47" s="25" t="inlineStr">
        <is>
          <t>Compra</t>
        </is>
      </c>
      <c r="K47" s="12" t="inlineStr">
        <is>
          <t>C9 armado de ruedas y manguera (S-TC)</t>
        </is>
      </c>
      <c r="L47" s="12" t="n"/>
      <c r="M47" s="25" t="inlineStr">
        <is>
          <t>P</t>
        </is>
      </c>
      <c r="N47" s="25" t="inlineStr">
        <is>
          <t>FL_DES_ABC_25kg</t>
        </is>
      </c>
      <c r="O47" s="12" t="n"/>
    </row>
    <row r="48" outlineLevel="1">
      <c r="A48" s="25" t="n">
        <v>2</v>
      </c>
      <c r="B48" s="25" t="inlineStr">
        <is>
          <t>ABC25-08</t>
        </is>
      </c>
      <c r="C48" s="12" t="inlineStr">
        <is>
          <t xml:space="preserve">        Bastidor</t>
        </is>
      </c>
      <c r="D48" s="25" t="n">
        <v>1</v>
      </c>
      <c r="E48" s="25" t="inlineStr">
        <is>
          <t>u</t>
        </is>
      </c>
      <c r="F48" s="26" t="n">
        <v>1.9749</v>
      </c>
      <c r="G48" s="26">
        <f>D48*F48</f>
        <v/>
      </c>
      <c r="H48" s="25" t="inlineStr">
        <is>
          <t>Caño acero SAE 1010 Ø25,4×1,6</t>
        </is>
      </c>
      <c r="I48" s="12" t="inlineStr">
        <is>
          <t>caño Ø25,4 × 1,6 × 2.069 de largo desarrollado</t>
        </is>
      </c>
      <c r="J48" s="25" t="inlineStr">
        <is>
          <t>Compra (estructura)</t>
        </is>
      </c>
      <c r="K48" s="12" t="inlineStr">
        <is>
          <t>C9 armado de ruedas y manguera (S-TC)</t>
        </is>
      </c>
      <c r="L48" s="12" t="n"/>
      <c r="M48" s="25" t="inlineStr">
        <is>
          <t>P</t>
        </is>
      </c>
      <c r="N48" s="25" t="inlineStr">
        <is>
          <t>FL_DES_ABC_25kg</t>
        </is>
      </c>
      <c r="O48" s="12" t="n"/>
    </row>
    <row r="49" outlineLevel="1">
      <c r="A49" s="25" t="n">
        <v>2</v>
      </c>
      <c r="B49" s="25" t="inlineStr">
        <is>
          <t>ABC25-09</t>
        </is>
      </c>
      <c r="C49" s="12" t="inlineStr">
        <is>
          <t xml:space="preserve">        Sunchos de fijación</t>
        </is>
      </c>
      <c r="D49" s="25" t="n">
        <v>1</v>
      </c>
      <c r="E49" s="25" t="inlineStr">
        <is>
          <t>u</t>
        </is>
      </c>
      <c r="F49" s="26" t="n">
        <v>5.4531</v>
      </c>
      <c r="G49" s="26">
        <f>D49*F49</f>
        <v/>
      </c>
      <c r="H49" s="25" t="inlineStr">
        <is>
          <t>Planchuela acero SAE 1010</t>
        </is>
      </c>
      <c r="I49" s="12" t="inlineStr">
        <is>
          <t>414 × 335,8 × 315</t>
        </is>
      </c>
      <c r="J49" s="25" t="inlineStr">
        <is>
          <t>Compra (estructura)</t>
        </is>
      </c>
      <c r="K49" s="12" t="inlineStr">
        <is>
          <t>C9 armado de ruedas y manguera (S-TC)</t>
        </is>
      </c>
      <c r="L49" s="12" t="n"/>
      <c r="M49" s="25" t="inlineStr">
        <is>
          <t>P</t>
        </is>
      </c>
      <c r="N49" s="25" t="inlineStr">
        <is>
          <t>FL_DES_ABC_25kg</t>
        </is>
      </c>
      <c r="O49" s="12" t="n"/>
    </row>
    <row r="50" outlineLevel="1">
      <c r="A50" s="25" t="n">
        <v>2</v>
      </c>
      <c r="B50" s="25" t="inlineStr">
        <is>
          <t>ABC25-10</t>
        </is>
      </c>
      <c r="C50" s="12" t="inlineStr">
        <is>
          <t xml:space="preserve">        Apoyo delantero</t>
        </is>
      </c>
      <c r="D50" s="25" t="n">
        <v>1</v>
      </c>
      <c r="E50" s="25" t="inlineStr">
        <is>
          <t>u</t>
        </is>
      </c>
      <c r="F50" s="26" t="n">
        <v>0.3022</v>
      </c>
      <c r="G50" s="26">
        <f>D50*F50</f>
        <v/>
      </c>
      <c r="H50" s="25" t="inlineStr">
        <is>
          <t>Chapa acero SAE 1010 plegada</t>
        </is>
      </c>
      <c r="I50" s="12" t="inlineStr">
        <is>
          <t>70 × 55 × 50</t>
        </is>
      </c>
      <c r="J50" s="25" t="inlineStr">
        <is>
          <t>Compra (estructura)</t>
        </is>
      </c>
      <c r="K50" s="12" t="inlineStr">
        <is>
          <t>C9 armado de ruedas y manguera (S-TC)</t>
        </is>
      </c>
      <c r="L50" s="12" t="n"/>
      <c r="M50" s="25" t="inlineStr">
        <is>
          <t>P</t>
        </is>
      </c>
      <c r="N50" s="25" t="inlineStr">
        <is>
          <t>FL_DES_ABC_25kg</t>
        </is>
      </c>
      <c r="O50" s="12" t="n"/>
    </row>
    <row r="51">
      <c r="A51" s="22" t="n">
        <v>1</v>
      </c>
      <c r="B51" s="22" t="inlineStr">
        <is>
          <t>ABC25-S5</t>
        </is>
      </c>
      <c r="C51" s="23" t="inlineStr">
        <is>
          <t xml:space="preserve">    Carga: agente extintor y gas impulsor</t>
        </is>
      </c>
      <c r="D51" s="22" t="n">
        <v>1</v>
      </c>
      <c r="E51" s="22" t="inlineStr">
        <is>
          <t>u</t>
        </is>
      </c>
      <c r="F51" s="24" t="n"/>
      <c r="G51" s="24">
        <f>G52+G53</f>
        <v/>
      </c>
      <c r="H51" s="22" t="n"/>
      <c r="I51" s="23" t="n"/>
      <c r="J51" s="22" t="inlineStr">
        <is>
          <t>Carga en planta</t>
        </is>
      </c>
      <c r="K51" s="23" t="inlineStr">
        <is>
          <t>18 Carga de polvo (T01) / C8 (T02)</t>
        </is>
      </c>
      <c r="L51" s="23" t="n"/>
      <c r="M51" s="22" t="n"/>
      <c r="N51" s="22" t="n"/>
      <c r="O51" s="23" t="n"/>
    </row>
    <row r="52" outlineLevel="1">
      <c r="A52" s="25" t="n">
        <v>2</v>
      </c>
      <c r="B52" s="25" t="inlineStr">
        <is>
          <t>ABC25-A1</t>
        </is>
      </c>
      <c r="C52" s="12" t="inlineStr">
        <is>
          <t xml:space="preserve">        Polvo químico seco ABC 90 (Sello IRAM 3569, DEMSA)</t>
        </is>
      </c>
      <c r="D52" s="25" t="n">
        <v>25</v>
      </c>
      <c r="E52" s="25" t="inlineStr">
        <is>
          <t>kg</t>
        </is>
      </c>
      <c r="F52" s="26" t="n">
        <v>1</v>
      </c>
      <c r="G52" s="26">
        <f>D52*F52</f>
        <v/>
      </c>
      <c r="H52" s="25" t="inlineStr">
        <is>
          <t>Polvo químico seco ABC 90 (Sello IRAM 3569, DEMSA)</t>
        </is>
      </c>
      <c r="I52" s="12" t="inlineStr">
        <is>
          <t>nominal 25 kg; tolerancia ± 3 % (IRAM 3517-2:2020 tabla 3)</t>
        </is>
      </c>
      <c r="J52" s="25" t="inlineStr">
        <is>
          <t>Compra</t>
        </is>
      </c>
      <c r="K52" s="12" t="inlineStr">
        <is>
          <t>SP-1 almacén previo a la carga</t>
        </is>
      </c>
      <c r="L52" s="12" t="inlineStr">
        <is>
          <t>IRAM 3569</t>
        </is>
      </c>
      <c r="M52" s="25" t="inlineStr">
        <is>
          <t>N</t>
        </is>
      </c>
      <c r="N52" s="25" t="n"/>
      <c r="O52" s="12" t="inlineStr">
        <is>
          <t>MAP 90 % (banda 85,5-94,5 %) = 22,5 kg MAP + 1,75 kg sulfato de amonio + 0,75 kg aditivos · potencial - · Lote único por extintor; prohibido mezclar ABC con BC (3517-2 9.9.1.6)</t>
        </is>
      </c>
    </row>
    <row r="53" outlineLevel="1">
      <c r="A53" s="25" t="n">
        <v>2</v>
      </c>
      <c r="B53" s="25" t="inlineStr">
        <is>
          <t>ABC25-A2</t>
        </is>
      </c>
      <c r="C53" s="12" t="inlineStr">
        <is>
          <t xml:space="preserve">        Gas impulsor: N₂</t>
        </is>
      </c>
      <c r="D53" s="25" t="n">
        <v>0.1142</v>
      </c>
      <c r="E53" s="25" t="inlineStr">
        <is>
          <t>kg</t>
        </is>
      </c>
      <c r="F53" s="26" t="n">
        <v>1</v>
      </c>
      <c r="G53" s="26">
        <f>D53*F53</f>
        <v/>
      </c>
      <c r="H53" s="25" t="inlineStr">
        <is>
          <t>N₂</t>
        </is>
      </c>
      <c r="I53" s="12" t="inlineStr">
        <is>
          <t>91,4 L normales para 1,4 MPa a 20 °C en 6,62 dm³ libres</t>
        </is>
      </c>
      <c r="J53" s="25" t="inlineStr">
        <is>
          <t>Compra</t>
        </is>
      </c>
      <c r="K53" s="12" t="inlineStr">
        <is>
          <t>20 Presurización (T05) / C10</t>
        </is>
      </c>
      <c r="L53" s="12" t="inlineStr">
        <is>
          <t>IRAM 3517-2 9.4.9 (tabla 2) · IRAM 3523 2.3 y 3.10</t>
        </is>
      </c>
      <c r="M53" s="25" t="inlineStr">
        <is>
          <t>C</t>
        </is>
      </c>
      <c r="N53" s="25" t="n"/>
      <c r="O53" s="12" t="inlineStr">
        <is>
          <t>Batería en SP-1; punto de rocío ≤ -56,7 °C para gases limpios</t>
        </is>
      </c>
    </row>
    <row r="54">
      <c r="A54" s="22" t="n">
        <v>1</v>
      </c>
      <c r="B54" s="22" t="inlineStr">
        <is>
          <t>ABC25-S6</t>
        </is>
      </c>
      <c r="C54" s="23" t="inlineStr">
        <is>
          <t xml:space="preserve">    Identificación y precinto</t>
        </is>
      </c>
      <c r="D54" s="22" t="n">
        <v>1</v>
      </c>
      <c r="E54" s="22" t="inlineStr">
        <is>
          <t>u</t>
        </is>
      </c>
      <c r="F54" s="24" t="n"/>
      <c r="G54" s="24">
        <f>G55+G56+G57+G58+G59</f>
        <v/>
      </c>
      <c r="H54" s="22" t="n"/>
      <c r="I54" s="23" t="n"/>
      <c r="J54" s="22" t="inlineStr">
        <is>
          <t>Compra</t>
        </is>
      </c>
      <c r="K54" s="23" t="inlineStr">
        <is>
          <t>22 Etiquetado (T07)</t>
        </is>
      </c>
      <c r="L54" s="23" t="n"/>
      <c r="M54" s="22" t="n"/>
      <c r="N54" s="22" t="n"/>
      <c r="O54" s="23" t="n"/>
    </row>
    <row r="55" outlineLevel="1">
      <c r="A55" s="25" t="n">
        <v>2</v>
      </c>
      <c r="B55" s="25" t="inlineStr">
        <is>
          <t>ABC25-27</t>
        </is>
      </c>
      <c r="C55" s="12" t="inlineStr">
        <is>
          <t xml:space="preserve">        Placa de características</t>
        </is>
      </c>
      <c r="D55" s="25" t="n">
        <v>1</v>
      </c>
      <c r="E55" s="25" t="inlineStr">
        <is>
          <t>u</t>
        </is>
      </c>
      <c r="F55" s="26" t="n">
        <v>0.0176</v>
      </c>
      <c r="G55" s="26">
        <f>D55*F55</f>
        <v/>
      </c>
      <c r="H55" s="25" t="inlineStr">
        <is>
          <t>Vinilo autoadhesivo laminado</t>
        </is>
      </c>
      <c r="I55" s="12" t="inlineStr">
        <is>
          <t>261 × 161 (desarrollo × alto), e ≈ 0,3</t>
        </is>
      </c>
      <c r="J55" s="25" t="inlineStr">
        <is>
          <t>Compra</t>
        </is>
      </c>
      <c r="K55" s="12" t="inlineStr">
        <is>
          <t>22 Etiquetado (T07)</t>
        </is>
      </c>
      <c r="L55" s="12" t="inlineStr">
        <is>
          <t>IRAM 3534 · IRAM 3550 cap. 5</t>
        </is>
      </c>
      <c r="M55" s="25" t="inlineStr">
        <is>
          <t>P</t>
        </is>
      </c>
      <c r="N55" s="25" t="inlineStr">
        <is>
          <t>FL_DES_ABC_25kg</t>
        </is>
      </c>
      <c r="O55" s="12" t="inlineStr">
        <is>
          <t>IRAM 3534</t>
        </is>
      </c>
    </row>
    <row r="56" outlineLevel="1">
      <c r="A56" s="25" t="n">
        <v>2</v>
      </c>
      <c r="B56" s="25" t="inlineStr">
        <is>
          <t>ABC25-28</t>
        </is>
      </c>
      <c r="C56" s="12" t="inlineStr">
        <is>
          <t xml:space="preserve">        Oblea de fabricación (PBA)</t>
        </is>
      </c>
      <c r="D56" s="25" t="n">
        <v>1</v>
      </c>
      <c r="E56" s="25" t="inlineStr">
        <is>
          <t>u</t>
        </is>
      </c>
      <c r="F56" s="26" t="n">
        <v>0.0009</v>
      </c>
      <c r="G56" s="26">
        <f>D56*F56</f>
        <v/>
      </c>
      <c r="H56" s="25" t="inlineStr">
        <is>
          <t>Papel de seguridad autodestructible</t>
        </is>
      </c>
      <c r="I56" s="12" t="inlineStr">
        <is>
          <t>Ø46 (Res. OPDS 522/07), numerada, autodestructible</t>
        </is>
      </c>
      <c r="J56" s="25" t="inlineStr">
        <is>
          <t>Compra</t>
        </is>
      </c>
      <c r="K56" s="12" t="inlineStr">
        <is>
          <t>22 Etiquetado (T07)</t>
        </is>
      </c>
      <c r="L56" s="12" t="inlineStr">
        <is>
          <t>Res. OPDS 522/07 anexos 1, 2 y 6</t>
        </is>
      </c>
      <c r="M56" s="25" t="inlineStr">
        <is>
          <t>P</t>
        </is>
      </c>
      <c r="N56" s="25" t="inlineStr">
        <is>
          <t>FL_DES_ABC_25kg</t>
        </is>
      </c>
      <c r="O56" s="12" t="inlineStr">
        <is>
          <t>Res. 522/07</t>
        </is>
      </c>
    </row>
    <row r="57" outlineLevel="1">
      <c r="A57" s="25" t="n">
        <v>2</v>
      </c>
      <c r="B57" s="25" t="inlineStr">
        <is>
          <t>ABC25-29</t>
        </is>
      </c>
      <c r="C57" s="12" t="inlineStr">
        <is>
          <t xml:space="preserve">        Estampilla IRAM de conformidad</t>
        </is>
      </c>
      <c r="D57" s="25" t="n">
        <v>1</v>
      </c>
      <c r="E57" s="25" t="inlineStr">
        <is>
          <t>u</t>
        </is>
      </c>
      <c r="F57" s="26" t="n">
        <v>0.001</v>
      </c>
      <c r="G57" s="26">
        <f>D57*F57</f>
        <v/>
      </c>
      <c r="H57" s="25" t="inlineStr">
        <is>
          <t>Provista por IRAM (Anexo R)</t>
        </is>
      </c>
      <c r="I57" s="12" t="inlineStr">
        <is>
          <t>60 × 40</t>
        </is>
      </c>
      <c r="J57" s="25" t="inlineStr">
        <is>
          <t>Compra</t>
        </is>
      </c>
      <c r="K57" s="12" t="inlineStr">
        <is>
          <t>22 Etiquetado (T07)</t>
        </is>
      </c>
      <c r="L57" s="12" t="inlineStr">
        <is>
          <t>IRAM Anexo R (DC-PG-129)</t>
        </is>
      </c>
      <c r="M57" s="25" t="inlineStr">
        <is>
          <t>P</t>
        </is>
      </c>
      <c r="N57" s="25" t="inlineStr">
        <is>
          <t>FL_DES_ABC_25kg</t>
        </is>
      </c>
      <c r="O57" s="12" t="inlineStr">
        <is>
          <t>numerada</t>
        </is>
      </c>
    </row>
    <row r="58" outlineLevel="1">
      <c r="A58" s="25" t="n">
        <v>2</v>
      </c>
      <c r="B58" s="25" t="inlineStr">
        <is>
          <t>ABC25-31</t>
        </is>
      </c>
      <c r="C58" s="12" t="inlineStr">
        <is>
          <t xml:space="preserve">        Precinto de fábrica</t>
        </is>
      </c>
      <c r="D58" s="25" t="n">
        <v>1</v>
      </c>
      <c r="E58" s="25" t="inlineStr">
        <is>
          <t>u</t>
        </is>
      </c>
      <c r="F58" s="26" t="n">
        <v>0.0002</v>
      </c>
      <c r="G58" s="26">
        <f>D58*F58</f>
        <v/>
      </c>
      <c r="H58" s="25" t="inlineStr">
        <is>
          <t>Polipropileno</t>
        </is>
      </c>
      <c r="I58" s="12" t="inlineStr">
        <is>
          <t>Ø5 × 10, numerado, rotura 30-50 N</t>
        </is>
      </c>
      <c r="J58" s="25" t="inlineStr">
        <is>
          <t>Compra</t>
        </is>
      </c>
      <c r="K58" s="12" t="inlineStr">
        <is>
          <t>20 Presurización (T05)</t>
        </is>
      </c>
      <c r="L58" s="12" t="inlineStr">
        <is>
          <t>IRAM 3523 3.3.2 · IRAM 3517-2:2020 9.4.13</t>
        </is>
      </c>
      <c r="M58" s="25" t="inlineStr">
        <is>
          <t>P</t>
        </is>
      </c>
      <c r="N58" s="25" t="inlineStr">
        <is>
          <t>FL_DES_ABC_25kg</t>
        </is>
      </c>
      <c r="O58" s="12" t="inlineStr">
        <is>
          <t>id. FLAMA y lote</t>
        </is>
      </c>
    </row>
    <row r="59" outlineLevel="1">
      <c r="A59" s="25" t="n">
        <v>2</v>
      </c>
      <c r="B59" s="25" t="inlineStr">
        <is>
          <t>ABC25-I3</t>
        </is>
      </c>
      <c r="C59" s="12" t="inlineStr">
        <is>
          <t xml:space="preserve">        Tarjeta oficial de vigencia (CABA)</t>
        </is>
      </c>
      <c r="D59" s="25" t="n">
        <v>1</v>
      </c>
      <c r="E59" s="25" t="inlineStr">
        <is>
          <t>u</t>
        </is>
      </c>
      <c r="F59" s="26" t="n">
        <v>0.002</v>
      </c>
      <c r="G59" s="26">
        <f>D59*F59</f>
        <v/>
      </c>
      <c r="H59" s="25" t="inlineStr">
        <is>
          <t>Formulario oficial</t>
        </is>
      </c>
      <c r="I59" s="12" t="inlineStr">
        <is>
          <t>provista por DG Rentas GCBA</t>
        </is>
      </c>
      <c r="J59" s="25" t="inlineStr">
        <is>
          <t>Compra</t>
        </is>
      </c>
      <c r="K59" s="12" t="inlineStr">
        <is>
          <t>22 Etiquetado</t>
        </is>
      </c>
      <c r="L59" s="12" t="inlineStr">
        <is>
          <t>Ordenanza 40.473 art. 6</t>
        </is>
      </c>
      <c r="M59" s="25" t="inlineStr">
        <is>
          <t>N</t>
        </is>
      </c>
      <c r="N59" s="25" t="n"/>
      <c r="O59" s="12" t="inlineStr">
        <is>
          <t>Clase, capacidad, fecha de carga y vencimiento, garantía; se anexa al matafuego (no se dibuja)</t>
        </is>
      </c>
    </row>
    <row r="60">
      <c r="A60" s="22" t="n">
        <v>1</v>
      </c>
      <c r="B60" s="22" t="inlineStr">
        <is>
          <t>ABC25-S7</t>
        </is>
      </c>
      <c r="C60" s="23" t="inlineStr">
        <is>
          <t xml:space="preserve">    Embalaje</t>
        </is>
      </c>
      <c r="D60" s="22" t="n">
        <v>1</v>
      </c>
      <c r="E60" s="22" t="inlineStr">
        <is>
          <t>u</t>
        </is>
      </c>
      <c r="F60" s="24" t="n"/>
      <c r="G60" s="24">
        <f>G61+G62+G63+G64</f>
        <v/>
      </c>
      <c r="H60" s="22" t="n"/>
      <c r="I60" s="23" t="n"/>
      <c r="J60" s="22" t="inlineStr">
        <is>
          <t>Compra</t>
        </is>
      </c>
      <c r="K60" s="23" t="inlineStr">
        <is>
          <t>23 Embalaje -&gt; 24 envolvedora (T11)</t>
        </is>
      </c>
      <c r="L60" s="23" t="n"/>
      <c r="M60" s="22" t="n"/>
      <c r="N60" s="22" t="n"/>
      <c r="O60" s="23" t="n"/>
    </row>
    <row r="61" outlineLevel="1">
      <c r="A61" s="25" t="n">
        <v>2</v>
      </c>
      <c r="B61" s="25" t="inlineStr">
        <is>
          <t>ABC25-E1</t>
        </is>
      </c>
      <c r="C61" s="12" t="inlineStr">
        <is>
          <t xml:space="preserve">        Esquineros y funda de polietileno</t>
        </is>
      </c>
      <c r="D61" s="25" t="n">
        <v>1</v>
      </c>
      <c r="E61" s="25" t="inlineStr">
        <is>
          <t>jgo</t>
        </is>
      </c>
      <c r="F61" s="26" t="n">
        <v>0.3</v>
      </c>
      <c r="G61" s="26">
        <f>D61*F61</f>
        <v/>
      </c>
      <c r="H61" s="25" t="inlineStr">
        <is>
          <t>PE / cartón</t>
        </is>
      </c>
      <c r="I61" s="12" t="inlineStr">
        <is>
          <t>a medida</t>
        </is>
      </c>
      <c r="J61" s="25" t="inlineStr">
        <is>
          <t>Compra</t>
        </is>
      </c>
      <c r="K61" s="12" t="inlineStr">
        <is>
          <t>23 Embalaje</t>
        </is>
      </c>
      <c r="L61" s="12" t="n"/>
      <c r="M61" s="25" t="inlineStr">
        <is>
          <t>R</t>
        </is>
      </c>
      <c r="N61" s="25" t="n"/>
      <c r="O61" s="12" t="n"/>
    </row>
    <row r="62" outlineLevel="1">
      <c r="A62" s="25" t="n">
        <v>2</v>
      </c>
      <c r="B62" s="25" t="inlineStr">
        <is>
          <t>ABC25-E3</t>
        </is>
      </c>
      <c r="C62" s="12" t="inlineStr">
        <is>
          <t xml:space="preserve">        Pallet 1200 × 1000 (fracción)</t>
        </is>
      </c>
      <c r="D62" s="25" t="n">
        <v>0.5</v>
      </c>
      <c r="E62" s="25" t="inlineStr">
        <is>
          <t>u</t>
        </is>
      </c>
      <c r="F62" s="26" t="n">
        <v>11</v>
      </c>
      <c r="G62" s="26">
        <f>D62*F62</f>
        <v/>
      </c>
      <c r="H62" s="25" t="inlineStr">
        <is>
          <t>Madera</t>
        </is>
      </c>
      <c r="I62" s="12" t="inlineStr">
        <is>
          <t>2 u por pallet</t>
        </is>
      </c>
      <c r="J62" s="25" t="inlineStr">
        <is>
          <t>Compra</t>
        </is>
      </c>
      <c r="K62" s="12" t="inlineStr">
        <is>
          <t>23 Embalaje</t>
        </is>
      </c>
      <c r="L62" s="12" t="n"/>
      <c r="M62" s="25" t="inlineStr">
        <is>
          <t>R</t>
        </is>
      </c>
      <c r="N62" s="25" t="n"/>
      <c r="O62" s="12" t="n"/>
    </row>
    <row r="63" outlineLevel="1">
      <c r="A63" s="25" t="n">
        <v>2</v>
      </c>
      <c r="B63" s="25" t="inlineStr">
        <is>
          <t>ABC25-E4</t>
        </is>
      </c>
      <c r="C63" s="12" t="inlineStr">
        <is>
          <t xml:space="preserve">        Film stretch (fracción del pallet)</t>
        </is>
      </c>
      <c r="D63" s="25" t="n">
        <v>0.175</v>
      </c>
      <c r="E63" s="25" t="inlineStr">
        <is>
          <t>kg</t>
        </is>
      </c>
      <c r="F63" s="26" t="n">
        <v>1</v>
      </c>
      <c r="G63" s="26">
        <f>D63*F63</f>
        <v/>
      </c>
      <c r="H63" s="25" t="inlineStr">
        <is>
          <t>PE lineal 23 µm</t>
        </is>
      </c>
      <c r="I63" s="12" t="inlineStr">
        <is>
          <t>envolvedora EDOS PS5</t>
        </is>
      </c>
      <c r="J63" s="25" t="inlineStr">
        <is>
          <t>Compra</t>
        </is>
      </c>
      <c r="K63" s="12" t="inlineStr">
        <is>
          <t>24 Envolvedora (T11)</t>
        </is>
      </c>
      <c r="L63" s="12" t="n"/>
      <c r="M63" s="25" t="inlineStr">
        <is>
          <t>R</t>
        </is>
      </c>
      <c r="N63" s="25" t="n"/>
      <c r="O63" s="12" t="n"/>
    </row>
    <row r="64" outlineLevel="1">
      <c r="A64" s="25" t="n">
        <v>2</v>
      </c>
      <c r="B64" s="25" t="inlineStr">
        <is>
          <t>ABC25-E5</t>
        </is>
      </c>
      <c r="C64" s="12" t="inlineStr">
        <is>
          <t xml:space="preserve">        Etiqueta de pallet (lote y destino, fracción)</t>
        </is>
      </c>
      <c r="D64" s="25" t="n">
        <v>0.5</v>
      </c>
      <c r="E64" s="25" t="inlineStr">
        <is>
          <t>u</t>
        </is>
      </c>
      <c r="F64" s="26" t="n">
        <v>0</v>
      </c>
      <c r="G64" s="26">
        <f>D64*F64</f>
        <v/>
      </c>
      <c r="H64" s="25" t="inlineStr">
        <is>
          <t>Papel térmico</t>
        </is>
      </c>
      <c r="I64" s="12" t="inlineStr">
        <is>
          <t>100 × 150</t>
        </is>
      </c>
      <c r="J64" s="25" t="inlineStr">
        <is>
          <t>Compra</t>
        </is>
      </c>
      <c r="K64" s="12" t="inlineStr">
        <is>
          <t>24 Envolvedora</t>
        </is>
      </c>
      <c r="L64" s="12" t="n"/>
      <c r="M64" s="25" t="inlineStr">
        <is>
          <t>R</t>
        </is>
      </c>
      <c r="N64" s="25" t="n"/>
      <c r="O64" s="12" t="n"/>
    </row>
  </sheetData>
  <autoFilter ref="A10:O64"/>
  <pageMargins left="0.75" right="0.75" top="1" bottom="1" header="0.5" footer="0.5"/>
  <pageSetup orientation="landscape" fitToHeight="0" fitToWidth="1"/>
</worksheet>
</file>

<file path=xl/worksheets/sheet21.xml><?xml version="1.0" encoding="utf-8"?>
<worksheet xmlns="http://schemas.openxmlformats.org/spreadsheetml/2006/main">
  <sheetPr>
    <tabColor rgb="007F1D1D"/>
    <outlinePr summaryBelow="0" summaryRight="1"/>
    <pageSetUpPr fitToPage="1"/>
  </sheetPr>
  <dimension ref="A1:O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FL_MAT_ABC_50kg</t>
        </is>
      </c>
    </row>
    <row r="2">
      <c r="A2" s="2" t="inlineStr">
        <is>
          <t>Extintor ABC 50 kg sobre ruedas</t>
        </is>
      </c>
    </row>
    <row r="3">
      <c r="A3" s="14" t="inlineStr">
        <is>
          <t>Plano de origen</t>
        </is>
      </c>
      <c r="C3" t="inlineStr">
        <is>
          <t>FL_MAT_ABC_50kg  (3 láminas)</t>
        </is>
      </c>
      <c r="E3" s="14" t="inlineStr">
        <is>
          <t>Peso vacío S1-S4 (kg)</t>
        </is>
      </c>
      <c r="G3" s="30">
        <f>G12+G23+G37+G44</f>
        <v/>
      </c>
    </row>
    <row r="4">
      <c r="A4" s="14" t="inlineStr">
        <is>
          <t>Plano de despiece</t>
        </is>
      </c>
      <c r="C4" t="inlineStr">
        <is>
          <t>FL_DES_ABC_50kg (salida/despiece/)</t>
        </is>
      </c>
      <c r="E4" s="14" t="inlineStr">
        <is>
          <t>Peso cargado S1-S6 (kg)</t>
        </is>
      </c>
      <c r="G4" s="30">
        <f>G12+G23+G37+G44+G51+G54</f>
        <v/>
      </c>
    </row>
    <row r="5">
      <c r="A5" s="14" t="inlineStr">
        <is>
          <t>Norma del producto</t>
        </is>
      </c>
      <c r="C5" t="inlineStr">
        <is>
          <t>IRAM 3550</t>
        </is>
      </c>
      <c r="E5" s="14" t="inlineStr">
        <is>
          <t>Peso con soporte y embalaje (kg)</t>
        </is>
      </c>
      <c r="G5" s="30">
        <f>G12+G23+G37+G44+G51+G54+G60</f>
        <v/>
      </c>
    </row>
    <row r="6">
      <c r="A6" s="14" t="inlineStr">
        <is>
          <t>Fabricación</t>
        </is>
      </c>
      <c r="C6" t="inlineStr">
        <is>
          <t>Fabricación propia</t>
        </is>
      </c>
      <c r="E6" s="14" t="inlineStr">
        <is>
          <t>Desvío cargado vs catálogo</t>
        </is>
      </c>
      <c r="G6" s="10">
        <f>G4/C7-1</f>
        <v/>
      </c>
    </row>
    <row r="7">
      <c r="A7" s="14" t="inlineStr">
        <is>
          <t>Peso catálogo cargado (kg)</t>
        </is>
      </c>
      <c r="C7" t="n">
        <v>100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FL_MAT_ABC_50kg</t>
        </is>
      </c>
      <c r="C11" s="20" t="inlineStr">
        <is>
          <t>Extintor ABC 50 kg sobre ruedas</t>
        </is>
      </c>
      <c r="D11" s="19" t="n">
        <v>1</v>
      </c>
      <c r="E11" s="19" t="inlineStr">
        <is>
          <t>u</t>
        </is>
      </c>
      <c r="F11" s="21" t="n"/>
      <c r="G11" s="21">
        <f>G5</f>
        <v/>
      </c>
      <c r="H11" s="19" t="n"/>
      <c r="I11" s="20" t="n"/>
      <c r="J11" s="19" t="n"/>
      <c r="K11" s="20" t="n"/>
      <c r="L11" s="20" t="inlineStr">
        <is>
          <t>IRAM 3550</t>
        </is>
      </c>
      <c r="M11" s="19" t="inlineStr">
        <is>
          <t>P</t>
        </is>
      </c>
      <c r="N11" s="19" t="inlineStr">
        <is>
          <t>FL_MAT_ABC_50kg</t>
        </is>
      </c>
      <c r="O11" s="20" t="inlineStr">
        <is>
          <t>Fabricación propia</t>
        </is>
      </c>
    </row>
    <row r="12">
      <c r="A12" s="22" t="n">
        <v>1</v>
      </c>
      <c r="B12" s="22" t="inlineStr">
        <is>
          <t>FL_REC_ABC_50kg</t>
        </is>
      </c>
      <c r="C12" s="23" t="inlineStr">
        <is>
          <t xml:space="preserve">    Recipiente (cilindro)</t>
        </is>
      </c>
      <c r="D12" s="22" t="n">
        <v>1</v>
      </c>
      <c r="E12" s="22" t="inlineStr">
        <is>
          <t>u</t>
        </is>
      </c>
      <c r="F12" s="24" t="n"/>
      <c r="G12" s="24">
        <f>G13+G15+G16+G17+G19+G22</f>
        <v/>
      </c>
      <c r="H12" s="22" t="n"/>
      <c r="I12" s="23" t="n"/>
      <c r="J12" s="22" t="inlineStr">
        <is>
          <t>Fabricación</t>
        </is>
      </c>
      <c r="K12" s="23" t="n"/>
      <c r="L12" s="23" t="inlineStr">
        <is>
          <t>IRAM 3523 / 3550 (recipiente)</t>
        </is>
      </c>
      <c r="M12" s="22" t="inlineStr">
        <is>
          <t>P</t>
        </is>
      </c>
      <c r="N12" s="22" t="inlineStr">
        <is>
          <t>FL_REC_ABC_50kg</t>
        </is>
      </c>
      <c r="O12" s="23" t="n"/>
    </row>
    <row r="13" outlineLevel="1">
      <c r="A13" s="25" t="n">
        <v>2</v>
      </c>
      <c r="B13" s="25" t="inlineStr">
        <is>
          <t>ABC50-01</t>
        </is>
      </c>
      <c r="C13" s="12" t="inlineStr">
        <is>
          <t xml:space="preserve">        Cuerpo (virola)</t>
        </is>
      </c>
      <c r="D13" s="25" t="n">
        <v>1</v>
      </c>
      <c r="E13" s="25" t="inlineStr">
        <is>
          <t>u</t>
        </is>
      </c>
      <c r="F13" s="26" t="n">
        <v>13.3755</v>
      </c>
      <c r="G13" s="26">
        <f>D13*F13</f>
        <v/>
      </c>
      <c r="H13" s="25" t="inlineStr">
        <is>
          <t>Chapa acero SAE 1010 e=3,2</t>
        </is>
      </c>
      <c r="I13" s="12" t="inlineStr">
        <is>
          <t>Ø320 × e3,2 × 535 de alto; desarrollo 995,3 × 535</t>
        </is>
      </c>
      <c r="J13" s="25" t="inlineStr">
        <is>
          <t>Fabricación</t>
        </is>
      </c>
      <c r="K13" s="12" t="inlineStr">
        <is>
          <t>1 Guillotina -&gt; C1 cilindrado -&gt; C2 punteo -&gt; C3 sold. long.</t>
        </is>
      </c>
      <c r="L13" s="12" t="n"/>
      <c r="M13" s="25" t="inlineStr">
        <is>
          <t>P</t>
        </is>
      </c>
      <c r="N13" s="25" t="inlineStr">
        <is>
          <t>FL_DES_ABC_50kg</t>
        </is>
      </c>
      <c r="O13" s="12" t="inlineStr">
        <is>
          <t>costura long. MIG</t>
        </is>
      </c>
    </row>
    <row r="14" outlineLevel="2">
      <c r="A14" s="27" t="n">
        <v>3</v>
      </c>
      <c r="B14" s="27" t="inlineStr">
        <is>
          <t>MP-HOJA</t>
        </is>
      </c>
      <c r="C14" s="28" t="inlineStr">
        <is>
          <t xml:space="preserve">            Recorte de hoja LAC 1500 × 3000 e=3,2</t>
        </is>
      </c>
      <c r="D14" s="27" t="n">
        <v>1</v>
      </c>
      <c r="E14" s="27" t="inlineStr">
        <is>
          <t>u</t>
        </is>
      </c>
      <c r="F14" s="29" t="n">
        <v>18.845</v>
      </c>
      <c r="G14" s="29">
        <f>D14*F14</f>
        <v/>
      </c>
      <c r="H14" s="27" t="inlineStr">
        <is>
          <t>Chapa SAE 1010 LAC</t>
        </is>
      </c>
      <c r="I14" s="28" t="inlineStr">
        <is>
          <t>640 × 994 (aprovech. 84,8 %)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ABC50-02</t>
        </is>
      </c>
      <c r="C15" s="12" t="inlineStr">
        <is>
          <t xml:space="preserve">        Cúpula</t>
        </is>
      </c>
      <c r="D15" s="25" t="n">
        <v>1</v>
      </c>
      <c r="E15" s="25" t="inlineStr">
        <is>
          <t>u</t>
        </is>
      </c>
      <c r="F15" s="26" t="n">
        <v>2.884</v>
      </c>
      <c r="G15" s="26">
        <f>D15*F15</f>
        <v/>
      </c>
      <c r="H15" s="25" t="inlineStr">
        <is>
          <t>Chapa acero SAE 1010 e=3,2</t>
        </is>
      </c>
      <c r="I15" s="12" t="inlineStr">
        <is>
          <t>Ø320 × e3,2 × 101,7 de alto; disco Ø393,8</t>
        </is>
      </c>
      <c r="J15" s="25" t="inlineStr">
        <is>
          <t>Compra</t>
        </is>
      </c>
      <c r="K15" s="12" t="inlineStr">
        <is>
          <t>Compra (casquetes de carros, rack RK1)</t>
        </is>
      </c>
      <c r="L15" s="12" t="n"/>
      <c r="M15" s="25" t="inlineStr">
        <is>
          <t>P</t>
        </is>
      </c>
      <c r="N15" s="25" t="inlineStr">
        <is>
          <t>FL_DES_ABC_50kg</t>
        </is>
      </c>
      <c r="O15" s="12" t="inlineStr">
        <is>
          <t>embutida</t>
        </is>
      </c>
    </row>
    <row r="16" outlineLevel="1">
      <c r="A16" s="25" t="n">
        <v>2</v>
      </c>
      <c r="B16" s="25" t="inlineStr">
        <is>
          <t>ABC50-03</t>
        </is>
      </c>
      <c r="C16" s="12" t="inlineStr">
        <is>
          <t xml:space="preserve">        Fondo</t>
        </is>
      </c>
      <c r="D16" s="25" t="n">
        <v>1</v>
      </c>
      <c r="E16" s="25" t="inlineStr">
        <is>
          <t>u</t>
        </is>
      </c>
      <c r="F16" s="26" t="n">
        <v>3.1025</v>
      </c>
      <c r="G16" s="26">
        <f>D16*F16</f>
        <v/>
      </c>
      <c r="H16" s="25" t="inlineStr">
        <is>
          <t>Chapa acero SAE 1010 e=3,2</t>
        </is>
      </c>
      <c r="I16" s="12" t="inlineStr">
        <is>
          <t>Ø320 × e3,2 × 105 de alto; disco Ø408,5</t>
        </is>
      </c>
      <c r="J16" s="25" t="inlineStr">
        <is>
          <t>Compra</t>
        </is>
      </c>
      <c r="K16" s="12" t="inlineStr">
        <is>
          <t>Compra (casquetes de carros, rack RK1)</t>
        </is>
      </c>
      <c r="L16" s="12" t="n"/>
      <c r="M16" s="25" t="inlineStr">
        <is>
          <t>P</t>
        </is>
      </c>
      <c r="N16" s="25" t="inlineStr">
        <is>
          <t>FL_DES_ABC_50kg</t>
        </is>
      </c>
      <c r="O16" s="12" t="inlineStr">
        <is>
          <t>embutido</t>
        </is>
      </c>
    </row>
    <row r="17" outlineLevel="1">
      <c r="A17" s="25" t="n">
        <v>2</v>
      </c>
      <c r="B17" s="25" t="inlineStr">
        <is>
          <t>ABC50-04</t>
        </is>
      </c>
      <c r="C17" s="12" t="inlineStr">
        <is>
          <t xml:space="preserve">        Cuello roscado</t>
        </is>
      </c>
      <c r="D17" s="25" t="n">
        <v>1</v>
      </c>
      <c r="E17" s="25" t="inlineStr">
        <is>
          <t>u</t>
        </is>
      </c>
      <c r="F17" s="26" t="n">
        <v>0.6085</v>
      </c>
      <c r="G17" s="26">
        <f>D17*F17</f>
        <v/>
      </c>
      <c r="H17" s="25" t="inlineStr">
        <is>
          <t>Acero SAE 1010</t>
        </is>
      </c>
      <c r="I17" s="12" t="inlineStr">
        <is>
          <t>Ø88 × 37 de alto, rosca RBSP 2 1/2"-11 h, asiento Ø80</t>
        </is>
      </c>
      <c r="J17" s="25" t="inlineStr">
        <is>
          <t>Fabricación</t>
        </is>
      </c>
      <c r="K17" s="12" t="inlineStr">
        <is>
          <t>C2 punteo</t>
        </is>
      </c>
      <c r="L17" s="12" t="n"/>
      <c r="M17" s="25" t="inlineStr">
        <is>
          <t>P</t>
        </is>
      </c>
      <c r="N17" s="25" t="inlineStr">
        <is>
          <t>FL_DES_ABC_50kg</t>
        </is>
      </c>
      <c r="O17" s="12" t="inlineStr">
        <is>
          <t>RBSP 2 1/2"-11 h</t>
        </is>
      </c>
    </row>
    <row r="18" outlineLevel="2">
      <c r="A18" s="27" t="n">
        <v>3</v>
      </c>
      <c r="B18" s="27" t="inlineStr">
        <is>
          <t>MP-CUELLO</t>
        </is>
      </c>
      <c r="C18" s="28" t="inlineStr">
        <is>
          <t xml:space="preserve">            Cuello roscado mecanizado (pieza comprada lista para soldar)</t>
        </is>
      </c>
      <c r="D18" s="27" t="n">
        <v>1</v>
      </c>
      <c r="E18" s="27" t="inlineStr">
        <is>
          <t>u</t>
        </is>
      </c>
      <c r="F18" s="29" t="n">
        <v>0.608</v>
      </c>
      <c r="G18" s="29">
        <f>D18*F18</f>
        <v/>
      </c>
      <c r="H18" s="27" t="inlineStr">
        <is>
          <t>Acero SAE 1010 / 1020</t>
        </is>
      </c>
      <c r="I18" s="28" t="inlineStr">
        <is>
          <t>rosca RBSP 2 1/2"-11 h</t>
        </is>
      </c>
      <c r="J18" s="27" t="inlineStr">
        <is>
          <t>Compra (Eli-Met)</t>
        </is>
      </c>
      <c r="K18" s="28" t="inlineStr">
        <is>
          <t>AL-1C cuellos y roscas</t>
        </is>
      </c>
      <c r="L18" s="28" t="n"/>
      <c r="M18" s="27" t="inlineStr">
        <is>
          <t>L</t>
        </is>
      </c>
      <c r="N18" s="27" t="n"/>
      <c r="O18" s="28" t="n"/>
    </row>
    <row r="19" outlineLevel="1">
      <c r="A19" s="25" t="n">
        <v>2</v>
      </c>
      <c r="B19" s="25" t="inlineStr">
        <is>
          <t>ABC50-C1</t>
        </is>
      </c>
      <c r="C19" s="12" t="inlineStr">
        <is>
          <t xml:space="preserve">        Aporte de soldadura: Alambre MAG ER70S-6 Ø0,9/1,2</t>
        </is>
      </c>
      <c r="D19" s="25" t="n">
        <v>0.433</v>
      </c>
      <c r="E19" s="25" t="inlineStr">
        <is>
          <t>kg</t>
        </is>
      </c>
      <c r="F19" s="26" t="n">
        <v>0.92</v>
      </c>
      <c r="G19" s="26">
        <f>D19*F19</f>
        <v/>
      </c>
      <c r="H19" s="25" t="inlineStr">
        <is>
          <t>Alambre MAG ER70S-6 Ø0,9/1,2</t>
        </is>
      </c>
      <c r="I19" s="12" t="inlineStr">
        <is>
          <t>cordones del plano: 398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ABC50-C2</t>
        </is>
      </c>
      <c r="C20" s="12" t="inlineStr">
        <is>
          <t xml:space="preserve">        Gas de protección: Arcal 21 (Ar + 18 % CO₂)</t>
        </is>
      </c>
      <c r="D20" s="25" t="n">
        <v>194.9</v>
      </c>
      <c r="E20" s="25" t="inlineStr">
        <is>
          <t>L</t>
        </is>
      </c>
      <c r="F20" s="26" t="n"/>
      <c r="G20" s="26" t="n"/>
      <c r="H20" s="25" t="inlineStr">
        <is>
          <t>Arcal 21 (Ar + 18 % CO₂)</t>
        </is>
      </c>
      <c r="I20" s="12" t="inlineStr">
        <is>
          <t>13 min de arco × 15 L/min</t>
        </is>
      </c>
      <c r="J20" s="25" t="inlineStr">
        <is>
          <t>Compra</t>
        </is>
      </c>
      <c r="K20" s="12" t="inlineStr">
        <is>
          <t>Colector SC</t>
        </is>
      </c>
      <c r="L20" s="12" t="n"/>
      <c r="M20" s="25" t="inlineStr">
        <is>
          <t>R</t>
        </is>
      </c>
      <c r="N20" s="25" t="n"/>
      <c r="O20" s="12" t="n"/>
    </row>
    <row r="21" outlineLevel="1">
      <c r="A21" s="25" t="n">
        <v>2</v>
      </c>
      <c r="B21" s="25" t="inlineStr">
        <is>
          <t>ABC50-C3</t>
        </is>
      </c>
      <c r="C21" s="12" t="inlineStr">
        <is>
          <t xml:space="preserve">        Granalla de acero (consumo)</t>
        </is>
      </c>
      <c r="D21" s="25" t="n">
        <v>0.062</v>
      </c>
      <c r="E21" s="25" t="inlineStr">
        <is>
          <t>kg</t>
        </is>
      </c>
      <c r="F21" s="26" t="n"/>
      <c r="G21" s="26" t="n"/>
      <c r="H21" s="25" t="inlineStr">
        <is>
          <t>Granalla S-230</t>
        </is>
      </c>
      <c r="I21" s="12" t="inlineStr">
        <is>
          <t>0,771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ABC50-C4</t>
        </is>
      </c>
      <c r="C22" s="12" t="inlineStr">
        <is>
          <t xml:space="preserve">        Pintura en polvo poliéster rojo</t>
        </is>
      </c>
      <c r="D22" s="25" t="n">
        <v>0.143</v>
      </c>
      <c r="E22" s="25" t="inlineStr">
        <is>
          <t>kg</t>
        </is>
      </c>
      <c r="F22" s="26" t="n">
        <v>0.65</v>
      </c>
      <c r="G22" s="26">
        <f>D22*F22</f>
        <v/>
      </c>
      <c r="H22" s="25" t="inlineStr">
        <is>
          <t>Poliéster rojo 03-1-050</t>
        </is>
      </c>
      <c r="I22" s="12" t="inlineStr">
        <is>
          <t>0,771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c r="A23" s="22" t="n">
        <v>1</v>
      </c>
      <c r="B23" s="22" t="inlineStr">
        <is>
          <t>ABC50-S2</t>
        </is>
      </c>
      <c r="C23" s="23" t="inlineStr">
        <is>
          <t xml:space="preserve">    Conjunto de válvula</t>
        </is>
      </c>
      <c r="D23" s="22" t="n">
        <v>1</v>
      </c>
      <c r="E23" s="22" t="inlineStr">
        <is>
          <t>u</t>
        </is>
      </c>
      <c r="F23" s="24" t="n"/>
      <c r="G23" s="24">
        <f>G24+G25+G26+G27+G28+G29+G30+G31+G32+G33+G34+G35+G36</f>
        <v/>
      </c>
      <c r="H23" s="22" t="n"/>
      <c r="I23" s="23" t="n"/>
      <c r="J23" s="22" t="inlineStr">
        <is>
          <t>Compra / armado</t>
        </is>
      </c>
      <c r="K23" s="23" t="n"/>
      <c r="L23" s="23" t="inlineStr">
        <is>
          <t>Manómetro IRAM 3533</t>
        </is>
      </c>
      <c r="M23" s="22" t="inlineStr">
        <is>
          <t>P</t>
        </is>
      </c>
      <c r="N23" s="22" t="inlineStr">
        <is>
          <t>FL_DES_ABC_50kg</t>
        </is>
      </c>
      <c r="O23" s="23" t="n"/>
    </row>
    <row r="24" outlineLevel="1">
      <c r="A24" s="25" t="n">
        <v>2</v>
      </c>
      <c r="B24" s="25" t="inlineStr">
        <is>
          <t>ABC50-11</t>
        </is>
      </c>
      <c r="C24" s="12" t="inlineStr">
        <is>
          <t xml:space="preserve">        Collarín de válvula</t>
        </is>
      </c>
      <c r="D24" s="25" t="n">
        <v>1</v>
      </c>
      <c r="E24" s="25" t="inlineStr">
        <is>
          <t>u</t>
        </is>
      </c>
      <c r="F24" s="26" t="n">
        <v>0.4107</v>
      </c>
      <c r="G24" s="26">
        <f>D24*F24</f>
        <v/>
      </c>
      <c r="H24" s="25" t="inlineStr">
        <is>
          <t>Latón forjado</t>
        </is>
      </c>
      <c r="I24" s="12" t="inlineStr">
        <is>
          <t>96,1 × 96,1 × 13,5</t>
        </is>
      </c>
      <c r="J24" s="25" t="inlineStr">
        <is>
          <t>Compra</t>
        </is>
      </c>
      <c r="K24" s="12" t="inlineStr">
        <is>
          <t>C9 armado</t>
        </is>
      </c>
      <c r="L24" s="12" t="n"/>
      <c r="M24" s="25" t="inlineStr">
        <is>
          <t>P</t>
        </is>
      </c>
      <c r="N24" s="25" t="inlineStr">
        <is>
          <t>FL_DES_ABC_50kg</t>
        </is>
      </c>
      <c r="O24" s="12" t="n"/>
    </row>
    <row r="25" outlineLevel="1">
      <c r="A25" s="25" t="n">
        <v>2</v>
      </c>
      <c r="B25" s="25" t="inlineStr">
        <is>
          <t>ABC50-12</t>
        </is>
      </c>
      <c r="C25" s="12" t="inlineStr">
        <is>
          <t xml:space="preserve">        Espiga roscada</t>
        </is>
      </c>
      <c r="D25" s="25" t="n">
        <v>1</v>
      </c>
      <c r="E25" s="25" t="inlineStr">
        <is>
          <t>u</t>
        </is>
      </c>
      <c r="F25" s="26" t="n">
        <v>0.1187</v>
      </c>
      <c r="G25" s="26">
        <f>D25*F25</f>
        <v/>
      </c>
      <c r="H25" s="25" t="inlineStr">
        <is>
          <t>Latón forjado</t>
        </is>
      </c>
      <c r="I25" s="12" t="inlineStr">
        <is>
          <t>72,2 × 72,2 × 16,2</t>
        </is>
      </c>
      <c r="J25" s="25" t="inlineStr">
        <is>
          <t>Compra</t>
        </is>
      </c>
      <c r="K25" s="12" t="inlineStr">
        <is>
          <t>C9 armado</t>
        </is>
      </c>
      <c r="L25" s="12" t="n"/>
      <c r="M25" s="25" t="inlineStr">
        <is>
          <t>P</t>
        </is>
      </c>
      <c r="N25" s="25" t="inlineStr">
        <is>
          <t>FL_DES_ABC_50kg</t>
        </is>
      </c>
      <c r="O25" s="12" t="n"/>
    </row>
    <row r="26" outlineLevel="1">
      <c r="A26" s="25" t="n">
        <v>2</v>
      </c>
      <c r="B26" s="25" t="inlineStr">
        <is>
          <t>ABC50-13</t>
        </is>
      </c>
      <c r="C26" s="12" t="inlineStr">
        <is>
          <t xml:space="preserve">        Cuerpo de válvula</t>
        </is>
      </c>
      <c r="D26" s="25" t="n">
        <v>1</v>
      </c>
      <c r="E26" s="25" t="inlineStr">
        <is>
          <t>u</t>
        </is>
      </c>
      <c r="F26" s="26" t="n">
        <v>0.7378</v>
      </c>
      <c r="G26" s="26">
        <f>D26*F26</f>
        <v/>
      </c>
      <c r="H26" s="25" t="inlineStr">
        <is>
          <t>Latón forjado</t>
        </is>
      </c>
      <c r="I26" s="12" t="inlineStr">
        <is>
          <t>58,4 × 54 × 46,3</t>
        </is>
      </c>
      <c r="J26" s="25" t="inlineStr">
        <is>
          <t>Compra</t>
        </is>
      </c>
      <c r="K26" s="12" t="inlineStr">
        <is>
          <t>C9 armado</t>
        </is>
      </c>
      <c r="L26" s="12" t="n"/>
      <c r="M26" s="25" t="inlineStr">
        <is>
          <t>P</t>
        </is>
      </c>
      <c r="N26" s="25" t="inlineStr">
        <is>
          <t>FL_DES_ABC_50kg</t>
        </is>
      </c>
      <c r="O26" s="12" t="n"/>
    </row>
    <row r="27" outlineLevel="1">
      <c r="A27" s="25" t="n">
        <v>2</v>
      </c>
      <c r="B27" s="25" t="inlineStr">
        <is>
          <t>ABC50-14</t>
        </is>
      </c>
      <c r="C27" s="12" t="inlineStr">
        <is>
          <t xml:space="preserve">        Manómetro</t>
        </is>
      </c>
      <c r="D27" s="25" t="n">
        <v>1</v>
      </c>
      <c r="E27" s="25" t="inlineStr">
        <is>
          <t>u</t>
        </is>
      </c>
      <c r="F27" s="26" t="n">
        <v>0.12</v>
      </c>
      <c r="G27" s="26">
        <f>D27*F27</f>
        <v/>
      </c>
      <c r="H27" s="25" t="inlineStr">
        <is>
          <t>Comercial</t>
        </is>
      </c>
      <c r="I27" s="12" t="inlineStr">
        <is>
          <t>Ø50 esfera, rango 0-3,5 MPa, sector verde en 1,4</t>
        </is>
      </c>
      <c r="J27" s="25" t="inlineStr">
        <is>
          <t>Compra</t>
        </is>
      </c>
      <c r="K27" s="12" t="inlineStr">
        <is>
          <t>C9 armado</t>
        </is>
      </c>
      <c r="L27" s="12" t="inlineStr">
        <is>
          <t>IRAM 3533</t>
        </is>
      </c>
      <c r="M27" s="25" t="inlineStr">
        <is>
          <t>R</t>
        </is>
      </c>
      <c r="N27" s="25" t="inlineStr">
        <is>
          <t>FL_DES_ABC_50kg</t>
        </is>
      </c>
      <c r="O27" s="12" t="inlineStr">
        <is>
          <t>Pieza comercial; sello IRAM 3533</t>
        </is>
      </c>
    </row>
    <row r="28" outlineLevel="1">
      <c r="A28" s="25" t="n">
        <v>2</v>
      </c>
      <c r="B28" s="25" t="inlineStr">
        <is>
          <t>ABC50-15</t>
        </is>
      </c>
      <c r="C28" s="12" t="inlineStr">
        <is>
          <t xml:space="preserve">        Manija de transporte</t>
        </is>
      </c>
      <c r="D28" s="25" t="n">
        <v>1</v>
      </c>
      <c r="E28" s="25" t="inlineStr">
        <is>
          <t>u</t>
        </is>
      </c>
      <c r="F28" s="26" t="n">
        <v>0.1002</v>
      </c>
      <c r="G28" s="26">
        <f>D28*F28</f>
        <v/>
      </c>
      <c r="H28" s="25" t="inlineStr">
        <is>
          <t>Chapa acero SAE 1010 pintada</t>
        </is>
      </c>
      <c r="I28" s="12" t="inlineStr">
        <is>
          <t>87,6 × 27 × 14,5</t>
        </is>
      </c>
      <c r="J28" s="25" t="inlineStr">
        <is>
          <t>Compra</t>
        </is>
      </c>
      <c r="K28" s="12" t="inlineStr">
        <is>
          <t>C9 armado</t>
        </is>
      </c>
      <c r="L28" s="12" t="n"/>
      <c r="M28" s="25" t="inlineStr">
        <is>
          <t>P</t>
        </is>
      </c>
      <c r="N28" s="25" t="inlineStr">
        <is>
          <t>FL_DES_ABC_50kg</t>
        </is>
      </c>
      <c r="O28" s="12" t="n"/>
    </row>
    <row r="29" outlineLevel="1">
      <c r="A29" s="25" t="n">
        <v>2</v>
      </c>
      <c r="B29" s="25" t="inlineStr">
        <is>
          <t>ABC50-16</t>
        </is>
      </c>
      <c r="C29" s="12" t="inlineStr">
        <is>
          <t xml:space="preserve">        Manija de accionamiento</t>
        </is>
      </c>
      <c r="D29" s="25" t="n">
        <v>1</v>
      </c>
      <c r="E29" s="25" t="inlineStr">
        <is>
          <t>u</t>
        </is>
      </c>
      <c r="F29" s="26" t="n">
        <v>0.1682</v>
      </c>
      <c r="G29" s="26">
        <f>D29*F29</f>
        <v/>
      </c>
      <c r="H29" s="25" t="inlineStr">
        <is>
          <t>Chapa acero SAE 1010 pintada</t>
        </is>
      </c>
      <c r="I29" s="12" t="inlineStr">
        <is>
          <t>146,6 × 27 × 23,3</t>
        </is>
      </c>
      <c r="J29" s="25" t="inlineStr">
        <is>
          <t>Compra</t>
        </is>
      </c>
      <c r="K29" s="12" t="inlineStr">
        <is>
          <t>C9 armado</t>
        </is>
      </c>
      <c r="L29" s="12" t="n"/>
      <c r="M29" s="25" t="inlineStr">
        <is>
          <t>P</t>
        </is>
      </c>
      <c r="N29" s="25" t="inlineStr">
        <is>
          <t>FL_DES_ABC_50kg</t>
        </is>
      </c>
      <c r="O29" s="12" t="n"/>
    </row>
    <row r="30" outlineLevel="1">
      <c r="A30" s="25" t="n">
        <v>2</v>
      </c>
      <c r="B30" s="25" t="inlineStr">
        <is>
          <t>ABC50-17</t>
        </is>
      </c>
      <c r="C30" s="12" t="inlineStr">
        <is>
          <t xml:space="preserve">        Eje de palanca</t>
        </is>
      </c>
      <c r="D30" s="25" t="n">
        <v>1</v>
      </c>
      <c r="E30" s="25" t="inlineStr">
        <is>
          <t>u</t>
        </is>
      </c>
      <c r="F30" s="26" t="n">
        <v>0.0199</v>
      </c>
      <c r="G30" s="26">
        <f>D30*F30</f>
        <v/>
      </c>
      <c r="H30" s="25" t="inlineStr">
        <is>
          <t>Acero inox. AISI 304</t>
        </is>
      </c>
      <c r="I30" s="12" t="inlineStr">
        <is>
          <t>48,6 × 8,1 × 8,1</t>
        </is>
      </c>
      <c r="J30" s="25" t="inlineStr">
        <is>
          <t>Compra</t>
        </is>
      </c>
      <c r="K30" s="12" t="inlineStr">
        <is>
          <t>C9 armado</t>
        </is>
      </c>
      <c r="L30" s="12" t="n"/>
      <c r="M30" s="25" t="inlineStr">
        <is>
          <t>P</t>
        </is>
      </c>
      <c r="N30" s="25" t="inlineStr">
        <is>
          <t>FL_DES_ABC_50kg</t>
        </is>
      </c>
      <c r="O30" s="12" t="n"/>
    </row>
    <row r="31" outlineLevel="1">
      <c r="A31" s="25" t="n">
        <v>2</v>
      </c>
      <c r="B31" s="25" t="inlineStr">
        <is>
          <t>ABC50-18</t>
        </is>
      </c>
      <c r="C31" s="12" t="inlineStr">
        <is>
          <t xml:space="preserve">        Vástago</t>
        </is>
      </c>
      <c r="D31" s="25" t="n">
        <v>1</v>
      </c>
      <c r="E31" s="25" t="inlineStr">
        <is>
          <t>u</t>
        </is>
      </c>
      <c r="F31" s="26" t="n">
        <v>0.0039</v>
      </c>
      <c r="G31" s="26">
        <f>D31*F31</f>
        <v/>
      </c>
      <c r="H31" s="25" t="inlineStr">
        <is>
          <t>Latón</t>
        </is>
      </c>
      <c r="I31" s="12" t="inlineStr">
        <is>
          <t>10,8 × 10,8 × 5</t>
        </is>
      </c>
      <c r="J31" s="25" t="inlineStr">
        <is>
          <t>Compra</t>
        </is>
      </c>
      <c r="K31" s="12" t="inlineStr">
        <is>
          <t>C9 armado</t>
        </is>
      </c>
      <c r="L31" s="12" t="n"/>
      <c r="M31" s="25" t="inlineStr">
        <is>
          <t>P</t>
        </is>
      </c>
      <c r="N31" s="25" t="inlineStr">
        <is>
          <t>FL_DES_ABC_50kg</t>
        </is>
      </c>
      <c r="O31" s="12" t="inlineStr">
        <is>
          <t>con junta tórica</t>
        </is>
      </c>
    </row>
    <row r="32" outlineLevel="1">
      <c r="A32" s="25" t="n">
        <v>2</v>
      </c>
      <c r="B32" s="25" t="inlineStr">
        <is>
          <t>ABC50-19</t>
        </is>
      </c>
      <c r="C32" s="12" t="inlineStr">
        <is>
          <t xml:space="preserve">        Pasador de seguridad</t>
        </is>
      </c>
      <c r="D32" s="25" t="n">
        <v>1</v>
      </c>
      <c r="E32" s="25" t="inlineStr">
        <is>
          <t>u</t>
        </is>
      </c>
      <c r="F32" s="26" t="n">
        <v>0.0135</v>
      </c>
      <c r="G32" s="26">
        <f>D32*F32</f>
        <v/>
      </c>
      <c r="H32" s="25" t="inlineStr">
        <is>
          <t>Alambre acero inox. AISI 304</t>
        </is>
      </c>
      <c r="I32" s="12" t="inlineStr">
        <is>
          <t>61,3 × 28,4 × 28,1</t>
        </is>
      </c>
      <c r="J32" s="25" t="inlineStr">
        <is>
          <t>Compra</t>
        </is>
      </c>
      <c r="K32" s="12" t="inlineStr">
        <is>
          <t>C9 armado</t>
        </is>
      </c>
      <c r="L32" s="12" t="n"/>
      <c r="M32" s="25" t="inlineStr">
        <is>
          <t>P</t>
        </is>
      </c>
      <c r="N32" s="25" t="inlineStr">
        <is>
          <t>FL_DES_ABC_50kg</t>
        </is>
      </c>
      <c r="O32" s="12" t="inlineStr">
        <is>
          <t>con precinto</t>
        </is>
      </c>
    </row>
    <row r="33" outlineLevel="1">
      <c r="A33" s="25" t="n">
        <v>2</v>
      </c>
      <c r="B33" s="25" t="inlineStr">
        <is>
          <t>ABC50-20</t>
        </is>
      </c>
      <c r="C33" s="12" t="inlineStr">
        <is>
          <t xml:space="preserve">        Caño de pesca (sifón)</t>
        </is>
      </c>
      <c r="D33" s="25" t="n">
        <v>1</v>
      </c>
      <c r="E33" s="25" t="inlineStr">
        <is>
          <t>u</t>
        </is>
      </c>
      <c r="F33" s="26" t="n">
        <v>0.1736</v>
      </c>
      <c r="G33" s="26">
        <f>D33*F33</f>
        <v/>
      </c>
      <c r="H33" s="25" t="inlineStr">
        <is>
          <t>Tubo PVC rígido</t>
        </is>
      </c>
      <c r="I33" s="12" t="inlineStr">
        <is>
          <t>Ø24 × 734,3 de largo</t>
        </is>
      </c>
      <c r="J33" s="25" t="inlineStr">
        <is>
          <t>Compra</t>
        </is>
      </c>
      <c r="K33" s="12" t="inlineStr">
        <is>
          <t>C9 armado</t>
        </is>
      </c>
      <c r="L33" s="12" t="n"/>
      <c r="M33" s="25" t="inlineStr">
        <is>
          <t>P</t>
        </is>
      </c>
      <c r="N33" s="25" t="inlineStr">
        <is>
          <t>FL_DES_ABC_50kg</t>
        </is>
      </c>
      <c r="O33" s="12" t="n"/>
    </row>
    <row r="34" outlineLevel="1">
      <c r="A34" s="25" t="n">
        <v>2</v>
      </c>
      <c r="B34" s="25" t="inlineStr">
        <is>
          <t>ABC50-30</t>
        </is>
      </c>
      <c r="C34" s="12" t="inlineStr">
        <is>
          <t xml:space="preserve">        Junta tórica de asiento</t>
        </is>
      </c>
      <c r="D34" s="25" t="n">
        <v>1</v>
      </c>
      <c r="E34" s="25" t="inlineStr">
        <is>
          <t>u</t>
        </is>
      </c>
      <c r="F34" s="26" t="n">
        <v>0.0024</v>
      </c>
      <c r="G34" s="26">
        <f>D34*F34</f>
        <v/>
      </c>
      <c r="H34" s="25" t="inlineStr">
        <is>
          <t>NBR 70 Shore A</t>
        </is>
      </c>
      <c r="I34" s="12" t="inlineStr">
        <is>
          <t>Ø75,2 ext. × cordón 3</t>
        </is>
      </c>
      <c r="J34" s="25" t="inlineStr">
        <is>
          <t>Compra</t>
        </is>
      </c>
      <c r="K34" s="12" t="inlineStr">
        <is>
          <t>C9 armado</t>
        </is>
      </c>
      <c r="L34" s="12" t="n"/>
      <c r="M34" s="25" t="inlineStr">
        <is>
          <t>P</t>
        </is>
      </c>
      <c r="N34" s="25" t="inlineStr">
        <is>
          <t>FL_DES_ABC_50kg</t>
        </is>
      </c>
      <c r="O34" s="12" t="inlineStr">
        <is>
          <t>cambio c/recarga</t>
        </is>
      </c>
    </row>
    <row r="35" outlineLevel="1">
      <c r="A35" s="25" t="n">
        <v>2</v>
      </c>
      <c r="B35" s="25" t="inlineStr">
        <is>
          <t>ABC50-V2</t>
        </is>
      </c>
      <c r="C35" s="12" t="inlineStr">
        <is>
          <t xml:space="preserve">        Resorte de retorno del vástago</t>
        </is>
      </c>
      <c r="D35" s="25" t="n">
        <v>1</v>
      </c>
      <c r="E35" s="25" t="inlineStr">
        <is>
          <t>u</t>
        </is>
      </c>
      <c r="F35" s="26" t="n">
        <v>0.003</v>
      </c>
      <c r="G35" s="26">
        <f>D35*F35</f>
        <v/>
      </c>
      <c r="H35" s="25" t="inlineStr">
        <is>
          <t>Alambre acero inox. AISI 302</t>
        </is>
      </c>
      <c r="I35" s="12" t="inlineStr">
        <is>
          <t>según válvula</t>
        </is>
      </c>
      <c r="J35" s="25" t="inlineStr">
        <is>
          <t>Compra</t>
        </is>
      </c>
      <c r="K35" s="12" t="inlineStr">
        <is>
          <t>19 Ensamblaje</t>
        </is>
      </c>
      <c r="L35" s="12" t="n"/>
      <c r="M35" s="25" t="inlineStr">
        <is>
          <t>R</t>
        </is>
      </c>
      <c r="N35" s="25" t="n"/>
      <c r="O35" s="12" t="n"/>
    </row>
    <row r="36" outlineLevel="1">
      <c r="A36" s="25" t="n">
        <v>2</v>
      </c>
      <c r="B36" s="25" t="inlineStr">
        <is>
          <t>ABC50-V3</t>
        </is>
      </c>
      <c r="C36" s="12" t="inlineStr">
        <is>
          <t xml:space="preserve">        Junta tórica del vástago</t>
        </is>
      </c>
      <c r="D36" s="25" t="n">
        <v>1</v>
      </c>
      <c r="E36" s="25" t="inlineStr">
        <is>
          <t>u</t>
        </is>
      </c>
      <c r="F36" s="26" t="n">
        <v>0.001</v>
      </c>
      <c r="G36" s="26">
        <f>D36*F36</f>
        <v/>
      </c>
      <c r="H36" s="25" t="inlineStr">
        <is>
          <t>NBR 70 Shore A</t>
        </is>
      </c>
      <c r="I36" s="12" t="inlineStr">
        <is>
          <t>según válvula</t>
        </is>
      </c>
      <c r="J36" s="25" t="inlineStr">
        <is>
          <t>Compra</t>
        </is>
      </c>
      <c r="K36" s="12" t="inlineStr">
        <is>
          <t>19 Ensamblaje</t>
        </is>
      </c>
      <c r="L36" s="12" t="n"/>
      <c r="M36" s="25" t="inlineStr">
        <is>
          <t>P</t>
        </is>
      </c>
      <c r="N36" s="25" t="n"/>
      <c r="O36" s="12" t="inlineStr">
        <is>
          <t>Figura en el plano como «vástago con junta tórica»</t>
        </is>
      </c>
    </row>
    <row r="37">
      <c r="A37" s="22" t="n">
        <v>1</v>
      </c>
      <c r="B37" s="22" t="inlineStr">
        <is>
          <t>ABC50-S3</t>
        </is>
      </c>
      <c r="C37" s="23" t="inlineStr">
        <is>
          <t xml:space="preserve">    Dispositivo de descarga</t>
        </is>
      </c>
      <c r="D37" s="22" t="n">
        <v>1</v>
      </c>
      <c r="E37" s="22" t="inlineStr">
        <is>
          <t>u</t>
        </is>
      </c>
      <c r="F37" s="24" t="n"/>
      <c r="G37" s="24">
        <f>G38+G39+G40+G41+G42+G43</f>
        <v/>
      </c>
      <c r="H37" s="22" t="n"/>
      <c r="I37" s="23" t="n"/>
      <c r="J37" s="22" t="inlineStr">
        <is>
          <t>Compra / armado</t>
        </is>
      </c>
      <c r="K37" s="23" t="n"/>
      <c r="L37" s="23" t="n"/>
      <c r="M37" s="22" t="inlineStr">
        <is>
          <t>P</t>
        </is>
      </c>
      <c r="N37" s="22" t="inlineStr">
        <is>
          <t>FL_DES_ABC_50kg</t>
        </is>
      </c>
      <c r="O37" s="23" t="n"/>
    </row>
    <row r="38" outlineLevel="1">
      <c r="A38" s="25" t="n">
        <v>2</v>
      </c>
      <c r="B38" s="25" t="inlineStr">
        <is>
          <t>ABC50-21</t>
        </is>
      </c>
      <c r="C38" s="12" t="inlineStr">
        <is>
          <t xml:space="preserve">        Manguera (tramo enrollado)</t>
        </is>
      </c>
      <c r="D38" s="25" t="n">
        <v>1</v>
      </c>
      <c r="E38" s="25" t="inlineStr">
        <is>
          <t>u</t>
        </is>
      </c>
      <c r="F38" s="26" t="n">
        <v>0.4763</v>
      </c>
      <c r="G38" s="26">
        <f>D38*F38</f>
        <v/>
      </c>
      <c r="H38" s="25" t="inlineStr">
        <is>
          <t>Caucho sintético</t>
        </is>
      </c>
      <c r="I38" s="12" t="inlineStr">
        <is>
          <t>Ø25 × 1.263 de largo desarrollado</t>
        </is>
      </c>
      <c r="J38" s="25" t="inlineStr">
        <is>
          <t>Compra</t>
        </is>
      </c>
      <c r="K38" s="12" t="inlineStr">
        <is>
          <t>C9 armado de ruedas y manguera</t>
        </is>
      </c>
      <c r="L38" s="12" t="n"/>
      <c r="M38" s="25" t="inlineStr">
        <is>
          <t>P</t>
        </is>
      </c>
      <c r="N38" s="25" t="inlineStr">
        <is>
          <t>FL_DES_ABC_50kg</t>
        </is>
      </c>
      <c r="O38" s="12" t="n"/>
    </row>
    <row r="39" outlineLevel="1">
      <c r="A39" s="25" t="n">
        <v>2</v>
      </c>
      <c r="B39" s="25" t="inlineStr">
        <is>
          <t>ABC50-22</t>
        </is>
      </c>
      <c r="C39" s="12" t="inlineStr">
        <is>
          <t xml:space="preserve">        Soporte de manguera</t>
        </is>
      </c>
      <c r="D39" s="25" t="n">
        <v>1</v>
      </c>
      <c r="E39" s="25" t="inlineStr">
        <is>
          <t>u</t>
        </is>
      </c>
      <c r="F39" s="26" t="n">
        <v>1.6857</v>
      </c>
      <c r="G39" s="26">
        <f>D39*F39</f>
        <v/>
      </c>
      <c r="H39" s="25" t="inlineStr">
        <is>
          <t>Planchuela acero SAE 1010</t>
        </is>
      </c>
      <c r="I39" s="12" t="inlineStr">
        <is>
          <t>490,8 × 217 × 40,5</t>
        </is>
      </c>
      <c r="J39" s="25" t="inlineStr">
        <is>
          <t>Compra (estructura)</t>
        </is>
      </c>
      <c r="K39" s="12" t="inlineStr">
        <is>
          <t>C9 armado de ruedas y manguera</t>
        </is>
      </c>
      <c r="L39" s="12" t="n"/>
      <c r="M39" s="25" t="inlineStr">
        <is>
          <t>P</t>
        </is>
      </c>
      <c r="N39" s="25" t="inlineStr">
        <is>
          <t>FL_DES_ABC_50kg</t>
        </is>
      </c>
      <c r="O39" s="12" t="n"/>
    </row>
    <row r="40" outlineLevel="1">
      <c r="A40" s="25" t="n">
        <v>2</v>
      </c>
      <c r="B40" s="25" t="inlineStr">
        <is>
          <t>ABC50-23</t>
        </is>
      </c>
      <c r="C40" s="12" t="inlineStr">
        <is>
          <t xml:space="preserve">        Racor de manguera</t>
        </is>
      </c>
      <c r="D40" s="25" t="n">
        <v>1</v>
      </c>
      <c r="E40" s="25" t="inlineStr">
        <is>
          <t>u</t>
        </is>
      </c>
      <c r="F40" s="26" t="n">
        <v>0.0612</v>
      </c>
      <c r="G40" s="26">
        <f>D40*F40</f>
        <v/>
      </c>
      <c r="H40" s="25" t="inlineStr">
        <is>
          <t>Latón</t>
        </is>
      </c>
      <c r="I40" s="12" t="inlineStr">
        <is>
          <t>24 × 24 × 16</t>
        </is>
      </c>
      <c r="J40" s="25" t="inlineStr">
        <is>
          <t>Compra</t>
        </is>
      </c>
      <c r="K40" s="12" t="inlineStr">
        <is>
          <t>C9 armado de ruedas y manguera</t>
        </is>
      </c>
      <c r="L40" s="12" t="n"/>
      <c r="M40" s="25" t="inlineStr">
        <is>
          <t>P</t>
        </is>
      </c>
      <c r="N40" s="25" t="inlineStr">
        <is>
          <t>FL_DES_ABC_50kg</t>
        </is>
      </c>
      <c r="O40" s="12" t="n"/>
    </row>
    <row r="41" outlineLevel="1">
      <c r="A41" s="25" t="n">
        <v>2</v>
      </c>
      <c r="B41" s="25" t="inlineStr">
        <is>
          <t>ABC50-24</t>
        </is>
      </c>
      <c r="C41" s="12" t="inlineStr">
        <is>
          <t xml:space="preserve">        Manguera</t>
        </is>
      </c>
      <c r="D41" s="25" t="n">
        <v>1</v>
      </c>
      <c r="E41" s="25" t="inlineStr">
        <is>
          <t>u</t>
        </is>
      </c>
      <c r="F41" s="26" t="n">
        <v>0.1766</v>
      </c>
      <c r="G41" s="26">
        <f>D41*F41</f>
        <v/>
      </c>
      <c r="H41" s="25" t="inlineStr">
        <is>
          <t>Caucho sintético</t>
        </is>
      </c>
      <c r="I41" s="12" t="inlineStr">
        <is>
          <t>Ø16 × 1.144 de largo desarrollado</t>
        </is>
      </c>
      <c r="J41" s="25" t="inlineStr">
        <is>
          <t>Compra</t>
        </is>
      </c>
      <c r="K41" s="12" t="inlineStr">
        <is>
          <t>C9 armado de ruedas y manguera</t>
        </is>
      </c>
      <c r="L41" s="12" t="n"/>
      <c r="M41" s="25" t="inlineStr">
        <is>
          <t>P</t>
        </is>
      </c>
      <c r="N41" s="25" t="inlineStr">
        <is>
          <t>FL_DES_ABC_50kg</t>
        </is>
      </c>
      <c r="O41" s="12" t="n"/>
    </row>
    <row r="42" outlineLevel="1">
      <c r="A42" s="25" t="n">
        <v>2</v>
      </c>
      <c r="B42" s="25" t="inlineStr">
        <is>
          <t>ABC50-25</t>
        </is>
      </c>
      <c r="C42" s="12" t="inlineStr">
        <is>
          <t xml:space="preserve">        Válvula esférica</t>
        </is>
      </c>
      <c r="D42" s="25" t="n">
        <v>1</v>
      </c>
      <c r="E42" s="25" t="inlineStr">
        <is>
          <t>u</t>
        </is>
      </c>
      <c r="F42" s="26" t="n">
        <v>0.4225</v>
      </c>
      <c r="G42" s="26">
        <f>D42*F42</f>
        <v/>
      </c>
      <c r="H42" s="25" t="inlineStr">
        <is>
          <t>Latón cromado</t>
        </is>
      </c>
      <c r="I42" s="12" t="inlineStr">
        <is>
          <t>130 × 60 × 40</t>
        </is>
      </c>
      <c r="J42" s="25" t="inlineStr">
        <is>
          <t>Compra</t>
        </is>
      </c>
      <c r="K42" s="12" t="inlineStr">
        <is>
          <t>C9 armado de ruedas y manguera</t>
        </is>
      </c>
      <c r="L42" s="12" t="n"/>
      <c r="M42" s="25" t="inlineStr">
        <is>
          <t>P</t>
        </is>
      </c>
      <c r="N42" s="25" t="inlineStr">
        <is>
          <t>FL_DES_ABC_50kg</t>
        </is>
      </c>
      <c r="O42" s="12" t="n"/>
    </row>
    <row r="43" outlineLevel="1">
      <c r="A43" s="25" t="n">
        <v>2</v>
      </c>
      <c r="B43" s="25" t="inlineStr">
        <is>
          <t>ABC50-26</t>
        </is>
      </c>
      <c r="C43" s="12" t="inlineStr">
        <is>
          <t xml:space="preserve">        Tobera campana</t>
        </is>
      </c>
      <c r="D43" s="25" t="n">
        <v>1</v>
      </c>
      <c r="E43" s="25" t="inlineStr">
        <is>
          <t>u</t>
        </is>
      </c>
      <c r="F43" s="26" t="n">
        <v>0.07969999999999999</v>
      </c>
      <c r="G43" s="26">
        <f>D43*F43</f>
        <v/>
      </c>
      <c r="H43" s="25" t="inlineStr">
        <is>
          <t>Polipropileno</t>
        </is>
      </c>
      <c r="I43" s="12" t="inlineStr">
        <is>
          <t>200 × 68 × 68</t>
        </is>
      </c>
      <c r="J43" s="25" t="inlineStr">
        <is>
          <t>Compra</t>
        </is>
      </c>
      <c r="K43" s="12" t="inlineStr">
        <is>
          <t>C9 armado de ruedas y manguera</t>
        </is>
      </c>
      <c r="L43" s="12" t="n"/>
      <c r="M43" s="25" t="inlineStr">
        <is>
          <t>P</t>
        </is>
      </c>
      <c r="N43" s="25" t="inlineStr">
        <is>
          <t>FL_DES_ABC_50kg</t>
        </is>
      </c>
      <c r="O43" s="12" t="n"/>
    </row>
    <row r="44">
      <c r="A44" s="22" t="n">
        <v>1</v>
      </c>
      <c r="B44" s="22" t="inlineStr">
        <is>
          <t>ABC50-S4</t>
        </is>
      </c>
      <c r="C44" s="23" t="inlineStr">
        <is>
          <t xml:space="preserve">    Carro (bastidor y ruedas)</t>
        </is>
      </c>
      <c r="D44" s="22" t="n">
        <v>1</v>
      </c>
      <c r="E44" s="22" t="inlineStr">
        <is>
          <t>u</t>
        </is>
      </c>
      <c r="F44" s="24" t="n"/>
      <c r="G44" s="24">
        <f>G45+G46+G47+G48+G49+G50</f>
        <v/>
      </c>
      <c r="H44" s="22" t="n"/>
      <c r="I44" s="23" t="n"/>
      <c r="J44" s="22" t="inlineStr">
        <is>
          <t>Compra / armado</t>
        </is>
      </c>
      <c r="K44" s="23" t="n"/>
      <c r="L44" s="23" t="n"/>
      <c r="M44" s="22" t="inlineStr">
        <is>
          <t>P</t>
        </is>
      </c>
      <c r="N44" s="22" t="inlineStr">
        <is>
          <t>FL_DES_ABC_50kg</t>
        </is>
      </c>
      <c r="O44" s="23" t="n"/>
    </row>
    <row r="45" outlineLevel="1">
      <c r="A45" s="25" t="n">
        <v>2</v>
      </c>
      <c r="B45" s="25" t="inlineStr">
        <is>
          <t>ABC50-05</t>
        </is>
      </c>
      <c r="C45" s="12" t="inlineStr">
        <is>
          <t xml:space="preserve">        Neumático macizo</t>
        </is>
      </c>
      <c r="D45" s="25" t="n">
        <v>2</v>
      </c>
      <c r="E45" s="25" t="inlineStr">
        <is>
          <t>u</t>
        </is>
      </c>
      <c r="F45" s="26" t="n">
        <v>3.8922</v>
      </c>
      <c r="G45" s="26">
        <f>D45*F45</f>
        <v/>
      </c>
      <c r="H45" s="25" t="inlineStr">
        <is>
          <t>Caucho</t>
        </is>
      </c>
      <c r="I45" s="12" t="inlineStr">
        <is>
          <t>Ø350 × 70 de ancho</t>
        </is>
      </c>
      <c r="J45" s="25" t="inlineStr">
        <is>
          <t>Compra</t>
        </is>
      </c>
      <c r="K45" s="12" t="inlineStr">
        <is>
          <t>C9 armado de ruedas y manguera (S-TC)</t>
        </is>
      </c>
      <c r="L45" s="12" t="n"/>
      <c r="M45" s="25" t="inlineStr">
        <is>
          <t>P</t>
        </is>
      </c>
      <c r="N45" s="25" t="inlineStr">
        <is>
          <t>FL_DES_ABC_50kg</t>
        </is>
      </c>
      <c r="O45" s="12" t="n"/>
    </row>
    <row r="46" outlineLevel="1">
      <c r="A46" s="25" t="n">
        <v>2</v>
      </c>
      <c r="B46" s="25" t="inlineStr">
        <is>
          <t>ABC50-06</t>
        </is>
      </c>
      <c r="C46" s="12" t="inlineStr">
        <is>
          <t xml:space="preserve">        Llanta con cubo</t>
        </is>
      </c>
      <c r="D46" s="25" t="n">
        <v>2</v>
      </c>
      <c r="E46" s="25" t="inlineStr">
        <is>
          <t>u</t>
        </is>
      </c>
      <c r="F46" s="26" t="n">
        <v>4.0415</v>
      </c>
      <c r="G46" s="26">
        <f>D46*F46</f>
        <v/>
      </c>
      <c r="H46" s="25" t="inlineStr">
        <is>
          <t>Chapa acero SAE 1010</t>
        </is>
      </c>
      <c r="I46" s="12" t="inlineStr">
        <is>
          <t>Ø252 × 80 de ancho</t>
        </is>
      </c>
      <c r="J46" s="25" t="inlineStr">
        <is>
          <t>Compra</t>
        </is>
      </c>
      <c r="K46" s="12" t="inlineStr">
        <is>
          <t>C9 armado de ruedas y manguera (S-TC)</t>
        </is>
      </c>
      <c r="L46" s="12" t="n"/>
      <c r="M46" s="25" t="inlineStr">
        <is>
          <t>P</t>
        </is>
      </c>
      <c r="N46" s="25" t="inlineStr">
        <is>
          <t>FL_DES_ABC_50kg</t>
        </is>
      </c>
      <c r="O46" s="12" t="n"/>
    </row>
    <row r="47" outlineLevel="1">
      <c r="A47" s="25" t="n">
        <v>2</v>
      </c>
      <c r="B47" s="25" t="inlineStr">
        <is>
          <t>ABC50-07</t>
        </is>
      </c>
      <c r="C47" s="12" t="inlineStr">
        <is>
          <t xml:space="preserve">        Eje de ruedas</t>
        </is>
      </c>
      <c r="D47" s="25" t="n">
        <v>1</v>
      </c>
      <c r="E47" s="25" t="inlineStr">
        <is>
          <t>u</t>
        </is>
      </c>
      <c r="F47" s="26" t="n">
        <v>1.3333</v>
      </c>
      <c r="G47" s="26">
        <f>D47*F47</f>
        <v/>
      </c>
      <c r="H47" s="25" t="inlineStr">
        <is>
          <t>Acero SAE 1045</t>
        </is>
      </c>
      <c r="I47" s="12" t="inlineStr">
        <is>
          <t>Ø25 × 346 de largo</t>
        </is>
      </c>
      <c r="J47" s="25" t="inlineStr">
        <is>
          <t>Compra</t>
        </is>
      </c>
      <c r="K47" s="12" t="inlineStr">
        <is>
          <t>C9 armado de ruedas y manguera (S-TC)</t>
        </is>
      </c>
      <c r="L47" s="12" t="n"/>
      <c r="M47" s="25" t="inlineStr">
        <is>
          <t>P</t>
        </is>
      </c>
      <c r="N47" s="25" t="inlineStr">
        <is>
          <t>FL_DES_ABC_50kg</t>
        </is>
      </c>
      <c r="O47" s="12" t="n"/>
    </row>
    <row r="48" outlineLevel="1">
      <c r="A48" s="25" t="n">
        <v>2</v>
      </c>
      <c r="B48" s="25" t="inlineStr">
        <is>
          <t>ABC50-08</t>
        </is>
      </c>
      <c r="C48" s="12" t="inlineStr">
        <is>
          <t xml:space="preserve">        Bastidor</t>
        </is>
      </c>
      <c r="D48" s="25" t="n">
        <v>1</v>
      </c>
      <c r="E48" s="25" t="inlineStr">
        <is>
          <t>u</t>
        </is>
      </c>
      <c r="F48" s="26" t="n">
        <v>2.0504</v>
      </c>
      <c r="G48" s="26">
        <f>D48*F48</f>
        <v/>
      </c>
      <c r="H48" s="25" t="inlineStr">
        <is>
          <t>Caño acero SAE 1010 Ø25,4×1,6</t>
        </is>
      </c>
      <c r="I48" s="12" t="inlineStr">
        <is>
          <t>caño Ø25,4 × 1,6 × 2.148 de largo desarrollado</t>
        </is>
      </c>
      <c r="J48" s="25" t="inlineStr">
        <is>
          <t>Compra (estructura)</t>
        </is>
      </c>
      <c r="K48" s="12" t="inlineStr">
        <is>
          <t>C9 armado de ruedas y manguera (S-TC)</t>
        </is>
      </c>
      <c r="L48" s="12" t="n"/>
      <c r="M48" s="25" t="inlineStr">
        <is>
          <t>P</t>
        </is>
      </c>
      <c r="N48" s="25" t="inlineStr">
        <is>
          <t>FL_DES_ABC_50kg</t>
        </is>
      </c>
      <c r="O48" s="12" t="n"/>
    </row>
    <row r="49" outlineLevel="1">
      <c r="A49" s="25" t="n">
        <v>2</v>
      </c>
      <c r="B49" s="25" t="inlineStr">
        <is>
          <t>ABC50-09</t>
        </is>
      </c>
      <c r="C49" s="12" t="inlineStr">
        <is>
          <t xml:space="preserve">        Sunchos de fijación</t>
        </is>
      </c>
      <c r="D49" s="25" t="n">
        <v>1</v>
      </c>
      <c r="E49" s="25" t="inlineStr">
        <is>
          <t>u</t>
        </is>
      </c>
      <c r="F49" s="26" t="n">
        <v>5.4228</v>
      </c>
      <c r="G49" s="26">
        <f>D49*F49</f>
        <v/>
      </c>
      <c r="H49" s="25" t="inlineStr">
        <is>
          <t>Planchuela acero SAE 1010</t>
        </is>
      </c>
      <c r="I49" s="12" t="inlineStr">
        <is>
          <t>459 × 424 × 332</t>
        </is>
      </c>
      <c r="J49" s="25" t="inlineStr">
        <is>
          <t>Compra (estructura)</t>
        </is>
      </c>
      <c r="K49" s="12" t="inlineStr">
        <is>
          <t>C9 armado de ruedas y manguera (S-TC)</t>
        </is>
      </c>
      <c r="L49" s="12" t="n"/>
      <c r="M49" s="25" t="inlineStr">
        <is>
          <t>P</t>
        </is>
      </c>
      <c r="N49" s="25" t="inlineStr">
        <is>
          <t>FL_DES_ABC_50kg</t>
        </is>
      </c>
      <c r="O49" s="12" t="n"/>
    </row>
    <row r="50" outlineLevel="1">
      <c r="A50" s="25" t="n">
        <v>2</v>
      </c>
      <c r="B50" s="25" t="inlineStr">
        <is>
          <t>ABC50-10</t>
        </is>
      </c>
      <c r="C50" s="12" t="inlineStr">
        <is>
          <t xml:space="preserve">        Apoyo delantero</t>
        </is>
      </c>
      <c r="D50" s="25" t="n">
        <v>1</v>
      </c>
      <c r="E50" s="25" t="inlineStr">
        <is>
          <t>u</t>
        </is>
      </c>
      <c r="F50" s="26" t="n">
        <v>0.3022</v>
      </c>
      <c r="G50" s="26">
        <f>D50*F50</f>
        <v/>
      </c>
      <c r="H50" s="25" t="inlineStr">
        <is>
          <t>Chapa acero SAE 1010 plegada</t>
        </is>
      </c>
      <c r="I50" s="12" t="inlineStr">
        <is>
          <t>70 × 55 × 50</t>
        </is>
      </c>
      <c r="J50" s="25" t="inlineStr">
        <is>
          <t>Compra (estructura)</t>
        </is>
      </c>
      <c r="K50" s="12" t="inlineStr">
        <is>
          <t>C9 armado de ruedas y manguera (S-TC)</t>
        </is>
      </c>
      <c r="L50" s="12" t="n"/>
      <c r="M50" s="25" t="inlineStr">
        <is>
          <t>P</t>
        </is>
      </c>
      <c r="N50" s="25" t="inlineStr">
        <is>
          <t>FL_DES_ABC_50kg</t>
        </is>
      </c>
      <c r="O50" s="12" t="n"/>
    </row>
    <row r="51">
      <c r="A51" s="22" t="n">
        <v>1</v>
      </c>
      <c r="B51" s="22" t="inlineStr">
        <is>
          <t>ABC50-S5</t>
        </is>
      </c>
      <c r="C51" s="23" t="inlineStr">
        <is>
          <t xml:space="preserve">    Carga: agente extintor y gas impulsor</t>
        </is>
      </c>
      <c r="D51" s="22" t="n">
        <v>1</v>
      </c>
      <c r="E51" s="22" t="inlineStr">
        <is>
          <t>u</t>
        </is>
      </c>
      <c r="F51" s="24" t="n"/>
      <c r="G51" s="24">
        <f>G52+G53</f>
        <v/>
      </c>
      <c r="H51" s="22" t="n"/>
      <c r="I51" s="23" t="n"/>
      <c r="J51" s="22" t="inlineStr">
        <is>
          <t>Carga en planta</t>
        </is>
      </c>
      <c r="K51" s="23" t="inlineStr">
        <is>
          <t>18 Carga de polvo (T01) / C8 (T02)</t>
        </is>
      </c>
      <c r="L51" s="23" t="n"/>
      <c r="M51" s="22" t="n"/>
      <c r="N51" s="22" t="n"/>
      <c r="O51" s="23" t="n"/>
    </row>
    <row r="52" outlineLevel="1">
      <c r="A52" s="25" t="n">
        <v>2</v>
      </c>
      <c r="B52" s="25" t="inlineStr">
        <is>
          <t>ABC50-A1</t>
        </is>
      </c>
      <c r="C52" s="12" t="inlineStr">
        <is>
          <t xml:space="preserve">        Polvo químico seco ABC 90 (Sello IRAM 3569, DEMSA)</t>
        </is>
      </c>
      <c r="D52" s="25" t="n">
        <v>50</v>
      </c>
      <c r="E52" s="25" t="inlineStr">
        <is>
          <t>kg</t>
        </is>
      </c>
      <c r="F52" s="26" t="n">
        <v>1</v>
      </c>
      <c r="G52" s="26">
        <f>D52*F52</f>
        <v/>
      </c>
      <c r="H52" s="25" t="inlineStr">
        <is>
          <t>Polvo químico seco ABC 90 (Sello IRAM 3569, DEMSA)</t>
        </is>
      </c>
      <c r="I52" s="12" t="inlineStr">
        <is>
          <t>nominal 50 kg; tolerancia ± 3 % (IRAM 3517-2:2020 tabla 3)</t>
        </is>
      </c>
      <c r="J52" s="25" t="inlineStr">
        <is>
          <t>Compra</t>
        </is>
      </c>
      <c r="K52" s="12" t="inlineStr">
        <is>
          <t>SP-1 almacén previo a la carga</t>
        </is>
      </c>
      <c r="L52" s="12" t="inlineStr">
        <is>
          <t>IRAM 3569</t>
        </is>
      </c>
      <c r="M52" s="25" t="inlineStr">
        <is>
          <t>N</t>
        </is>
      </c>
      <c r="N52" s="25" t="n"/>
      <c r="O52" s="12" t="inlineStr">
        <is>
          <t>MAP 90 % (banda 85,5-94,5 %) = 45 kg MAP + 3,5 kg sulfato de amonio + 1,5 kg aditivos · potencial - · Lote único por extintor; prohibido mezclar ABC con BC (3517-2 9.9.1.6)</t>
        </is>
      </c>
    </row>
    <row r="53" outlineLevel="1">
      <c r="A53" s="25" t="n">
        <v>2</v>
      </c>
      <c r="B53" s="25" t="inlineStr">
        <is>
          <t>ABC50-A2</t>
        </is>
      </c>
      <c r="C53" s="12" t="inlineStr">
        <is>
          <t xml:space="preserve">        Gas impulsor: N₂</t>
        </is>
      </c>
      <c r="D53" s="25" t="n">
        <v>0.1077</v>
      </c>
      <c r="E53" s="25" t="inlineStr">
        <is>
          <t>kg</t>
        </is>
      </c>
      <c r="F53" s="26" t="n">
        <v>1</v>
      </c>
      <c r="G53" s="26">
        <f>D53*F53</f>
        <v/>
      </c>
      <c r="H53" s="25" t="inlineStr">
        <is>
          <t>N₂</t>
        </is>
      </c>
      <c r="I53" s="12" t="inlineStr">
        <is>
          <t>86,2 L normales para 1,4 MPa a 20 °C en 6,24 dm³ libres</t>
        </is>
      </c>
      <c r="J53" s="25" t="inlineStr">
        <is>
          <t>Compra</t>
        </is>
      </c>
      <c r="K53" s="12" t="inlineStr">
        <is>
          <t>20 Presurización (T05) / C10</t>
        </is>
      </c>
      <c r="L53" s="12" t="inlineStr">
        <is>
          <t>IRAM 3517-2 9.4.9 (tabla 2) · IRAM 3523 2.3 y 3.10</t>
        </is>
      </c>
      <c r="M53" s="25" t="inlineStr">
        <is>
          <t>C</t>
        </is>
      </c>
      <c r="N53" s="25" t="n"/>
      <c r="O53" s="12" t="inlineStr">
        <is>
          <t>Batería en SP-1; punto de rocío ≤ -56,7 °C para gases limpios</t>
        </is>
      </c>
    </row>
    <row r="54">
      <c r="A54" s="22" t="n">
        <v>1</v>
      </c>
      <c r="B54" s="22" t="inlineStr">
        <is>
          <t>ABC50-S6</t>
        </is>
      </c>
      <c r="C54" s="23" t="inlineStr">
        <is>
          <t xml:space="preserve">    Identificación y precinto</t>
        </is>
      </c>
      <c r="D54" s="22" t="n">
        <v>1</v>
      </c>
      <c r="E54" s="22" t="inlineStr">
        <is>
          <t>u</t>
        </is>
      </c>
      <c r="F54" s="24" t="n"/>
      <c r="G54" s="24">
        <f>G55+G56+G57+G58+G59</f>
        <v/>
      </c>
      <c r="H54" s="22" t="n"/>
      <c r="I54" s="23" t="n"/>
      <c r="J54" s="22" t="inlineStr">
        <is>
          <t>Compra</t>
        </is>
      </c>
      <c r="K54" s="23" t="inlineStr">
        <is>
          <t>22 Etiquetado (T07)</t>
        </is>
      </c>
      <c r="L54" s="23" t="n"/>
      <c r="M54" s="22" t="n"/>
      <c r="N54" s="22" t="n"/>
      <c r="O54" s="23" t="n"/>
    </row>
    <row r="55" outlineLevel="1">
      <c r="A55" s="25" t="n">
        <v>2</v>
      </c>
      <c r="B55" s="25" t="inlineStr">
        <is>
          <t>ABC50-27</t>
        </is>
      </c>
      <c r="C55" s="12" t="inlineStr">
        <is>
          <t xml:space="preserve">        Placa de características</t>
        </is>
      </c>
      <c r="D55" s="25" t="n">
        <v>1</v>
      </c>
      <c r="E55" s="25" t="inlineStr">
        <is>
          <t>u</t>
        </is>
      </c>
      <c r="F55" s="26" t="n">
        <v>0.0204</v>
      </c>
      <c r="G55" s="26">
        <f>D55*F55</f>
        <v/>
      </c>
      <c r="H55" s="25" t="inlineStr">
        <is>
          <t>Vinilo autoadhesivo laminado</t>
        </is>
      </c>
      <c r="I55" s="12" t="inlineStr">
        <is>
          <t>302 × 161 (desarrollo × alto), e ≈ 0,3</t>
        </is>
      </c>
      <c r="J55" s="25" t="inlineStr">
        <is>
          <t>Compra</t>
        </is>
      </c>
      <c r="K55" s="12" t="inlineStr">
        <is>
          <t>22 Etiquetado (T07)</t>
        </is>
      </c>
      <c r="L55" s="12" t="inlineStr">
        <is>
          <t>IRAM 3534 · IRAM 3550 cap. 5</t>
        </is>
      </c>
      <c r="M55" s="25" t="inlineStr">
        <is>
          <t>P</t>
        </is>
      </c>
      <c r="N55" s="25" t="inlineStr">
        <is>
          <t>FL_DES_ABC_50kg</t>
        </is>
      </c>
      <c r="O55" s="12" t="inlineStr">
        <is>
          <t>IRAM 3534</t>
        </is>
      </c>
    </row>
    <row r="56" outlineLevel="1">
      <c r="A56" s="25" t="n">
        <v>2</v>
      </c>
      <c r="B56" s="25" t="inlineStr">
        <is>
          <t>ABC50-28</t>
        </is>
      </c>
      <c r="C56" s="12" t="inlineStr">
        <is>
          <t xml:space="preserve">        Oblea de fabricación (PBA)</t>
        </is>
      </c>
      <c r="D56" s="25" t="n">
        <v>1</v>
      </c>
      <c r="E56" s="25" t="inlineStr">
        <is>
          <t>u</t>
        </is>
      </c>
      <c r="F56" s="26" t="n">
        <v>0.0009</v>
      </c>
      <c r="G56" s="26">
        <f>D56*F56</f>
        <v/>
      </c>
      <c r="H56" s="25" t="inlineStr">
        <is>
          <t>Papel de seguridad autodestructible</t>
        </is>
      </c>
      <c r="I56" s="12" t="inlineStr">
        <is>
          <t>Ø46 (Res. OPDS 522/07), numerada, autodestructible</t>
        </is>
      </c>
      <c r="J56" s="25" t="inlineStr">
        <is>
          <t>Compra</t>
        </is>
      </c>
      <c r="K56" s="12" t="inlineStr">
        <is>
          <t>22 Etiquetado (T07)</t>
        </is>
      </c>
      <c r="L56" s="12" t="inlineStr">
        <is>
          <t>Res. OPDS 522/07 anexos 1, 2 y 6</t>
        </is>
      </c>
      <c r="M56" s="25" t="inlineStr">
        <is>
          <t>P</t>
        </is>
      </c>
      <c r="N56" s="25" t="inlineStr">
        <is>
          <t>FL_DES_ABC_50kg</t>
        </is>
      </c>
      <c r="O56" s="12" t="inlineStr">
        <is>
          <t>Res. 522/07</t>
        </is>
      </c>
    </row>
    <row r="57" outlineLevel="1">
      <c r="A57" s="25" t="n">
        <v>2</v>
      </c>
      <c r="B57" s="25" t="inlineStr">
        <is>
          <t>ABC50-29</t>
        </is>
      </c>
      <c r="C57" s="12" t="inlineStr">
        <is>
          <t xml:space="preserve">        Estampilla IRAM de conformidad</t>
        </is>
      </c>
      <c r="D57" s="25" t="n">
        <v>1</v>
      </c>
      <c r="E57" s="25" t="inlineStr">
        <is>
          <t>u</t>
        </is>
      </c>
      <c r="F57" s="26" t="n">
        <v>0.001</v>
      </c>
      <c r="G57" s="26">
        <f>D57*F57</f>
        <v/>
      </c>
      <c r="H57" s="25" t="inlineStr">
        <is>
          <t>Provista por IRAM (Anexo R)</t>
        </is>
      </c>
      <c r="I57" s="12" t="inlineStr">
        <is>
          <t>60 × 40</t>
        </is>
      </c>
      <c r="J57" s="25" t="inlineStr">
        <is>
          <t>Compra</t>
        </is>
      </c>
      <c r="K57" s="12" t="inlineStr">
        <is>
          <t>22 Etiquetado (T07)</t>
        </is>
      </c>
      <c r="L57" s="12" t="inlineStr">
        <is>
          <t>IRAM Anexo R (DC-PG-129)</t>
        </is>
      </c>
      <c r="M57" s="25" t="inlineStr">
        <is>
          <t>P</t>
        </is>
      </c>
      <c r="N57" s="25" t="inlineStr">
        <is>
          <t>FL_DES_ABC_50kg</t>
        </is>
      </c>
      <c r="O57" s="12" t="inlineStr">
        <is>
          <t>numerada</t>
        </is>
      </c>
    </row>
    <row r="58" outlineLevel="1">
      <c r="A58" s="25" t="n">
        <v>2</v>
      </c>
      <c r="B58" s="25" t="inlineStr">
        <is>
          <t>ABC50-31</t>
        </is>
      </c>
      <c r="C58" s="12" t="inlineStr">
        <is>
          <t xml:space="preserve">        Precinto de fábrica</t>
        </is>
      </c>
      <c r="D58" s="25" t="n">
        <v>1</v>
      </c>
      <c r="E58" s="25" t="inlineStr">
        <is>
          <t>u</t>
        </is>
      </c>
      <c r="F58" s="26" t="n">
        <v>0.0002</v>
      </c>
      <c r="G58" s="26">
        <f>D58*F58</f>
        <v/>
      </c>
      <c r="H58" s="25" t="inlineStr">
        <is>
          <t>Polipropileno</t>
        </is>
      </c>
      <c r="I58" s="12" t="inlineStr">
        <is>
          <t>Ø5 × 10, numerado, rotura 30-50 N</t>
        </is>
      </c>
      <c r="J58" s="25" t="inlineStr">
        <is>
          <t>Compra</t>
        </is>
      </c>
      <c r="K58" s="12" t="inlineStr">
        <is>
          <t>20 Presurización (T05)</t>
        </is>
      </c>
      <c r="L58" s="12" t="inlineStr">
        <is>
          <t>IRAM 3523 3.3.2 · IRAM 3517-2:2020 9.4.13</t>
        </is>
      </c>
      <c r="M58" s="25" t="inlineStr">
        <is>
          <t>P</t>
        </is>
      </c>
      <c r="N58" s="25" t="inlineStr">
        <is>
          <t>FL_DES_ABC_50kg</t>
        </is>
      </c>
      <c r="O58" s="12" t="inlineStr">
        <is>
          <t>id. FLAMA y lote</t>
        </is>
      </c>
    </row>
    <row r="59" outlineLevel="1">
      <c r="A59" s="25" t="n">
        <v>2</v>
      </c>
      <c r="B59" s="25" t="inlineStr">
        <is>
          <t>ABC50-I3</t>
        </is>
      </c>
      <c r="C59" s="12" t="inlineStr">
        <is>
          <t xml:space="preserve">        Tarjeta oficial de vigencia (CABA)</t>
        </is>
      </c>
      <c r="D59" s="25" t="n">
        <v>1</v>
      </c>
      <c r="E59" s="25" t="inlineStr">
        <is>
          <t>u</t>
        </is>
      </c>
      <c r="F59" s="26" t="n">
        <v>0.002</v>
      </c>
      <c r="G59" s="26">
        <f>D59*F59</f>
        <v/>
      </c>
      <c r="H59" s="25" t="inlineStr">
        <is>
          <t>Formulario oficial</t>
        </is>
      </c>
      <c r="I59" s="12" t="inlineStr">
        <is>
          <t>provista por DG Rentas GCBA</t>
        </is>
      </c>
      <c r="J59" s="25" t="inlineStr">
        <is>
          <t>Compra</t>
        </is>
      </c>
      <c r="K59" s="12" t="inlineStr">
        <is>
          <t>22 Etiquetado</t>
        </is>
      </c>
      <c r="L59" s="12" t="inlineStr">
        <is>
          <t>Ordenanza 40.473 art. 6</t>
        </is>
      </c>
      <c r="M59" s="25" t="inlineStr">
        <is>
          <t>N</t>
        </is>
      </c>
      <c r="N59" s="25" t="n"/>
      <c r="O59" s="12" t="inlineStr">
        <is>
          <t>Clase, capacidad, fecha de carga y vencimiento, garantía; se anexa al matafuego (no se dibuja)</t>
        </is>
      </c>
    </row>
    <row r="60">
      <c r="A60" s="22" t="n">
        <v>1</v>
      </c>
      <c r="B60" s="22" t="inlineStr">
        <is>
          <t>ABC50-S7</t>
        </is>
      </c>
      <c r="C60" s="23" t="inlineStr">
        <is>
          <t xml:space="preserve">    Embalaje</t>
        </is>
      </c>
      <c r="D60" s="22" t="n">
        <v>1</v>
      </c>
      <c r="E60" s="22" t="inlineStr">
        <is>
          <t>u</t>
        </is>
      </c>
      <c r="F60" s="24" t="n"/>
      <c r="G60" s="24">
        <f>G61+G62+G63+G64</f>
        <v/>
      </c>
      <c r="H60" s="22" t="n"/>
      <c r="I60" s="23" t="n"/>
      <c r="J60" s="22" t="inlineStr">
        <is>
          <t>Compra</t>
        </is>
      </c>
      <c r="K60" s="23" t="inlineStr">
        <is>
          <t>23 Embalaje -&gt; 24 envolvedora (T11)</t>
        </is>
      </c>
      <c r="L60" s="23" t="n"/>
      <c r="M60" s="22" t="n"/>
      <c r="N60" s="22" t="n"/>
      <c r="O60" s="23" t="n"/>
    </row>
    <row r="61" outlineLevel="1">
      <c r="A61" s="25" t="n">
        <v>2</v>
      </c>
      <c r="B61" s="25" t="inlineStr">
        <is>
          <t>ABC50-E1</t>
        </is>
      </c>
      <c r="C61" s="12" t="inlineStr">
        <is>
          <t xml:space="preserve">        Esquineros y funda de polietileno</t>
        </is>
      </c>
      <c r="D61" s="25" t="n">
        <v>1</v>
      </c>
      <c r="E61" s="25" t="inlineStr">
        <is>
          <t>jgo</t>
        </is>
      </c>
      <c r="F61" s="26" t="n">
        <v>0.3</v>
      </c>
      <c r="G61" s="26">
        <f>D61*F61</f>
        <v/>
      </c>
      <c r="H61" s="25" t="inlineStr">
        <is>
          <t>PE / cartón</t>
        </is>
      </c>
      <c r="I61" s="12" t="inlineStr">
        <is>
          <t>a medida</t>
        </is>
      </c>
      <c r="J61" s="25" t="inlineStr">
        <is>
          <t>Compra</t>
        </is>
      </c>
      <c r="K61" s="12" t="inlineStr">
        <is>
          <t>23 Embalaje</t>
        </is>
      </c>
      <c r="L61" s="12" t="n"/>
      <c r="M61" s="25" t="inlineStr">
        <is>
          <t>R</t>
        </is>
      </c>
      <c r="N61" s="25" t="n"/>
      <c r="O61" s="12" t="n"/>
    </row>
    <row r="62" outlineLevel="1">
      <c r="A62" s="25" t="n">
        <v>2</v>
      </c>
      <c r="B62" s="25" t="inlineStr">
        <is>
          <t>ABC50-E3</t>
        </is>
      </c>
      <c r="C62" s="12" t="inlineStr">
        <is>
          <t xml:space="preserve">        Pallet 1200 × 1000 (fracción)</t>
        </is>
      </c>
      <c r="D62" s="25" t="n">
        <v>0.5</v>
      </c>
      <c r="E62" s="25" t="inlineStr">
        <is>
          <t>u</t>
        </is>
      </c>
      <c r="F62" s="26" t="n">
        <v>11</v>
      </c>
      <c r="G62" s="26">
        <f>D62*F62</f>
        <v/>
      </c>
      <c r="H62" s="25" t="inlineStr">
        <is>
          <t>Madera</t>
        </is>
      </c>
      <c r="I62" s="12" t="inlineStr">
        <is>
          <t>2 u por pallet</t>
        </is>
      </c>
      <c r="J62" s="25" t="inlineStr">
        <is>
          <t>Compra</t>
        </is>
      </c>
      <c r="K62" s="12" t="inlineStr">
        <is>
          <t>23 Embalaje</t>
        </is>
      </c>
      <c r="L62" s="12" t="n"/>
      <c r="M62" s="25" t="inlineStr">
        <is>
          <t>R</t>
        </is>
      </c>
      <c r="N62" s="25" t="n"/>
      <c r="O62" s="12" t="n"/>
    </row>
    <row r="63" outlineLevel="1">
      <c r="A63" s="25" t="n">
        <v>2</v>
      </c>
      <c r="B63" s="25" t="inlineStr">
        <is>
          <t>ABC50-E4</t>
        </is>
      </c>
      <c r="C63" s="12" t="inlineStr">
        <is>
          <t xml:space="preserve">        Film stretch (fracción del pallet)</t>
        </is>
      </c>
      <c r="D63" s="25" t="n">
        <v>0.175</v>
      </c>
      <c r="E63" s="25" t="inlineStr">
        <is>
          <t>kg</t>
        </is>
      </c>
      <c r="F63" s="26" t="n">
        <v>1</v>
      </c>
      <c r="G63" s="26">
        <f>D63*F63</f>
        <v/>
      </c>
      <c r="H63" s="25" t="inlineStr">
        <is>
          <t>PE lineal 23 µm</t>
        </is>
      </c>
      <c r="I63" s="12" t="inlineStr">
        <is>
          <t>envolvedora EDOS PS5</t>
        </is>
      </c>
      <c r="J63" s="25" t="inlineStr">
        <is>
          <t>Compra</t>
        </is>
      </c>
      <c r="K63" s="12" t="inlineStr">
        <is>
          <t>24 Envolvedora (T11)</t>
        </is>
      </c>
      <c r="L63" s="12" t="n"/>
      <c r="M63" s="25" t="inlineStr">
        <is>
          <t>R</t>
        </is>
      </c>
      <c r="N63" s="25" t="n"/>
      <c r="O63" s="12" t="n"/>
    </row>
    <row r="64" outlineLevel="1">
      <c r="A64" s="25" t="n">
        <v>2</v>
      </c>
      <c r="B64" s="25" t="inlineStr">
        <is>
          <t>ABC50-E5</t>
        </is>
      </c>
      <c r="C64" s="12" t="inlineStr">
        <is>
          <t xml:space="preserve">        Etiqueta de pallet (lote y destino, fracción)</t>
        </is>
      </c>
      <c r="D64" s="25" t="n">
        <v>0.5</v>
      </c>
      <c r="E64" s="25" t="inlineStr">
        <is>
          <t>u</t>
        </is>
      </c>
      <c r="F64" s="26" t="n">
        <v>0</v>
      </c>
      <c r="G64" s="26">
        <f>D64*F64</f>
        <v/>
      </c>
      <c r="H64" s="25" t="inlineStr">
        <is>
          <t>Papel térmico</t>
        </is>
      </c>
      <c r="I64" s="12" t="inlineStr">
        <is>
          <t>100 × 150</t>
        </is>
      </c>
      <c r="J64" s="25" t="inlineStr">
        <is>
          <t>Compra</t>
        </is>
      </c>
      <c r="K64" s="12" t="inlineStr">
        <is>
          <t>24 Envolvedora</t>
        </is>
      </c>
      <c r="L64" s="12" t="n"/>
      <c r="M64" s="25" t="inlineStr">
        <is>
          <t>R</t>
        </is>
      </c>
      <c r="N64" s="25" t="n"/>
      <c r="O64" s="12" t="n"/>
    </row>
  </sheetData>
  <autoFilter ref="A10:O64"/>
  <pageMargins left="0.75" right="0.75" top="1" bottom="1" header="0.5" footer="0.5"/>
  <pageSetup orientation="landscape" fitToHeight="0" fitToWidth="1"/>
</worksheet>
</file>

<file path=xl/worksheets/sheet22.xml><?xml version="1.0" encoding="utf-8"?>
<worksheet xmlns="http://schemas.openxmlformats.org/spreadsheetml/2006/main">
  <sheetPr>
    <tabColor rgb="007F1D1D"/>
    <outlinePr summaryBelow="0" summaryRight="1"/>
    <pageSetUpPr fitToPage="1"/>
  </sheetPr>
  <dimension ref="A1:O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FL_MAT_ABC_70kg</t>
        </is>
      </c>
    </row>
    <row r="2">
      <c r="A2" s="2" t="inlineStr">
        <is>
          <t>Extintor ABC 70 kg sobre ruedas</t>
        </is>
      </c>
    </row>
    <row r="3">
      <c r="A3" s="14" t="inlineStr">
        <is>
          <t>Plano de origen</t>
        </is>
      </c>
      <c r="C3" t="inlineStr">
        <is>
          <t>FL_MAT_ABC_70kg  (3 láminas)</t>
        </is>
      </c>
      <c r="E3" s="14" t="inlineStr">
        <is>
          <t>Peso vacío S1-S4 (kg)</t>
        </is>
      </c>
      <c r="G3" s="30">
        <f>G12+G23+G37+G44</f>
        <v/>
      </c>
    </row>
    <row r="4">
      <c r="A4" s="14" t="inlineStr">
        <is>
          <t>Plano de despiece</t>
        </is>
      </c>
      <c r="C4" t="inlineStr">
        <is>
          <t>FL_DES_ABC_70kg (salida/despiece/)</t>
        </is>
      </c>
      <c r="E4" s="14" t="inlineStr">
        <is>
          <t>Peso cargado S1-S6 (kg)</t>
        </is>
      </c>
      <c r="G4" s="30">
        <f>G12+G23+G37+G44+G51+G54</f>
        <v/>
      </c>
    </row>
    <row r="5">
      <c r="A5" s="14" t="inlineStr">
        <is>
          <t>Norma del producto</t>
        </is>
      </c>
      <c r="C5" t="inlineStr">
        <is>
          <t>IRAM 3550</t>
        </is>
      </c>
      <c r="E5" s="14" t="inlineStr">
        <is>
          <t>Peso con soporte y embalaje (kg)</t>
        </is>
      </c>
      <c r="G5" s="30">
        <f>G12+G23+G37+G44+G51+G54+G60</f>
        <v/>
      </c>
    </row>
    <row r="6">
      <c r="A6" s="14" t="inlineStr">
        <is>
          <t>Fabricación</t>
        </is>
      </c>
      <c r="C6" t="inlineStr">
        <is>
          <t>Fabricación propia</t>
        </is>
      </c>
      <c r="E6" s="14" t="inlineStr">
        <is>
          <t>Desvío cargado vs catálogo</t>
        </is>
      </c>
      <c r="G6" s="10">
        <f>G4/C7-1</f>
        <v/>
      </c>
    </row>
    <row r="7">
      <c r="A7" s="14" t="inlineStr">
        <is>
          <t>Peso catálogo cargado (kg)</t>
        </is>
      </c>
      <c r="C7" t="n">
        <v>140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FL_MAT_ABC_70kg</t>
        </is>
      </c>
      <c r="C11" s="20" t="inlineStr">
        <is>
          <t>Extintor ABC 70 kg sobre ruedas</t>
        </is>
      </c>
      <c r="D11" s="19" t="n">
        <v>1</v>
      </c>
      <c r="E11" s="19" t="inlineStr">
        <is>
          <t>u</t>
        </is>
      </c>
      <c r="F11" s="21" t="n"/>
      <c r="G11" s="21">
        <f>G5</f>
        <v/>
      </c>
      <c r="H11" s="19" t="n"/>
      <c r="I11" s="20" t="n"/>
      <c r="J11" s="19" t="n"/>
      <c r="K11" s="20" t="n"/>
      <c r="L11" s="20" t="inlineStr">
        <is>
          <t>IRAM 3550</t>
        </is>
      </c>
      <c r="M11" s="19" t="inlineStr">
        <is>
          <t>P</t>
        </is>
      </c>
      <c r="N11" s="19" t="inlineStr">
        <is>
          <t>FL_MAT_ABC_70kg</t>
        </is>
      </c>
      <c r="O11" s="20" t="inlineStr">
        <is>
          <t>Fabricación propia</t>
        </is>
      </c>
    </row>
    <row r="12">
      <c r="A12" s="22" t="n">
        <v>1</v>
      </c>
      <c r="B12" s="22" t="inlineStr">
        <is>
          <t>FL_REC_ABC_70kg</t>
        </is>
      </c>
      <c r="C12" s="23" t="inlineStr">
        <is>
          <t xml:space="preserve">    Recipiente (cilindro)</t>
        </is>
      </c>
      <c r="D12" s="22" t="n">
        <v>1</v>
      </c>
      <c r="E12" s="22" t="inlineStr">
        <is>
          <t>u</t>
        </is>
      </c>
      <c r="F12" s="24" t="n"/>
      <c r="G12" s="24">
        <f>G13+G15+G16+G17+G19+G22</f>
        <v/>
      </c>
      <c r="H12" s="22" t="n"/>
      <c r="I12" s="23" t="n"/>
      <c r="J12" s="22" t="inlineStr">
        <is>
          <t>Fabricación</t>
        </is>
      </c>
      <c r="K12" s="23" t="n"/>
      <c r="L12" s="23" t="inlineStr">
        <is>
          <t>IRAM 3523 / 3550 (recipiente)</t>
        </is>
      </c>
      <c r="M12" s="22" t="inlineStr">
        <is>
          <t>P</t>
        </is>
      </c>
      <c r="N12" s="22" t="inlineStr">
        <is>
          <t>FL_REC_ABC_70kg</t>
        </is>
      </c>
      <c r="O12" s="23" t="n"/>
    </row>
    <row r="13" outlineLevel="1">
      <c r="A13" s="25" t="n">
        <v>2</v>
      </c>
      <c r="B13" s="25" t="inlineStr">
        <is>
          <t>ABC70-01</t>
        </is>
      </c>
      <c r="C13" s="12" t="inlineStr">
        <is>
          <t xml:space="preserve">        Cuerpo (virola)</t>
        </is>
      </c>
      <c r="D13" s="25" t="n">
        <v>1</v>
      </c>
      <c r="E13" s="25" t="inlineStr">
        <is>
          <t>u</t>
        </is>
      </c>
      <c r="F13" s="26" t="n">
        <v>18.1781</v>
      </c>
      <c r="G13" s="26">
        <f>D13*F13</f>
        <v/>
      </c>
      <c r="H13" s="25" t="inlineStr">
        <is>
          <t>Chapa acero SAE 1010 e=3,2</t>
        </is>
      </c>
      <c r="I13" s="12" t="inlineStr">
        <is>
          <t>Ø350 × e3,2 × 664,2 de alto; desarrollo 1.089,5 × 664,2</t>
        </is>
      </c>
      <c r="J13" s="25" t="inlineStr">
        <is>
          <t>Fabricación</t>
        </is>
      </c>
      <c r="K13" s="12" t="inlineStr">
        <is>
          <t>1 Guillotina -&gt; C1 cilindrado -&gt; C2 punteo -&gt; C3 sold. long.</t>
        </is>
      </c>
      <c r="L13" s="12" t="n"/>
      <c r="M13" s="25" t="inlineStr">
        <is>
          <t>P</t>
        </is>
      </c>
      <c r="N13" s="25" t="inlineStr">
        <is>
          <t>FL_DES_ABC_70kg</t>
        </is>
      </c>
      <c r="O13" s="12" t="inlineStr">
        <is>
          <t>costura long. MIG</t>
        </is>
      </c>
    </row>
    <row r="14" outlineLevel="2">
      <c r="A14" s="27" t="n">
        <v>3</v>
      </c>
      <c r="B14" s="27" t="inlineStr">
        <is>
          <t>MP-HOJA</t>
        </is>
      </c>
      <c r="C14" s="28" t="inlineStr">
        <is>
          <t xml:space="preserve">            Recorte de hoja LAC 1500 × 3000 e=4,75</t>
        </is>
      </c>
      <c r="D14" s="27" t="n">
        <v>1</v>
      </c>
      <c r="E14" s="27" t="inlineStr">
        <is>
          <t>u</t>
        </is>
      </c>
      <c r="F14" s="29" t="n">
        <v>41.925</v>
      </c>
      <c r="G14" s="29">
        <f>D14*F14</f>
        <v/>
      </c>
      <c r="H14" s="27" t="inlineStr">
        <is>
          <t>Chapa SAE 1010 LAC</t>
        </is>
      </c>
      <c r="I14" s="28" t="inlineStr">
        <is>
          <t>680 × 1.212 (aprovech. 73,3 %)</t>
        </is>
      </c>
      <c r="J14" s="27" t="inlineStr">
        <is>
          <t>Compra (Pradecon)</t>
        </is>
      </c>
      <c r="K14" s="28" t="inlineStr">
        <is>
          <t>AL-1H paquetes de hojas</t>
        </is>
      </c>
      <c r="L14" s="28" t="n"/>
      <c r="M14" s="27" t="inlineStr">
        <is>
          <t>L</t>
        </is>
      </c>
      <c r="N14" s="27" t="inlineStr">
        <is>
          <t>FL_PI_04 h2</t>
        </is>
      </c>
      <c r="O14" s="28" t="inlineStr">
        <is>
          <t>OJO: la hoja de corte usa e=4,75 y el plano e=3,2</t>
        </is>
      </c>
    </row>
    <row r="15" outlineLevel="1">
      <c r="A15" s="25" t="n">
        <v>2</v>
      </c>
      <c r="B15" s="25" t="inlineStr">
        <is>
          <t>ABC70-02</t>
        </is>
      </c>
      <c r="C15" s="12" t="inlineStr">
        <is>
          <t xml:space="preserve">        Cúpula</t>
        </is>
      </c>
      <c r="D15" s="25" t="n">
        <v>1</v>
      </c>
      <c r="E15" s="25" t="inlineStr">
        <is>
          <t>u</t>
        </is>
      </c>
      <c r="F15" s="26" t="n">
        <v>3.4748</v>
      </c>
      <c r="G15" s="26">
        <f>D15*F15</f>
        <v/>
      </c>
      <c r="H15" s="25" t="inlineStr">
        <is>
          <t>Chapa acero SAE 1010 e=3,2</t>
        </is>
      </c>
      <c r="I15" s="12" t="inlineStr">
        <is>
          <t>Ø350 × e3,2 × 111,8 de alto; disco Ø432,3</t>
        </is>
      </c>
      <c r="J15" s="25" t="inlineStr">
        <is>
          <t>Compra</t>
        </is>
      </c>
      <c r="K15" s="12" t="inlineStr">
        <is>
          <t>Compra (casquetes de carros, rack RK1)</t>
        </is>
      </c>
      <c r="L15" s="12" t="n"/>
      <c r="M15" s="25" t="inlineStr">
        <is>
          <t>P</t>
        </is>
      </c>
      <c r="N15" s="25" t="inlineStr">
        <is>
          <t>FL_DES_ABC_70kg</t>
        </is>
      </c>
      <c r="O15" s="12" t="inlineStr">
        <is>
          <t>embutida</t>
        </is>
      </c>
    </row>
    <row r="16" outlineLevel="1">
      <c r="A16" s="25" t="n">
        <v>2</v>
      </c>
      <c r="B16" s="25" t="inlineStr">
        <is>
          <t>ABC70-03</t>
        </is>
      </c>
      <c r="C16" s="12" t="inlineStr">
        <is>
          <t xml:space="preserve">        Fondo</t>
        </is>
      </c>
      <c r="D16" s="25" t="n">
        <v>1</v>
      </c>
      <c r="E16" s="25" t="inlineStr">
        <is>
          <t>u</t>
        </is>
      </c>
      <c r="F16" s="26" t="n">
        <v>3.7246</v>
      </c>
      <c r="G16" s="26">
        <f>D16*F16</f>
        <v/>
      </c>
      <c r="H16" s="25" t="inlineStr">
        <is>
          <t>Chapa acero SAE 1010 e=3,2</t>
        </is>
      </c>
      <c r="I16" s="12" t="inlineStr">
        <is>
          <t>Ø350 × e3,2 × 114,8 de alto; disco Ø447,5</t>
        </is>
      </c>
      <c r="J16" s="25" t="inlineStr">
        <is>
          <t>Compra</t>
        </is>
      </c>
      <c r="K16" s="12" t="inlineStr">
        <is>
          <t>Compra (casquetes de carros, rack RK1)</t>
        </is>
      </c>
      <c r="L16" s="12" t="n"/>
      <c r="M16" s="25" t="inlineStr">
        <is>
          <t>P</t>
        </is>
      </c>
      <c r="N16" s="25" t="inlineStr">
        <is>
          <t>FL_DES_ABC_70kg</t>
        </is>
      </c>
      <c r="O16" s="12" t="inlineStr">
        <is>
          <t>embutido</t>
        </is>
      </c>
    </row>
    <row r="17" outlineLevel="1">
      <c r="A17" s="25" t="n">
        <v>2</v>
      </c>
      <c r="B17" s="25" t="inlineStr">
        <is>
          <t>ABC70-04</t>
        </is>
      </c>
      <c r="C17" s="12" t="inlineStr">
        <is>
          <t xml:space="preserve">        Cuello roscado</t>
        </is>
      </c>
      <c r="D17" s="25" t="n">
        <v>1</v>
      </c>
      <c r="E17" s="25" t="inlineStr">
        <is>
          <t>u</t>
        </is>
      </c>
      <c r="F17" s="26" t="n">
        <v>0.6084000000000001</v>
      </c>
      <c r="G17" s="26">
        <f>D17*F17</f>
        <v/>
      </c>
      <c r="H17" s="25" t="inlineStr">
        <is>
          <t>Acero SAE 1010</t>
        </is>
      </c>
      <c r="I17" s="12" t="inlineStr">
        <is>
          <t>Ø88 × 37 de alto, rosca RBSP 2 1/2"-11 h, asiento Ø80</t>
        </is>
      </c>
      <c r="J17" s="25" t="inlineStr">
        <is>
          <t>Fabricación</t>
        </is>
      </c>
      <c r="K17" s="12" t="inlineStr">
        <is>
          <t>C2 punteo</t>
        </is>
      </c>
      <c r="L17" s="12" t="n"/>
      <c r="M17" s="25" t="inlineStr">
        <is>
          <t>P</t>
        </is>
      </c>
      <c r="N17" s="25" t="inlineStr">
        <is>
          <t>FL_DES_ABC_70kg</t>
        </is>
      </c>
      <c r="O17" s="12" t="inlineStr">
        <is>
          <t>RBSP 2 1/2"-11 h</t>
        </is>
      </c>
    </row>
    <row r="18" outlineLevel="2">
      <c r="A18" s="27" t="n">
        <v>3</v>
      </c>
      <c r="B18" s="27" t="inlineStr">
        <is>
          <t>MP-CUELLO</t>
        </is>
      </c>
      <c r="C18" s="28" t="inlineStr">
        <is>
          <t xml:space="preserve">            Cuello roscado mecanizado (pieza comprada lista para soldar)</t>
        </is>
      </c>
      <c r="D18" s="27" t="n">
        <v>1</v>
      </c>
      <c r="E18" s="27" t="inlineStr">
        <is>
          <t>u</t>
        </is>
      </c>
      <c r="F18" s="29" t="n">
        <v>0.608</v>
      </c>
      <c r="G18" s="29">
        <f>D18*F18</f>
        <v/>
      </c>
      <c r="H18" s="27" t="inlineStr">
        <is>
          <t>Acero SAE 1010 / 1020</t>
        </is>
      </c>
      <c r="I18" s="28" t="inlineStr">
        <is>
          <t>rosca RBSP 2 1/2"-11 h</t>
        </is>
      </c>
      <c r="J18" s="27" t="inlineStr">
        <is>
          <t>Compra (Eli-Met)</t>
        </is>
      </c>
      <c r="K18" s="28" t="inlineStr">
        <is>
          <t>AL-1C cuellos y roscas</t>
        </is>
      </c>
      <c r="L18" s="28" t="n"/>
      <c r="M18" s="27" t="inlineStr">
        <is>
          <t>L</t>
        </is>
      </c>
      <c r="N18" s="27" t="n"/>
      <c r="O18" s="28" t="n"/>
    </row>
    <row r="19" outlineLevel="1">
      <c r="A19" s="25" t="n">
        <v>2</v>
      </c>
      <c r="B19" s="25" t="inlineStr">
        <is>
          <t>ABC70-C1</t>
        </is>
      </c>
      <c r="C19" s="12" t="inlineStr">
        <is>
          <t xml:space="preserve">        Aporte de soldadura: Alambre MAG ER70S-6 Ø0,9/1,2</t>
        </is>
      </c>
      <c r="D19" s="25" t="n">
        <v>0.4746</v>
      </c>
      <c r="E19" s="25" t="inlineStr">
        <is>
          <t>kg</t>
        </is>
      </c>
      <c r="F19" s="26" t="n">
        <v>0.92</v>
      </c>
      <c r="G19" s="26">
        <f>D19*F19</f>
        <v/>
      </c>
      <c r="H19" s="25" t="inlineStr">
        <is>
          <t>Alambre MAG ER70S-6 Ø0,9/1,2</t>
        </is>
      </c>
      <c r="I19" s="12" t="inlineStr">
        <is>
          <t>cordones del plano: 437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ABC70-C2</t>
        </is>
      </c>
      <c r="C20" s="12" t="inlineStr">
        <is>
          <t xml:space="preserve">        Gas de protección: Arcal 21 (Ar + 18 % CO₂)</t>
        </is>
      </c>
      <c r="D20" s="25" t="n">
        <v>213.6</v>
      </c>
      <c r="E20" s="25" t="inlineStr">
        <is>
          <t>L</t>
        </is>
      </c>
      <c r="F20" s="26" t="n"/>
      <c r="G20" s="26" t="n"/>
      <c r="H20" s="25" t="inlineStr">
        <is>
          <t>Arcal 21 (Ar + 18 % CO₂)</t>
        </is>
      </c>
      <c r="I20" s="12" t="inlineStr">
        <is>
          <t>14,2 min de arco × 15 L/min</t>
        </is>
      </c>
      <c r="J20" s="25" t="inlineStr">
        <is>
          <t>Compra</t>
        </is>
      </c>
      <c r="K20" s="12" t="inlineStr">
        <is>
          <t>Colector SC</t>
        </is>
      </c>
      <c r="L20" s="12" t="n"/>
      <c r="M20" s="25" t="inlineStr">
        <is>
          <t>R</t>
        </is>
      </c>
      <c r="N20" s="25" t="n"/>
      <c r="O20" s="12" t="n"/>
    </row>
    <row r="21" outlineLevel="1">
      <c r="A21" s="25" t="n">
        <v>2</v>
      </c>
      <c r="B21" s="25" t="inlineStr">
        <is>
          <t>ABC70-C3</t>
        </is>
      </c>
      <c r="C21" s="12" t="inlineStr">
        <is>
          <t xml:space="preserve">        Granalla de acero (consumo)</t>
        </is>
      </c>
      <c r="D21" s="25" t="n">
        <v>0.081</v>
      </c>
      <c r="E21" s="25" t="inlineStr">
        <is>
          <t>kg</t>
        </is>
      </c>
      <c r="F21" s="26" t="n"/>
      <c r="G21" s="26" t="n"/>
      <c r="H21" s="25" t="inlineStr">
        <is>
          <t>Granalla S-230</t>
        </is>
      </c>
      <c r="I21" s="12" t="inlineStr">
        <is>
          <t>1,01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ABC70-C4</t>
        </is>
      </c>
      <c r="C22" s="12" t="inlineStr">
        <is>
          <t xml:space="preserve">        Pintura en polvo poliéster rojo</t>
        </is>
      </c>
      <c r="D22" s="25" t="n">
        <v>0.187</v>
      </c>
      <c r="E22" s="25" t="inlineStr">
        <is>
          <t>kg</t>
        </is>
      </c>
      <c r="F22" s="26" t="n">
        <v>0.65</v>
      </c>
      <c r="G22" s="26">
        <f>D22*F22</f>
        <v/>
      </c>
      <c r="H22" s="25" t="inlineStr">
        <is>
          <t>Poliéster rojo 03-1-050</t>
        </is>
      </c>
      <c r="I22" s="12" t="inlineStr">
        <is>
          <t>1,01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c r="A23" s="22" t="n">
        <v>1</v>
      </c>
      <c r="B23" s="22" t="inlineStr">
        <is>
          <t>ABC70-S2</t>
        </is>
      </c>
      <c r="C23" s="23" t="inlineStr">
        <is>
          <t xml:space="preserve">    Conjunto de válvula</t>
        </is>
      </c>
      <c r="D23" s="22" t="n">
        <v>1</v>
      </c>
      <c r="E23" s="22" t="inlineStr">
        <is>
          <t>u</t>
        </is>
      </c>
      <c r="F23" s="24" t="n"/>
      <c r="G23" s="24">
        <f>G24+G25+G26+G27+G28+G29+G30+G31+G32+G33+G34+G35+G36</f>
        <v/>
      </c>
      <c r="H23" s="22" t="n"/>
      <c r="I23" s="23" t="n"/>
      <c r="J23" s="22" t="inlineStr">
        <is>
          <t>Compra / armado</t>
        </is>
      </c>
      <c r="K23" s="23" t="n"/>
      <c r="L23" s="23" t="inlineStr">
        <is>
          <t>Manómetro IRAM 3533</t>
        </is>
      </c>
      <c r="M23" s="22" t="inlineStr">
        <is>
          <t>P</t>
        </is>
      </c>
      <c r="N23" s="22" t="inlineStr">
        <is>
          <t>FL_DES_ABC_70kg</t>
        </is>
      </c>
      <c r="O23" s="23" t="n"/>
    </row>
    <row r="24" outlineLevel="1">
      <c r="A24" s="25" t="n">
        <v>2</v>
      </c>
      <c r="B24" s="25" t="inlineStr">
        <is>
          <t>ABC70-11</t>
        </is>
      </c>
      <c r="C24" s="12" t="inlineStr">
        <is>
          <t xml:space="preserve">        Collarín de válvula</t>
        </is>
      </c>
      <c r="D24" s="25" t="n">
        <v>1</v>
      </c>
      <c r="E24" s="25" t="inlineStr">
        <is>
          <t>u</t>
        </is>
      </c>
      <c r="F24" s="26" t="n">
        <v>0.4107</v>
      </c>
      <c r="G24" s="26">
        <f>D24*F24</f>
        <v/>
      </c>
      <c r="H24" s="25" t="inlineStr">
        <is>
          <t>Latón forjado</t>
        </is>
      </c>
      <c r="I24" s="12" t="inlineStr">
        <is>
          <t>96,1 × 96,1 × 13,5</t>
        </is>
      </c>
      <c r="J24" s="25" t="inlineStr">
        <is>
          <t>Compra</t>
        </is>
      </c>
      <c r="K24" s="12" t="inlineStr">
        <is>
          <t>C9 armado</t>
        </is>
      </c>
      <c r="L24" s="12" t="n"/>
      <c r="M24" s="25" t="inlineStr">
        <is>
          <t>P</t>
        </is>
      </c>
      <c r="N24" s="25" t="inlineStr">
        <is>
          <t>FL_DES_ABC_70kg</t>
        </is>
      </c>
      <c r="O24" s="12" t="n"/>
    </row>
    <row r="25" outlineLevel="1">
      <c r="A25" s="25" t="n">
        <v>2</v>
      </c>
      <c r="B25" s="25" t="inlineStr">
        <is>
          <t>ABC70-12</t>
        </is>
      </c>
      <c r="C25" s="12" t="inlineStr">
        <is>
          <t xml:space="preserve">        Espiga roscada</t>
        </is>
      </c>
      <c r="D25" s="25" t="n">
        <v>1</v>
      </c>
      <c r="E25" s="25" t="inlineStr">
        <is>
          <t>u</t>
        </is>
      </c>
      <c r="F25" s="26" t="n">
        <v>0.1187</v>
      </c>
      <c r="G25" s="26">
        <f>D25*F25</f>
        <v/>
      </c>
      <c r="H25" s="25" t="inlineStr">
        <is>
          <t>Latón forjado</t>
        </is>
      </c>
      <c r="I25" s="12" t="inlineStr">
        <is>
          <t>72,2 × 72,2 × 16,2</t>
        </is>
      </c>
      <c r="J25" s="25" t="inlineStr">
        <is>
          <t>Compra</t>
        </is>
      </c>
      <c r="K25" s="12" t="inlineStr">
        <is>
          <t>C9 armado</t>
        </is>
      </c>
      <c r="L25" s="12" t="n"/>
      <c r="M25" s="25" t="inlineStr">
        <is>
          <t>P</t>
        </is>
      </c>
      <c r="N25" s="25" t="inlineStr">
        <is>
          <t>FL_DES_ABC_70kg</t>
        </is>
      </c>
      <c r="O25" s="12" t="n"/>
    </row>
    <row r="26" outlineLevel="1">
      <c r="A26" s="25" t="n">
        <v>2</v>
      </c>
      <c r="B26" s="25" t="inlineStr">
        <is>
          <t>ABC70-13</t>
        </is>
      </c>
      <c r="C26" s="12" t="inlineStr">
        <is>
          <t xml:space="preserve">        Cuerpo de válvula</t>
        </is>
      </c>
      <c r="D26" s="25" t="n">
        <v>1</v>
      </c>
      <c r="E26" s="25" t="inlineStr">
        <is>
          <t>u</t>
        </is>
      </c>
      <c r="F26" s="26" t="n">
        <v>0.7378</v>
      </c>
      <c r="G26" s="26">
        <f>D26*F26</f>
        <v/>
      </c>
      <c r="H26" s="25" t="inlineStr">
        <is>
          <t>Latón forjado</t>
        </is>
      </c>
      <c r="I26" s="12" t="inlineStr">
        <is>
          <t>58,4 × 54 × 46,3</t>
        </is>
      </c>
      <c r="J26" s="25" t="inlineStr">
        <is>
          <t>Compra</t>
        </is>
      </c>
      <c r="K26" s="12" t="inlineStr">
        <is>
          <t>C9 armado</t>
        </is>
      </c>
      <c r="L26" s="12" t="n"/>
      <c r="M26" s="25" t="inlineStr">
        <is>
          <t>P</t>
        </is>
      </c>
      <c r="N26" s="25" t="inlineStr">
        <is>
          <t>FL_DES_ABC_70kg</t>
        </is>
      </c>
      <c r="O26" s="12" t="n"/>
    </row>
    <row r="27" outlineLevel="1">
      <c r="A27" s="25" t="n">
        <v>2</v>
      </c>
      <c r="B27" s="25" t="inlineStr">
        <is>
          <t>ABC70-14</t>
        </is>
      </c>
      <c r="C27" s="12" t="inlineStr">
        <is>
          <t xml:space="preserve">        Manómetro</t>
        </is>
      </c>
      <c r="D27" s="25" t="n">
        <v>1</v>
      </c>
      <c r="E27" s="25" t="inlineStr">
        <is>
          <t>u</t>
        </is>
      </c>
      <c r="F27" s="26" t="n">
        <v>0.12</v>
      </c>
      <c r="G27" s="26">
        <f>D27*F27</f>
        <v/>
      </c>
      <c r="H27" s="25" t="inlineStr">
        <is>
          <t>Comercial</t>
        </is>
      </c>
      <c r="I27" s="12" t="inlineStr">
        <is>
          <t>Ø50 esfera, rango 0-3,5 MPa, sector verde en 1,4</t>
        </is>
      </c>
      <c r="J27" s="25" t="inlineStr">
        <is>
          <t>Compra</t>
        </is>
      </c>
      <c r="K27" s="12" t="inlineStr">
        <is>
          <t>C9 armado</t>
        </is>
      </c>
      <c r="L27" s="12" t="inlineStr">
        <is>
          <t>IRAM 3533</t>
        </is>
      </c>
      <c r="M27" s="25" t="inlineStr">
        <is>
          <t>R</t>
        </is>
      </c>
      <c r="N27" s="25" t="inlineStr">
        <is>
          <t>FL_DES_ABC_70kg</t>
        </is>
      </c>
      <c r="O27" s="12" t="inlineStr">
        <is>
          <t>Pieza comercial; sello IRAM 3533</t>
        </is>
      </c>
    </row>
    <row r="28" outlineLevel="1">
      <c r="A28" s="25" t="n">
        <v>2</v>
      </c>
      <c r="B28" s="25" t="inlineStr">
        <is>
          <t>ABC70-15</t>
        </is>
      </c>
      <c r="C28" s="12" t="inlineStr">
        <is>
          <t xml:space="preserve">        Manija de transporte</t>
        </is>
      </c>
      <c r="D28" s="25" t="n">
        <v>1</v>
      </c>
      <c r="E28" s="25" t="inlineStr">
        <is>
          <t>u</t>
        </is>
      </c>
      <c r="F28" s="26" t="n">
        <v>0.1131</v>
      </c>
      <c r="G28" s="26">
        <f>D28*F28</f>
        <v/>
      </c>
      <c r="H28" s="25" t="inlineStr">
        <is>
          <t>Chapa acero SAE 1010 pintada</t>
        </is>
      </c>
      <c r="I28" s="12" t="inlineStr">
        <is>
          <t>98,8 × 27 × 15,7</t>
        </is>
      </c>
      <c r="J28" s="25" t="inlineStr">
        <is>
          <t>Compra</t>
        </is>
      </c>
      <c r="K28" s="12" t="inlineStr">
        <is>
          <t>C9 armado</t>
        </is>
      </c>
      <c r="L28" s="12" t="n"/>
      <c r="M28" s="25" t="inlineStr">
        <is>
          <t>P</t>
        </is>
      </c>
      <c r="N28" s="25" t="inlineStr">
        <is>
          <t>FL_DES_ABC_70kg</t>
        </is>
      </c>
      <c r="O28" s="12" t="n"/>
    </row>
    <row r="29" outlineLevel="1">
      <c r="A29" s="25" t="n">
        <v>2</v>
      </c>
      <c r="B29" s="25" t="inlineStr">
        <is>
          <t>ABC70-16</t>
        </is>
      </c>
      <c r="C29" s="12" t="inlineStr">
        <is>
          <t xml:space="preserve">        Manija de accionamiento</t>
        </is>
      </c>
      <c r="D29" s="25" t="n">
        <v>1</v>
      </c>
      <c r="E29" s="25" t="inlineStr">
        <is>
          <t>u</t>
        </is>
      </c>
      <c r="F29" s="26" t="n">
        <v>0.1811</v>
      </c>
      <c r="G29" s="26">
        <f>D29*F29</f>
        <v/>
      </c>
      <c r="H29" s="25" t="inlineStr">
        <is>
          <t>Chapa acero SAE 1010 pintada</t>
        </is>
      </c>
      <c r="I29" s="12" t="inlineStr">
        <is>
          <t>157,7 × 27 × 24,6</t>
        </is>
      </c>
      <c r="J29" s="25" t="inlineStr">
        <is>
          <t>Compra</t>
        </is>
      </c>
      <c r="K29" s="12" t="inlineStr">
        <is>
          <t>C9 armado</t>
        </is>
      </c>
      <c r="L29" s="12" t="n"/>
      <c r="M29" s="25" t="inlineStr">
        <is>
          <t>P</t>
        </is>
      </c>
      <c r="N29" s="25" t="inlineStr">
        <is>
          <t>FL_DES_ABC_70kg</t>
        </is>
      </c>
      <c r="O29" s="12" t="n"/>
    </row>
    <row r="30" outlineLevel="1">
      <c r="A30" s="25" t="n">
        <v>2</v>
      </c>
      <c r="B30" s="25" t="inlineStr">
        <is>
          <t>ABC70-17</t>
        </is>
      </c>
      <c r="C30" s="12" t="inlineStr">
        <is>
          <t xml:space="preserve">        Eje de palanca</t>
        </is>
      </c>
      <c r="D30" s="25" t="n">
        <v>1</v>
      </c>
      <c r="E30" s="25" t="inlineStr">
        <is>
          <t>u</t>
        </is>
      </c>
      <c r="F30" s="26" t="n">
        <v>0.0199</v>
      </c>
      <c r="G30" s="26">
        <f>D30*F30</f>
        <v/>
      </c>
      <c r="H30" s="25" t="inlineStr">
        <is>
          <t>Acero inox. AISI 304</t>
        </is>
      </c>
      <c r="I30" s="12" t="inlineStr">
        <is>
          <t>48,6 × 8,1 × 8,1</t>
        </is>
      </c>
      <c r="J30" s="25" t="inlineStr">
        <is>
          <t>Compra</t>
        </is>
      </c>
      <c r="K30" s="12" t="inlineStr">
        <is>
          <t>C9 armado</t>
        </is>
      </c>
      <c r="L30" s="12" t="n"/>
      <c r="M30" s="25" t="inlineStr">
        <is>
          <t>P</t>
        </is>
      </c>
      <c r="N30" s="25" t="inlineStr">
        <is>
          <t>FL_DES_ABC_70kg</t>
        </is>
      </c>
      <c r="O30" s="12" t="n"/>
    </row>
    <row r="31" outlineLevel="1">
      <c r="A31" s="25" t="n">
        <v>2</v>
      </c>
      <c r="B31" s="25" t="inlineStr">
        <is>
          <t>ABC70-18</t>
        </is>
      </c>
      <c r="C31" s="12" t="inlineStr">
        <is>
          <t xml:space="preserve">        Vástago</t>
        </is>
      </c>
      <c r="D31" s="25" t="n">
        <v>1</v>
      </c>
      <c r="E31" s="25" t="inlineStr">
        <is>
          <t>u</t>
        </is>
      </c>
      <c r="F31" s="26" t="n">
        <v>0.0039</v>
      </c>
      <c r="G31" s="26">
        <f>D31*F31</f>
        <v/>
      </c>
      <c r="H31" s="25" t="inlineStr">
        <is>
          <t>Latón</t>
        </is>
      </c>
      <c r="I31" s="12" t="inlineStr">
        <is>
          <t>10,8 × 10,8 × 5</t>
        </is>
      </c>
      <c r="J31" s="25" t="inlineStr">
        <is>
          <t>Compra</t>
        </is>
      </c>
      <c r="K31" s="12" t="inlineStr">
        <is>
          <t>C9 armado</t>
        </is>
      </c>
      <c r="L31" s="12" t="n"/>
      <c r="M31" s="25" t="inlineStr">
        <is>
          <t>P</t>
        </is>
      </c>
      <c r="N31" s="25" t="inlineStr">
        <is>
          <t>FL_DES_ABC_70kg</t>
        </is>
      </c>
      <c r="O31" s="12" t="inlineStr">
        <is>
          <t>con junta tórica</t>
        </is>
      </c>
    </row>
    <row r="32" outlineLevel="1">
      <c r="A32" s="25" t="n">
        <v>2</v>
      </c>
      <c r="B32" s="25" t="inlineStr">
        <is>
          <t>ABC70-19</t>
        </is>
      </c>
      <c r="C32" s="12" t="inlineStr">
        <is>
          <t xml:space="preserve">        Pasador de seguridad</t>
        </is>
      </c>
      <c r="D32" s="25" t="n">
        <v>1</v>
      </c>
      <c r="E32" s="25" t="inlineStr">
        <is>
          <t>u</t>
        </is>
      </c>
      <c r="F32" s="26" t="n">
        <v>0.0135</v>
      </c>
      <c r="G32" s="26">
        <f>D32*F32</f>
        <v/>
      </c>
      <c r="H32" s="25" t="inlineStr">
        <is>
          <t>Alambre acero inox. AISI 304</t>
        </is>
      </c>
      <c r="I32" s="12" t="inlineStr">
        <is>
          <t>61,3 × 28,4 × 28,1</t>
        </is>
      </c>
      <c r="J32" s="25" t="inlineStr">
        <is>
          <t>Compra</t>
        </is>
      </c>
      <c r="K32" s="12" t="inlineStr">
        <is>
          <t>C9 armado</t>
        </is>
      </c>
      <c r="L32" s="12" t="n"/>
      <c r="M32" s="25" t="inlineStr">
        <is>
          <t>P</t>
        </is>
      </c>
      <c r="N32" s="25" t="inlineStr">
        <is>
          <t>FL_DES_ABC_70kg</t>
        </is>
      </c>
      <c r="O32" s="12" t="inlineStr">
        <is>
          <t>con precinto</t>
        </is>
      </c>
    </row>
    <row r="33" outlineLevel="1">
      <c r="A33" s="25" t="n">
        <v>2</v>
      </c>
      <c r="B33" s="25" t="inlineStr">
        <is>
          <t>ABC70-20</t>
        </is>
      </c>
      <c r="C33" s="12" t="inlineStr">
        <is>
          <t xml:space="preserve">        Caño de pesca (sifón)</t>
        </is>
      </c>
      <c r="D33" s="25" t="n">
        <v>1</v>
      </c>
      <c r="E33" s="25" t="inlineStr">
        <is>
          <t>u</t>
        </is>
      </c>
      <c r="F33" s="26" t="n">
        <v>0.2088</v>
      </c>
      <c r="G33" s="26">
        <f>D33*F33</f>
        <v/>
      </c>
      <c r="H33" s="25" t="inlineStr">
        <is>
          <t>Tubo PVC rígido</t>
        </is>
      </c>
      <c r="I33" s="12" t="inlineStr">
        <is>
          <t>Ø24 × 883,4 de largo</t>
        </is>
      </c>
      <c r="J33" s="25" t="inlineStr">
        <is>
          <t>Compra</t>
        </is>
      </c>
      <c r="K33" s="12" t="inlineStr">
        <is>
          <t>C9 armado</t>
        </is>
      </c>
      <c r="L33" s="12" t="n"/>
      <c r="M33" s="25" t="inlineStr">
        <is>
          <t>P</t>
        </is>
      </c>
      <c r="N33" s="25" t="inlineStr">
        <is>
          <t>FL_DES_ABC_70kg</t>
        </is>
      </c>
      <c r="O33" s="12" t="n"/>
    </row>
    <row r="34" outlineLevel="1">
      <c r="A34" s="25" t="n">
        <v>2</v>
      </c>
      <c r="B34" s="25" t="inlineStr">
        <is>
          <t>ABC70-30</t>
        </is>
      </c>
      <c r="C34" s="12" t="inlineStr">
        <is>
          <t xml:space="preserve">        Junta tórica de asiento</t>
        </is>
      </c>
      <c r="D34" s="25" t="n">
        <v>1</v>
      </c>
      <c r="E34" s="25" t="inlineStr">
        <is>
          <t>u</t>
        </is>
      </c>
      <c r="F34" s="26" t="n">
        <v>0.0024</v>
      </c>
      <c r="G34" s="26">
        <f>D34*F34</f>
        <v/>
      </c>
      <c r="H34" s="25" t="inlineStr">
        <is>
          <t>NBR 70 Shore A</t>
        </is>
      </c>
      <c r="I34" s="12" t="inlineStr">
        <is>
          <t>Ø75,2 ext. × cordón 3</t>
        </is>
      </c>
      <c r="J34" s="25" t="inlineStr">
        <is>
          <t>Compra</t>
        </is>
      </c>
      <c r="K34" s="12" t="inlineStr">
        <is>
          <t>C9 armado</t>
        </is>
      </c>
      <c r="L34" s="12" t="n"/>
      <c r="M34" s="25" t="inlineStr">
        <is>
          <t>P</t>
        </is>
      </c>
      <c r="N34" s="25" t="inlineStr">
        <is>
          <t>FL_DES_ABC_70kg</t>
        </is>
      </c>
      <c r="O34" s="12" t="inlineStr">
        <is>
          <t>cambio c/recarga</t>
        </is>
      </c>
    </row>
    <row r="35" outlineLevel="1">
      <c r="A35" s="25" t="n">
        <v>2</v>
      </c>
      <c r="B35" s="25" t="inlineStr">
        <is>
          <t>ABC70-V2</t>
        </is>
      </c>
      <c r="C35" s="12" t="inlineStr">
        <is>
          <t xml:space="preserve">        Resorte de retorno del vástago</t>
        </is>
      </c>
      <c r="D35" s="25" t="n">
        <v>1</v>
      </c>
      <c r="E35" s="25" t="inlineStr">
        <is>
          <t>u</t>
        </is>
      </c>
      <c r="F35" s="26" t="n">
        <v>0.003</v>
      </c>
      <c r="G35" s="26">
        <f>D35*F35</f>
        <v/>
      </c>
      <c r="H35" s="25" t="inlineStr">
        <is>
          <t>Alambre acero inox. AISI 302</t>
        </is>
      </c>
      <c r="I35" s="12" t="inlineStr">
        <is>
          <t>según válvula</t>
        </is>
      </c>
      <c r="J35" s="25" t="inlineStr">
        <is>
          <t>Compra</t>
        </is>
      </c>
      <c r="K35" s="12" t="inlineStr">
        <is>
          <t>19 Ensamblaje</t>
        </is>
      </c>
      <c r="L35" s="12" t="n"/>
      <c r="M35" s="25" t="inlineStr">
        <is>
          <t>R</t>
        </is>
      </c>
      <c r="N35" s="25" t="n"/>
      <c r="O35" s="12" t="n"/>
    </row>
    <row r="36" outlineLevel="1">
      <c r="A36" s="25" t="n">
        <v>2</v>
      </c>
      <c r="B36" s="25" t="inlineStr">
        <is>
          <t>ABC70-V3</t>
        </is>
      </c>
      <c r="C36" s="12" t="inlineStr">
        <is>
          <t xml:space="preserve">        Junta tórica del vástago</t>
        </is>
      </c>
      <c r="D36" s="25" t="n">
        <v>1</v>
      </c>
      <c r="E36" s="25" t="inlineStr">
        <is>
          <t>u</t>
        </is>
      </c>
      <c r="F36" s="26" t="n">
        <v>0.001</v>
      </c>
      <c r="G36" s="26">
        <f>D36*F36</f>
        <v/>
      </c>
      <c r="H36" s="25" t="inlineStr">
        <is>
          <t>NBR 70 Shore A</t>
        </is>
      </c>
      <c r="I36" s="12" t="inlineStr">
        <is>
          <t>según válvula</t>
        </is>
      </c>
      <c r="J36" s="25" t="inlineStr">
        <is>
          <t>Compra</t>
        </is>
      </c>
      <c r="K36" s="12" t="inlineStr">
        <is>
          <t>19 Ensamblaje</t>
        </is>
      </c>
      <c r="L36" s="12" t="n"/>
      <c r="M36" s="25" t="inlineStr">
        <is>
          <t>P</t>
        </is>
      </c>
      <c r="N36" s="25" t="n"/>
      <c r="O36" s="12" t="inlineStr">
        <is>
          <t>Figura en el plano como «vástago con junta tórica»</t>
        </is>
      </c>
    </row>
    <row r="37">
      <c r="A37" s="22" t="n">
        <v>1</v>
      </c>
      <c r="B37" s="22" t="inlineStr">
        <is>
          <t>ABC70-S3</t>
        </is>
      </c>
      <c r="C37" s="23" t="inlineStr">
        <is>
          <t xml:space="preserve">    Dispositivo de descarga</t>
        </is>
      </c>
      <c r="D37" s="22" t="n">
        <v>1</v>
      </c>
      <c r="E37" s="22" t="inlineStr">
        <is>
          <t>u</t>
        </is>
      </c>
      <c r="F37" s="24" t="n"/>
      <c r="G37" s="24">
        <f>G38+G39+G40+G41+G42+G43</f>
        <v/>
      </c>
      <c r="H37" s="22" t="n"/>
      <c r="I37" s="23" t="n"/>
      <c r="J37" s="22" t="inlineStr">
        <is>
          <t>Compra / armado</t>
        </is>
      </c>
      <c r="K37" s="23" t="n"/>
      <c r="L37" s="23" t="n"/>
      <c r="M37" s="22" t="inlineStr">
        <is>
          <t>P</t>
        </is>
      </c>
      <c r="N37" s="22" t="inlineStr">
        <is>
          <t>FL_DES_ABC_70kg</t>
        </is>
      </c>
      <c r="O37" s="23" t="n"/>
    </row>
    <row r="38" outlineLevel="1">
      <c r="A38" s="25" t="n">
        <v>2</v>
      </c>
      <c r="B38" s="25" t="inlineStr">
        <is>
          <t>ABC70-21</t>
        </is>
      </c>
      <c r="C38" s="12" t="inlineStr">
        <is>
          <t xml:space="preserve">        Manguera (tramo enrollado)</t>
        </is>
      </c>
      <c r="D38" s="25" t="n">
        <v>1</v>
      </c>
      <c r="E38" s="25" t="inlineStr">
        <is>
          <t>u</t>
        </is>
      </c>
      <c r="F38" s="26" t="n">
        <v>0.5703</v>
      </c>
      <c r="G38" s="26">
        <f>D38*F38</f>
        <v/>
      </c>
      <c r="H38" s="25" t="inlineStr">
        <is>
          <t>Caucho sintético</t>
        </is>
      </c>
      <c r="I38" s="12" t="inlineStr">
        <is>
          <t>Ø25 × 1.513 de largo desarrollado</t>
        </is>
      </c>
      <c r="J38" s="25" t="inlineStr">
        <is>
          <t>Compra</t>
        </is>
      </c>
      <c r="K38" s="12" t="inlineStr">
        <is>
          <t>C9 armado de ruedas y manguera</t>
        </is>
      </c>
      <c r="L38" s="12" t="n"/>
      <c r="M38" s="25" t="inlineStr">
        <is>
          <t>P</t>
        </is>
      </c>
      <c r="N38" s="25" t="inlineStr">
        <is>
          <t>FL_DES_ABC_70kg</t>
        </is>
      </c>
      <c r="O38" s="12" t="n"/>
    </row>
    <row r="39" outlineLevel="1">
      <c r="A39" s="25" t="n">
        <v>2</v>
      </c>
      <c r="B39" s="25" t="inlineStr">
        <is>
          <t>ABC70-22</t>
        </is>
      </c>
      <c r="C39" s="12" t="inlineStr">
        <is>
          <t xml:space="preserve">        Soporte de manguera</t>
        </is>
      </c>
      <c r="D39" s="25" t="n">
        <v>1</v>
      </c>
      <c r="E39" s="25" t="inlineStr">
        <is>
          <t>u</t>
        </is>
      </c>
      <c r="F39" s="26" t="n">
        <v>1.779</v>
      </c>
      <c r="G39" s="26">
        <f>D39*F39</f>
        <v/>
      </c>
      <c r="H39" s="25" t="inlineStr">
        <is>
          <t>Planchuela acero SAE 1010</t>
        </is>
      </c>
      <c r="I39" s="12" t="inlineStr">
        <is>
          <t>599,6 × 233,5 × 40,5</t>
        </is>
      </c>
      <c r="J39" s="25" t="inlineStr">
        <is>
          <t>Compra (estructura)</t>
        </is>
      </c>
      <c r="K39" s="12" t="inlineStr">
        <is>
          <t>C9 armado de ruedas y manguera</t>
        </is>
      </c>
      <c r="L39" s="12" t="n"/>
      <c r="M39" s="25" t="inlineStr">
        <is>
          <t>P</t>
        </is>
      </c>
      <c r="N39" s="25" t="inlineStr">
        <is>
          <t>FL_DES_ABC_70kg</t>
        </is>
      </c>
      <c r="O39" s="12" t="n"/>
    </row>
    <row r="40" outlineLevel="1">
      <c r="A40" s="25" t="n">
        <v>2</v>
      </c>
      <c r="B40" s="25" t="inlineStr">
        <is>
          <t>ABC70-23</t>
        </is>
      </c>
      <c r="C40" s="12" t="inlineStr">
        <is>
          <t xml:space="preserve">        Racor de manguera</t>
        </is>
      </c>
      <c r="D40" s="25" t="n">
        <v>1</v>
      </c>
      <c r="E40" s="25" t="inlineStr">
        <is>
          <t>u</t>
        </is>
      </c>
      <c r="F40" s="26" t="n">
        <v>0.0612</v>
      </c>
      <c r="G40" s="26">
        <f>D40*F40</f>
        <v/>
      </c>
      <c r="H40" s="25" t="inlineStr">
        <is>
          <t>Latón</t>
        </is>
      </c>
      <c r="I40" s="12" t="inlineStr">
        <is>
          <t>24 × 24 × 16</t>
        </is>
      </c>
      <c r="J40" s="25" t="inlineStr">
        <is>
          <t>Compra</t>
        </is>
      </c>
      <c r="K40" s="12" t="inlineStr">
        <is>
          <t>C9 armado de ruedas y manguera</t>
        </is>
      </c>
      <c r="L40" s="12" t="n"/>
      <c r="M40" s="25" t="inlineStr">
        <is>
          <t>P</t>
        </is>
      </c>
      <c r="N40" s="25" t="inlineStr">
        <is>
          <t>FL_DES_ABC_70kg</t>
        </is>
      </c>
      <c r="O40" s="12" t="n"/>
    </row>
    <row r="41" outlineLevel="1">
      <c r="A41" s="25" t="n">
        <v>2</v>
      </c>
      <c r="B41" s="25" t="inlineStr">
        <is>
          <t>ABC70-24</t>
        </is>
      </c>
      <c r="C41" s="12" t="inlineStr">
        <is>
          <t xml:space="preserve">        Manguera</t>
        </is>
      </c>
      <c r="D41" s="25" t="n">
        <v>1</v>
      </c>
      <c r="E41" s="25" t="inlineStr">
        <is>
          <t>u</t>
        </is>
      </c>
      <c r="F41" s="26" t="n">
        <v>0.2112</v>
      </c>
      <c r="G41" s="26">
        <f>D41*F41</f>
        <v/>
      </c>
      <c r="H41" s="25" t="inlineStr">
        <is>
          <t>Caucho sintético</t>
        </is>
      </c>
      <c r="I41" s="12" t="inlineStr">
        <is>
          <t>Ø16 × 1.368 de largo desarrollado</t>
        </is>
      </c>
      <c r="J41" s="25" t="inlineStr">
        <is>
          <t>Compra</t>
        </is>
      </c>
      <c r="K41" s="12" t="inlineStr">
        <is>
          <t>C9 armado de ruedas y manguera</t>
        </is>
      </c>
      <c r="L41" s="12" t="n"/>
      <c r="M41" s="25" t="inlineStr">
        <is>
          <t>P</t>
        </is>
      </c>
      <c r="N41" s="25" t="inlineStr">
        <is>
          <t>FL_DES_ABC_70kg</t>
        </is>
      </c>
      <c r="O41" s="12" t="n"/>
    </row>
    <row r="42" outlineLevel="1">
      <c r="A42" s="25" t="n">
        <v>2</v>
      </c>
      <c r="B42" s="25" t="inlineStr">
        <is>
          <t>ABC70-25</t>
        </is>
      </c>
      <c r="C42" s="12" t="inlineStr">
        <is>
          <t xml:space="preserve">        Válvula esférica</t>
        </is>
      </c>
      <c r="D42" s="25" t="n">
        <v>1</v>
      </c>
      <c r="E42" s="25" t="inlineStr">
        <is>
          <t>u</t>
        </is>
      </c>
      <c r="F42" s="26" t="n">
        <v>0.4225</v>
      </c>
      <c r="G42" s="26">
        <f>D42*F42</f>
        <v/>
      </c>
      <c r="H42" s="25" t="inlineStr">
        <is>
          <t>Latón cromado</t>
        </is>
      </c>
      <c r="I42" s="12" t="inlineStr">
        <is>
          <t>130 × 60 × 40</t>
        </is>
      </c>
      <c r="J42" s="25" t="inlineStr">
        <is>
          <t>Compra</t>
        </is>
      </c>
      <c r="K42" s="12" t="inlineStr">
        <is>
          <t>C9 armado de ruedas y manguera</t>
        </is>
      </c>
      <c r="L42" s="12" t="n"/>
      <c r="M42" s="25" t="inlineStr">
        <is>
          <t>P</t>
        </is>
      </c>
      <c r="N42" s="25" t="inlineStr">
        <is>
          <t>FL_DES_ABC_70kg</t>
        </is>
      </c>
      <c r="O42" s="12" t="n"/>
    </row>
    <row r="43" outlineLevel="1">
      <c r="A43" s="25" t="n">
        <v>2</v>
      </c>
      <c r="B43" s="25" t="inlineStr">
        <is>
          <t>ABC70-26</t>
        </is>
      </c>
      <c r="C43" s="12" t="inlineStr">
        <is>
          <t xml:space="preserve">        Tobera campana</t>
        </is>
      </c>
      <c r="D43" s="25" t="n">
        <v>1</v>
      </c>
      <c r="E43" s="25" t="inlineStr">
        <is>
          <t>u</t>
        </is>
      </c>
      <c r="F43" s="26" t="n">
        <v>0.07969999999999999</v>
      </c>
      <c r="G43" s="26">
        <f>D43*F43</f>
        <v/>
      </c>
      <c r="H43" s="25" t="inlineStr">
        <is>
          <t>Polipropileno</t>
        </is>
      </c>
      <c r="I43" s="12" t="inlineStr">
        <is>
          <t>200 × 68 × 68</t>
        </is>
      </c>
      <c r="J43" s="25" t="inlineStr">
        <is>
          <t>Compra</t>
        </is>
      </c>
      <c r="K43" s="12" t="inlineStr">
        <is>
          <t>C9 armado de ruedas y manguera</t>
        </is>
      </c>
      <c r="L43" s="12" t="n"/>
      <c r="M43" s="25" t="inlineStr">
        <is>
          <t>P</t>
        </is>
      </c>
      <c r="N43" s="25" t="inlineStr">
        <is>
          <t>FL_DES_ABC_70kg</t>
        </is>
      </c>
      <c r="O43" s="12" t="n"/>
    </row>
    <row r="44">
      <c r="A44" s="22" t="n">
        <v>1</v>
      </c>
      <c r="B44" s="22" t="inlineStr">
        <is>
          <t>ABC70-S4</t>
        </is>
      </c>
      <c r="C44" s="23" t="inlineStr">
        <is>
          <t xml:space="preserve">    Carro (bastidor y ruedas)</t>
        </is>
      </c>
      <c r="D44" s="22" t="n">
        <v>1</v>
      </c>
      <c r="E44" s="22" t="inlineStr">
        <is>
          <t>u</t>
        </is>
      </c>
      <c r="F44" s="24" t="n"/>
      <c r="G44" s="24">
        <f>G45+G46+G47+G48+G49+G50</f>
        <v/>
      </c>
      <c r="H44" s="22" t="n"/>
      <c r="I44" s="23" t="n"/>
      <c r="J44" s="22" t="inlineStr">
        <is>
          <t>Compra / armado</t>
        </is>
      </c>
      <c r="K44" s="23" t="n"/>
      <c r="L44" s="23" t="n"/>
      <c r="M44" s="22" t="inlineStr">
        <is>
          <t>P</t>
        </is>
      </c>
      <c r="N44" s="22" t="inlineStr">
        <is>
          <t>FL_DES_ABC_70kg</t>
        </is>
      </c>
      <c r="O44" s="23" t="n"/>
    </row>
    <row r="45" outlineLevel="1">
      <c r="A45" s="25" t="n">
        <v>2</v>
      </c>
      <c r="B45" s="25" t="inlineStr">
        <is>
          <t>ABC70-05</t>
        </is>
      </c>
      <c r="C45" s="12" t="inlineStr">
        <is>
          <t xml:space="preserve">        Neumático macizo</t>
        </is>
      </c>
      <c r="D45" s="25" t="n">
        <v>2</v>
      </c>
      <c r="E45" s="25" t="inlineStr">
        <is>
          <t>u</t>
        </is>
      </c>
      <c r="F45" s="26" t="n">
        <v>3.8922</v>
      </c>
      <c r="G45" s="26">
        <f>D45*F45</f>
        <v/>
      </c>
      <c r="H45" s="25" t="inlineStr">
        <is>
          <t>Caucho</t>
        </is>
      </c>
      <c r="I45" s="12" t="inlineStr">
        <is>
          <t>Ø350 × 70 de ancho</t>
        </is>
      </c>
      <c r="J45" s="25" t="inlineStr">
        <is>
          <t>Compra</t>
        </is>
      </c>
      <c r="K45" s="12" t="inlineStr">
        <is>
          <t>C9 armado de ruedas y manguera (S-TC)</t>
        </is>
      </c>
      <c r="L45" s="12" t="n"/>
      <c r="M45" s="25" t="inlineStr">
        <is>
          <t>P</t>
        </is>
      </c>
      <c r="N45" s="25" t="inlineStr">
        <is>
          <t>FL_DES_ABC_70kg</t>
        </is>
      </c>
      <c r="O45" s="12" t="n"/>
    </row>
    <row r="46" outlineLevel="1">
      <c r="A46" s="25" t="n">
        <v>2</v>
      </c>
      <c r="B46" s="25" t="inlineStr">
        <is>
          <t>ABC70-06</t>
        </is>
      </c>
      <c r="C46" s="12" t="inlineStr">
        <is>
          <t xml:space="preserve">        Llanta con cubo</t>
        </is>
      </c>
      <c r="D46" s="25" t="n">
        <v>2</v>
      </c>
      <c r="E46" s="25" t="inlineStr">
        <is>
          <t>u</t>
        </is>
      </c>
      <c r="F46" s="26" t="n">
        <v>4.0415</v>
      </c>
      <c r="G46" s="26">
        <f>D46*F46</f>
        <v/>
      </c>
      <c r="H46" s="25" t="inlineStr">
        <is>
          <t>Chapa acero SAE 1010</t>
        </is>
      </c>
      <c r="I46" s="12" t="inlineStr">
        <is>
          <t>Ø252 × 80 de ancho</t>
        </is>
      </c>
      <c r="J46" s="25" t="inlineStr">
        <is>
          <t>Compra</t>
        </is>
      </c>
      <c r="K46" s="12" t="inlineStr">
        <is>
          <t>C9 armado de ruedas y manguera (S-TC)</t>
        </is>
      </c>
      <c r="L46" s="12" t="n"/>
      <c r="M46" s="25" t="inlineStr">
        <is>
          <t>P</t>
        </is>
      </c>
      <c r="N46" s="25" t="inlineStr">
        <is>
          <t>FL_DES_ABC_70kg</t>
        </is>
      </c>
      <c r="O46" s="12" t="n"/>
    </row>
    <row r="47" outlineLevel="1">
      <c r="A47" s="25" t="n">
        <v>2</v>
      </c>
      <c r="B47" s="25" t="inlineStr">
        <is>
          <t>ABC70-07</t>
        </is>
      </c>
      <c r="C47" s="12" t="inlineStr">
        <is>
          <t xml:space="preserve">        Eje de ruedas</t>
        </is>
      </c>
      <c r="D47" s="25" t="n">
        <v>1</v>
      </c>
      <c r="E47" s="25" t="inlineStr">
        <is>
          <t>u</t>
        </is>
      </c>
      <c r="F47" s="26" t="n">
        <v>1.7533</v>
      </c>
      <c r="G47" s="26">
        <f>D47*F47</f>
        <v/>
      </c>
      <c r="H47" s="25" t="inlineStr">
        <is>
          <t>Acero SAE 1045</t>
        </is>
      </c>
      <c r="I47" s="12" t="inlineStr">
        <is>
          <t>Ø25 × 455 de largo</t>
        </is>
      </c>
      <c r="J47" s="25" t="inlineStr">
        <is>
          <t>Compra</t>
        </is>
      </c>
      <c r="K47" s="12" t="inlineStr">
        <is>
          <t>C9 armado de ruedas y manguera (S-TC)</t>
        </is>
      </c>
      <c r="L47" s="12" t="n"/>
      <c r="M47" s="25" t="inlineStr">
        <is>
          <t>P</t>
        </is>
      </c>
      <c r="N47" s="25" t="inlineStr">
        <is>
          <t>FL_DES_ABC_70kg</t>
        </is>
      </c>
      <c r="O47" s="12" t="n"/>
    </row>
    <row r="48" outlineLevel="1">
      <c r="A48" s="25" t="n">
        <v>2</v>
      </c>
      <c r="B48" s="25" t="inlineStr">
        <is>
          <t>ABC70-08</t>
        </is>
      </c>
      <c r="C48" s="12" t="inlineStr">
        <is>
          <t xml:space="preserve">        Bastidor</t>
        </is>
      </c>
      <c r="D48" s="25" t="n">
        <v>1</v>
      </c>
      <c r="E48" s="25" t="inlineStr">
        <is>
          <t>u</t>
        </is>
      </c>
      <c r="F48" s="26" t="n">
        <v>2.3771</v>
      </c>
      <c r="G48" s="26">
        <f>D48*F48</f>
        <v/>
      </c>
      <c r="H48" s="25" t="inlineStr">
        <is>
          <t>Caño acero SAE 1010 Ø25,4×1,6</t>
        </is>
      </c>
      <c r="I48" s="12" t="inlineStr">
        <is>
          <t>caño Ø25,4 × 1,6 × 2.490 de largo desarrollado</t>
        </is>
      </c>
      <c r="J48" s="25" t="inlineStr">
        <is>
          <t>Compra (estructura)</t>
        </is>
      </c>
      <c r="K48" s="12" t="inlineStr">
        <is>
          <t>C9 armado de ruedas y manguera (S-TC)</t>
        </is>
      </c>
      <c r="L48" s="12" t="n"/>
      <c r="M48" s="25" t="inlineStr">
        <is>
          <t>P</t>
        </is>
      </c>
      <c r="N48" s="25" t="inlineStr">
        <is>
          <t>FL_DES_ABC_70kg</t>
        </is>
      </c>
      <c r="O48" s="12" t="n"/>
    </row>
    <row r="49" outlineLevel="1">
      <c r="A49" s="25" t="n">
        <v>2</v>
      </c>
      <c r="B49" s="25" t="inlineStr">
        <is>
          <t>ABC70-09</t>
        </is>
      </c>
      <c r="C49" s="12" t="inlineStr">
        <is>
          <t xml:space="preserve">        Sunchos de fijación</t>
        </is>
      </c>
      <c r="D49" s="25" t="n">
        <v>1</v>
      </c>
      <c r="E49" s="25" t="inlineStr">
        <is>
          <t>u</t>
        </is>
      </c>
      <c r="F49" s="26" t="n">
        <v>6.9304</v>
      </c>
      <c r="G49" s="26">
        <f>D49*F49</f>
        <v/>
      </c>
      <c r="H49" s="25" t="inlineStr">
        <is>
          <t>Planchuela acero SAE 1010</t>
        </is>
      </c>
      <c r="I49" s="12" t="inlineStr">
        <is>
          <t>525 × 507,4 × 405</t>
        </is>
      </c>
      <c r="J49" s="25" t="inlineStr">
        <is>
          <t>Compra (estructura)</t>
        </is>
      </c>
      <c r="K49" s="12" t="inlineStr">
        <is>
          <t>C9 armado de ruedas y manguera (S-TC)</t>
        </is>
      </c>
      <c r="L49" s="12" t="n"/>
      <c r="M49" s="25" t="inlineStr">
        <is>
          <t>P</t>
        </is>
      </c>
      <c r="N49" s="25" t="inlineStr">
        <is>
          <t>FL_DES_ABC_70kg</t>
        </is>
      </c>
      <c r="O49" s="12" t="n"/>
    </row>
    <row r="50" outlineLevel="1">
      <c r="A50" s="25" t="n">
        <v>2</v>
      </c>
      <c r="B50" s="25" t="inlineStr">
        <is>
          <t>ABC70-10</t>
        </is>
      </c>
      <c r="C50" s="12" t="inlineStr">
        <is>
          <t xml:space="preserve">        Apoyo delantero</t>
        </is>
      </c>
      <c r="D50" s="25" t="n">
        <v>1</v>
      </c>
      <c r="E50" s="25" t="inlineStr">
        <is>
          <t>u</t>
        </is>
      </c>
      <c r="F50" s="26" t="n">
        <v>0.3022</v>
      </c>
      <c r="G50" s="26">
        <f>D50*F50</f>
        <v/>
      </c>
      <c r="H50" s="25" t="inlineStr">
        <is>
          <t>Chapa acero SAE 1010 plegada</t>
        </is>
      </c>
      <c r="I50" s="12" t="inlineStr">
        <is>
          <t>70 × 55 × 50</t>
        </is>
      </c>
      <c r="J50" s="25" t="inlineStr">
        <is>
          <t>Compra (estructura)</t>
        </is>
      </c>
      <c r="K50" s="12" t="inlineStr">
        <is>
          <t>C9 armado de ruedas y manguera (S-TC)</t>
        </is>
      </c>
      <c r="L50" s="12" t="n"/>
      <c r="M50" s="25" t="inlineStr">
        <is>
          <t>P</t>
        </is>
      </c>
      <c r="N50" s="25" t="inlineStr">
        <is>
          <t>FL_DES_ABC_70kg</t>
        </is>
      </c>
      <c r="O50" s="12" t="n"/>
    </row>
    <row r="51">
      <c r="A51" s="22" t="n">
        <v>1</v>
      </c>
      <c r="B51" s="22" t="inlineStr">
        <is>
          <t>ABC70-S5</t>
        </is>
      </c>
      <c r="C51" s="23" t="inlineStr">
        <is>
          <t xml:space="preserve">    Carga: agente extintor y gas impulsor</t>
        </is>
      </c>
      <c r="D51" s="22" t="n">
        <v>1</v>
      </c>
      <c r="E51" s="22" t="inlineStr">
        <is>
          <t>u</t>
        </is>
      </c>
      <c r="F51" s="24" t="n"/>
      <c r="G51" s="24">
        <f>G52+G53</f>
        <v/>
      </c>
      <c r="H51" s="22" t="n"/>
      <c r="I51" s="23" t="n"/>
      <c r="J51" s="22" t="inlineStr">
        <is>
          <t>Carga en planta</t>
        </is>
      </c>
      <c r="K51" s="23" t="inlineStr">
        <is>
          <t>18 Carga de polvo (T01) / C8 (T02)</t>
        </is>
      </c>
      <c r="L51" s="23" t="n"/>
      <c r="M51" s="22" t="n"/>
      <c r="N51" s="22" t="n"/>
      <c r="O51" s="23" t="n"/>
    </row>
    <row r="52" outlineLevel="1">
      <c r="A52" s="25" t="n">
        <v>2</v>
      </c>
      <c r="B52" s="25" t="inlineStr">
        <is>
          <t>ABC70-A1</t>
        </is>
      </c>
      <c r="C52" s="12" t="inlineStr">
        <is>
          <t xml:space="preserve">        Polvo químico seco ABC 90 (Sello IRAM 3569, DEMSA)</t>
        </is>
      </c>
      <c r="D52" s="25" t="n">
        <v>70</v>
      </c>
      <c r="E52" s="25" t="inlineStr">
        <is>
          <t>kg</t>
        </is>
      </c>
      <c r="F52" s="26" t="n">
        <v>1</v>
      </c>
      <c r="G52" s="26">
        <f>D52*F52</f>
        <v/>
      </c>
      <c r="H52" s="25" t="inlineStr">
        <is>
          <t>Polvo químico seco ABC 90 (Sello IRAM 3569, DEMSA)</t>
        </is>
      </c>
      <c r="I52" s="12" t="inlineStr">
        <is>
          <t>nominal 70 kg; tolerancia ± 3 % (IRAM 3517-2:2020 tabla 3)</t>
        </is>
      </c>
      <c r="J52" s="25" t="inlineStr">
        <is>
          <t>Compra</t>
        </is>
      </c>
      <c r="K52" s="12" t="inlineStr">
        <is>
          <t>SP-1 almacén previo a la carga</t>
        </is>
      </c>
      <c r="L52" s="12" t="inlineStr">
        <is>
          <t>IRAM 3569</t>
        </is>
      </c>
      <c r="M52" s="25" t="inlineStr">
        <is>
          <t>N</t>
        </is>
      </c>
      <c r="N52" s="25" t="n"/>
      <c r="O52" s="12" t="inlineStr">
        <is>
          <t>MAP 90 % (banda 85,5-94,5 %) = 63 kg MAP + 4,9 kg sulfato de amonio + 2,1 kg aditivos · potencial - · Lote único por extintor; prohibido mezclar ABC con BC (3517-2 9.9.1.6)</t>
        </is>
      </c>
    </row>
    <row r="53" outlineLevel="1">
      <c r="A53" s="25" t="n">
        <v>2</v>
      </c>
      <c r="B53" s="25" t="inlineStr">
        <is>
          <t>ABC70-A2</t>
        </is>
      </c>
      <c r="C53" s="12" t="inlineStr">
        <is>
          <t xml:space="preserve">        Gas impulsor: N₂</t>
        </is>
      </c>
      <c r="D53" s="25" t="n">
        <v>0.1418</v>
      </c>
      <c r="E53" s="25" t="inlineStr">
        <is>
          <t>kg</t>
        </is>
      </c>
      <c r="F53" s="26" t="n">
        <v>1</v>
      </c>
      <c r="G53" s="26">
        <f>D53*F53</f>
        <v/>
      </c>
      <c r="H53" s="25" t="inlineStr">
        <is>
          <t>N₂</t>
        </is>
      </c>
      <c r="I53" s="12" t="inlineStr">
        <is>
          <t>113,5 L normales para 1,4 MPa a 20 °C en 8,22 dm³ libres</t>
        </is>
      </c>
      <c r="J53" s="25" t="inlineStr">
        <is>
          <t>Compra</t>
        </is>
      </c>
      <c r="K53" s="12" t="inlineStr">
        <is>
          <t>20 Presurización (T05) / C10</t>
        </is>
      </c>
      <c r="L53" s="12" t="inlineStr">
        <is>
          <t>IRAM 3517-2 9.4.9 (tabla 2) · IRAM 3523 2.3 y 3.10</t>
        </is>
      </c>
      <c r="M53" s="25" t="inlineStr">
        <is>
          <t>C</t>
        </is>
      </c>
      <c r="N53" s="25" t="n"/>
      <c r="O53" s="12" t="inlineStr">
        <is>
          <t>VOLUMEN LIBRE INSUFICIENTE con ρ típica (8,22 dm³): ver Carga_N2 - exigir densidad aparente mínima al polvo o agrandar el recipiente</t>
        </is>
      </c>
    </row>
    <row r="54">
      <c r="A54" s="22" t="n">
        <v>1</v>
      </c>
      <c r="B54" s="22" t="inlineStr">
        <is>
          <t>ABC70-S6</t>
        </is>
      </c>
      <c r="C54" s="23" t="inlineStr">
        <is>
          <t xml:space="preserve">    Identificación y precinto</t>
        </is>
      </c>
      <c r="D54" s="22" t="n">
        <v>1</v>
      </c>
      <c r="E54" s="22" t="inlineStr">
        <is>
          <t>u</t>
        </is>
      </c>
      <c r="F54" s="24" t="n"/>
      <c r="G54" s="24">
        <f>G55+G56+G57+G58+G59</f>
        <v/>
      </c>
      <c r="H54" s="22" t="n"/>
      <c r="I54" s="23" t="n"/>
      <c r="J54" s="22" t="inlineStr">
        <is>
          <t>Compra</t>
        </is>
      </c>
      <c r="K54" s="23" t="inlineStr">
        <is>
          <t>22 Etiquetado (T07)</t>
        </is>
      </c>
      <c r="L54" s="23" t="n"/>
      <c r="M54" s="22" t="n"/>
      <c r="N54" s="22" t="n"/>
      <c r="O54" s="23" t="n"/>
    </row>
    <row r="55" outlineLevel="1">
      <c r="A55" s="25" t="n">
        <v>2</v>
      </c>
      <c r="B55" s="25" t="inlineStr">
        <is>
          <t>ABC70-27</t>
        </is>
      </c>
      <c r="C55" s="12" t="inlineStr">
        <is>
          <t xml:space="preserve">        Placa de características</t>
        </is>
      </c>
      <c r="D55" s="25" t="n">
        <v>1</v>
      </c>
      <c r="E55" s="25" t="inlineStr">
        <is>
          <t>u</t>
        </is>
      </c>
      <c r="F55" s="26" t="n">
        <v>0.0218</v>
      </c>
      <c r="G55" s="26">
        <f>D55*F55</f>
        <v/>
      </c>
      <c r="H55" s="25" t="inlineStr">
        <is>
          <t>Vinilo autoadhesivo laminado</t>
        </is>
      </c>
      <c r="I55" s="12" t="inlineStr">
        <is>
          <t>330 × 157 (desarrollo × alto), e ≈ 0,3</t>
        </is>
      </c>
      <c r="J55" s="25" t="inlineStr">
        <is>
          <t>Compra</t>
        </is>
      </c>
      <c r="K55" s="12" t="inlineStr">
        <is>
          <t>22 Etiquetado (T07)</t>
        </is>
      </c>
      <c r="L55" s="12" t="inlineStr">
        <is>
          <t>IRAM 3534 · IRAM 3550 cap. 5</t>
        </is>
      </c>
      <c r="M55" s="25" t="inlineStr">
        <is>
          <t>P</t>
        </is>
      </c>
      <c r="N55" s="25" t="inlineStr">
        <is>
          <t>FL_DES_ABC_70kg</t>
        </is>
      </c>
      <c r="O55" s="12" t="inlineStr">
        <is>
          <t>IRAM 3534</t>
        </is>
      </c>
    </row>
    <row r="56" outlineLevel="1">
      <c r="A56" s="25" t="n">
        <v>2</v>
      </c>
      <c r="B56" s="25" t="inlineStr">
        <is>
          <t>ABC70-28</t>
        </is>
      </c>
      <c r="C56" s="12" t="inlineStr">
        <is>
          <t xml:space="preserve">        Oblea de fabricación (PBA)</t>
        </is>
      </c>
      <c r="D56" s="25" t="n">
        <v>1</v>
      </c>
      <c r="E56" s="25" t="inlineStr">
        <is>
          <t>u</t>
        </is>
      </c>
      <c r="F56" s="26" t="n">
        <v>0.0009</v>
      </c>
      <c r="G56" s="26">
        <f>D56*F56</f>
        <v/>
      </c>
      <c r="H56" s="25" t="inlineStr">
        <is>
          <t>Papel de seguridad autodestructible</t>
        </is>
      </c>
      <c r="I56" s="12" t="inlineStr">
        <is>
          <t>Ø46 (Res. OPDS 522/07), numerada, autodestructible</t>
        </is>
      </c>
      <c r="J56" s="25" t="inlineStr">
        <is>
          <t>Compra</t>
        </is>
      </c>
      <c r="K56" s="12" t="inlineStr">
        <is>
          <t>22 Etiquetado (T07)</t>
        </is>
      </c>
      <c r="L56" s="12" t="inlineStr">
        <is>
          <t>Res. OPDS 522/07 anexos 1, 2 y 6</t>
        </is>
      </c>
      <c r="M56" s="25" t="inlineStr">
        <is>
          <t>P</t>
        </is>
      </c>
      <c r="N56" s="25" t="inlineStr">
        <is>
          <t>FL_DES_ABC_70kg</t>
        </is>
      </c>
      <c r="O56" s="12" t="inlineStr">
        <is>
          <t>Res. 522/07</t>
        </is>
      </c>
    </row>
    <row r="57" outlineLevel="1">
      <c r="A57" s="25" t="n">
        <v>2</v>
      </c>
      <c r="B57" s="25" t="inlineStr">
        <is>
          <t>ABC70-29</t>
        </is>
      </c>
      <c r="C57" s="12" t="inlineStr">
        <is>
          <t xml:space="preserve">        Estampilla IRAM de conformidad</t>
        </is>
      </c>
      <c r="D57" s="25" t="n">
        <v>1</v>
      </c>
      <c r="E57" s="25" t="inlineStr">
        <is>
          <t>u</t>
        </is>
      </c>
      <c r="F57" s="26" t="n">
        <v>0.001</v>
      </c>
      <c r="G57" s="26">
        <f>D57*F57</f>
        <v/>
      </c>
      <c r="H57" s="25" t="inlineStr">
        <is>
          <t>Provista por IRAM (Anexo R)</t>
        </is>
      </c>
      <c r="I57" s="12" t="inlineStr">
        <is>
          <t>60 × 40</t>
        </is>
      </c>
      <c r="J57" s="25" t="inlineStr">
        <is>
          <t>Compra</t>
        </is>
      </c>
      <c r="K57" s="12" t="inlineStr">
        <is>
          <t>22 Etiquetado (T07)</t>
        </is>
      </c>
      <c r="L57" s="12" t="inlineStr">
        <is>
          <t>IRAM Anexo R (DC-PG-129)</t>
        </is>
      </c>
      <c r="M57" s="25" t="inlineStr">
        <is>
          <t>P</t>
        </is>
      </c>
      <c r="N57" s="25" t="inlineStr">
        <is>
          <t>FL_DES_ABC_70kg</t>
        </is>
      </c>
      <c r="O57" s="12" t="inlineStr">
        <is>
          <t>numerada</t>
        </is>
      </c>
    </row>
    <row r="58" outlineLevel="1">
      <c r="A58" s="25" t="n">
        <v>2</v>
      </c>
      <c r="B58" s="25" t="inlineStr">
        <is>
          <t>ABC70-31</t>
        </is>
      </c>
      <c r="C58" s="12" t="inlineStr">
        <is>
          <t xml:space="preserve">        Precinto de fábrica</t>
        </is>
      </c>
      <c r="D58" s="25" t="n">
        <v>1</v>
      </c>
      <c r="E58" s="25" t="inlineStr">
        <is>
          <t>u</t>
        </is>
      </c>
      <c r="F58" s="26" t="n">
        <v>0.0002</v>
      </c>
      <c r="G58" s="26">
        <f>D58*F58</f>
        <v/>
      </c>
      <c r="H58" s="25" t="inlineStr">
        <is>
          <t>Polipropileno</t>
        </is>
      </c>
      <c r="I58" s="12" t="inlineStr">
        <is>
          <t>Ø5 × 10, numerado, rotura 30-50 N</t>
        </is>
      </c>
      <c r="J58" s="25" t="inlineStr">
        <is>
          <t>Compra</t>
        </is>
      </c>
      <c r="K58" s="12" t="inlineStr">
        <is>
          <t>20 Presurización (T05)</t>
        </is>
      </c>
      <c r="L58" s="12" t="inlineStr">
        <is>
          <t>IRAM 3523 3.3.2 · IRAM 3517-2:2020 9.4.13</t>
        </is>
      </c>
      <c r="M58" s="25" t="inlineStr">
        <is>
          <t>P</t>
        </is>
      </c>
      <c r="N58" s="25" t="inlineStr">
        <is>
          <t>FL_DES_ABC_70kg</t>
        </is>
      </c>
      <c r="O58" s="12" t="inlineStr">
        <is>
          <t>id. FLAMA y lote</t>
        </is>
      </c>
    </row>
    <row r="59" outlineLevel="1">
      <c r="A59" s="25" t="n">
        <v>2</v>
      </c>
      <c r="B59" s="25" t="inlineStr">
        <is>
          <t>ABC70-I3</t>
        </is>
      </c>
      <c r="C59" s="12" t="inlineStr">
        <is>
          <t xml:space="preserve">        Tarjeta oficial de vigencia (CABA)</t>
        </is>
      </c>
      <c r="D59" s="25" t="n">
        <v>1</v>
      </c>
      <c r="E59" s="25" t="inlineStr">
        <is>
          <t>u</t>
        </is>
      </c>
      <c r="F59" s="26" t="n">
        <v>0.002</v>
      </c>
      <c r="G59" s="26">
        <f>D59*F59</f>
        <v/>
      </c>
      <c r="H59" s="25" t="inlineStr">
        <is>
          <t>Formulario oficial</t>
        </is>
      </c>
      <c r="I59" s="12" t="inlineStr">
        <is>
          <t>provista por DG Rentas GCBA</t>
        </is>
      </c>
      <c r="J59" s="25" t="inlineStr">
        <is>
          <t>Compra</t>
        </is>
      </c>
      <c r="K59" s="12" t="inlineStr">
        <is>
          <t>22 Etiquetado</t>
        </is>
      </c>
      <c r="L59" s="12" t="inlineStr">
        <is>
          <t>Ordenanza 40.473 art. 6</t>
        </is>
      </c>
      <c r="M59" s="25" t="inlineStr">
        <is>
          <t>N</t>
        </is>
      </c>
      <c r="N59" s="25" t="n"/>
      <c r="O59" s="12" t="inlineStr">
        <is>
          <t>Clase, capacidad, fecha de carga y vencimiento, garantía; se anexa al matafuego (no se dibuja)</t>
        </is>
      </c>
    </row>
    <row r="60">
      <c r="A60" s="22" t="n">
        <v>1</v>
      </c>
      <c r="B60" s="22" t="inlineStr">
        <is>
          <t>ABC70-S7</t>
        </is>
      </c>
      <c r="C60" s="23" t="inlineStr">
        <is>
          <t xml:space="preserve">    Embalaje</t>
        </is>
      </c>
      <c r="D60" s="22" t="n">
        <v>1</v>
      </c>
      <c r="E60" s="22" t="inlineStr">
        <is>
          <t>u</t>
        </is>
      </c>
      <c r="F60" s="24" t="n"/>
      <c r="G60" s="24">
        <f>G61+G62+G63+G64</f>
        <v/>
      </c>
      <c r="H60" s="22" t="n"/>
      <c r="I60" s="23" t="n"/>
      <c r="J60" s="22" t="inlineStr">
        <is>
          <t>Compra</t>
        </is>
      </c>
      <c r="K60" s="23" t="inlineStr">
        <is>
          <t>23 Embalaje -&gt; 24 envolvedora (T11)</t>
        </is>
      </c>
      <c r="L60" s="23" t="n"/>
      <c r="M60" s="22" t="n"/>
      <c r="N60" s="22" t="n"/>
      <c r="O60" s="23" t="n"/>
    </row>
    <row r="61" outlineLevel="1">
      <c r="A61" s="25" t="n">
        <v>2</v>
      </c>
      <c r="B61" s="25" t="inlineStr">
        <is>
          <t>ABC70-E1</t>
        </is>
      </c>
      <c r="C61" s="12" t="inlineStr">
        <is>
          <t xml:space="preserve">        Esquineros y funda de polietileno</t>
        </is>
      </c>
      <c r="D61" s="25" t="n">
        <v>1</v>
      </c>
      <c r="E61" s="25" t="inlineStr">
        <is>
          <t>jgo</t>
        </is>
      </c>
      <c r="F61" s="26" t="n">
        <v>0.3</v>
      </c>
      <c r="G61" s="26">
        <f>D61*F61</f>
        <v/>
      </c>
      <c r="H61" s="25" t="inlineStr">
        <is>
          <t>PE / cartón</t>
        </is>
      </c>
      <c r="I61" s="12" t="inlineStr">
        <is>
          <t>a medida</t>
        </is>
      </c>
      <c r="J61" s="25" t="inlineStr">
        <is>
          <t>Compra</t>
        </is>
      </c>
      <c r="K61" s="12" t="inlineStr">
        <is>
          <t>23 Embalaje</t>
        </is>
      </c>
      <c r="L61" s="12" t="n"/>
      <c r="M61" s="25" t="inlineStr">
        <is>
          <t>R</t>
        </is>
      </c>
      <c r="N61" s="25" t="n"/>
      <c r="O61" s="12" t="n"/>
    </row>
    <row r="62" outlineLevel="1">
      <c r="A62" s="25" t="n">
        <v>2</v>
      </c>
      <c r="B62" s="25" t="inlineStr">
        <is>
          <t>ABC70-E3</t>
        </is>
      </c>
      <c r="C62" s="12" t="inlineStr">
        <is>
          <t xml:space="preserve">        Pallet 1200 × 1000 (fracción)</t>
        </is>
      </c>
      <c r="D62" s="25" t="n">
        <v>0.5</v>
      </c>
      <c r="E62" s="25" t="inlineStr">
        <is>
          <t>u</t>
        </is>
      </c>
      <c r="F62" s="26" t="n">
        <v>11</v>
      </c>
      <c r="G62" s="26">
        <f>D62*F62</f>
        <v/>
      </c>
      <c r="H62" s="25" t="inlineStr">
        <is>
          <t>Madera</t>
        </is>
      </c>
      <c r="I62" s="12" t="inlineStr">
        <is>
          <t>2 u por pallet</t>
        </is>
      </c>
      <c r="J62" s="25" t="inlineStr">
        <is>
          <t>Compra</t>
        </is>
      </c>
      <c r="K62" s="12" t="inlineStr">
        <is>
          <t>23 Embalaje</t>
        </is>
      </c>
      <c r="L62" s="12" t="n"/>
      <c r="M62" s="25" t="inlineStr">
        <is>
          <t>R</t>
        </is>
      </c>
      <c r="N62" s="25" t="n"/>
      <c r="O62" s="12" t="n"/>
    </row>
    <row r="63" outlineLevel="1">
      <c r="A63" s="25" t="n">
        <v>2</v>
      </c>
      <c r="B63" s="25" t="inlineStr">
        <is>
          <t>ABC70-E4</t>
        </is>
      </c>
      <c r="C63" s="12" t="inlineStr">
        <is>
          <t xml:space="preserve">        Film stretch (fracción del pallet)</t>
        </is>
      </c>
      <c r="D63" s="25" t="n">
        <v>0.175</v>
      </c>
      <c r="E63" s="25" t="inlineStr">
        <is>
          <t>kg</t>
        </is>
      </c>
      <c r="F63" s="26" t="n">
        <v>1</v>
      </c>
      <c r="G63" s="26">
        <f>D63*F63</f>
        <v/>
      </c>
      <c r="H63" s="25" t="inlineStr">
        <is>
          <t>PE lineal 23 µm</t>
        </is>
      </c>
      <c r="I63" s="12" t="inlineStr">
        <is>
          <t>envolvedora EDOS PS5</t>
        </is>
      </c>
      <c r="J63" s="25" t="inlineStr">
        <is>
          <t>Compra</t>
        </is>
      </c>
      <c r="K63" s="12" t="inlineStr">
        <is>
          <t>24 Envolvedora (T11)</t>
        </is>
      </c>
      <c r="L63" s="12" t="n"/>
      <c r="M63" s="25" t="inlineStr">
        <is>
          <t>R</t>
        </is>
      </c>
      <c r="N63" s="25" t="n"/>
      <c r="O63" s="12" t="n"/>
    </row>
    <row r="64" outlineLevel="1">
      <c r="A64" s="25" t="n">
        <v>2</v>
      </c>
      <c r="B64" s="25" t="inlineStr">
        <is>
          <t>ABC70-E5</t>
        </is>
      </c>
      <c r="C64" s="12" t="inlineStr">
        <is>
          <t xml:space="preserve">        Etiqueta de pallet (lote y destino, fracción)</t>
        </is>
      </c>
      <c r="D64" s="25" t="n">
        <v>0.5</v>
      </c>
      <c r="E64" s="25" t="inlineStr">
        <is>
          <t>u</t>
        </is>
      </c>
      <c r="F64" s="26" t="n">
        <v>0</v>
      </c>
      <c r="G64" s="26">
        <f>D64*F64</f>
        <v/>
      </c>
      <c r="H64" s="25" t="inlineStr">
        <is>
          <t>Papel térmico</t>
        </is>
      </c>
      <c r="I64" s="12" t="inlineStr">
        <is>
          <t>100 × 150</t>
        </is>
      </c>
      <c r="J64" s="25" t="inlineStr">
        <is>
          <t>Compra</t>
        </is>
      </c>
      <c r="K64" s="12" t="inlineStr">
        <is>
          <t>24 Envolvedora</t>
        </is>
      </c>
      <c r="L64" s="12" t="n"/>
      <c r="M64" s="25" t="inlineStr">
        <is>
          <t>R</t>
        </is>
      </c>
      <c r="N64" s="25" t="n"/>
      <c r="O64" s="12" t="n"/>
    </row>
  </sheetData>
  <autoFilter ref="A10:O64"/>
  <pageMargins left="0.75" right="0.75" top="1" bottom="1" header="0.5" footer="0.5"/>
  <pageSetup orientation="landscape" fitToHeight="0" fitToWidth="1"/>
</worksheet>
</file>

<file path=xl/worksheets/sheet23.xml><?xml version="1.0" encoding="utf-8"?>
<worksheet xmlns="http://schemas.openxmlformats.org/spreadsheetml/2006/main">
  <sheetPr>
    <tabColor rgb="007F1D1D"/>
    <outlinePr summaryBelow="0" summaryRight="1"/>
    <pageSetUpPr fitToPage="1"/>
  </sheetPr>
  <dimension ref="A1:O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FL_MAT_ABC_100kg</t>
        </is>
      </c>
    </row>
    <row r="2">
      <c r="A2" s="2" t="inlineStr">
        <is>
          <t>Extintor ABC 100 kg sobre ruedas</t>
        </is>
      </c>
    </row>
    <row r="3">
      <c r="A3" s="14" t="inlineStr">
        <is>
          <t>Plano de origen</t>
        </is>
      </c>
      <c r="C3" t="inlineStr">
        <is>
          <t>FL_MAT_ABC_100kg  (3 láminas)</t>
        </is>
      </c>
      <c r="E3" s="14" t="inlineStr">
        <is>
          <t>Peso vacío S1-S4 (kg)</t>
        </is>
      </c>
      <c r="G3" s="30">
        <f>G12+G23+G37+G44</f>
        <v/>
      </c>
    </row>
    <row r="4">
      <c r="A4" s="14" t="inlineStr">
        <is>
          <t>Plano de despiece</t>
        </is>
      </c>
      <c r="C4" t="inlineStr">
        <is>
          <t>FL_DES_ABC_100kg (salida/despiece/)</t>
        </is>
      </c>
      <c r="E4" s="14" t="inlineStr">
        <is>
          <t>Peso cargado S1-S6 (kg)</t>
        </is>
      </c>
      <c r="G4" s="30">
        <f>G12+G23+G37+G44+G51+G54</f>
        <v/>
      </c>
    </row>
    <row r="5">
      <c r="A5" s="14" t="inlineStr">
        <is>
          <t>Norma del producto</t>
        </is>
      </c>
      <c r="C5" t="inlineStr">
        <is>
          <t>IRAM 3550</t>
        </is>
      </c>
      <c r="E5" s="14" t="inlineStr">
        <is>
          <t>Peso con soporte y embalaje (kg)</t>
        </is>
      </c>
      <c r="G5" s="30">
        <f>G12+G23+G37+G44+G51+G54+G60</f>
        <v/>
      </c>
    </row>
    <row r="6">
      <c r="A6" s="14" t="inlineStr">
        <is>
          <t>Fabricación</t>
        </is>
      </c>
      <c r="C6" t="inlineStr">
        <is>
          <t>Fabricación propia</t>
        </is>
      </c>
      <c r="E6" s="14" t="inlineStr">
        <is>
          <t>Desvío cargado vs catálogo</t>
        </is>
      </c>
      <c r="G6" s="10">
        <f>G4/C7-1</f>
        <v/>
      </c>
    </row>
    <row r="7">
      <c r="A7" s="14" t="inlineStr">
        <is>
          <t>Peso catálogo cargado (kg)</t>
        </is>
      </c>
      <c r="C7" t="n">
        <v>185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FL_MAT_ABC_100kg</t>
        </is>
      </c>
      <c r="C11" s="20" t="inlineStr">
        <is>
          <t>Extintor ABC 100 kg sobre ruedas</t>
        </is>
      </c>
      <c r="D11" s="19" t="n">
        <v>1</v>
      </c>
      <c r="E11" s="19" t="inlineStr">
        <is>
          <t>u</t>
        </is>
      </c>
      <c r="F11" s="21" t="n"/>
      <c r="G11" s="21">
        <f>G5</f>
        <v/>
      </c>
      <c r="H11" s="19" t="n"/>
      <c r="I11" s="20" t="n"/>
      <c r="J11" s="19" t="n"/>
      <c r="K11" s="20" t="n"/>
      <c r="L11" s="20" t="inlineStr">
        <is>
          <t>IRAM 3550</t>
        </is>
      </c>
      <c r="M11" s="19" t="inlineStr">
        <is>
          <t>P</t>
        </is>
      </c>
      <c r="N11" s="19" t="inlineStr">
        <is>
          <t>FL_MAT_ABC_100kg</t>
        </is>
      </c>
      <c r="O11" s="20" t="inlineStr">
        <is>
          <t>Fabricación propia</t>
        </is>
      </c>
    </row>
    <row r="12">
      <c r="A12" s="22" t="n">
        <v>1</v>
      </c>
      <c r="B12" s="22" t="inlineStr">
        <is>
          <t>FL_REC_ABC_100kg</t>
        </is>
      </c>
      <c r="C12" s="23" t="inlineStr">
        <is>
          <t xml:space="preserve">    Recipiente (cilindro)</t>
        </is>
      </c>
      <c r="D12" s="22" t="n">
        <v>1</v>
      </c>
      <c r="E12" s="22" t="inlineStr">
        <is>
          <t>u</t>
        </is>
      </c>
      <c r="F12" s="24" t="n"/>
      <c r="G12" s="24">
        <f>G13+G15+G16+G17+G19+G22</f>
        <v/>
      </c>
      <c r="H12" s="22" t="n"/>
      <c r="I12" s="23" t="n"/>
      <c r="J12" s="22" t="inlineStr">
        <is>
          <t>Fabricación</t>
        </is>
      </c>
      <c r="K12" s="23" t="n"/>
      <c r="L12" s="23" t="inlineStr">
        <is>
          <t>IRAM 3523 / 3550 (recipiente)</t>
        </is>
      </c>
      <c r="M12" s="22" t="inlineStr">
        <is>
          <t>P</t>
        </is>
      </c>
      <c r="N12" s="22" t="inlineStr">
        <is>
          <t>FL_REC_ABC_100kg</t>
        </is>
      </c>
      <c r="O12" s="23" t="n"/>
    </row>
    <row r="13" outlineLevel="1">
      <c r="A13" s="25" t="n">
        <v>2</v>
      </c>
      <c r="B13" s="25" t="inlineStr">
        <is>
          <t>ABC100-01</t>
        </is>
      </c>
      <c r="C13" s="12" t="inlineStr">
        <is>
          <t xml:space="preserve">        Cuerpo (virola)</t>
        </is>
      </c>
      <c r="D13" s="25" t="n">
        <v>1</v>
      </c>
      <c r="E13" s="25" t="inlineStr">
        <is>
          <t>u</t>
        </is>
      </c>
      <c r="F13" s="26" t="n">
        <v>23.5073</v>
      </c>
      <c r="G13" s="26">
        <f>D13*F13</f>
        <v/>
      </c>
      <c r="H13" s="25" t="inlineStr">
        <is>
          <t>Chapa acero SAE 1010 e=3,2</t>
        </is>
      </c>
      <c r="I13" s="12" t="inlineStr">
        <is>
          <t>Ø390 × e3,2 × 770,1 de alto; desarrollo 1.215,2 × 770,1</t>
        </is>
      </c>
      <c r="J13" s="25" t="inlineStr">
        <is>
          <t>Fabricación</t>
        </is>
      </c>
      <c r="K13" s="12" t="inlineStr">
        <is>
          <t>1 Guillotina -&gt; C1 cilindrado -&gt; C2 punteo -&gt; C3 sold. long.</t>
        </is>
      </c>
      <c r="L13" s="12" t="n"/>
      <c r="M13" s="25" t="inlineStr">
        <is>
          <t>P</t>
        </is>
      </c>
      <c r="N13" s="25" t="inlineStr">
        <is>
          <t>FL_DES_ABC_100kg</t>
        </is>
      </c>
      <c r="O13" s="12" t="inlineStr">
        <is>
          <t>costura long. MIG</t>
        </is>
      </c>
    </row>
    <row r="14" outlineLevel="2">
      <c r="A14" s="27" t="n">
        <v>3</v>
      </c>
      <c r="B14" s="27" t="inlineStr">
        <is>
          <t>MP-HOJA</t>
        </is>
      </c>
      <c r="C14" s="28" t="inlineStr">
        <is>
          <t xml:space="preserve">            Recorte de hoja LAC 1500 × 3000 e=4,75</t>
        </is>
      </c>
      <c r="D14" s="27" t="n">
        <v>1</v>
      </c>
      <c r="E14" s="27" t="inlineStr">
        <is>
          <t>u</t>
        </is>
      </c>
      <c r="F14" s="29" t="n">
        <v>55.947</v>
      </c>
      <c r="G14" s="29">
        <f>D14*F14</f>
        <v/>
      </c>
      <c r="H14" s="27" t="inlineStr">
        <is>
          <t>Chapa SAE 1010 LAC</t>
        </is>
      </c>
      <c r="I14" s="28" t="inlineStr">
        <is>
          <t>900 × 1.212 (aprovech. 72,7 %)</t>
        </is>
      </c>
      <c r="J14" s="27" t="inlineStr">
        <is>
          <t>Compra (Pradecon)</t>
        </is>
      </c>
      <c r="K14" s="28" t="inlineStr">
        <is>
          <t>AL-1H paquetes de hojas</t>
        </is>
      </c>
      <c r="L14" s="28" t="n"/>
      <c r="M14" s="27" t="inlineStr">
        <is>
          <t>L</t>
        </is>
      </c>
      <c r="N14" s="27" t="inlineStr">
        <is>
          <t>FL_PI_04 h2</t>
        </is>
      </c>
      <c r="O14" s="28" t="inlineStr">
        <is>
          <t>OJO: la hoja de corte usa e=4,75 y el plano e=3,2</t>
        </is>
      </c>
    </row>
    <row r="15" outlineLevel="1">
      <c r="A15" s="25" t="n">
        <v>2</v>
      </c>
      <c r="B15" s="25" t="inlineStr">
        <is>
          <t>ABC100-02</t>
        </is>
      </c>
      <c r="C15" s="12" t="inlineStr">
        <is>
          <t xml:space="preserve">        Cúpula</t>
        </is>
      </c>
      <c r="D15" s="25" t="n">
        <v>1</v>
      </c>
      <c r="E15" s="25" t="inlineStr">
        <is>
          <t>u</t>
        </is>
      </c>
      <c r="F15" s="26" t="n">
        <v>4.3435</v>
      </c>
      <c r="G15" s="26">
        <f>D15*F15</f>
        <v/>
      </c>
      <c r="H15" s="25" t="inlineStr">
        <is>
          <t>Chapa acero SAE 1010 e=3,2</t>
        </is>
      </c>
      <c r="I15" s="12" t="inlineStr">
        <is>
          <t>Ø390 × e3,2 × 125,2 de alto; disco Ø483,3</t>
        </is>
      </c>
      <c r="J15" s="25" t="inlineStr">
        <is>
          <t>Compra</t>
        </is>
      </c>
      <c r="K15" s="12" t="inlineStr">
        <is>
          <t>Compra (casquetes de carros, rack RK1)</t>
        </is>
      </c>
      <c r="L15" s="12" t="n"/>
      <c r="M15" s="25" t="inlineStr">
        <is>
          <t>P</t>
        </is>
      </c>
      <c r="N15" s="25" t="inlineStr">
        <is>
          <t>FL_DES_ABC_100kg</t>
        </is>
      </c>
      <c r="O15" s="12" t="inlineStr">
        <is>
          <t>embutida</t>
        </is>
      </c>
    </row>
    <row r="16" outlineLevel="1">
      <c r="A16" s="25" t="n">
        <v>2</v>
      </c>
      <c r="B16" s="25" t="inlineStr">
        <is>
          <t>ABC100-03</t>
        </is>
      </c>
      <c r="C16" s="12" t="inlineStr">
        <is>
          <t xml:space="preserve">        Fondo</t>
        </is>
      </c>
      <c r="D16" s="25" t="n">
        <v>1</v>
      </c>
      <c r="E16" s="25" t="inlineStr">
        <is>
          <t>u</t>
        </is>
      </c>
      <c r="F16" s="26" t="n">
        <v>4.645</v>
      </c>
      <c r="G16" s="26">
        <f>D16*F16</f>
        <v/>
      </c>
      <c r="H16" s="25" t="inlineStr">
        <is>
          <t>Chapa acero SAE 1010 e=3,2</t>
        </is>
      </c>
      <c r="I16" s="12" t="inlineStr">
        <is>
          <t>Ø390 × e3,2 × 127,9 de alto; disco Ø499,8</t>
        </is>
      </c>
      <c r="J16" s="25" t="inlineStr">
        <is>
          <t>Compra</t>
        </is>
      </c>
      <c r="K16" s="12" t="inlineStr">
        <is>
          <t>Compra (casquetes de carros, rack RK1)</t>
        </is>
      </c>
      <c r="L16" s="12" t="n"/>
      <c r="M16" s="25" t="inlineStr">
        <is>
          <t>P</t>
        </is>
      </c>
      <c r="N16" s="25" t="inlineStr">
        <is>
          <t>FL_DES_ABC_100kg</t>
        </is>
      </c>
      <c r="O16" s="12" t="inlineStr">
        <is>
          <t>embutido</t>
        </is>
      </c>
    </row>
    <row r="17" outlineLevel="1">
      <c r="A17" s="25" t="n">
        <v>2</v>
      </c>
      <c r="B17" s="25" t="inlineStr">
        <is>
          <t>ABC100-04</t>
        </is>
      </c>
      <c r="C17" s="12" t="inlineStr">
        <is>
          <t xml:space="preserve">        Cuello roscado</t>
        </is>
      </c>
      <c r="D17" s="25" t="n">
        <v>1</v>
      </c>
      <c r="E17" s="25" t="inlineStr">
        <is>
          <t>u</t>
        </is>
      </c>
      <c r="F17" s="26" t="n">
        <v>0.6084000000000001</v>
      </c>
      <c r="G17" s="26">
        <f>D17*F17</f>
        <v/>
      </c>
      <c r="H17" s="25" t="inlineStr">
        <is>
          <t>Acero SAE 1010</t>
        </is>
      </c>
      <c r="I17" s="12" t="inlineStr">
        <is>
          <t>Ø88 × 37 de alto, rosca RBSP 2 1/2"-11 h, asiento Ø80</t>
        </is>
      </c>
      <c r="J17" s="25" t="inlineStr">
        <is>
          <t>Fabricación</t>
        </is>
      </c>
      <c r="K17" s="12" t="inlineStr">
        <is>
          <t>C2 punteo</t>
        </is>
      </c>
      <c r="L17" s="12" t="n"/>
      <c r="M17" s="25" t="inlineStr">
        <is>
          <t>P</t>
        </is>
      </c>
      <c r="N17" s="25" t="inlineStr">
        <is>
          <t>FL_DES_ABC_100kg</t>
        </is>
      </c>
      <c r="O17" s="12" t="inlineStr">
        <is>
          <t>RBSP 2 1/2"-11 h</t>
        </is>
      </c>
    </row>
    <row r="18" outlineLevel="2">
      <c r="A18" s="27" t="n">
        <v>3</v>
      </c>
      <c r="B18" s="27" t="inlineStr">
        <is>
          <t>MP-CUELLO</t>
        </is>
      </c>
      <c r="C18" s="28" t="inlineStr">
        <is>
          <t xml:space="preserve">            Cuello roscado mecanizado (pieza comprada lista para soldar)</t>
        </is>
      </c>
      <c r="D18" s="27" t="n">
        <v>1</v>
      </c>
      <c r="E18" s="27" t="inlineStr">
        <is>
          <t>u</t>
        </is>
      </c>
      <c r="F18" s="29" t="n">
        <v>0.608</v>
      </c>
      <c r="G18" s="29">
        <f>D18*F18</f>
        <v/>
      </c>
      <c r="H18" s="27" t="inlineStr">
        <is>
          <t>Acero SAE 1010 / 1020</t>
        </is>
      </c>
      <c r="I18" s="28" t="inlineStr">
        <is>
          <t>rosca RBSP 2 1/2"-11 h</t>
        </is>
      </c>
      <c r="J18" s="27" t="inlineStr">
        <is>
          <t>Compra (Eli-Met)</t>
        </is>
      </c>
      <c r="K18" s="28" t="inlineStr">
        <is>
          <t>AL-1C cuellos y roscas</t>
        </is>
      </c>
      <c r="L18" s="28" t="n"/>
      <c r="M18" s="27" t="inlineStr">
        <is>
          <t>L</t>
        </is>
      </c>
      <c r="N18" s="27" t="n"/>
      <c r="O18" s="28" t="n"/>
    </row>
    <row r="19" outlineLevel="1">
      <c r="A19" s="25" t="n">
        <v>2</v>
      </c>
      <c r="B19" s="25" t="inlineStr">
        <is>
          <t>ABC100-C1</t>
        </is>
      </c>
      <c r="C19" s="12" t="inlineStr">
        <is>
          <t xml:space="preserve">        Aporte de soldadura: Alambre MAG ER70S-6 Ø0,9/1,2</t>
        </is>
      </c>
      <c r="D19" s="25" t="n">
        <v>0.5256999999999999</v>
      </c>
      <c r="E19" s="25" t="inlineStr">
        <is>
          <t>kg</t>
        </is>
      </c>
      <c r="F19" s="26" t="n">
        <v>0.92</v>
      </c>
      <c r="G19" s="26">
        <f>D19*F19</f>
        <v/>
      </c>
      <c r="H19" s="25" t="inlineStr">
        <is>
          <t>Alambre MAG ER70S-6 Ø0,9/1,2</t>
        </is>
      </c>
      <c r="I19" s="12" t="inlineStr">
        <is>
          <t>cordones del plano: 484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ABC100-C2</t>
        </is>
      </c>
      <c r="C20" s="12" t="inlineStr">
        <is>
          <t xml:space="preserve">        Gas de protección: Arcal 21 (Ar + 18 % CO₂)</t>
        </is>
      </c>
      <c r="D20" s="25" t="n">
        <v>236.6</v>
      </c>
      <c r="E20" s="25" t="inlineStr">
        <is>
          <t>L</t>
        </is>
      </c>
      <c r="F20" s="26" t="n"/>
      <c r="G20" s="26" t="n"/>
      <c r="H20" s="25" t="inlineStr">
        <is>
          <t>Arcal 21 (Ar + 18 % CO₂)</t>
        </is>
      </c>
      <c r="I20" s="12" t="inlineStr">
        <is>
          <t>15,8 min de arco × 15 L/min</t>
        </is>
      </c>
      <c r="J20" s="25" t="inlineStr">
        <is>
          <t>Compra</t>
        </is>
      </c>
      <c r="K20" s="12" t="inlineStr">
        <is>
          <t>Colector SC</t>
        </is>
      </c>
      <c r="L20" s="12" t="n"/>
      <c r="M20" s="25" t="inlineStr">
        <is>
          <t>R</t>
        </is>
      </c>
      <c r="N20" s="25" t="n"/>
      <c r="O20" s="12" t="n"/>
    </row>
    <row r="21" outlineLevel="1">
      <c r="A21" s="25" t="n">
        <v>2</v>
      </c>
      <c r="B21" s="25" t="inlineStr">
        <is>
          <t>ABC100-C3</t>
        </is>
      </c>
      <c r="C21" s="12" t="inlineStr">
        <is>
          <t xml:space="preserve">        Granalla de acero (consumo)</t>
        </is>
      </c>
      <c r="D21" s="25" t="n">
        <v>0.103</v>
      </c>
      <c r="E21" s="25" t="inlineStr">
        <is>
          <t>kg</t>
        </is>
      </c>
      <c r="F21" s="26" t="n"/>
      <c r="G21" s="26" t="n"/>
      <c r="H21" s="25" t="inlineStr">
        <is>
          <t>Granalla S-230</t>
        </is>
      </c>
      <c r="I21" s="12" t="inlineStr">
        <is>
          <t>1,294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ABC100-C4</t>
        </is>
      </c>
      <c r="C22" s="12" t="inlineStr">
        <is>
          <t xml:space="preserve">        Pintura en polvo poliéster rojo</t>
        </is>
      </c>
      <c r="D22" s="25" t="n">
        <v>0.239</v>
      </c>
      <c r="E22" s="25" t="inlineStr">
        <is>
          <t>kg</t>
        </is>
      </c>
      <c r="F22" s="26" t="n">
        <v>0.65</v>
      </c>
      <c r="G22" s="26">
        <f>D22*F22</f>
        <v/>
      </c>
      <c r="H22" s="25" t="inlineStr">
        <is>
          <t>Poliéster rojo 03-1-050</t>
        </is>
      </c>
      <c r="I22" s="12" t="inlineStr">
        <is>
          <t>1,294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c r="A23" s="22" t="n">
        <v>1</v>
      </c>
      <c r="B23" s="22" t="inlineStr">
        <is>
          <t>ABC100-S2</t>
        </is>
      </c>
      <c r="C23" s="23" t="inlineStr">
        <is>
          <t xml:space="preserve">    Conjunto de válvula</t>
        </is>
      </c>
      <c r="D23" s="22" t="n">
        <v>1</v>
      </c>
      <c r="E23" s="22" t="inlineStr">
        <is>
          <t>u</t>
        </is>
      </c>
      <c r="F23" s="24" t="n"/>
      <c r="G23" s="24">
        <f>G24+G25+G26+G27+G28+G29+G30+G31+G32+G33+G34+G35+G36</f>
        <v/>
      </c>
      <c r="H23" s="22" t="n"/>
      <c r="I23" s="23" t="n"/>
      <c r="J23" s="22" t="inlineStr">
        <is>
          <t>Compra / armado</t>
        </is>
      </c>
      <c r="K23" s="23" t="n"/>
      <c r="L23" s="23" t="inlineStr">
        <is>
          <t>Manómetro IRAM 3533</t>
        </is>
      </c>
      <c r="M23" s="22" t="inlineStr">
        <is>
          <t>P</t>
        </is>
      </c>
      <c r="N23" s="22" t="inlineStr">
        <is>
          <t>FL_DES_ABC_100kg</t>
        </is>
      </c>
      <c r="O23" s="23" t="n"/>
    </row>
    <row r="24" outlineLevel="1">
      <c r="A24" s="25" t="n">
        <v>2</v>
      </c>
      <c r="B24" s="25" t="inlineStr">
        <is>
          <t>ABC100-11</t>
        </is>
      </c>
      <c r="C24" s="12" t="inlineStr">
        <is>
          <t xml:space="preserve">        Collarín de válvula</t>
        </is>
      </c>
      <c r="D24" s="25" t="n">
        <v>1</v>
      </c>
      <c r="E24" s="25" t="inlineStr">
        <is>
          <t>u</t>
        </is>
      </c>
      <c r="F24" s="26" t="n">
        <v>0.4107</v>
      </c>
      <c r="G24" s="26">
        <f>D24*F24</f>
        <v/>
      </c>
      <c r="H24" s="25" t="inlineStr">
        <is>
          <t>Latón forjado</t>
        </is>
      </c>
      <c r="I24" s="12" t="inlineStr">
        <is>
          <t>96,1 × 96,1 × 13,5</t>
        </is>
      </c>
      <c r="J24" s="25" t="inlineStr">
        <is>
          <t>Compra</t>
        </is>
      </c>
      <c r="K24" s="12" t="inlineStr">
        <is>
          <t>C9 armado</t>
        </is>
      </c>
      <c r="L24" s="12" t="n"/>
      <c r="M24" s="25" t="inlineStr">
        <is>
          <t>P</t>
        </is>
      </c>
      <c r="N24" s="25" t="inlineStr">
        <is>
          <t>FL_DES_ABC_100kg</t>
        </is>
      </c>
      <c r="O24" s="12" t="n"/>
    </row>
    <row r="25" outlineLevel="1">
      <c r="A25" s="25" t="n">
        <v>2</v>
      </c>
      <c r="B25" s="25" t="inlineStr">
        <is>
          <t>ABC100-12</t>
        </is>
      </c>
      <c r="C25" s="12" t="inlineStr">
        <is>
          <t xml:space="preserve">        Espiga roscada</t>
        </is>
      </c>
      <c r="D25" s="25" t="n">
        <v>1</v>
      </c>
      <c r="E25" s="25" t="inlineStr">
        <is>
          <t>u</t>
        </is>
      </c>
      <c r="F25" s="26" t="n">
        <v>0.1187</v>
      </c>
      <c r="G25" s="26">
        <f>D25*F25</f>
        <v/>
      </c>
      <c r="H25" s="25" t="inlineStr">
        <is>
          <t>Latón forjado</t>
        </is>
      </c>
      <c r="I25" s="12" t="inlineStr">
        <is>
          <t>72,2 × 72,2 × 16,2</t>
        </is>
      </c>
      <c r="J25" s="25" t="inlineStr">
        <is>
          <t>Compra</t>
        </is>
      </c>
      <c r="K25" s="12" t="inlineStr">
        <is>
          <t>C9 armado</t>
        </is>
      </c>
      <c r="L25" s="12" t="n"/>
      <c r="M25" s="25" t="inlineStr">
        <is>
          <t>P</t>
        </is>
      </c>
      <c r="N25" s="25" t="inlineStr">
        <is>
          <t>FL_DES_ABC_100kg</t>
        </is>
      </c>
      <c r="O25" s="12" t="n"/>
    </row>
    <row r="26" outlineLevel="1">
      <c r="A26" s="25" t="n">
        <v>2</v>
      </c>
      <c r="B26" s="25" t="inlineStr">
        <is>
          <t>ABC100-13</t>
        </is>
      </c>
      <c r="C26" s="12" t="inlineStr">
        <is>
          <t xml:space="preserve">        Cuerpo de válvula</t>
        </is>
      </c>
      <c r="D26" s="25" t="n">
        <v>1</v>
      </c>
      <c r="E26" s="25" t="inlineStr">
        <is>
          <t>u</t>
        </is>
      </c>
      <c r="F26" s="26" t="n">
        <v>0.7378</v>
      </c>
      <c r="G26" s="26">
        <f>D26*F26</f>
        <v/>
      </c>
      <c r="H26" s="25" t="inlineStr">
        <is>
          <t>Latón forjado</t>
        </is>
      </c>
      <c r="I26" s="12" t="inlineStr">
        <is>
          <t>58,4 × 54 × 46,3</t>
        </is>
      </c>
      <c r="J26" s="25" t="inlineStr">
        <is>
          <t>Compra</t>
        </is>
      </c>
      <c r="K26" s="12" t="inlineStr">
        <is>
          <t>C9 armado</t>
        </is>
      </c>
      <c r="L26" s="12" t="n"/>
      <c r="M26" s="25" t="inlineStr">
        <is>
          <t>P</t>
        </is>
      </c>
      <c r="N26" s="25" t="inlineStr">
        <is>
          <t>FL_DES_ABC_100kg</t>
        </is>
      </c>
      <c r="O26" s="12" t="n"/>
    </row>
    <row r="27" outlineLevel="1">
      <c r="A27" s="25" t="n">
        <v>2</v>
      </c>
      <c r="B27" s="25" t="inlineStr">
        <is>
          <t>ABC100-14</t>
        </is>
      </c>
      <c r="C27" s="12" t="inlineStr">
        <is>
          <t xml:space="preserve">        Manómetro</t>
        </is>
      </c>
      <c r="D27" s="25" t="n">
        <v>1</v>
      </c>
      <c r="E27" s="25" t="inlineStr">
        <is>
          <t>u</t>
        </is>
      </c>
      <c r="F27" s="26" t="n">
        <v>0.12</v>
      </c>
      <c r="G27" s="26">
        <f>D27*F27</f>
        <v/>
      </c>
      <c r="H27" s="25" t="inlineStr">
        <is>
          <t>Comercial</t>
        </is>
      </c>
      <c r="I27" s="12" t="inlineStr">
        <is>
          <t>Ø50 esfera, rango 0-3,5 MPa, sector verde en 1,4</t>
        </is>
      </c>
      <c r="J27" s="25" t="inlineStr">
        <is>
          <t>Compra</t>
        </is>
      </c>
      <c r="K27" s="12" t="inlineStr">
        <is>
          <t>C9 armado</t>
        </is>
      </c>
      <c r="L27" s="12" t="inlineStr">
        <is>
          <t>IRAM 3533</t>
        </is>
      </c>
      <c r="M27" s="25" t="inlineStr">
        <is>
          <t>R</t>
        </is>
      </c>
      <c r="N27" s="25" t="inlineStr">
        <is>
          <t>FL_DES_ABC_100kg</t>
        </is>
      </c>
      <c r="O27" s="12" t="inlineStr">
        <is>
          <t>Pieza comercial; sello IRAM 3533</t>
        </is>
      </c>
    </row>
    <row r="28" outlineLevel="1">
      <c r="A28" s="25" t="n">
        <v>2</v>
      </c>
      <c r="B28" s="25" t="inlineStr">
        <is>
          <t>ABC100-15</t>
        </is>
      </c>
      <c r="C28" s="12" t="inlineStr">
        <is>
          <t xml:space="preserve">        Manija de transporte</t>
        </is>
      </c>
      <c r="D28" s="25" t="n">
        <v>1</v>
      </c>
      <c r="E28" s="25" t="inlineStr">
        <is>
          <t>u</t>
        </is>
      </c>
      <c r="F28" s="26" t="n">
        <v>0.1302</v>
      </c>
      <c r="G28" s="26">
        <f>D28*F28</f>
        <v/>
      </c>
      <c r="H28" s="25" t="inlineStr">
        <is>
          <t>Chapa acero SAE 1010 pintada</t>
        </is>
      </c>
      <c r="I28" s="12" t="inlineStr">
        <is>
          <t>113,7 × 27 × 17,3</t>
        </is>
      </c>
      <c r="J28" s="25" t="inlineStr">
        <is>
          <t>Compra</t>
        </is>
      </c>
      <c r="K28" s="12" t="inlineStr">
        <is>
          <t>C9 armado</t>
        </is>
      </c>
      <c r="L28" s="12" t="n"/>
      <c r="M28" s="25" t="inlineStr">
        <is>
          <t>P</t>
        </is>
      </c>
      <c r="N28" s="25" t="inlineStr">
        <is>
          <t>FL_DES_ABC_100kg</t>
        </is>
      </c>
      <c r="O28" s="12" t="n"/>
    </row>
    <row r="29" outlineLevel="1">
      <c r="A29" s="25" t="n">
        <v>2</v>
      </c>
      <c r="B29" s="25" t="inlineStr">
        <is>
          <t>ABC100-16</t>
        </is>
      </c>
      <c r="C29" s="12" t="inlineStr">
        <is>
          <t xml:space="preserve">        Manija de accionamiento</t>
        </is>
      </c>
      <c r="D29" s="25" t="n">
        <v>1</v>
      </c>
      <c r="E29" s="25" t="inlineStr">
        <is>
          <t>u</t>
        </is>
      </c>
      <c r="F29" s="26" t="n">
        <v>0.1983</v>
      </c>
      <c r="G29" s="26">
        <f>D29*F29</f>
        <v/>
      </c>
      <c r="H29" s="25" t="inlineStr">
        <is>
          <t>Chapa acero SAE 1010 pintada</t>
        </is>
      </c>
      <c r="I29" s="12" t="inlineStr">
        <is>
          <t>172,6 × 27 × 26,5</t>
        </is>
      </c>
      <c r="J29" s="25" t="inlineStr">
        <is>
          <t>Compra</t>
        </is>
      </c>
      <c r="K29" s="12" t="inlineStr">
        <is>
          <t>C9 armado</t>
        </is>
      </c>
      <c r="L29" s="12" t="n"/>
      <c r="M29" s="25" t="inlineStr">
        <is>
          <t>P</t>
        </is>
      </c>
      <c r="N29" s="25" t="inlineStr">
        <is>
          <t>FL_DES_ABC_100kg</t>
        </is>
      </c>
      <c r="O29" s="12" t="n"/>
    </row>
    <row r="30" outlineLevel="1">
      <c r="A30" s="25" t="n">
        <v>2</v>
      </c>
      <c r="B30" s="25" t="inlineStr">
        <is>
          <t>ABC100-17</t>
        </is>
      </c>
      <c r="C30" s="12" t="inlineStr">
        <is>
          <t xml:space="preserve">        Eje de palanca</t>
        </is>
      </c>
      <c r="D30" s="25" t="n">
        <v>1</v>
      </c>
      <c r="E30" s="25" t="inlineStr">
        <is>
          <t>u</t>
        </is>
      </c>
      <c r="F30" s="26" t="n">
        <v>0.0199</v>
      </c>
      <c r="G30" s="26">
        <f>D30*F30</f>
        <v/>
      </c>
      <c r="H30" s="25" t="inlineStr">
        <is>
          <t>Acero inox. AISI 304</t>
        </is>
      </c>
      <c r="I30" s="12" t="inlineStr">
        <is>
          <t>48,6 × 8,1 × 8,1</t>
        </is>
      </c>
      <c r="J30" s="25" t="inlineStr">
        <is>
          <t>Compra</t>
        </is>
      </c>
      <c r="K30" s="12" t="inlineStr">
        <is>
          <t>C9 armado</t>
        </is>
      </c>
      <c r="L30" s="12" t="n"/>
      <c r="M30" s="25" t="inlineStr">
        <is>
          <t>P</t>
        </is>
      </c>
      <c r="N30" s="25" t="inlineStr">
        <is>
          <t>FL_DES_ABC_100kg</t>
        </is>
      </c>
      <c r="O30" s="12" t="n"/>
    </row>
    <row r="31" outlineLevel="1">
      <c r="A31" s="25" t="n">
        <v>2</v>
      </c>
      <c r="B31" s="25" t="inlineStr">
        <is>
          <t>ABC100-18</t>
        </is>
      </c>
      <c r="C31" s="12" t="inlineStr">
        <is>
          <t xml:space="preserve">        Vástago</t>
        </is>
      </c>
      <c r="D31" s="25" t="n">
        <v>1</v>
      </c>
      <c r="E31" s="25" t="inlineStr">
        <is>
          <t>u</t>
        </is>
      </c>
      <c r="F31" s="26" t="n">
        <v>0.0039</v>
      </c>
      <c r="G31" s="26">
        <f>D31*F31</f>
        <v/>
      </c>
      <c r="H31" s="25" t="inlineStr">
        <is>
          <t>Latón</t>
        </is>
      </c>
      <c r="I31" s="12" t="inlineStr">
        <is>
          <t>10,8 × 10,8 × 5</t>
        </is>
      </c>
      <c r="J31" s="25" t="inlineStr">
        <is>
          <t>Compra</t>
        </is>
      </c>
      <c r="K31" s="12" t="inlineStr">
        <is>
          <t>C9 armado</t>
        </is>
      </c>
      <c r="L31" s="12" t="n"/>
      <c r="M31" s="25" t="inlineStr">
        <is>
          <t>P</t>
        </is>
      </c>
      <c r="N31" s="25" t="inlineStr">
        <is>
          <t>FL_DES_ABC_100kg</t>
        </is>
      </c>
      <c r="O31" s="12" t="inlineStr">
        <is>
          <t>con junta tórica</t>
        </is>
      </c>
    </row>
    <row r="32" outlineLevel="1">
      <c r="A32" s="25" t="n">
        <v>2</v>
      </c>
      <c r="B32" s="25" t="inlineStr">
        <is>
          <t>ABC100-19</t>
        </is>
      </c>
      <c r="C32" s="12" t="inlineStr">
        <is>
          <t xml:space="preserve">        Pasador de seguridad</t>
        </is>
      </c>
      <c r="D32" s="25" t="n">
        <v>1</v>
      </c>
      <c r="E32" s="25" t="inlineStr">
        <is>
          <t>u</t>
        </is>
      </c>
      <c r="F32" s="26" t="n">
        <v>0.0135</v>
      </c>
      <c r="G32" s="26">
        <f>D32*F32</f>
        <v/>
      </c>
      <c r="H32" s="25" t="inlineStr">
        <is>
          <t>Alambre acero inox. AISI 304</t>
        </is>
      </c>
      <c r="I32" s="12" t="inlineStr">
        <is>
          <t>61,3 × 28,4 × 28,1</t>
        </is>
      </c>
      <c r="J32" s="25" t="inlineStr">
        <is>
          <t>Compra</t>
        </is>
      </c>
      <c r="K32" s="12" t="inlineStr">
        <is>
          <t>C9 armado</t>
        </is>
      </c>
      <c r="L32" s="12" t="n"/>
      <c r="M32" s="25" t="inlineStr">
        <is>
          <t>P</t>
        </is>
      </c>
      <c r="N32" s="25" t="inlineStr">
        <is>
          <t>FL_DES_ABC_100kg</t>
        </is>
      </c>
      <c r="O32" s="12" t="inlineStr">
        <is>
          <t>con precinto</t>
        </is>
      </c>
    </row>
    <row r="33" outlineLevel="1">
      <c r="A33" s="25" t="n">
        <v>2</v>
      </c>
      <c r="B33" s="25" t="inlineStr">
        <is>
          <t>ABC100-20</t>
        </is>
      </c>
      <c r="C33" s="12" t="inlineStr">
        <is>
          <t xml:space="preserve">        Caño de pesca (sifón)</t>
        </is>
      </c>
      <c r="D33" s="25" t="n">
        <v>1</v>
      </c>
      <c r="E33" s="25" t="inlineStr">
        <is>
          <t>u</t>
        </is>
      </c>
      <c r="F33" s="26" t="n">
        <v>0.2401</v>
      </c>
      <c r="G33" s="26">
        <f>D33*F33</f>
        <v/>
      </c>
      <c r="H33" s="25" t="inlineStr">
        <is>
          <t>Tubo PVC rígido</t>
        </is>
      </c>
      <c r="I33" s="12" t="inlineStr">
        <is>
          <t>Ø24 × 1.015,8 de largo</t>
        </is>
      </c>
      <c r="J33" s="25" t="inlineStr">
        <is>
          <t>Compra</t>
        </is>
      </c>
      <c r="K33" s="12" t="inlineStr">
        <is>
          <t>C9 armado</t>
        </is>
      </c>
      <c r="L33" s="12" t="n"/>
      <c r="M33" s="25" t="inlineStr">
        <is>
          <t>P</t>
        </is>
      </c>
      <c r="N33" s="25" t="inlineStr">
        <is>
          <t>FL_DES_ABC_100kg</t>
        </is>
      </c>
      <c r="O33" s="12" t="n"/>
    </row>
    <row r="34" outlineLevel="1">
      <c r="A34" s="25" t="n">
        <v>2</v>
      </c>
      <c r="B34" s="25" t="inlineStr">
        <is>
          <t>ABC100-30</t>
        </is>
      </c>
      <c r="C34" s="12" t="inlineStr">
        <is>
          <t xml:space="preserve">        Junta tórica de asiento</t>
        </is>
      </c>
      <c r="D34" s="25" t="n">
        <v>1</v>
      </c>
      <c r="E34" s="25" t="inlineStr">
        <is>
          <t>u</t>
        </is>
      </c>
      <c r="F34" s="26" t="n">
        <v>0.0024</v>
      </c>
      <c r="G34" s="26">
        <f>D34*F34</f>
        <v/>
      </c>
      <c r="H34" s="25" t="inlineStr">
        <is>
          <t>NBR 70 Shore A</t>
        </is>
      </c>
      <c r="I34" s="12" t="inlineStr">
        <is>
          <t>Ø75,2 ext. × cordón 3</t>
        </is>
      </c>
      <c r="J34" s="25" t="inlineStr">
        <is>
          <t>Compra</t>
        </is>
      </c>
      <c r="K34" s="12" t="inlineStr">
        <is>
          <t>C9 armado</t>
        </is>
      </c>
      <c r="L34" s="12" t="n"/>
      <c r="M34" s="25" t="inlineStr">
        <is>
          <t>P</t>
        </is>
      </c>
      <c r="N34" s="25" t="inlineStr">
        <is>
          <t>FL_DES_ABC_100kg</t>
        </is>
      </c>
      <c r="O34" s="12" t="inlineStr">
        <is>
          <t>cambio c/recarga</t>
        </is>
      </c>
    </row>
    <row r="35" outlineLevel="1">
      <c r="A35" s="25" t="n">
        <v>2</v>
      </c>
      <c r="B35" s="25" t="inlineStr">
        <is>
          <t>ABC100-V2</t>
        </is>
      </c>
      <c r="C35" s="12" t="inlineStr">
        <is>
          <t xml:space="preserve">        Resorte de retorno del vástago</t>
        </is>
      </c>
      <c r="D35" s="25" t="n">
        <v>1</v>
      </c>
      <c r="E35" s="25" t="inlineStr">
        <is>
          <t>u</t>
        </is>
      </c>
      <c r="F35" s="26" t="n">
        <v>0.003</v>
      </c>
      <c r="G35" s="26">
        <f>D35*F35</f>
        <v/>
      </c>
      <c r="H35" s="25" t="inlineStr">
        <is>
          <t>Alambre acero inox. AISI 302</t>
        </is>
      </c>
      <c r="I35" s="12" t="inlineStr">
        <is>
          <t>según válvula</t>
        </is>
      </c>
      <c r="J35" s="25" t="inlineStr">
        <is>
          <t>Compra</t>
        </is>
      </c>
      <c r="K35" s="12" t="inlineStr">
        <is>
          <t>19 Ensamblaje</t>
        </is>
      </c>
      <c r="L35" s="12" t="n"/>
      <c r="M35" s="25" t="inlineStr">
        <is>
          <t>R</t>
        </is>
      </c>
      <c r="N35" s="25" t="n"/>
      <c r="O35" s="12" t="n"/>
    </row>
    <row r="36" outlineLevel="1">
      <c r="A36" s="25" t="n">
        <v>2</v>
      </c>
      <c r="B36" s="25" t="inlineStr">
        <is>
          <t>ABC100-V3</t>
        </is>
      </c>
      <c r="C36" s="12" t="inlineStr">
        <is>
          <t xml:space="preserve">        Junta tórica del vástago</t>
        </is>
      </c>
      <c r="D36" s="25" t="n">
        <v>1</v>
      </c>
      <c r="E36" s="25" t="inlineStr">
        <is>
          <t>u</t>
        </is>
      </c>
      <c r="F36" s="26" t="n">
        <v>0.001</v>
      </c>
      <c r="G36" s="26">
        <f>D36*F36</f>
        <v/>
      </c>
      <c r="H36" s="25" t="inlineStr">
        <is>
          <t>NBR 70 Shore A</t>
        </is>
      </c>
      <c r="I36" s="12" t="inlineStr">
        <is>
          <t>según válvula</t>
        </is>
      </c>
      <c r="J36" s="25" t="inlineStr">
        <is>
          <t>Compra</t>
        </is>
      </c>
      <c r="K36" s="12" t="inlineStr">
        <is>
          <t>19 Ensamblaje</t>
        </is>
      </c>
      <c r="L36" s="12" t="n"/>
      <c r="M36" s="25" t="inlineStr">
        <is>
          <t>P</t>
        </is>
      </c>
      <c r="N36" s="25" t="n"/>
      <c r="O36" s="12" t="inlineStr">
        <is>
          <t>Figura en el plano como «vástago con junta tórica»</t>
        </is>
      </c>
    </row>
    <row r="37">
      <c r="A37" s="22" t="n">
        <v>1</v>
      </c>
      <c r="B37" s="22" t="inlineStr">
        <is>
          <t>ABC100-S3</t>
        </is>
      </c>
      <c r="C37" s="23" t="inlineStr">
        <is>
          <t xml:space="preserve">    Dispositivo de descarga</t>
        </is>
      </c>
      <c r="D37" s="22" t="n">
        <v>1</v>
      </c>
      <c r="E37" s="22" t="inlineStr">
        <is>
          <t>u</t>
        </is>
      </c>
      <c r="F37" s="24" t="n"/>
      <c r="G37" s="24">
        <f>G38+G39+G40+G41+G42+G43</f>
        <v/>
      </c>
      <c r="H37" s="22" t="n"/>
      <c r="I37" s="23" t="n"/>
      <c r="J37" s="22" t="inlineStr">
        <is>
          <t>Compra / armado</t>
        </is>
      </c>
      <c r="K37" s="23" t="n"/>
      <c r="L37" s="23" t="n"/>
      <c r="M37" s="22" t="inlineStr">
        <is>
          <t>P</t>
        </is>
      </c>
      <c r="N37" s="22" t="inlineStr">
        <is>
          <t>FL_DES_ABC_100kg</t>
        </is>
      </c>
      <c r="O37" s="23" t="n"/>
    </row>
    <row r="38" outlineLevel="1">
      <c r="A38" s="25" t="n">
        <v>2</v>
      </c>
      <c r="B38" s="25" t="inlineStr">
        <is>
          <t>ABC100-21</t>
        </is>
      </c>
      <c r="C38" s="12" t="inlineStr">
        <is>
          <t xml:space="preserve">        Manguera (tramo enrollado)</t>
        </is>
      </c>
      <c r="D38" s="25" t="n">
        <v>1</v>
      </c>
      <c r="E38" s="25" t="inlineStr">
        <is>
          <t>u</t>
        </is>
      </c>
      <c r="F38" s="26" t="n">
        <v>0.6543</v>
      </c>
      <c r="G38" s="26">
        <f>D38*F38</f>
        <v/>
      </c>
      <c r="H38" s="25" t="inlineStr">
        <is>
          <t>Caucho sintético</t>
        </is>
      </c>
      <c r="I38" s="12" t="inlineStr">
        <is>
          <t>Ø25 × 1.736 de largo desarrollado</t>
        </is>
      </c>
      <c r="J38" s="25" t="inlineStr">
        <is>
          <t>Compra</t>
        </is>
      </c>
      <c r="K38" s="12" t="inlineStr">
        <is>
          <t>C9 armado de ruedas y manguera</t>
        </is>
      </c>
      <c r="L38" s="12" t="n"/>
      <c r="M38" s="25" t="inlineStr">
        <is>
          <t>P</t>
        </is>
      </c>
      <c r="N38" s="25" t="inlineStr">
        <is>
          <t>FL_DES_ABC_100kg</t>
        </is>
      </c>
      <c r="O38" s="12" t="n"/>
    </row>
    <row r="39" outlineLevel="1">
      <c r="A39" s="25" t="n">
        <v>2</v>
      </c>
      <c r="B39" s="25" t="inlineStr">
        <is>
          <t>ABC100-22</t>
        </is>
      </c>
      <c r="C39" s="12" t="inlineStr">
        <is>
          <t xml:space="preserve">        Soporte de manguera</t>
        </is>
      </c>
      <c r="D39" s="25" t="n">
        <v>1</v>
      </c>
      <c r="E39" s="25" t="inlineStr">
        <is>
          <t>u</t>
        </is>
      </c>
      <c r="F39" s="26" t="n">
        <v>1.9033</v>
      </c>
      <c r="G39" s="26">
        <f>D39*F39</f>
        <v/>
      </c>
      <c r="H39" s="25" t="inlineStr">
        <is>
          <t>Planchuela acero SAE 1010</t>
        </is>
      </c>
      <c r="I39" s="12" t="inlineStr">
        <is>
          <t>689,5 × 255,5 × 40,5</t>
        </is>
      </c>
      <c r="J39" s="25" t="inlineStr">
        <is>
          <t>Compra (estructura)</t>
        </is>
      </c>
      <c r="K39" s="12" t="inlineStr">
        <is>
          <t>C9 armado de ruedas y manguera</t>
        </is>
      </c>
      <c r="L39" s="12" t="n"/>
      <c r="M39" s="25" t="inlineStr">
        <is>
          <t>P</t>
        </is>
      </c>
      <c r="N39" s="25" t="inlineStr">
        <is>
          <t>FL_DES_ABC_100kg</t>
        </is>
      </c>
      <c r="O39" s="12" t="n"/>
    </row>
    <row r="40" outlineLevel="1">
      <c r="A40" s="25" t="n">
        <v>2</v>
      </c>
      <c r="B40" s="25" t="inlineStr">
        <is>
          <t>ABC100-23</t>
        </is>
      </c>
      <c r="C40" s="12" t="inlineStr">
        <is>
          <t xml:space="preserve">        Racor de manguera</t>
        </is>
      </c>
      <c r="D40" s="25" t="n">
        <v>1</v>
      </c>
      <c r="E40" s="25" t="inlineStr">
        <is>
          <t>u</t>
        </is>
      </c>
      <c r="F40" s="26" t="n">
        <v>0.0612</v>
      </c>
      <c r="G40" s="26">
        <f>D40*F40</f>
        <v/>
      </c>
      <c r="H40" s="25" t="inlineStr">
        <is>
          <t>Latón</t>
        </is>
      </c>
      <c r="I40" s="12" t="inlineStr">
        <is>
          <t>24 × 24 × 16</t>
        </is>
      </c>
      <c r="J40" s="25" t="inlineStr">
        <is>
          <t>Compra</t>
        </is>
      </c>
      <c r="K40" s="12" t="inlineStr">
        <is>
          <t>C9 armado de ruedas y manguera</t>
        </is>
      </c>
      <c r="L40" s="12" t="n"/>
      <c r="M40" s="25" t="inlineStr">
        <is>
          <t>P</t>
        </is>
      </c>
      <c r="N40" s="25" t="inlineStr">
        <is>
          <t>FL_DES_ABC_100kg</t>
        </is>
      </c>
      <c r="O40" s="12" t="n"/>
    </row>
    <row r="41" outlineLevel="1">
      <c r="A41" s="25" t="n">
        <v>2</v>
      </c>
      <c r="B41" s="25" t="inlineStr">
        <is>
          <t>ABC100-24</t>
        </is>
      </c>
      <c r="C41" s="12" t="inlineStr">
        <is>
          <t xml:space="preserve">        Manguera</t>
        </is>
      </c>
      <c r="D41" s="25" t="n">
        <v>1</v>
      </c>
      <c r="E41" s="25" t="inlineStr">
        <is>
          <t>u</t>
        </is>
      </c>
      <c r="F41" s="26" t="n">
        <v>0.2435</v>
      </c>
      <c r="G41" s="26">
        <f>D41*F41</f>
        <v/>
      </c>
      <c r="H41" s="25" t="inlineStr">
        <is>
          <t>Caucho sintético</t>
        </is>
      </c>
      <c r="I41" s="12" t="inlineStr">
        <is>
          <t>Ø16 × 1.577 de largo desarrollado</t>
        </is>
      </c>
      <c r="J41" s="25" t="inlineStr">
        <is>
          <t>Compra</t>
        </is>
      </c>
      <c r="K41" s="12" t="inlineStr">
        <is>
          <t>C9 armado de ruedas y manguera</t>
        </is>
      </c>
      <c r="L41" s="12" t="n"/>
      <c r="M41" s="25" t="inlineStr">
        <is>
          <t>P</t>
        </is>
      </c>
      <c r="N41" s="25" t="inlineStr">
        <is>
          <t>FL_DES_ABC_100kg</t>
        </is>
      </c>
      <c r="O41" s="12" t="n"/>
    </row>
    <row r="42" outlineLevel="1">
      <c r="A42" s="25" t="n">
        <v>2</v>
      </c>
      <c r="B42" s="25" t="inlineStr">
        <is>
          <t>ABC100-25</t>
        </is>
      </c>
      <c r="C42" s="12" t="inlineStr">
        <is>
          <t xml:space="preserve">        Válvula esférica</t>
        </is>
      </c>
      <c r="D42" s="25" t="n">
        <v>1</v>
      </c>
      <c r="E42" s="25" t="inlineStr">
        <is>
          <t>u</t>
        </is>
      </c>
      <c r="F42" s="26" t="n">
        <v>0.4225</v>
      </c>
      <c r="G42" s="26">
        <f>D42*F42</f>
        <v/>
      </c>
      <c r="H42" s="25" t="inlineStr">
        <is>
          <t>Latón cromado</t>
        </is>
      </c>
      <c r="I42" s="12" t="inlineStr">
        <is>
          <t>130 × 60 × 40</t>
        </is>
      </c>
      <c r="J42" s="25" t="inlineStr">
        <is>
          <t>Compra</t>
        </is>
      </c>
      <c r="K42" s="12" t="inlineStr">
        <is>
          <t>C9 armado de ruedas y manguera</t>
        </is>
      </c>
      <c r="L42" s="12" t="n"/>
      <c r="M42" s="25" t="inlineStr">
        <is>
          <t>P</t>
        </is>
      </c>
      <c r="N42" s="25" t="inlineStr">
        <is>
          <t>FL_DES_ABC_100kg</t>
        </is>
      </c>
      <c r="O42" s="12" t="n"/>
    </row>
    <row r="43" outlineLevel="1">
      <c r="A43" s="25" t="n">
        <v>2</v>
      </c>
      <c r="B43" s="25" t="inlineStr">
        <is>
          <t>ABC100-26</t>
        </is>
      </c>
      <c r="C43" s="12" t="inlineStr">
        <is>
          <t xml:space="preserve">        Tobera campana</t>
        </is>
      </c>
      <c r="D43" s="25" t="n">
        <v>1</v>
      </c>
      <c r="E43" s="25" t="inlineStr">
        <is>
          <t>u</t>
        </is>
      </c>
      <c r="F43" s="26" t="n">
        <v>0.07969999999999999</v>
      </c>
      <c r="G43" s="26">
        <f>D43*F43</f>
        <v/>
      </c>
      <c r="H43" s="25" t="inlineStr">
        <is>
          <t>Polipropileno</t>
        </is>
      </c>
      <c r="I43" s="12" t="inlineStr">
        <is>
          <t>200 × 68 × 68</t>
        </is>
      </c>
      <c r="J43" s="25" t="inlineStr">
        <is>
          <t>Compra</t>
        </is>
      </c>
      <c r="K43" s="12" t="inlineStr">
        <is>
          <t>C9 armado de ruedas y manguera</t>
        </is>
      </c>
      <c r="L43" s="12" t="n"/>
      <c r="M43" s="25" t="inlineStr">
        <is>
          <t>P</t>
        </is>
      </c>
      <c r="N43" s="25" t="inlineStr">
        <is>
          <t>FL_DES_ABC_100kg</t>
        </is>
      </c>
      <c r="O43" s="12" t="n"/>
    </row>
    <row r="44">
      <c r="A44" s="22" t="n">
        <v>1</v>
      </c>
      <c r="B44" s="22" t="inlineStr">
        <is>
          <t>ABC100-S4</t>
        </is>
      </c>
      <c r="C44" s="23" t="inlineStr">
        <is>
          <t xml:space="preserve">    Carro (bastidor y ruedas)</t>
        </is>
      </c>
      <c r="D44" s="22" t="n">
        <v>1</v>
      </c>
      <c r="E44" s="22" t="inlineStr">
        <is>
          <t>u</t>
        </is>
      </c>
      <c r="F44" s="24" t="n"/>
      <c r="G44" s="24">
        <f>G45+G46+G47+G48+G49+G50</f>
        <v/>
      </c>
      <c r="H44" s="22" t="n"/>
      <c r="I44" s="23" t="n"/>
      <c r="J44" s="22" t="inlineStr">
        <is>
          <t>Compra / armado</t>
        </is>
      </c>
      <c r="K44" s="23" t="n"/>
      <c r="L44" s="23" t="n"/>
      <c r="M44" s="22" t="inlineStr">
        <is>
          <t>P</t>
        </is>
      </c>
      <c r="N44" s="22" t="inlineStr">
        <is>
          <t>FL_DES_ABC_100kg</t>
        </is>
      </c>
      <c r="O44" s="23" t="n"/>
    </row>
    <row r="45" outlineLevel="1">
      <c r="A45" s="25" t="n">
        <v>2</v>
      </c>
      <c r="B45" s="25" t="inlineStr">
        <is>
          <t>ABC100-05</t>
        </is>
      </c>
      <c r="C45" s="12" t="inlineStr">
        <is>
          <t xml:space="preserve">        Neumático macizo</t>
        </is>
      </c>
      <c r="D45" s="25" t="n">
        <v>2</v>
      </c>
      <c r="E45" s="25" t="inlineStr">
        <is>
          <t>u</t>
        </is>
      </c>
      <c r="F45" s="26" t="n">
        <v>5.8099</v>
      </c>
      <c r="G45" s="26">
        <f>D45*F45</f>
        <v/>
      </c>
      <c r="H45" s="25" t="inlineStr">
        <is>
          <t>Caucho</t>
        </is>
      </c>
      <c r="I45" s="12" t="inlineStr">
        <is>
          <t>Ø400 × 80 de ancho</t>
        </is>
      </c>
      <c r="J45" s="25" t="inlineStr">
        <is>
          <t>Compra</t>
        </is>
      </c>
      <c r="K45" s="12" t="inlineStr">
        <is>
          <t>C9 armado de ruedas y manguera (S-TC)</t>
        </is>
      </c>
      <c r="L45" s="12" t="n"/>
      <c r="M45" s="25" t="inlineStr">
        <is>
          <t>P</t>
        </is>
      </c>
      <c r="N45" s="25" t="inlineStr">
        <is>
          <t>FL_DES_ABC_100kg</t>
        </is>
      </c>
      <c r="O45" s="12" t="n"/>
    </row>
    <row r="46" outlineLevel="1">
      <c r="A46" s="25" t="n">
        <v>2</v>
      </c>
      <c r="B46" s="25" t="inlineStr">
        <is>
          <t>ABC100-06</t>
        </is>
      </c>
      <c r="C46" s="12" t="inlineStr">
        <is>
          <t xml:space="preserve">        Llanta con cubo</t>
        </is>
      </c>
      <c r="D46" s="25" t="n">
        <v>2</v>
      </c>
      <c r="E46" s="25" t="inlineStr">
        <is>
          <t>u</t>
        </is>
      </c>
      <c r="F46" s="26" t="n">
        <v>5.0719</v>
      </c>
      <c r="G46" s="26">
        <f>D46*F46</f>
        <v/>
      </c>
      <c r="H46" s="25" t="inlineStr">
        <is>
          <t>Chapa acero SAE 1010</t>
        </is>
      </c>
      <c r="I46" s="12" t="inlineStr">
        <is>
          <t>Ø288 × 90 de ancho</t>
        </is>
      </c>
      <c r="J46" s="25" t="inlineStr">
        <is>
          <t>Compra</t>
        </is>
      </c>
      <c r="K46" s="12" t="inlineStr">
        <is>
          <t>C9 armado de ruedas y manguera (S-TC)</t>
        </is>
      </c>
      <c r="L46" s="12" t="n"/>
      <c r="M46" s="25" t="inlineStr">
        <is>
          <t>P</t>
        </is>
      </c>
      <c r="N46" s="25" t="inlineStr">
        <is>
          <t>FL_DES_ABC_100kg</t>
        </is>
      </c>
      <c r="O46" s="12" t="n"/>
    </row>
    <row r="47" outlineLevel="1">
      <c r="A47" s="25" t="n">
        <v>2</v>
      </c>
      <c r="B47" s="25" t="inlineStr">
        <is>
          <t>ABC100-07</t>
        </is>
      </c>
      <c r="C47" s="12" t="inlineStr">
        <is>
          <t xml:space="preserve">        Eje de ruedas</t>
        </is>
      </c>
      <c r="D47" s="25" t="n">
        <v>1</v>
      </c>
      <c r="E47" s="25" t="inlineStr">
        <is>
          <t>u</t>
        </is>
      </c>
      <c r="F47" s="26" t="n">
        <v>1.8881</v>
      </c>
      <c r="G47" s="26">
        <f>D47*F47</f>
        <v/>
      </c>
      <c r="H47" s="25" t="inlineStr">
        <is>
          <t>Acero SAE 1045</t>
        </is>
      </c>
      <c r="I47" s="12" t="inlineStr">
        <is>
          <t>Ø25 × 490 de largo</t>
        </is>
      </c>
      <c r="J47" s="25" t="inlineStr">
        <is>
          <t>Compra</t>
        </is>
      </c>
      <c r="K47" s="12" t="inlineStr">
        <is>
          <t>C9 armado de ruedas y manguera (S-TC)</t>
        </is>
      </c>
      <c r="L47" s="12" t="n"/>
      <c r="M47" s="25" t="inlineStr">
        <is>
          <t>P</t>
        </is>
      </c>
      <c r="N47" s="25" t="inlineStr">
        <is>
          <t>FL_DES_ABC_100kg</t>
        </is>
      </c>
      <c r="O47" s="12" t="n"/>
    </row>
    <row r="48" outlineLevel="1">
      <c r="A48" s="25" t="n">
        <v>2</v>
      </c>
      <c r="B48" s="25" t="inlineStr">
        <is>
          <t>ABC100-08</t>
        </is>
      </c>
      <c r="C48" s="12" t="inlineStr">
        <is>
          <t xml:space="preserve">        Bastidor</t>
        </is>
      </c>
      <c r="D48" s="25" t="n">
        <v>1</v>
      </c>
      <c r="E48" s="25" t="inlineStr">
        <is>
          <t>u</t>
        </is>
      </c>
      <c r="F48" s="26" t="n">
        <v>2.4439</v>
      </c>
      <c r="G48" s="26">
        <f>D48*F48</f>
        <v/>
      </c>
      <c r="H48" s="25" t="inlineStr">
        <is>
          <t>Caño acero SAE 1010 Ø25,4×1,6</t>
        </is>
      </c>
      <c r="I48" s="12" t="inlineStr">
        <is>
          <t>caño Ø25,4 × 1,6 × 2.560 de largo desarrollado</t>
        </is>
      </c>
      <c r="J48" s="25" t="inlineStr">
        <is>
          <t>Compra (estructura)</t>
        </is>
      </c>
      <c r="K48" s="12" t="inlineStr">
        <is>
          <t>C9 armado de ruedas y manguera (S-TC)</t>
        </is>
      </c>
      <c r="L48" s="12" t="n"/>
      <c r="M48" s="25" t="inlineStr">
        <is>
          <t>P</t>
        </is>
      </c>
      <c r="N48" s="25" t="inlineStr">
        <is>
          <t>FL_DES_ABC_100kg</t>
        </is>
      </c>
      <c r="O48" s="12" t="n"/>
    </row>
    <row r="49" outlineLevel="1">
      <c r="A49" s="25" t="n">
        <v>2</v>
      </c>
      <c r="B49" s="25" t="inlineStr">
        <is>
          <t>ABC100-09</t>
        </is>
      </c>
      <c r="C49" s="12" t="inlineStr">
        <is>
          <t xml:space="preserve">        Sunchos de fijación</t>
        </is>
      </c>
      <c r="D49" s="25" t="n">
        <v>1</v>
      </c>
      <c r="E49" s="25" t="inlineStr">
        <is>
          <t>u</t>
        </is>
      </c>
      <c r="F49" s="26" t="n">
        <v>7.8218</v>
      </c>
      <c r="G49" s="26">
        <f>D49*F49</f>
        <v/>
      </c>
      <c r="H49" s="25" t="inlineStr">
        <is>
          <t>Planchuela acero SAE 1010</t>
        </is>
      </c>
      <c r="I49" s="12" t="inlineStr">
        <is>
          <t>604 × 578,8 × 440</t>
        </is>
      </c>
      <c r="J49" s="25" t="inlineStr">
        <is>
          <t>Compra (estructura)</t>
        </is>
      </c>
      <c r="K49" s="12" t="inlineStr">
        <is>
          <t>C9 armado de ruedas y manguera (S-TC)</t>
        </is>
      </c>
      <c r="L49" s="12" t="n"/>
      <c r="M49" s="25" t="inlineStr">
        <is>
          <t>P</t>
        </is>
      </c>
      <c r="N49" s="25" t="inlineStr">
        <is>
          <t>FL_DES_ABC_100kg</t>
        </is>
      </c>
      <c r="O49" s="12" t="n"/>
    </row>
    <row r="50" outlineLevel="1">
      <c r="A50" s="25" t="n">
        <v>2</v>
      </c>
      <c r="B50" s="25" t="inlineStr">
        <is>
          <t>ABC100-10</t>
        </is>
      </c>
      <c r="C50" s="12" t="inlineStr">
        <is>
          <t xml:space="preserve">        Apoyo delantero</t>
        </is>
      </c>
      <c r="D50" s="25" t="n">
        <v>1</v>
      </c>
      <c r="E50" s="25" t="inlineStr">
        <is>
          <t>u</t>
        </is>
      </c>
      <c r="F50" s="26" t="n">
        <v>0.3022</v>
      </c>
      <c r="G50" s="26">
        <f>D50*F50</f>
        <v/>
      </c>
      <c r="H50" s="25" t="inlineStr">
        <is>
          <t>Chapa acero SAE 1010 plegada</t>
        </is>
      </c>
      <c r="I50" s="12" t="inlineStr">
        <is>
          <t>70 × 55 × 50</t>
        </is>
      </c>
      <c r="J50" s="25" t="inlineStr">
        <is>
          <t>Compra (estructura)</t>
        </is>
      </c>
      <c r="K50" s="12" t="inlineStr">
        <is>
          <t>C9 armado de ruedas y manguera (S-TC)</t>
        </is>
      </c>
      <c r="L50" s="12" t="n"/>
      <c r="M50" s="25" t="inlineStr">
        <is>
          <t>P</t>
        </is>
      </c>
      <c r="N50" s="25" t="inlineStr">
        <is>
          <t>FL_DES_ABC_100kg</t>
        </is>
      </c>
      <c r="O50" s="12" t="n"/>
    </row>
    <row r="51">
      <c r="A51" s="22" t="n">
        <v>1</v>
      </c>
      <c r="B51" s="22" t="inlineStr">
        <is>
          <t>ABC100-S5</t>
        </is>
      </c>
      <c r="C51" s="23" t="inlineStr">
        <is>
          <t xml:space="preserve">    Carga: agente extintor y gas impulsor</t>
        </is>
      </c>
      <c r="D51" s="22" t="n">
        <v>1</v>
      </c>
      <c r="E51" s="22" t="inlineStr">
        <is>
          <t>u</t>
        </is>
      </c>
      <c r="F51" s="24" t="n"/>
      <c r="G51" s="24">
        <f>G52+G53</f>
        <v/>
      </c>
      <c r="H51" s="22" t="n"/>
      <c r="I51" s="23" t="n"/>
      <c r="J51" s="22" t="inlineStr">
        <is>
          <t>Carga en planta</t>
        </is>
      </c>
      <c r="K51" s="23" t="inlineStr">
        <is>
          <t>18 Carga de polvo (T01) / C8 (T02)</t>
        </is>
      </c>
      <c r="L51" s="23" t="n"/>
      <c r="M51" s="22" t="n"/>
      <c r="N51" s="22" t="n"/>
      <c r="O51" s="23" t="n"/>
    </row>
    <row r="52" outlineLevel="1">
      <c r="A52" s="25" t="n">
        <v>2</v>
      </c>
      <c r="B52" s="25" t="inlineStr">
        <is>
          <t>ABC100-A1</t>
        </is>
      </c>
      <c r="C52" s="12" t="inlineStr">
        <is>
          <t xml:space="preserve">        Polvo químico seco ABC 90 (Sello IRAM 3569, DEMSA)</t>
        </is>
      </c>
      <c r="D52" s="25" t="n">
        <v>100</v>
      </c>
      <c r="E52" s="25" t="inlineStr">
        <is>
          <t>kg</t>
        </is>
      </c>
      <c r="F52" s="26" t="n">
        <v>1</v>
      </c>
      <c r="G52" s="26">
        <f>D52*F52</f>
        <v/>
      </c>
      <c r="H52" s="25" t="inlineStr">
        <is>
          <t>Polvo químico seco ABC 90 (Sello IRAM 3569, DEMSA)</t>
        </is>
      </c>
      <c r="I52" s="12" t="inlineStr">
        <is>
          <t>nominal 100 kg; tolerancia ± 3 % (IRAM 3517-2:2020 tabla 3)</t>
        </is>
      </c>
      <c r="J52" s="25" t="inlineStr">
        <is>
          <t>Compra</t>
        </is>
      </c>
      <c r="K52" s="12" t="inlineStr">
        <is>
          <t>SP-1 almacén previo a la carga</t>
        </is>
      </c>
      <c r="L52" s="12" t="inlineStr">
        <is>
          <t>IRAM 3569</t>
        </is>
      </c>
      <c r="M52" s="25" t="inlineStr">
        <is>
          <t>N</t>
        </is>
      </c>
      <c r="N52" s="25" t="n"/>
      <c r="O52" s="12" t="inlineStr">
        <is>
          <t>MAP 90 % (banda 85,5-94,5 %) = 90 kg MAP + 7 kg sulfato de amonio + 3 kg aditivos · potencial - · Lote único por extintor; prohibido mezclar ABC con BC (3517-2 9.9.1.6)</t>
        </is>
      </c>
    </row>
    <row r="53" outlineLevel="1">
      <c r="A53" s="25" t="n">
        <v>2</v>
      </c>
      <c r="B53" s="25" t="inlineStr">
        <is>
          <t>ABC100-A2</t>
        </is>
      </c>
      <c r="C53" s="12" t="inlineStr">
        <is>
          <t xml:space="preserve">        Gas impulsor: N₂</t>
        </is>
      </c>
      <c r="D53" s="25" t="n">
        <v>0.205</v>
      </c>
      <c r="E53" s="25" t="inlineStr">
        <is>
          <t>kg</t>
        </is>
      </c>
      <c r="F53" s="26" t="n">
        <v>1</v>
      </c>
      <c r="G53" s="26">
        <f>D53*F53</f>
        <v/>
      </c>
      <c r="H53" s="25" t="inlineStr">
        <is>
          <t>N₂</t>
        </is>
      </c>
      <c r="I53" s="12" t="inlineStr">
        <is>
          <t>164,1 L normales para 1,4 MPa a 20 °C en 11,89 dm³ libres</t>
        </is>
      </c>
      <c r="J53" s="25" t="inlineStr">
        <is>
          <t>Compra</t>
        </is>
      </c>
      <c r="K53" s="12" t="inlineStr">
        <is>
          <t>20 Presurización (T05) / C10</t>
        </is>
      </c>
      <c r="L53" s="12" t="inlineStr">
        <is>
          <t>IRAM 3517-2 9.4.9 (tabla 2) · IRAM 3523 2.3 y 3.10</t>
        </is>
      </c>
      <c r="M53" s="25" t="inlineStr">
        <is>
          <t>C</t>
        </is>
      </c>
      <c r="N53" s="25" t="n"/>
      <c r="O53" s="12" t="inlineStr">
        <is>
          <t>VOLUMEN LIBRE INSUFICIENTE con ρ típica (11,89 dm³): ver Carga_N2 - exigir densidad aparente mínima al polvo o agrandar el recipiente</t>
        </is>
      </c>
    </row>
    <row r="54">
      <c r="A54" s="22" t="n">
        <v>1</v>
      </c>
      <c r="B54" s="22" t="inlineStr">
        <is>
          <t>ABC100-S6</t>
        </is>
      </c>
      <c r="C54" s="23" t="inlineStr">
        <is>
          <t xml:space="preserve">    Identificación y precinto</t>
        </is>
      </c>
      <c r="D54" s="22" t="n">
        <v>1</v>
      </c>
      <c r="E54" s="22" t="inlineStr">
        <is>
          <t>u</t>
        </is>
      </c>
      <c r="F54" s="24" t="n"/>
      <c r="G54" s="24">
        <f>G55+G56+G57+G58+G59</f>
        <v/>
      </c>
      <c r="H54" s="22" t="n"/>
      <c r="I54" s="23" t="n"/>
      <c r="J54" s="22" t="inlineStr">
        <is>
          <t>Compra</t>
        </is>
      </c>
      <c r="K54" s="23" t="inlineStr">
        <is>
          <t>22 Etiquetado (T07)</t>
        </is>
      </c>
      <c r="L54" s="23" t="n"/>
      <c r="M54" s="22" t="n"/>
      <c r="N54" s="22" t="n"/>
      <c r="O54" s="23" t="n"/>
    </row>
    <row r="55" outlineLevel="1">
      <c r="A55" s="25" t="n">
        <v>2</v>
      </c>
      <c r="B55" s="25" t="inlineStr">
        <is>
          <t>ABC100-27</t>
        </is>
      </c>
      <c r="C55" s="12" t="inlineStr">
        <is>
          <t xml:space="preserve">        Placa de características</t>
        </is>
      </c>
      <c r="D55" s="25" t="n">
        <v>1</v>
      </c>
      <c r="E55" s="25" t="inlineStr">
        <is>
          <t>u</t>
        </is>
      </c>
      <c r="F55" s="26" t="n">
        <v>0.0243</v>
      </c>
      <c r="G55" s="26">
        <f>D55*F55</f>
        <v/>
      </c>
      <c r="H55" s="25" t="inlineStr">
        <is>
          <t>Vinilo autoadhesivo laminado</t>
        </is>
      </c>
      <c r="I55" s="12" t="inlineStr">
        <is>
          <t>368 × 157 (desarrollo × alto), e ≈ 0,3</t>
        </is>
      </c>
      <c r="J55" s="25" t="inlineStr">
        <is>
          <t>Compra</t>
        </is>
      </c>
      <c r="K55" s="12" t="inlineStr">
        <is>
          <t>22 Etiquetado (T07)</t>
        </is>
      </c>
      <c r="L55" s="12" t="inlineStr">
        <is>
          <t>IRAM 3534 · IRAM 3550 cap. 5</t>
        </is>
      </c>
      <c r="M55" s="25" t="inlineStr">
        <is>
          <t>P</t>
        </is>
      </c>
      <c r="N55" s="25" t="inlineStr">
        <is>
          <t>FL_DES_ABC_100kg</t>
        </is>
      </c>
      <c r="O55" s="12" t="inlineStr">
        <is>
          <t>IRAM 3534</t>
        </is>
      </c>
    </row>
    <row r="56" outlineLevel="1">
      <c r="A56" s="25" t="n">
        <v>2</v>
      </c>
      <c r="B56" s="25" t="inlineStr">
        <is>
          <t>ABC100-28</t>
        </is>
      </c>
      <c r="C56" s="12" t="inlineStr">
        <is>
          <t xml:space="preserve">        Oblea de fabricación (PBA)</t>
        </is>
      </c>
      <c r="D56" s="25" t="n">
        <v>1</v>
      </c>
      <c r="E56" s="25" t="inlineStr">
        <is>
          <t>u</t>
        </is>
      </c>
      <c r="F56" s="26" t="n">
        <v>0.0009</v>
      </c>
      <c r="G56" s="26">
        <f>D56*F56</f>
        <v/>
      </c>
      <c r="H56" s="25" t="inlineStr">
        <is>
          <t>Papel de seguridad autodestructible</t>
        </is>
      </c>
      <c r="I56" s="12" t="inlineStr">
        <is>
          <t>Ø46 (Res. OPDS 522/07), numerada, autodestructible</t>
        </is>
      </c>
      <c r="J56" s="25" t="inlineStr">
        <is>
          <t>Compra</t>
        </is>
      </c>
      <c r="K56" s="12" t="inlineStr">
        <is>
          <t>22 Etiquetado (T07)</t>
        </is>
      </c>
      <c r="L56" s="12" t="inlineStr">
        <is>
          <t>Res. OPDS 522/07 anexos 1, 2 y 6</t>
        </is>
      </c>
      <c r="M56" s="25" t="inlineStr">
        <is>
          <t>P</t>
        </is>
      </c>
      <c r="N56" s="25" t="inlineStr">
        <is>
          <t>FL_DES_ABC_100kg</t>
        </is>
      </c>
      <c r="O56" s="12" t="inlineStr">
        <is>
          <t>Res. 522/07</t>
        </is>
      </c>
    </row>
    <row r="57" outlineLevel="1">
      <c r="A57" s="25" t="n">
        <v>2</v>
      </c>
      <c r="B57" s="25" t="inlineStr">
        <is>
          <t>ABC100-29</t>
        </is>
      </c>
      <c r="C57" s="12" t="inlineStr">
        <is>
          <t xml:space="preserve">        Estampilla IRAM de conformidad</t>
        </is>
      </c>
      <c r="D57" s="25" t="n">
        <v>1</v>
      </c>
      <c r="E57" s="25" t="inlineStr">
        <is>
          <t>u</t>
        </is>
      </c>
      <c r="F57" s="26" t="n">
        <v>0.001</v>
      </c>
      <c r="G57" s="26">
        <f>D57*F57</f>
        <v/>
      </c>
      <c r="H57" s="25" t="inlineStr">
        <is>
          <t>Provista por IRAM (Anexo R)</t>
        </is>
      </c>
      <c r="I57" s="12" t="inlineStr">
        <is>
          <t>60 × 40</t>
        </is>
      </c>
      <c r="J57" s="25" t="inlineStr">
        <is>
          <t>Compra</t>
        </is>
      </c>
      <c r="K57" s="12" t="inlineStr">
        <is>
          <t>22 Etiquetado (T07)</t>
        </is>
      </c>
      <c r="L57" s="12" t="inlineStr">
        <is>
          <t>IRAM Anexo R (DC-PG-129)</t>
        </is>
      </c>
      <c r="M57" s="25" t="inlineStr">
        <is>
          <t>P</t>
        </is>
      </c>
      <c r="N57" s="25" t="inlineStr">
        <is>
          <t>FL_DES_ABC_100kg</t>
        </is>
      </c>
      <c r="O57" s="12" t="inlineStr">
        <is>
          <t>numerada</t>
        </is>
      </c>
    </row>
    <row r="58" outlineLevel="1">
      <c r="A58" s="25" t="n">
        <v>2</v>
      </c>
      <c r="B58" s="25" t="inlineStr">
        <is>
          <t>ABC100-31</t>
        </is>
      </c>
      <c r="C58" s="12" t="inlineStr">
        <is>
          <t xml:space="preserve">        Precinto de fábrica</t>
        </is>
      </c>
      <c r="D58" s="25" t="n">
        <v>1</v>
      </c>
      <c r="E58" s="25" t="inlineStr">
        <is>
          <t>u</t>
        </is>
      </c>
      <c r="F58" s="26" t="n">
        <v>0.0002</v>
      </c>
      <c r="G58" s="26">
        <f>D58*F58</f>
        <v/>
      </c>
      <c r="H58" s="25" t="inlineStr">
        <is>
          <t>Polipropileno</t>
        </is>
      </c>
      <c r="I58" s="12" t="inlineStr">
        <is>
          <t>Ø5 × 10, numerado, rotura 30-50 N</t>
        </is>
      </c>
      <c r="J58" s="25" t="inlineStr">
        <is>
          <t>Compra</t>
        </is>
      </c>
      <c r="K58" s="12" t="inlineStr">
        <is>
          <t>20 Presurización (T05)</t>
        </is>
      </c>
      <c r="L58" s="12" t="inlineStr">
        <is>
          <t>IRAM 3523 3.3.2 · IRAM 3517-2:2020 9.4.13</t>
        </is>
      </c>
      <c r="M58" s="25" t="inlineStr">
        <is>
          <t>P</t>
        </is>
      </c>
      <c r="N58" s="25" t="inlineStr">
        <is>
          <t>FL_DES_ABC_100kg</t>
        </is>
      </c>
      <c r="O58" s="12" t="inlineStr">
        <is>
          <t>id. FLAMA y lote</t>
        </is>
      </c>
    </row>
    <row r="59" outlineLevel="1">
      <c r="A59" s="25" t="n">
        <v>2</v>
      </c>
      <c r="B59" s="25" t="inlineStr">
        <is>
          <t>ABC100-I3</t>
        </is>
      </c>
      <c r="C59" s="12" t="inlineStr">
        <is>
          <t xml:space="preserve">        Tarjeta oficial de vigencia (CABA)</t>
        </is>
      </c>
      <c r="D59" s="25" t="n">
        <v>1</v>
      </c>
      <c r="E59" s="25" t="inlineStr">
        <is>
          <t>u</t>
        </is>
      </c>
      <c r="F59" s="26" t="n">
        <v>0.002</v>
      </c>
      <c r="G59" s="26">
        <f>D59*F59</f>
        <v/>
      </c>
      <c r="H59" s="25" t="inlineStr">
        <is>
          <t>Formulario oficial</t>
        </is>
      </c>
      <c r="I59" s="12" t="inlineStr">
        <is>
          <t>provista por DG Rentas GCBA</t>
        </is>
      </c>
      <c r="J59" s="25" t="inlineStr">
        <is>
          <t>Compra</t>
        </is>
      </c>
      <c r="K59" s="12" t="inlineStr">
        <is>
          <t>22 Etiquetado</t>
        </is>
      </c>
      <c r="L59" s="12" t="inlineStr">
        <is>
          <t>Ordenanza 40.473 art. 6</t>
        </is>
      </c>
      <c r="M59" s="25" t="inlineStr">
        <is>
          <t>N</t>
        </is>
      </c>
      <c r="N59" s="25" t="n"/>
      <c r="O59" s="12" t="inlineStr">
        <is>
          <t>Clase, capacidad, fecha de carga y vencimiento, garantía; se anexa al matafuego (no se dibuja)</t>
        </is>
      </c>
    </row>
    <row r="60">
      <c r="A60" s="22" t="n">
        <v>1</v>
      </c>
      <c r="B60" s="22" t="inlineStr">
        <is>
          <t>ABC100-S7</t>
        </is>
      </c>
      <c r="C60" s="23" t="inlineStr">
        <is>
          <t xml:space="preserve">    Embalaje</t>
        </is>
      </c>
      <c r="D60" s="22" t="n">
        <v>1</v>
      </c>
      <c r="E60" s="22" t="inlineStr">
        <is>
          <t>u</t>
        </is>
      </c>
      <c r="F60" s="24" t="n"/>
      <c r="G60" s="24">
        <f>G61+G62+G63+G64</f>
        <v/>
      </c>
      <c r="H60" s="22" t="n"/>
      <c r="I60" s="23" t="n"/>
      <c r="J60" s="22" t="inlineStr">
        <is>
          <t>Compra</t>
        </is>
      </c>
      <c r="K60" s="23" t="inlineStr">
        <is>
          <t>23 Embalaje -&gt; 24 envolvedora (T11)</t>
        </is>
      </c>
      <c r="L60" s="23" t="n"/>
      <c r="M60" s="22" t="n"/>
      <c r="N60" s="22" t="n"/>
      <c r="O60" s="23" t="n"/>
    </row>
    <row r="61" outlineLevel="1">
      <c r="A61" s="25" t="n">
        <v>2</v>
      </c>
      <c r="B61" s="25" t="inlineStr">
        <is>
          <t>ABC100-E1</t>
        </is>
      </c>
      <c r="C61" s="12" t="inlineStr">
        <is>
          <t xml:space="preserve">        Esquineros y funda de polietileno</t>
        </is>
      </c>
      <c r="D61" s="25" t="n">
        <v>1</v>
      </c>
      <c r="E61" s="25" t="inlineStr">
        <is>
          <t>jgo</t>
        </is>
      </c>
      <c r="F61" s="26" t="n">
        <v>0.3</v>
      </c>
      <c r="G61" s="26">
        <f>D61*F61</f>
        <v/>
      </c>
      <c r="H61" s="25" t="inlineStr">
        <is>
          <t>PE / cartón</t>
        </is>
      </c>
      <c r="I61" s="12" t="inlineStr">
        <is>
          <t>a medida</t>
        </is>
      </c>
      <c r="J61" s="25" t="inlineStr">
        <is>
          <t>Compra</t>
        </is>
      </c>
      <c r="K61" s="12" t="inlineStr">
        <is>
          <t>23 Embalaje</t>
        </is>
      </c>
      <c r="L61" s="12" t="n"/>
      <c r="M61" s="25" t="inlineStr">
        <is>
          <t>R</t>
        </is>
      </c>
      <c r="N61" s="25" t="n"/>
      <c r="O61" s="12" t="n"/>
    </row>
    <row r="62" outlineLevel="1">
      <c r="A62" s="25" t="n">
        <v>2</v>
      </c>
      <c r="B62" s="25" t="inlineStr">
        <is>
          <t>ABC100-E3</t>
        </is>
      </c>
      <c r="C62" s="12" t="inlineStr">
        <is>
          <t xml:space="preserve">        Pallet 1200 × 1000 (fracción)</t>
        </is>
      </c>
      <c r="D62" s="25" t="n">
        <v>1</v>
      </c>
      <c r="E62" s="25" t="inlineStr">
        <is>
          <t>u</t>
        </is>
      </c>
      <c r="F62" s="26" t="n">
        <v>22</v>
      </c>
      <c r="G62" s="26">
        <f>D62*F62</f>
        <v/>
      </c>
      <c r="H62" s="25" t="inlineStr">
        <is>
          <t>Madera</t>
        </is>
      </c>
      <c r="I62" s="12" t="inlineStr">
        <is>
          <t>1 u por pallet</t>
        </is>
      </c>
      <c r="J62" s="25" t="inlineStr">
        <is>
          <t>Compra</t>
        </is>
      </c>
      <c r="K62" s="12" t="inlineStr">
        <is>
          <t>23 Embalaje</t>
        </is>
      </c>
      <c r="L62" s="12" t="n"/>
      <c r="M62" s="25" t="inlineStr">
        <is>
          <t>R</t>
        </is>
      </c>
      <c r="N62" s="25" t="n"/>
      <c r="O62" s="12" t="n"/>
    </row>
    <row r="63" outlineLevel="1">
      <c r="A63" s="25" t="n">
        <v>2</v>
      </c>
      <c r="B63" s="25" t="inlineStr">
        <is>
          <t>ABC100-E4</t>
        </is>
      </c>
      <c r="C63" s="12" t="inlineStr">
        <is>
          <t xml:space="preserve">        Film stretch (fracción del pallet)</t>
        </is>
      </c>
      <c r="D63" s="25" t="n">
        <v>0.35</v>
      </c>
      <c r="E63" s="25" t="inlineStr">
        <is>
          <t>kg</t>
        </is>
      </c>
      <c r="F63" s="26" t="n">
        <v>1</v>
      </c>
      <c r="G63" s="26">
        <f>D63*F63</f>
        <v/>
      </c>
      <c r="H63" s="25" t="inlineStr">
        <is>
          <t>PE lineal 23 µm</t>
        </is>
      </c>
      <c r="I63" s="12" t="inlineStr">
        <is>
          <t>envolvedora EDOS PS5</t>
        </is>
      </c>
      <c r="J63" s="25" t="inlineStr">
        <is>
          <t>Compra</t>
        </is>
      </c>
      <c r="K63" s="12" t="inlineStr">
        <is>
          <t>24 Envolvedora (T11)</t>
        </is>
      </c>
      <c r="L63" s="12" t="n"/>
      <c r="M63" s="25" t="inlineStr">
        <is>
          <t>R</t>
        </is>
      </c>
      <c r="N63" s="25" t="n"/>
      <c r="O63" s="12" t="n"/>
    </row>
    <row r="64" outlineLevel="1">
      <c r="A64" s="25" t="n">
        <v>2</v>
      </c>
      <c r="B64" s="25" t="inlineStr">
        <is>
          <t>ABC100-E5</t>
        </is>
      </c>
      <c r="C64" s="12" t="inlineStr">
        <is>
          <t xml:space="preserve">        Etiqueta de pallet (lote y destino, fracción)</t>
        </is>
      </c>
      <c r="D64" s="25" t="n">
        <v>1</v>
      </c>
      <c r="E64" s="25" t="inlineStr">
        <is>
          <t>u</t>
        </is>
      </c>
      <c r="F64" s="26" t="n">
        <v>0</v>
      </c>
      <c r="G64" s="26">
        <f>D64*F64</f>
        <v/>
      </c>
      <c r="H64" s="25" t="inlineStr">
        <is>
          <t>Papel térmico</t>
        </is>
      </c>
      <c r="I64" s="12" t="inlineStr">
        <is>
          <t>100 × 150</t>
        </is>
      </c>
      <c r="J64" s="25" t="inlineStr">
        <is>
          <t>Compra</t>
        </is>
      </c>
      <c r="K64" s="12" t="inlineStr">
        <is>
          <t>24 Envolvedora</t>
        </is>
      </c>
      <c r="L64" s="12" t="n"/>
      <c r="M64" s="25" t="inlineStr">
        <is>
          <t>R</t>
        </is>
      </c>
      <c r="N64" s="25" t="n"/>
      <c r="O64" s="12" t="n"/>
    </row>
  </sheetData>
  <autoFilter ref="A10:O64"/>
  <pageMargins left="0.75" right="0.75" top="1" bottom="1" header="0.5" footer="0.5"/>
  <pageSetup orientation="landscape" fitToHeight="0" fitToWidth="1"/>
</worksheet>
</file>

<file path=xl/worksheets/sheet24.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FL_REC_ABC_1kg</t>
        </is>
      </c>
    </row>
    <row r="2">
      <c r="A2" s="2" t="inlineStr">
        <is>
          <t>Cilindro (recipiente) ABC 1 kg - repuesto vacío sin válvula</t>
        </is>
      </c>
    </row>
    <row r="3">
      <c r="A3" s="14" t="inlineStr">
        <is>
          <t>Plano de origen</t>
        </is>
      </c>
      <c r="C3" t="inlineStr">
        <is>
          <t>FL_REC_ABC_1kg  (recipiente para venta suelta)</t>
        </is>
      </c>
      <c r="E3" s="14" t="inlineStr">
        <is>
          <t>Peso vacío S1-S4 (kg)</t>
        </is>
      </c>
      <c r="G3" s="30">
        <f>G12</f>
        <v/>
      </c>
    </row>
    <row r="4">
      <c r="A4" s="14" t="inlineStr">
        <is>
          <t>Plano de despiece</t>
        </is>
      </c>
      <c r="C4" t="inlineStr">
        <is>
          <t>FL_DES_ABC_1kg (salida/despiece/)</t>
        </is>
      </c>
      <c r="E4" s="14" t="inlineStr">
        <is>
          <t>Peso cargado S1-S6 (kg)</t>
        </is>
      </c>
      <c r="G4" s="30">
        <f>G12</f>
        <v/>
      </c>
    </row>
    <row r="5">
      <c r="A5" s="14" t="inlineStr">
        <is>
          <t>Norma del producto</t>
        </is>
      </c>
      <c r="C5" t="inlineStr">
        <is>
          <t>IRAM 3523</t>
        </is>
      </c>
      <c r="E5" s="14" t="inlineStr">
        <is>
          <t>Peso con soporte y embalaje (kg)</t>
        </is>
      </c>
      <c r="G5" s="30">
        <f>G12+G27</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FL_REC_ABC_1kg</t>
        </is>
      </c>
      <c r="C11" s="20" t="inlineStr">
        <is>
          <t>Cilindro (recipiente) ABC 1 kg - repuesto vacío sin válvula</t>
        </is>
      </c>
      <c r="D11" s="19" t="n">
        <v>1</v>
      </c>
      <c r="E11" s="19" t="inlineStr">
        <is>
          <t>u</t>
        </is>
      </c>
      <c r="F11" s="21" t="n"/>
      <c r="G11" s="21">
        <f>G5</f>
        <v/>
      </c>
      <c r="H11" s="19" t="n"/>
      <c r="I11" s="20" t="n"/>
      <c r="J11" s="19" t="n"/>
      <c r="K11" s="20" t="n"/>
      <c r="L11" s="20" t="inlineStr">
        <is>
          <t>IRAM 3523</t>
        </is>
      </c>
      <c r="M11" s="19" t="inlineStr">
        <is>
          <t>P</t>
        </is>
      </c>
      <c r="N11" s="19" t="inlineStr">
        <is>
          <t>FL_REC_ABC_1kg</t>
        </is>
      </c>
      <c r="O11" s="20" t="inlineStr">
        <is>
          <t>Fabricación propia</t>
        </is>
      </c>
    </row>
    <row r="12">
      <c r="A12" s="22" t="n">
        <v>1</v>
      </c>
      <c r="B12" s="22" t="inlineStr">
        <is>
          <t>ABC1-S1</t>
        </is>
      </c>
      <c r="C12" s="23" t="inlineStr">
        <is>
          <t xml:space="preserve">    Recipiente (cilindro)</t>
        </is>
      </c>
      <c r="D12" s="22" t="n">
        <v>1</v>
      </c>
      <c r="E12" s="22" t="inlineStr">
        <is>
          <t>u</t>
        </is>
      </c>
      <c r="F12" s="24" t="n"/>
      <c r="G12" s="24">
        <f>G13+G15+G17+G19+G21+G24+G25</f>
        <v/>
      </c>
      <c r="H12" s="22" t="n"/>
      <c r="I12" s="23" t="n"/>
      <c r="J12" s="22" t="inlineStr">
        <is>
          <t>Fabricación</t>
        </is>
      </c>
      <c r="K12" s="23" t="n"/>
      <c r="L12" s="23" t="inlineStr">
        <is>
          <t>IRAM 3523 / 3550 (recipiente)</t>
        </is>
      </c>
      <c r="M12" s="22" t="inlineStr">
        <is>
          <t>P</t>
        </is>
      </c>
      <c r="N12" s="22" t="inlineStr">
        <is>
          <t>FL_DES_ABC_1kg</t>
        </is>
      </c>
      <c r="O12" s="23" t="n"/>
    </row>
    <row r="13" outlineLevel="1">
      <c r="A13" s="25" t="n">
        <v>2</v>
      </c>
      <c r="B13" s="25" t="inlineStr">
        <is>
          <t>ABC1-01</t>
        </is>
      </c>
      <c r="C13" s="12" t="inlineStr">
        <is>
          <t xml:space="preserve">        Cuerpo (virola)</t>
        </is>
      </c>
      <c r="D13" s="25" t="n">
        <v>1</v>
      </c>
      <c r="E13" s="25" t="inlineStr">
        <is>
          <t>u</t>
        </is>
      </c>
      <c r="F13" s="26" t="n">
        <v>0.5817</v>
      </c>
      <c r="G13" s="26">
        <f>D13*F13</f>
        <v/>
      </c>
      <c r="H13" s="25" t="inlineStr">
        <is>
          <t>Chapa acero SAE 1010 e=1,25</t>
        </is>
      </c>
      <c r="I13" s="12" t="inlineStr">
        <is>
          <t>Ø76,2 × e1,25 × 251,8 de alto; desarrollo 235,5 × 251,8</t>
        </is>
      </c>
      <c r="J13" s="25" t="inlineStr">
        <is>
          <t>Fabricación</t>
        </is>
      </c>
      <c r="K13" s="12" t="inlineStr">
        <is>
          <t>5 Corte láser de caño (M15/M16) -&gt; 9 encastre</t>
        </is>
      </c>
      <c r="L13" s="12" t="n"/>
      <c r="M13" s="25" t="inlineStr">
        <is>
          <t>P</t>
        </is>
      </c>
      <c r="N13" s="25" t="inlineStr">
        <is>
          <t>FL_DES_ABC_1kg</t>
        </is>
      </c>
      <c r="O13" s="12" t="inlineStr">
        <is>
          <t>costura long. MIG</t>
        </is>
      </c>
    </row>
    <row r="14" outlineLevel="2">
      <c r="A14" s="27" t="n">
        <v>3</v>
      </c>
      <c r="B14" s="27" t="inlineStr">
        <is>
          <t>MP-CANO</t>
        </is>
      </c>
      <c r="C14" s="28" t="inlineStr">
        <is>
          <t xml:space="preserve">            Caño Ø76,2 × 1,25 (tramo de barra de 6 m)</t>
        </is>
      </c>
      <c r="D14" s="27" t="n">
        <v>0.0435</v>
      </c>
      <c r="E14" s="27" t="inlineStr">
        <is>
          <t>barra</t>
        </is>
      </c>
      <c r="F14" s="29" t="n">
        <v>13.686</v>
      </c>
      <c r="G14" s="29">
        <f>D14*F14</f>
        <v/>
      </c>
      <c r="H14" s="27" t="inlineStr">
        <is>
          <t>Caño acero SAE 1010 con costura</t>
        </is>
      </c>
      <c r="I14" s="28" t="inlineStr">
        <is>
          <t>255 mm por cuerpo; 23 cuerpos por barra (kg por barra)</t>
        </is>
      </c>
      <c r="J14" s="27" t="inlineStr">
        <is>
          <t>Compra (Metalprisa)</t>
        </is>
      </c>
      <c r="K14" s="28" t="inlineStr">
        <is>
          <t>AL-1T cantiléver</t>
        </is>
      </c>
      <c r="L14" s="28" t="n"/>
      <c r="M14" s="27" t="inlineStr">
        <is>
          <t>L</t>
        </is>
      </c>
      <c r="N14" s="27" t="inlineStr">
        <is>
          <t>FL_PI_04 h2</t>
        </is>
      </c>
      <c r="O14" s="28" t="n"/>
    </row>
    <row r="15" outlineLevel="1">
      <c r="A15" s="25" t="n">
        <v>2</v>
      </c>
      <c r="B15" s="25" t="inlineStr">
        <is>
          <t>ABC1-02</t>
        </is>
      </c>
      <c r="C15" s="12" t="inlineStr">
        <is>
          <t xml:space="preserve">        Cúpula</t>
        </is>
      </c>
      <c r="D15" s="25" t="n">
        <v>1</v>
      </c>
      <c r="E15" s="25" t="inlineStr">
        <is>
          <t>u</t>
        </is>
      </c>
      <c r="F15" s="26" t="n">
        <v>0.0309</v>
      </c>
      <c r="G15" s="26">
        <f>D15*F15</f>
        <v/>
      </c>
      <c r="H15" s="25" t="inlineStr">
        <is>
          <t>Chapa acero SAE 1010 e=0,9</t>
        </is>
      </c>
      <c r="I15" s="12" t="inlineStr">
        <is>
          <t>Ø76,2 × e0,9 × 11,7 de alto; disco Ø108</t>
        </is>
      </c>
      <c r="J15" s="25" t="inlineStr">
        <is>
          <t>Fabricación</t>
        </is>
      </c>
      <c r="K15" s="12" t="inlineStr">
        <is>
          <t>6 Desbobinado + embutido (M06-M08)</t>
        </is>
      </c>
      <c r="L15" s="12" t="n"/>
      <c r="M15" s="25" t="inlineStr">
        <is>
          <t>P</t>
        </is>
      </c>
      <c r="N15" s="25" t="inlineStr">
        <is>
          <t>FL_DES_ABC_1kg</t>
        </is>
      </c>
      <c r="O15" s="12" t="inlineStr">
        <is>
          <t>embutida</t>
        </is>
      </c>
    </row>
    <row r="16" outlineLevel="2">
      <c r="A16" s="27" t="n">
        <v>3</v>
      </c>
      <c r="B16" s="27" t="inlineStr">
        <is>
          <t>MP-FLEJE</t>
        </is>
      </c>
      <c r="C16" s="28" t="inlineStr">
        <is>
          <t xml:space="preserve">            Fleje e=0,9 × 114 (paso 111)</t>
        </is>
      </c>
      <c r="D16" s="27" t="n">
        <v>0.111</v>
      </c>
      <c r="E16" s="27" t="inlineStr">
        <is>
          <t>m</t>
        </is>
      </c>
      <c r="F16" s="29" t="n">
        <v>0.805</v>
      </c>
      <c r="G16" s="29">
        <f>D16*F16</f>
        <v/>
      </c>
      <c r="H16" s="27" t="inlineStr">
        <is>
          <t>Fleje SAE 1010</t>
        </is>
      </c>
      <c r="I16" s="28" t="inlineStr">
        <is>
          <t>disco Ø108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ABC1-03</t>
        </is>
      </c>
      <c r="C17" s="12" t="inlineStr">
        <is>
          <t xml:space="preserve">        Fondo</t>
        </is>
      </c>
      <c r="D17" s="25" t="n">
        <v>1</v>
      </c>
      <c r="E17" s="25" t="inlineStr">
        <is>
          <t>u</t>
        </is>
      </c>
      <c r="F17" s="26" t="n">
        <v>0.0622</v>
      </c>
      <c r="G17" s="26">
        <f>D17*F17</f>
        <v/>
      </c>
      <c r="H17" s="25" t="inlineStr">
        <is>
          <t>Chapa acero SAE 1010 e=1,25</t>
        </is>
      </c>
      <c r="I17" s="12" t="inlineStr">
        <is>
          <t>Ø76,2 × e1,25 × 22 de alto; disco Ø100</t>
        </is>
      </c>
      <c r="J17" s="25" t="inlineStr">
        <is>
          <t>Fabricación</t>
        </is>
      </c>
      <c r="K17" s="12" t="inlineStr">
        <is>
          <t>6 Desbobinado + embutido (M06-M08)</t>
        </is>
      </c>
      <c r="L17" s="12" t="n"/>
      <c r="M17" s="25" t="inlineStr">
        <is>
          <t>P</t>
        </is>
      </c>
      <c r="N17" s="25" t="inlineStr">
        <is>
          <t>FL_DES_ABC_1kg</t>
        </is>
      </c>
      <c r="O17" s="12" t="inlineStr">
        <is>
          <t>embutido</t>
        </is>
      </c>
    </row>
    <row r="18" outlineLevel="2">
      <c r="A18" s="27" t="n">
        <v>3</v>
      </c>
      <c r="B18" s="27" t="inlineStr">
        <is>
          <t>MP-FLEJE</t>
        </is>
      </c>
      <c r="C18" s="28" t="inlineStr">
        <is>
          <t xml:space="preserve">            Fleje e=0,9 × 106 (paso 103)</t>
        </is>
      </c>
      <c r="D18" s="27" t="n">
        <v>0.103</v>
      </c>
      <c r="E18" s="27" t="inlineStr">
        <is>
          <t>m</t>
        </is>
      </c>
      <c r="F18" s="29" t="n">
        <v>0.749</v>
      </c>
      <c r="G18" s="29">
        <f>D18*F18</f>
        <v/>
      </c>
      <c r="H18" s="27" t="inlineStr">
        <is>
          <t>Fleje SAE 1010</t>
        </is>
      </c>
      <c r="I18" s="28" t="inlineStr">
        <is>
          <t>disco Ø100 (kg por m de fleje)</t>
        </is>
      </c>
      <c r="J18" s="27" t="inlineStr">
        <is>
          <t>Compra (Pacheco / Pradecon)</t>
        </is>
      </c>
      <c r="K18" s="28" t="inlineStr">
        <is>
          <t>AL-1F porta-flejes</t>
        </is>
      </c>
      <c r="L18" s="28" t="n"/>
      <c r="M18" s="27" t="inlineStr">
        <is>
          <t>L</t>
        </is>
      </c>
      <c r="N18" s="27" t="inlineStr">
        <is>
          <t>FL_PI_04 h2</t>
        </is>
      </c>
      <c r="O18" s="28" t="inlineStr">
        <is>
          <t>OJO: el fleje es e=0,9 y el plano e=1,25</t>
        </is>
      </c>
    </row>
    <row r="19" outlineLevel="1">
      <c r="A19" s="25" t="n">
        <v>2</v>
      </c>
      <c r="B19" s="25" t="inlineStr">
        <is>
          <t>ABC1-04</t>
        </is>
      </c>
      <c r="C19" s="12" t="inlineStr">
        <is>
          <t xml:space="preserve">        Cuello roscado</t>
        </is>
      </c>
      <c r="D19" s="25" t="n">
        <v>1</v>
      </c>
      <c r="E19" s="25" t="inlineStr">
        <is>
          <t>u</t>
        </is>
      </c>
      <c r="F19" s="26" t="n">
        <v>0.0359</v>
      </c>
      <c r="G19" s="26">
        <f>D19*F19</f>
        <v/>
      </c>
      <c r="H19" s="25" t="inlineStr">
        <is>
          <t>Acero SAE 1010</t>
        </is>
      </c>
      <c r="I19" s="12" t="inlineStr">
        <is>
          <t>Ø29 × 12,5 de alto, rosca M22x1,5, asiento Ø26</t>
        </is>
      </c>
      <c r="J19" s="25" t="inlineStr">
        <is>
          <t>Fabricación</t>
        </is>
      </c>
      <c r="K19" s="12" t="inlineStr">
        <is>
          <t>7 Preparación de cuello -&gt; 8 soldadura de cuello</t>
        </is>
      </c>
      <c r="L19" s="12" t="n"/>
      <c r="M19" s="25" t="inlineStr">
        <is>
          <t>P</t>
        </is>
      </c>
      <c r="N19" s="25" t="inlineStr">
        <is>
          <t>FL_DES_ABC_1kg</t>
        </is>
      </c>
      <c r="O19" s="12" t="inlineStr">
        <is>
          <t>M22x1,5</t>
        </is>
      </c>
    </row>
    <row r="20" outlineLevel="2">
      <c r="A20" s="27" t="n">
        <v>3</v>
      </c>
      <c r="B20" s="27" t="inlineStr">
        <is>
          <t>MP-CUELLO</t>
        </is>
      </c>
      <c r="C20" s="28" t="inlineStr">
        <is>
          <t xml:space="preserve">            Cuello roscado mecanizado (pieza comprada lista para soldar)</t>
        </is>
      </c>
      <c r="D20" s="27" t="n">
        <v>1</v>
      </c>
      <c r="E20" s="27" t="inlineStr">
        <is>
          <t>u</t>
        </is>
      </c>
      <c r="F20" s="29" t="n">
        <v>0.036</v>
      </c>
      <c r="G20" s="29">
        <f>D20*F20</f>
        <v/>
      </c>
      <c r="H20" s="27" t="inlineStr">
        <is>
          <t>Acero SAE 1010 / 1020</t>
        </is>
      </c>
      <c r="I20" s="28" t="inlineStr">
        <is>
          <t>rosca M22x1,5</t>
        </is>
      </c>
      <c r="J20" s="27" t="inlineStr">
        <is>
          <t>Compra (Eli-Met)</t>
        </is>
      </c>
      <c r="K20" s="28" t="inlineStr">
        <is>
          <t>AL-1C cuellos y roscas</t>
        </is>
      </c>
      <c r="L20" s="28" t="n"/>
      <c r="M20" s="27" t="inlineStr">
        <is>
          <t>L</t>
        </is>
      </c>
      <c r="N20" s="27" t="n"/>
      <c r="O20" s="28" t="n"/>
    </row>
    <row r="21" outlineLevel="1">
      <c r="A21" s="25" t="n">
        <v>2</v>
      </c>
      <c r="B21" s="25" t="inlineStr">
        <is>
          <t>ABC1-C1</t>
        </is>
      </c>
      <c r="C21" s="12" t="inlineStr">
        <is>
          <t xml:space="preserve">        Aporte de soldadura: Alambre MAG ER70S-6 Ø0,9/1,2</t>
        </is>
      </c>
      <c r="D21" s="25" t="n">
        <v>0.0215</v>
      </c>
      <c r="E21" s="25" t="inlineStr">
        <is>
          <t>kg</t>
        </is>
      </c>
      <c r="F21" s="26" t="n">
        <v>0.92</v>
      </c>
      <c r="G21" s="26">
        <f>D21*F21</f>
        <v/>
      </c>
      <c r="H21" s="25" t="inlineStr">
        <is>
          <t>Alambre MAG ER70S-6 Ø0,9/1,2</t>
        </is>
      </c>
      <c r="I21" s="12" t="inlineStr">
        <is>
          <t>cordones del plano: 20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ABC1-C2</t>
        </is>
      </c>
      <c r="C22" s="12" t="inlineStr">
        <is>
          <t xml:space="preserve">        Gas de protección: Arcal 21 (Ar + 18 % CO₂)</t>
        </is>
      </c>
      <c r="D22" s="25" t="n">
        <v>9.699999999999999</v>
      </c>
      <c r="E22" s="25" t="inlineStr">
        <is>
          <t>L</t>
        </is>
      </c>
      <c r="F22" s="26" t="n"/>
      <c r="G22" s="26" t="n"/>
      <c r="H22" s="25" t="inlineStr">
        <is>
          <t>Arcal 21 (Ar + 18 % CO₂)</t>
        </is>
      </c>
      <c r="I22" s="12" t="inlineStr">
        <is>
          <t>0,6 min de arco × 15 L/min</t>
        </is>
      </c>
      <c r="J22" s="25" t="inlineStr">
        <is>
          <t>Compra</t>
        </is>
      </c>
      <c r="K22" s="12" t="inlineStr">
        <is>
          <t>Colector SC</t>
        </is>
      </c>
      <c r="L22" s="12" t="n"/>
      <c r="M22" s="25" t="inlineStr">
        <is>
          <t>R</t>
        </is>
      </c>
      <c r="N22" s="25" t="n"/>
      <c r="O22" s="12" t="n"/>
    </row>
    <row r="23" outlineLevel="1">
      <c r="A23" s="25" t="n">
        <v>2</v>
      </c>
      <c r="B23" s="25" t="inlineStr">
        <is>
          <t>ABC1-C3</t>
        </is>
      </c>
      <c r="C23" s="12" t="inlineStr">
        <is>
          <t xml:space="preserve">        Granalla de acero (consumo)</t>
        </is>
      </c>
      <c r="D23" s="25" t="n">
        <v>0.006</v>
      </c>
      <c r="E23" s="25" t="inlineStr">
        <is>
          <t>kg</t>
        </is>
      </c>
      <c r="F23" s="26" t="n"/>
      <c r="G23" s="26" t="n"/>
      <c r="H23" s="25" t="inlineStr">
        <is>
          <t>Granalla S-230</t>
        </is>
      </c>
      <c r="I23" s="12" t="inlineStr">
        <is>
          <t>0,07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ABC1-C4</t>
        </is>
      </c>
      <c r="C24" s="12" t="inlineStr">
        <is>
          <t xml:space="preserve">        Pintura en polvo poliéster rojo</t>
        </is>
      </c>
      <c r="D24" s="25" t="n">
        <v>0.013</v>
      </c>
      <c r="E24" s="25" t="inlineStr">
        <is>
          <t>kg</t>
        </is>
      </c>
      <c r="F24" s="26" t="n">
        <v>0.65</v>
      </c>
      <c r="G24" s="26">
        <f>D24*F24</f>
        <v/>
      </c>
      <c r="H24" s="25" t="inlineStr">
        <is>
          <t>Poliéster rojo 03-1-050</t>
        </is>
      </c>
      <c r="I24" s="12" t="inlineStr">
        <is>
          <t>0,07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outlineLevel="1">
      <c r="A25" s="25" t="n">
        <v>2</v>
      </c>
      <c r="B25" s="25" t="inlineStr">
        <is>
          <t>ABC1-T1</t>
        </is>
      </c>
      <c r="C25" s="12" t="inlineStr">
        <is>
          <t xml:space="preserve">        Tapón protector de rosca del cuello</t>
        </is>
      </c>
      <c r="D25" s="25" t="n">
        <v>1</v>
      </c>
      <c r="E25" s="25" t="inlineStr">
        <is>
          <t>u</t>
        </is>
      </c>
      <c r="F25" s="26" t="n">
        <v>0.005</v>
      </c>
      <c r="G25" s="26">
        <f>D25*F25</f>
        <v/>
      </c>
      <c r="H25" s="25" t="inlineStr">
        <is>
          <t>Polietileno</t>
        </is>
      </c>
      <c r="I25" s="12" t="inlineStr">
        <is>
          <t>para rosca M22x1,5</t>
        </is>
      </c>
      <c r="J25" s="25" t="inlineStr">
        <is>
          <t>Compra</t>
        </is>
      </c>
      <c r="K25" s="12" t="inlineStr">
        <is>
          <t>Embalaje</t>
        </is>
      </c>
      <c r="L25" s="12" t="n"/>
      <c r="M25" s="25" t="inlineStr">
        <is>
          <t>R</t>
        </is>
      </c>
      <c r="N25" s="25" t="n"/>
      <c r="O25" s="12" t="n"/>
    </row>
    <row r="26" outlineLevel="1">
      <c r="A26" s="25" t="n">
        <v>2</v>
      </c>
      <c r="B26" s="25" t="inlineStr">
        <is>
          <t>ABC1-T2</t>
        </is>
      </c>
      <c r="C26" s="12" t="inlineStr">
        <is>
          <t xml:space="preserve">        Marcado del recipiente (estampado)</t>
        </is>
      </c>
      <c r="D26" s="25" t="n">
        <v>1</v>
      </c>
      <c r="E26" s="25" t="inlineStr">
        <is>
          <t>u</t>
        </is>
      </c>
      <c r="F26" s="26" t="n"/>
      <c r="G26" s="26" t="n"/>
      <c r="H26" s="25" t="inlineStr">
        <is>
          <t>-</t>
        </is>
      </c>
      <c r="I26" s="12" t="inlineStr">
        <is>
          <t>N° de serie, año, presión de prueba, norma</t>
        </is>
      </c>
      <c r="J26" s="25" t="inlineStr">
        <is>
          <t>Proceso</t>
        </is>
      </c>
      <c r="K26" s="12" t="inlineStr">
        <is>
          <t>Marcado</t>
        </is>
      </c>
      <c r="L26" s="12" t="inlineStr">
        <is>
          <t>IRAM 3523 (marcado)</t>
        </is>
      </c>
      <c r="M26" s="25" t="inlineStr">
        <is>
          <t>R</t>
        </is>
      </c>
      <c r="N26" s="25" t="n"/>
      <c r="O26" s="12" t="n"/>
    </row>
    <row r="27">
      <c r="A27" s="22" t="n">
        <v>1</v>
      </c>
      <c r="B27" s="22" t="inlineStr">
        <is>
          <t>ABC1-S7</t>
        </is>
      </c>
      <c r="C27" s="23" t="inlineStr">
        <is>
          <t xml:space="preserve">    Embalaje</t>
        </is>
      </c>
      <c r="D27" s="22" t="n">
        <v>1</v>
      </c>
      <c r="E27" s="22" t="inlineStr">
        <is>
          <t>u</t>
        </is>
      </c>
      <c r="F27" s="24" t="n"/>
      <c r="G27" s="24">
        <f>G28+G29+G30+G31</f>
        <v/>
      </c>
      <c r="H27" s="22" t="n"/>
      <c r="I27" s="23" t="n"/>
      <c r="J27" s="22" t="inlineStr">
        <is>
          <t>Compra</t>
        </is>
      </c>
      <c r="K27" s="23" t="inlineStr">
        <is>
          <t>23 Embalaje -&gt; 24 envolvedora (T11)</t>
        </is>
      </c>
      <c r="L27" s="23" t="n"/>
      <c r="M27" s="22" t="n"/>
      <c r="N27" s="22" t="n"/>
      <c r="O27" s="23" t="n"/>
    </row>
    <row r="28" outlineLevel="1">
      <c r="A28" s="25" t="n">
        <v>2</v>
      </c>
      <c r="B28" s="25" t="inlineStr">
        <is>
          <t>ABC1-E1</t>
        </is>
      </c>
      <c r="C28" s="12" t="inlineStr">
        <is>
          <t xml:space="preserve">        Caja de cartón corrugado simple</t>
        </is>
      </c>
      <c r="D28" s="25" t="n">
        <v>1</v>
      </c>
      <c r="E28" s="25" t="inlineStr">
        <is>
          <t>u</t>
        </is>
      </c>
      <c r="F28" s="26" t="n">
        <v>0.25</v>
      </c>
      <c r="G28" s="26">
        <f>D28*F28</f>
        <v/>
      </c>
      <c r="H28" s="25" t="inlineStr">
        <is>
          <t>Cartón corrugado</t>
        </is>
      </c>
      <c r="I28" s="12" t="inlineStr">
        <is>
          <t>106 × 106 × 318 interior</t>
        </is>
      </c>
      <c r="J28" s="25" t="inlineStr">
        <is>
          <t>Compra</t>
        </is>
      </c>
      <c r="K28" s="12" t="inlineStr">
        <is>
          <t>23 Embalaje</t>
        </is>
      </c>
      <c r="L28" s="12" t="n"/>
      <c r="M28" s="25" t="inlineStr">
        <is>
          <t>R</t>
        </is>
      </c>
      <c r="N28" s="25" t="n"/>
      <c r="O28" s="12" t="n"/>
    </row>
    <row r="29" outlineLevel="1">
      <c r="A29" s="25" t="n">
        <v>2</v>
      </c>
      <c r="B29" s="25" t="inlineStr">
        <is>
          <t>ABC1-E3</t>
        </is>
      </c>
      <c r="C29" s="12" t="inlineStr">
        <is>
          <t xml:space="preserve">        Pallet 1200 × 1000 (fracción)</t>
        </is>
      </c>
      <c r="D29" s="25" t="n">
        <v>0.0025</v>
      </c>
      <c r="E29" s="25" t="inlineStr">
        <is>
          <t>u</t>
        </is>
      </c>
      <c r="F29" s="26" t="n">
        <v>0.056</v>
      </c>
      <c r="G29" s="26">
        <f>D29*F29</f>
        <v/>
      </c>
      <c r="H29" s="25" t="inlineStr">
        <is>
          <t>Madera</t>
        </is>
      </c>
      <c r="I29" s="12" t="inlineStr">
        <is>
          <t>396 u por pallet</t>
        </is>
      </c>
      <c r="J29" s="25" t="inlineStr">
        <is>
          <t>Compra</t>
        </is>
      </c>
      <c r="K29" s="12" t="inlineStr">
        <is>
          <t>23 Embalaje</t>
        </is>
      </c>
      <c r="L29" s="12" t="n"/>
      <c r="M29" s="25" t="inlineStr">
        <is>
          <t>R</t>
        </is>
      </c>
      <c r="N29" s="25" t="n"/>
      <c r="O29" s="12" t="n"/>
    </row>
    <row r="30" outlineLevel="1">
      <c r="A30" s="25" t="n">
        <v>2</v>
      </c>
      <c r="B30" s="25" t="inlineStr">
        <is>
          <t>ABC1-E4</t>
        </is>
      </c>
      <c r="C30" s="12" t="inlineStr">
        <is>
          <t xml:space="preserve">        Film stretch (fracción del pallet)</t>
        </is>
      </c>
      <c r="D30" s="25" t="n">
        <v>0.0009</v>
      </c>
      <c r="E30" s="25" t="inlineStr">
        <is>
          <t>kg</t>
        </is>
      </c>
      <c r="F30" s="26" t="n">
        <v>1</v>
      </c>
      <c r="G30" s="26">
        <f>D30*F30</f>
        <v/>
      </c>
      <c r="H30" s="25" t="inlineStr">
        <is>
          <t>PE lineal 23 µm</t>
        </is>
      </c>
      <c r="I30" s="12" t="inlineStr">
        <is>
          <t>envolvedora EDOS PS5</t>
        </is>
      </c>
      <c r="J30" s="25" t="inlineStr">
        <is>
          <t>Compra</t>
        </is>
      </c>
      <c r="K30" s="12" t="inlineStr">
        <is>
          <t>24 Envolvedora (T11)</t>
        </is>
      </c>
      <c r="L30" s="12" t="n"/>
      <c r="M30" s="25" t="inlineStr">
        <is>
          <t>R</t>
        </is>
      </c>
      <c r="N30" s="25" t="n"/>
      <c r="O30" s="12" t="n"/>
    </row>
    <row r="31" outlineLevel="1">
      <c r="A31" s="25" t="n">
        <v>2</v>
      </c>
      <c r="B31" s="25" t="inlineStr">
        <is>
          <t>ABC1-E5</t>
        </is>
      </c>
      <c r="C31" s="12" t="inlineStr">
        <is>
          <t xml:space="preserve">        Etiqueta de pallet (lote y destino, fracción)</t>
        </is>
      </c>
      <c r="D31" s="25" t="n">
        <v>0.0025</v>
      </c>
      <c r="E31" s="25" t="inlineStr">
        <is>
          <t>u</t>
        </is>
      </c>
      <c r="F31" s="26" t="n">
        <v>0</v>
      </c>
      <c r="G31" s="26">
        <f>D31*F31</f>
        <v/>
      </c>
      <c r="H31" s="25" t="inlineStr">
        <is>
          <t>Papel térmico</t>
        </is>
      </c>
      <c r="I31" s="12" t="inlineStr">
        <is>
          <t>100 × 150</t>
        </is>
      </c>
      <c r="J31" s="25" t="inlineStr">
        <is>
          <t>Compra</t>
        </is>
      </c>
      <c r="K31" s="12" t="inlineStr">
        <is>
          <t>24 Envolvedora</t>
        </is>
      </c>
      <c r="L31" s="12" t="n"/>
      <c r="M31" s="25" t="inlineStr">
        <is>
          <t>R</t>
        </is>
      </c>
      <c r="N31" s="25" t="n"/>
      <c r="O31" s="12" t="n"/>
    </row>
  </sheetData>
  <autoFilter ref="A10:O31"/>
  <pageMargins left="0.75" right="0.75" top="1" bottom="1" header="0.5" footer="0.5"/>
  <pageSetup orientation="landscape" fitToHeight="0" fitToWidth="1"/>
</worksheet>
</file>

<file path=xl/worksheets/sheet25.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FL_REC_ABC_2.5kg</t>
        </is>
      </c>
    </row>
    <row r="2">
      <c r="A2" s="2" t="inlineStr">
        <is>
          <t>Cilindro (recipiente) ABC 2,5 kg - repuesto vacío sin válvula</t>
        </is>
      </c>
    </row>
    <row r="3">
      <c r="A3" s="14" t="inlineStr">
        <is>
          <t>Plano de origen</t>
        </is>
      </c>
      <c r="C3" t="inlineStr">
        <is>
          <t>FL_REC_ABC_2.5kg  (recipiente para venta suelta)</t>
        </is>
      </c>
      <c r="E3" s="14" t="inlineStr">
        <is>
          <t>Peso vacío S1-S4 (kg)</t>
        </is>
      </c>
      <c r="G3" s="30">
        <f>G12</f>
        <v/>
      </c>
    </row>
    <row r="4">
      <c r="A4" s="14" t="inlineStr">
        <is>
          <t>Plano de despiece</t>
        </is>
      </c>
      <c r="C4" t="inlineStr">
        <is>
          <t>FL_DES_ABC_2.5kg (salida/despiece/)</t>
        </is>
      </c>
      <c r="E4" s="14" t="inlineStr">
        <is>
          <t>Peso cargado S1-S6 (kg)</t>
        </is>
      </c>
      <c r="G4" s="30">
        <f>G12</f>
        <v/>
      </c>
    </row>
    <row r="5">
      <c r="A5" s="14" t="inlineStr">
        <is>
          <t>Norma del producto</t>
        </is>
      </c>
      <c r="C5" t="inlineStr">
        <is>
          <t>IRAM 3523</t>
        </is>
      </c>
      <c r="E5" s="14" t="inlineStr">
        <is>
          <t>Peso con soporte y embalaje (kg)</t>
        </is>
      </c>
      <c r="G5" s="30">
        <f>G12+G27</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FL_REC_ABC_2.5kg</t>
        </is>
      </c>
      <c r="C11" s="20" t="inlineStr">
        <is>
          <t>Cilindro (recipiente) ABC 2,5 kg - repuesto vacío sin válvula</t>
        </is>
      </c>
      <c r="D11" s="19" t="n">
        <v>1</v>
      </c>
      <c r="E11" s="19" t="inlineStr">
        <is>
          <t>u</t>
        </is>
      </c>
      <c r="F11" s="21" t="n"/>
      <c r="G11" s="21">
        <f>G5</f>
        <v/>
      </c>
      <c r="H11" s="19" t="n"/>
      <c r="I11" s="20" t="n"/>
      <c r="J11" s="19" t="n"/>
      <c r="K11" s="20" t="n"/>
      <c r="L11" s="20" t="inlineStr">
        <is>
          <t>IRAM 3523</t>
        </is>
      </c>
      <c r="M11" s="19" t="inlineStr">
        <is>
          <t>P</t>
        </is>
      </c>
      <c r="N11" s="19" t="inlineStr">
        <is>
          <t>FL_REC_ABC_2.5kg</t>
        </is>
      </c>
      <c r="O11" s="20" t="inlineStr">
        <is>
          <t>Fabricación propia</t>
        </is>
      </c>
    </row>
    <row r="12">
      <c r="A12" s="22" t="n">
        <v>1</v>
      </c>
      <c r="B12" s="22" t="inlineStr">
        <is>
          <t>ABC2.5-S1</t>
        </is>
      </c>
      <c r="C12" s="23" t="inlineStr">
        <is>
          <t xml:space="preserve">    Recipiente (cilindro)</t>
        </is>
      </c>
      <c r="D12" s="22" t="n">
        <v>1</v>
      </c>
      <c r="E12" s="22" t="inlineStr">
        <is>
          <t>u</t>
        </is>
      </c>
      <c r="F12" s="24" t="n"/>
      <c r="G12" s="24">
        <f>G13+G15+G17+G19+G21+G24+G25</f>
        <v/>
      </c>
      <c r="H12" s="22" t="n"/>
      <c r="I12" s="23" t="n"/>
      <c r="J12" s="22" t="inlineStr">
        <is>
          <t>Fabricación</t>
        </is>
      </c>
      <c r="K12" s="23" t="n"/>
      <c r="L12" s="23" t="inlineStr">
        <is>
          <t>IRAM 3523 / 3550 (recipiente)</t>
        </is>
      </c>
      <c r="M12" s="22" t="inlineStr">
        <is>
          <t>P</t>
        </is>
      </c>
      <c r="N12" s="22" t="inlineStr">
        <is>
          <t>FL_DES_ABC_2.5kg</t>
        </is>
      </c>
      <c r="O12" s="23" t="n"/>
    </row>
    <row r="13" outlineLevel="1">
      <c r="A13" s="25" t="n">
        <v>2</v>
      </c>
      <c r="B13" s="25" t="inlineStr">
        <is>
          <t>ABC2.5-01</t>
        </is>
      </c>
      <c r="C13" s="12" t="inlineStr">
        <is>
          <t xml:space="preserve">        Cuerpo (virola)</t>
        </is>
      </c>
      <c r="D13" s="25" t="n">
        <v>1</v>
      </c>
      <c r="E13" s="25" t="inlineStr">
        <is>
          <t>u</t>
        </is>
      </c>
      <c r="F13" s="26" t="n">
        <v>0.9899</v>
      </c>
      <c r="G13" s="26">
        <f>D13*F13</f>
        <v/>
      </c>
      <c r="H13" s="25" t="inlineStr">
        <is>
          <t>Chapa acero SAE 1010 e=1,25</t>
        </is>
      </c>
      <c r="I13" s="12" t="inlineStr">
        <is>
          <t>Ø124 × e1,25 × 261,6 de alto; desarrollo 385,6 × 261,6</t>
        </is>
      </c>
      <c r="J13" s="25" t="inlineStr">
        <is>
          <t>Fabricación</t>
        </is>
      </c>
      <c r="K13" s="12" t="inlineStr">
        <is>
          <t>1 Guillotina -&gt; 2 numerado -&gt; 3 cilindrado -&gt; 4 soldadura longitudinal</t>
        </is>
      </c>
      <c r="L13" s="12" t="n"/>
      <c r="M13" s="25" t="inlineStr">
        <is>
          <t>P</t>
        </is>
      </c>
      <c r="N13" s="25" t="inlineStr">
        <is>
          <t>FL_DES_ABC_2.5kg</t>
        </is>
      </c>
      <c r="O13" s="12" t="inlineStr">
        <is>
          <t>costura long. MIG</t>
        </is>
      </c>
    </row>
    <row r="14" outlineLevel="2">
      <c r="A14" s="27" t="n">
        <v>3</v>
      </c>
      <c r="B14" s="27" t="inlineStr">
        <is>
          <t>MP-HOJA</t>
        </is>
      </c>
      <c r="C14" s="28" t="inlineStr">
        <is>
          <t xml:space="preserve">            Recorte de hoja LAF 1220 × 2440 e=1,25</t>
        </is>
      </c>
      <c r="D14" s="27" t="n">
        <v>1</v>
      </c>
      <c r="E14" s="27" t="inlineStr">
        <is>
          <t>u</t>
        </is>
      </c>
      <c r="F14" s="29" t="n">
        <v>1.082</v>
      </c>
      <c r="G14" s="29">
        <f>D14*F14</f>
        <v/>
      </c>
      <c r="H14" s="27" t="inlineStr">
        <is>
          <t>Chapa SAE 1010 LAF</t>
        </is>
      </c>
      <c r="I14" s="28" t="inlineStr">
        <is>
          <t>385,5 × 269,5 (aprovech. 94,2 %)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ABC2.5-02</t>
        </is>
      </c>
      <c r="C15" s="12" t="inlineStr">
        <is>
          <t xml:space="preserve">        Cúpula</t>
        </is>
      </c>
      <c r="D15" s="25" t="n">
        <v>1</v>
      </c>
      <c r="E15" s="25" t="inlineStr">
        <is>
          <t>u</t>
        </is>
      </c>
      <c r="F15" s="26" t="n">
        <v>0.1642</v>
      </c>
      <c r="G15" s="26">
        <f>D15*F15</f>
        <v/>
      </c>
      <c r="H15" s="25" t="inlineStr">
        <is>
          <t>Chapa acero SAE 1010 e=1,25</t>
        </is>
      </c>
      <c r="I15" s="12" t="inlineStr">
        <is>
          <t>Ø124 × e1,25 × 37,9 de alto; disco Ø179</t>
        </is>
      </c>
      <c r="J15" s="25" t="inlineStr">
        <is>
          <t>Fabricación</t>
        </is>
      </c>
      <c r="K15" s="12" t="inlineStr">
        <is>
          <t>6 Desbobinado + embutido (M06-M08)</t>
        </is>
      </c>
      <c r="L15" s="12" t="n"/>
      <c r="M15" s="25" t="inlineStr">
        <is>
          <t>P</t>
        </is>
      </c>
      <c r="N15" s="25" t="inlineStr">
        <is>
          <t>FL_DES_ABC_2.5kg</t>
        </is>
      </c>
      <c r="O15" s="12" t="inlineStr">
        <is>
          <t>embutida</t>
        </is>
      </c>
    </row>
    <row r="16" outlineLevel="2">
      <c r="A16" s="27" t="n">
        <v>3</v>
      </c>
      <c r="B16" s="27" t="inlineStr">
        <is>
          <t>MP-FLEJE</t>
        </is>
      </c>
      <c r="C16" s="28" t="inlineStr">
        <is>
          <t xml:space="preserve">            Fleje e=1,25 × 200 (paso 182)</t>
        </is>
      </c>
      <c r="D16" s="27" t="n">
        <v>0.182</v>
      </c>
      <c r="E16" s="27" t="inlineStr">
        <is>
          <t>m</t>
        </is>
      </c>
      <c r="F16" s="29" t="n">
        <v>1.962</v>
      </c>
      <c r="G16" s="29">
        <f>D16*F16</f>
        <v/>
      </c>
      <c r="H16" s="27" t="inlineStr">
        <is>
          <t>Fleje SAE 1010</t>
        </is>
      </c>
      <c r="I16" s="28" t="inlineStr">
        <is>
          <t>disco Ø179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ABC2.5-03</t>
        </is>
      </c>
      <c r="C17" s="12" t="inlineStr">
        <is>
          <t xml:space="preserve">        Fondo</t>
        </is>
      </c>
      <c r="D17" s="25" t="n">
        <v>1</v>
      </c>
      <c r="E17" s="25" t="inlineStr">
        <is>
          <t>u</t>
        </is>
      </c>
      <c r="F17" s="26" t="n">
        <v>0.1138</v>
      </c>
      <c r="G17" s="26">
        <f>D17*F17</f>
        <v/>
      </c>
      <c r="H17" s="25" t="inlineStr">
        <is>
          <t>Chapa acero SAE 1010 e=1,25</t>
        </is>
      </c>
      <c r="I17" s="12" t="inlineStr">
        <is>
          <t>Ø124 × e1,25 × 11,8 de alto; disco Ø148</t>
        </is>
      </c>
      <c r="J17" s="25" t="inlineStr">
        <is>
          <t>Fabricación</t>
        </is>
      </c>
      <c r="K17" s="12" t="inlineStr">
        <is>
          <t>6 Desbobinado + embutido (M06-M08)</t>
        </is>
      </c>
      <c r="L17" s="12" t="n"/>
      <c r="M17" s="25" t="inlineStr">
        <is>
          <t>P</t>
        </is>
      </c>
      <c r="N17" s="25" t="inlineStr">
        <is>
          <t>FL_DES_ABC_2.5kg</t>
        </is>
      </c>
      <c r="O17" s="12" t="inlineStr">
        <is>
          <t>embutido</t>
        </is>
      </c>
    </row>
    <row r="18" outlineLevel="2">
      <c r="A18" s="27" t="n">
        <v>3</v>
      </c>
      <c r="B18" s="27" t="inlineStr">
        <is>
          <t>MP-FLEJE</t>
        </is>
      </c>
      <c r="C18" s="28" t="inlineStr">
        <is>
          <t xml:space="preserve">            Fleje e=1,25 × 200 (paso 151)</t>
        </is>
      </c>
      <c r="D18" s="27" t="n">
        <v>0.151</v>
      </c>
      <c r="E18" s="27" t="inlineStr">
        <is>
          <t>m</t>
        </is>
      </c>
      <c r="F18" s="29" t="n">
        <v>1.962</v>
      </c>
      <c r="G18" s="29">
        <f>D18*F18</f>
        <v/>
      </c>
      <c r="H18" s="27" t="inlineStr">
        <is>
          <t>Fleje SAE 1010</t>
        </is>
      </c>
      <c r="I18" s="28" t="inlineStr">
        <is>
          <t>disco Ø148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ABC2.5-04</t>
        </is>
      </c>
      <c r="C19" s="12" t="inlineStr">
        <is>
          <t xml:space="preserve">        Cuello roscado</t>
        </is>
      </c>
      <c r="D19" s="25" t="n">
        <v>1</v>
      </c>
      <c r="E19" s="25" t="inlineStr">
        <is>
          <t>u</t>
        </is>
      </c>
      <c r="F19" s="26" t="n">
        <v>0.0545</v>
      </c>
      <c r="G19" s="26">
        <f>D19*F19</f>
        <v/>
      </c>
      <c r="H19" s="25" t="inlineStr">
        <is>
          <t>Acero SAE 1010</t>
        </is>
      </c>
      <c r="I19" s="12" t="inlineStr">
        <is>
          <t>Ø37 × 14 de alto, rosca M30x1,5, asiento Ø35</t>
        </is>
      </c>
      <c r="J19" s="25" t="inlineStr">
        <is>
          <t>Fabricación</t>
        </is>
      </c>
      <c r="K19" s="12" t="inlineStr">
        <is>
          <t>7 Preparación de cuello -&gt; 8 soldadura de cuello</t>
        </is>
      </c>
      <c r="L19" s="12" t="n"/>
      <c r="M19" s="25" t="inlineStr">
        <is>
          <t>P</t>
        </is>
      </c>
      <c r="N19" s="25" t="inlineStr">
        <is>
          <t>FL_DES_ABC_2.5kg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0.055</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ABC2.5-C1</t>
        </is>
      </c>
      <c r="C21" s="12" t="inlineStr">
        <is>
          <t xml:space="preserve">        Aporte de soldadura: Alambre MAG ER70S-6 Ø0,9/1,2</t>
        </is>
      </c>
      <c r="D21" s="25" t="n">
        <v>0.0303</v>
      </c>
      <c r="E21" s="25" t="inlineStr">
        <is>
          <t>kg</t>
        </is>
      </c>
      <c r="F21" s="26" t="n">
        <v>0.92</v>
      </c>
      <c r="G21" s="26">
        <f>D21*F21</f>
        <v/>
      </c>
      <c r="H21" s="25" t="inlineStr">
        <is>
          <t>Alambre MAG ER70S-6 Ø0,9/1,2</t>
        </is>
      </c>
      <c r="I21" s="12" t="inlineStr">
        <is>
          <t>cordones del plano: 28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ABC2.5-C2</t>
        </is>
      </c>
      <c r="C22" s="12" t="inlineStr">
        <is>
          <t xml:space="preserve">        Gas de protección: Arcal 21 (Ar + 18 % CO₂)</t>
        </is>
      </c>
      <c r="D22" s="25" t="n">
        <v>13.6</v>
      </c>
      <c r="E22" s="25" t="inlineStr">
        <is>
          <t>L</t>
        </is>
      </c>
      <c r="F22" s="26" t="n"/>
      <c r="G22" s="26" t="n"/>
      <c r="H22" s="25" t="inlineStr">
        <is>
          <t>Arcal 21 (Ar + 18 % CO₂)</t>
        </is>
      </c>
      <c r="I22" s="12" t="inlineStr">
        <is>
          <t>0,9 min de arco × 15 L/min</t>
        </is>
      </c>
      <c r="J22" s="25" t="inlineStr">
        <is>
          <t>Compra</t>
        </is>
      </c>
      <c r="K22" s="12" t="inlineStr">
        <is>
          <t>Colector SC</t>
        </is>
      </c>
      <c r="L22" s="12" t="n"/>
      <c r="M22" s="25" t="inlineStr">
        <is>
          <t>R</t>
        </is>
      </c>
      <c r="N22" s="25" t="n"/>
      <c r="O22" s="12" t="n"/>
    </row>
    <row r="23" outlineLevel="1">
      <c r="A23" s="25" t="n">
        <v>2</v>
      </c>
      <c r="B23" s="25" t="inlineStr">
        <is>
          <t>ABC2.5-C3</t>
        </is>
      </c>
      <c r="C23" s="12" t="inlineStr">
        <is>
          <t xml:space="preserve">        Granalla de acero (consumo)</t>
        </is>
      </c>
      <c r="D23" s="25" t="n">
        <v>0.01</v>
      </c>
      <c r="E23" s="25" t="inlineStr">
        <is>
          <t>kg</t>
        </is>
      </c>
      <c r="F23" s="26" t="n"/>
      <c r="G23" s="26" t="n"/>
      <c r="H23" s="25" t="inlineStr">
        <is>
          <t>Granalla S-230</t>
        </is>
      </c>
      <c r="I23" s="12" t="inlineStr">
        <is>
          <t>0,129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ABC2.5-C4</t>
        </is>
      </c>
      <c r="C24" s="12" t="inlineStr">
        <is>
          <t xml:space="preserve">        Pintura en polvo poliéster rojo</t>
        </is>
      </c>
      <c r="D24" s="25" t="n">
        <v>0.024</v>
      </c>
      <c r="E24" s="25" t="inlineStr">
        <is>
          <t>kg</t>
        </is>
      </c>
      <c r="F24" s="26" t="n">
        <v>0.65</v>
      </c>
      <c r="G24" s="26">
        <f>D24*F24</f>
        <v/>
      </c>
      <c r="H24" s="25" t="inlineStr">
        <is>
          <t>Poliéster rojo 03-1-050</t>
        </is>
      </c>
      <c r="I24" s="12" t="inlineStr">
        <is>
          <t>0,129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outlineLevel="1">
      <c r="A25" s="25" t="n">
        <v>2</v>
      </c>
      <c r="B25" s="25" t="inlineStr">
        <is>
          <t>ABC2.5-T1</t>
        </is>
      </c>
      <c r="C25" s="12" t="inlineStr">
        <is>
          <t xml:space="preserve">        Tapón protector de rosca del cuello</t>
        </is>
      </c>
      <c r="D25" s="25" t="n">
        <v>1</v>
      </c>
      <c r="E25" s="25" t="inlineStr">
        <is>
          <t>u</t>
        </is>
      </c>
      <c r="F25" s="26" t="n">
        <v>0.005</v>
      </c>
      <c r="G25" s="26">
        <f>D25*F25</f>
        <v/>
      </c>
      <c r="H25" s="25" t="inlineStr">
        <is>
          <t>Polietileno</t>
        </is>
      </c>
      <c r="I25" s="12" t="inlineStr">
        <is>
          <t>para rosca M30x1,5</t>
        </is>
      </c>
      <c r="J25" s="25" t="inlineStr">
        <is>
          <t>Compra</t>
        </is>
      </c>
      <c r="K25" s="12" t="inlineStr">
        <is>
          <t>Embalaje</t>
        </is>
      </c>
      <c r="L25" s="12" t="n"/>
      <c r="M25" s="25" t="inlineStr">
        <is>
          <t>R</t>
        </is>
      </c>
      <c r="N25" s="25" t="n"/>
      <c r="O25" s="12" t="n"/>
    </row>
    <row r="26" outlineLevel="1">
      <c r="A26" s="25" t="n">
        <v>2</v>
      </c>
      <c r="B26" s="25" t="inlineStr">
        <is>
          <t>ABC2.5-T2</t>
        </is>
      </c>
      <c r="C26" s="12" t="inlineStr">
        <is>
          <t xml:space="preserve">        Marcado del recipiente (estampado)</t>
        </is>
      </c>
      <c r="D26" s="25" t="n">
        <v>1</v>
      </c>
      <c r="E26" s="25" t="inlineStr">
        <is>
          <t>u</t>
        </is>
      </c>
      <c r="F26" s="26" t="n"/>
      <c r="G26" s="26" t="n"/>
      <c r="H26" s="25" t="inlineStr">
        <is>
          <t>-</t>
        </is>
      </c>
      <c r="I26" s="12" t="inlineStr">
        <is>
          <t>N° de serie, año, presión de prueba, norma</t>
        </is>
      </c>
      <c r="J26" s="25" t="inlineStr">
        <is>
          <t>Proceso</t>
        </is>
      </c>
      <c r="K26" s="12" t="inlineStr">
        <is>
          <t>Marcado</t>
        </is>
      </c>
      <c r="L26" s="12" t="inlineStr">
        <is>
          <t>IRAM 3523 (marcado)</t>
        </is>
      </c>
      <c r="M26" s="25" t="inlineStr">
        <is>
          <t>R</t>
        </is>
      </c>
      <c r="N26" s="25" t="n"/>
      <c r="O26" s="12" t="n"/>
    </row>
    <row r="27">
      <c r="A27" s="22" t="n">
        <v>1</v>
      </c>
      <c r="B27" s="22" t="inlineStr">
        <is>
          <t>ABC2.5-S7</t>
        </is>
      </c>
      <c r="C27" s="23" t="inlineStr">
        <is>
          <t xml:space="preserve">    Embalaje</t>
        </is>
      </c>
      <c r="D27" s="22" t="n">
        <v>1</v>
      </c>
      <c r="E27" s="22" t="inlineStr">
        <is>
          <t>u</t>
        </is>
      </c>
      <c r="F27" s="24" t="n"/>
      <c r="G27" s="24">
        <f>G28+G29+G30+G31</f>
        <v/>
      </c>
      <c r="H27" s="22" t="n"/>
      <c r="I27" s="23" t="n"/>
      <c r="J27" s="22" t="inlineStr">
        <is>
          <t>Compra</t>
        </is>
      </c>
      <c r="K27" s="23" t="inlineStr">
        <is>
          <t>23 Embalaje -&gt; 24 envolvedora (T11)</t>
        </is>
      </c>
      <c r="L27" s="23" t="n"/>
      <c r="M27" s="22" t="n"/>
      <c r="N27" s="22" t="n"/>
      <c r="O27" s="23" t="n"/>
    </row>
    <row r="28" outlineLevel="1">
      <c r="A28" s="25" t="n">
        <v>2</v>
      </c>
      <c r="B28" s="25" t="inlineStr">
        <is>
          <t>ABC2.5-E1</t>
        </is>
      </c>
      <c r="C28" s="12" t="inlineStr">
        <is>
          <t xml:space="preserve">        Caja de cartón corrugado simple</t>
        </is>
      </c>
      <c r="D28" s="25" t="n">
        <v>1</v>
      </c>
      <c r="E28" s="25" t="inlineStr">
        <is>
          <t>u</t>
        </is>
      </c>
      <c r="F28" s="26" t="n">
        <v>0.25</v>
      </c>
      <c r="G28" s="26">
        <f>D28*F28</f>
        <v/>
      </c>
      <c r="H28" s="25" t="inlineStr">
        <is>
          <t>Cartón corrugado</t>
        </is>
      </c>
      <c r="I28" s="12" t="inlineStr">
        <is>
          <t>154 × 154 × 334 interior</t>
        </is>
      </c>
      <c r="J28" s="25" t="inlineStr">
        <is>
          <t>Compra</t>
        </is>
      </c>
      <c r="K28" s="12" t="inlineStr">
        <is>
          <t>23 Embalaje</t>
        </is>
      </c>
      <c r="L28" s="12" t="n"/>
      <c r="M28" s="25" t="inlineStr">
        <is>
          <t>R</t>
        </is>
      </c>
      <c r="N28" s="25" t="n"/>
      <c r="O28" s="12" t="n"/>
    </row>
    <row r="29" outlineLevel="1">
      <c r="A29" s="25" t="n">
        <v>2</v>
      </c>
      <c r="B29" s="25" t="inlineStr">
        <is>
          <t>ABC2.5-E3</t>
        </is>
      </c>
      <c r="C29" s="12" t="inlineStr">
        <is>
          <t xml:space="preserve">        Pallet 1200 × 1000 (fracción)</t>
        </is>
      </c>
      <c r="D29" s="25" t="n">
        <v>0.006</v>
      </c>
      <c r="E29" s="25" t="inlineStr">
        <is>
          <t>u</t>
        </is>
      </c>
      <c r="F29" s="26" t="n">
        <v>0.131</v>
      </c>
      <c r="G29" s="26">
        <f>D29*F29</f>
        <v/>
      </c>
      <c r="H29" s="25" t="inlineStr">
        <is>
          <t>Madera</t>
        </is>
      </c>
      <c r="I29" s="12" t="inlineStr">
        <is>
          <t>168 u por pallet</t>
        </is>
      </c>
      <c r="J29" s="25" t="inlineStr">
        <is>
          <t>Compra</t>
        </is>
      </c>
      <c r="K29" s="12" t="inlineStr">
        <is>
          <t>23 Embalaje</t>
        </is>
      </c>
      <c r="L29" s="12" t="n"/>
      <c r="M29" s="25" t="inlineStr">
        <is>
          <t>R</t>
        </is>
      </c>
      <c r="N29" s="25" t="n"/>
      <c r="O29" s="12" t="n"/>
    </row>
    <row r="30" outlineLevel="1">
      <c r="A30" s="25" t="n">
        <v>2</v>
      </c>
      <c r="B30" s="25" t="inlineStr">
        <is>
          <t>ABC2.5-E4</t>
        </is>
      </c>
      <c r="C30" s="12" t="inlineStr">
        <is>
          <t xml:space="preserve">        Film stretch (fracción del pallet)</t>
        </is>
      </c>
      <c r="D30" s="25" t="n">
        <v>0.0021</v>
      </c>
      <c r="E30" s="25" t="inlineStr">
        <is>
          <t>kg</t>
        </is>
      </c>
      <c r="F30" s="26" t="n">
        <v>1</v>
      </c>
      <c r="G30" s="26">
        <f>D30*F30</f>
        <v/>
      </c>
      <c r="H30" s="25" t="inlineStr">
        <is>
          <t>PE lineal 23 µm</t>
        </is>
      </c>
      <c r="I30" s="12" t="inlineStr">
        <is>
          <t>envolvedora EDOS PS5</t>
        </is>
      </c>
      <c r="J30" s="25" t="inlineStr">
        <is>
          <t>Compra</t>
        </is>
      </c>
      <c r="K30" s="12" t="inlineStr">
        <is>
          <t>24 Envolvedora (T11)</t>
        </is>
      </c>
      <c r="L30" s="12" t="n"/>
      <c r="M30" s="25" t="inlineStr">
        <is>
          <t>R</t>
        </is>
      </c>
      <c r="N30" s="25" t="n"/>
      <c r="O30" s="12" t="n"/>
    </row>
    <row r="31" outlineLevel="1">
      <c r="A31" s="25" t="n">
        <v>2</v>
      </c>
      <c r="B31" s="25" t="inlineStr">
        <is>
          <t>ABC2.5-E5</t>
        </is>
      </c>
      <c r="C31" s="12" t="inlineStr">
        <is>
          <t xml:space="preserve">        Etiqueta de pallet (lote y destino, fracción)</t>
        </is>
      </c>
      <c r="D31" s="25" t="n">
        <v>0.006</v>
      </c>
      <c r="E31" s="25" t="inlineStr">
        <is>
          <t>u</t>
        </is>
      </c>
      <c r="F31" s="26" t="n">
        <v>0</v>
      </c>
      <c r="G31" s="26">
        <f>D31*F31</f>
        <v/>
      </c>
      <c r="H31" s="25" t="inlineStr">
        <is>
          <t>Papel térmico</t>
        </is>
      </c>
      <c r="I31" s="12" t="inlineStr">
        <is>
          <t>100 × 150</t>
        </is>
      </c>
      <c r="J31" s="25" t="inlineStr">
        <is>
          <t>Compra</t>
        </is>
      </c>
      <c r="K31" s="12" t="inlineStr">
        <is>
          <t>24 Envolvedora</t>
        </is>
      </c>
      <c r="L31" s="12" t="n"/>
      <c r="M31" s="25" t="inlineStr">
        <is>
          <t>R</t>
        </is>
      </c>
      <c r="N31" s="25" t="n"/>
      <c r="O31" s="12" t="n"/>
    </row>
  </sheetData>
  <autoFilter ref="A10:O31"/>
  <pageMargins left="0.75" right="0.75" top="1" bottom="1" header="0.5" footer="0.5"/>
  <pageSetup orientation="landscape" fitToHeight="0" fitToWidth="1"/>
</worksheet>
</file>

<file path=xl/worksheets/sheet26.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FL_REC_ABC_5kg</t>
        </is>
      </c>
    </row>
    <row r="2">
      <c r="A2" s="2" t="inlineStr">
        <is>
          <t>Cilindro (recipiente) ABC 5 kg - repuesto vacío sin válvula</t>
        </is>
      </c>
    </row>
    <row r="3">
      <c r="A3" s="14" t="inlineStr">
        <is>
          <t>Plano de origen</t>
        </is>
      </c>
      <c r="C3" t="inlineStr">
        <is>
          <t>FL_REC_ABC_5kg  (recipiente para venta suelta)</t>
        </is>
      </c>
      <c r="E3" s="14" t="inlineStr">
        <is>
          <t>Peso vacío S1-S4 (kg)</t>
        </is>
      </c>
      <c r="G3" s="30">
        <f>G12</f>
        <v/>
      </c>
    </row>
    <row r="4">
      <c r="A4" s="14" t="inlineStr">
        <is>
          <t>Plano de despiece</t>
        </is>
      </c>
      <c r="C4" t="inlineStr">
        <is>
          <t>FL_DES_ABC_5kg (salida/despiece/)</t>
        </is>
      </c>
      <c r="E4" s="14" t="inlineStr">
        <is>
          <t>Peso cargado S1-S6 (kg)</t>
        </is>
      </c>
      <c r="G4" s="30">
        <f>G12</f>
        <v/>
      </c>
    </row>
    <row r="5">
      <c r="A5" s="14" t="inlineStr">
        <is>
          <t>Norma del producto</t>
        </is>
      </c>
      <c r="C5" t="inlineStr">
        <is>
          <t>IRAM 3523</t>
        </is>
      </c>
      <c r="E5" s="14" t="inlineStr">
        <is>
          <t>Peso con soporte y embalaje (kg)</t>
        </is>
      </c>
      <c r="G5" s="30">
        <f>G12+G27</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FL_REC_ABC_5kg</t>
        </is>
      </c>
      <c r="C11" s="20" t="inlineStr">
        <is>
          <t>Cilindro (recipiente) ABC 5 kg - repuesto vacío sin válvula</t>
        </is>
      </c>
      <c r="D11" s="19" t="n">
        <v>1</v>
      </c>
      <c r="E11" s="19" t="inlineStr">
        <is>
          <t>u</t>
        </is>
      </c>
      <c r="F11" s="21" t="n"/>
      <c r="G11" s="21">
        <f>G5</f>
        <v/>
      </c>
      <c r="H11" s="19" t="n"/>
      <c r="I11" s="20" t="n"/>
      <c r="J11" s="19" t="n"/>
      <c r="K11" s="20" t="n"/>
      <c r="L11" s="20" t="inlineStr">
        <is>
          <t>IRAM 3523</t>
        </is>
      </c>
      <c r="M11" s="19" t="inlineStr">
        <is>
          <t>P</t>
        </is>
      </c>
      <c r="N11" s="19" t="inlineStr">
        <is>
          <t>FL_REC_ABC_5kg</t>
        </is>
      </c>
      <c r="O11" s="20" t="inlineStr">
        <is>
          <t>Fabricación propia</t>
        </is>
      </c>
    </row>
    <row r="12">
      <c r="A12" s="22" t="n">
        <v>1</v>
      </c>
      <c r="B12" s="22" t="inlineStr">
        <is>
          <t>ABC5-S1</t>
        </is>
      </c>
      <c r="C12" s="23" t="inlineStr">
        <is>
          <t xml:space="preserve">    Recipiente (cilindro)</t>
        </is>
      </c>
      <c r="D12" s="22" t="n">
        <v>1</v>
      </c>
      <c r="E12" s="22" t="inlineStr">
        <is>
          <t>u</t>
        </is>
      </c>
      <c r="F12" s="24" t="n"/>
      <c r="G12" s="24">
        <f>G13+G15+G17+G19+G21+G24+G25</f>
        <v/>
      </c>
      <c r="H12" s="22" t="n"/>
      <c r="I12" s="23" t="n"/>
      <c r="J12" s="22" t="inlineStr">
        <is>
          <t>Fabricación</t>
        </is>
      </c>
      <c r="K12" s="23" t="n"/>
      <c r="L12" s="23" t="inlineStr">
        <is>
          <t>IRAM 3523 / 3550 (recipiente)</t>
        </is>
      </c>
      <c r="M12" s="22" t="inlineStr">
        <is>
          <t>P</t>
        </is>
      </c>
      <c r="N12" s="22" t="inlineStr">
        <is>
          <t>FL_DES_ABC_5kg</t>
        </is>
      </c>
      <c r="O12" s="23" t="n"/>
    </row>
    <row r="13" outlineLevel="1">
      <c r="A13" s="25" t="n">
        <v>2</v>
      </c>
      <c r="B13" s="25" t="inlineStr">
        <is>
          <t>ABC5-01</t>
        </is>
      </c>
      <c r="C13" s="12" t="inlineStr">
        <is>
          <t xml:space="preserve">        Cuerpo (virola)</t>
        </is>
      </c>
      <c r="D13" s="25" t="n">
        <v>1</v>
      </c>
      <c r="E13" s="25" t="inlineStr">
        <is>
          <t>u</t>
        </is>
      </c>
      <c r="F13" s="26" t="n">
        <v>1.9203</v>
      </c>
      <c r="G13" s="26">
        <f>D13*F13</f>
        <v/>
      </c>
      <c r="H13" s="25" t="inlineStr">
        <is>
          <t>Chapa acero SAE 1010 e=1,6</t>
        </is>
      </c>
      <c r="I13" s="12" t="inlineStr">
        <is>
          <t>Ø153 × e1,6 × 321,4 de alto; desarrollo 475,6 × 321,4</t>
        </is>
      </c>
      <c r="J13" s="25" t="inlineStr">
        <is>
          <t>Fabricación</t>
        </is>
      </c>
      <c r="K13" s="12" t="inlineStr">
        <is>
          <t>1 Guillotina -&gt; 2 numerado -&gt; 3 cilindrado -&gt; 4 soldadura longitudinal</t>
        </is>
      </c>
      <c r="L13" s="12" t="n"/>
      <c r="M13" s="25" t="inlineStr">
        <is>
          <t>P</t>
        </is>
      </c>
      <c r="N13" s="25" t="inlineStr">
        <is>
          <t>FL_DES_ABC_5kg</t>
        </is>
      </c>
      <c r="O13" s="12" t="inlineStr">
        <is>
          <t>costura long. MIG</t>
        </is>
      </c>
    </row>
    <row r="14" outlineLevel="2">
      <c r="A14" s="27" t="n">
        <v>3</v>
      </c>
      <c r="B14" s="27" t="inlineStr">
        <is>
          <t>MP-HOJA</t>
        </is>
      </c>
      <c r="C14" s="28" t="inlineStr">
        <is>
          <t xml:space="preserve">            Recorte de hoja LAF 1000 × 2000 e=1,6</t>
        </is>
      </c>
      <c r="D14" s="27" t="n">
        <v>1</v>
      </c>
      <c r="E14" s="27" t="inlineStr">
        <is>
          <t>u</t>
        </is>
      </c>
      <c r="F14" s="29" t="n">
        <v>2.092</v>
      </c>
      <c r="G14" s="29">
        <f>D14*F14</f>
        <v/>
      </c>
      <c r="H14" s="27" t="inlineStr">
        <is>
          <t>Chapa SAE 1010 LAF</t>
        </is>
      </c>
      <c r="I14" s="28" t="inlineStr">
        <is>
          <t>330 × 474,5 (aprovech. 94 %)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ABC5-02</t>
        </is>
      </c>
      <c r="C15" s="12" t="inlineStr">
        <is>
          <t xml:space="preserve">        Cúpula</t>
        </is>
      </c>
      <c r="D15" s="25" t="n">
        <v>1</v>
      </c>
      <c r="E15" s="25" t="inlineStr">
        <is>
          <t>u</t>
        </is>
      </c>
      <c r="F15" s="26" t="n">
        <v>0.3505</v>
      </c>
      <c r="G15" s="26">
        <f>D15*F15</f>
        <v/>
      </c>
      <c r="H15" s="25" t="inlineStr">
        <is>
          <t>Chapa acero SAE 1010 e=1,6</t>
        </is>
      </c>
      <c r="I15" s="12" t="inlineStr">
        <is>
          <t>Ø153 × e1,6 × 53,1 de alto; disco Ø221</t>
        </is>
      </c>
      <c r="J15" s="25" t="inlineStr">
        <is>
          <t>Fabricación</t>
        </is>
      </c>
      <c r="K15" s="12" t="inlineStr">
        <is>
          <t>6 Desbobinado + embutido (M06-M08)</t>
        </is>
      </c>
      <c r="L15" s="12" t="n"/>
      <c r="M15" s="25" t="inlineStr">
        <is>
          <t>P</t>
        </is>
      </c>
      <c r="N15" s="25" t="inlineStr">
        <is>
          <t>FL_DES_ABC_5kg</t>
        </is>
      </c>
      <c r="O15" s="12" t="inlineStr">
        <is>
          <t>embutida</t>
        </is>
      </c>
    </row>
    <row r="16" outlineLevel="2">
      <c r="A16" s="27" t="n">
        <v>3</v>
      </c>
      <c r="B16" s="27" t="inlineStr">
        <is>
          <t>MP-FLEJE</t>
        </is>
      </c>
      <c r="C16" s="28" t="inlineStr">
        <is>
          <t xml:space="preserve">            Fleje e=1,6 × 250 (paso 224)</t>
        </is>
      </c>
      <c r="D16" s="27" t="n">
        <v>0.224</v>
      </c>
      <c r="E16" s="27" t="inlineStr">
        <is>
          <t>m</t>
        </is>
      </c>
      <c r="F16" s="29" t="n">
        <v>3.14</v>
      </c>
      <c r="G16" s="29">
        <f>D16*F16</f>
        <v/>
      </c>
      <c r="H16" s="27" t="inlineStr">
        <is>
          <t>Fleje SAE 1010</t>
        </is>
      </c>
      <c r="I16" s="28" t="inlineStr">
        <is>
          <t>disco Ø221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ABC5-03</t>
        </is>
      </c>
      <c r="C17" s="12" t="inlineStr">
        <is>
          <t xml:space="preserve">        Fondo</t>
        </is>
      </c>
      <c r="D17" s="25" t="n">
        <v>1</v>
      </c>
      <c r="E17" s="25" t="inlineStr">
        <is>
          <t>u</t>
        </is>
      </c>
      <c r="F17" s="26" t="n">
        <v>0.2214</v>
      </c>
      <c r="G17" s="26">
        <f>D17*F17</f>
        <v/>
      </c>
      <c r="H17" s="25" t="inlineStr">
        <is>
          <t>Chapa acero SAE 1010 e=1,6</t>
        </is>
      </c>
      <c r="I17" s="12" t="inlineStr">
        <is>
          <t>Ø153 × e1,6 × 17,6 de alto; disco Ø177</t>
        </is>
      </c>
      <c r="J17" s="25" t="inlineStr">
        <is>
          <t>Fabricación</t>
        </is>
      </c>
      <c r="K17" s="12" t="inlineStr">
        <is>
          <t>6 Desbobinado + embutido (M06-M08)</t>
        </is>
      </c>
      <c r="L17" s="12" t="n"/>
      <c r="M17" s="25" t="inlineStr">
        <is>
          <t>P</t>
        </is>
      </c>
      <c r="N17" s="25" t="inlineStr">
        <is>
          <t>FL_DES_ABC_5kg</t>
        </is>
      </c>
      <c r="O17" s="12" t="inlineStr">
        <is>
          <t>embutido</t>
        </is>
      </c>
    </row>
    <row r="18" outlineLevel="2">
      <c r="A18" s="27" t="n">
        <v>3</v>
      </c>
      <c r="B18" s="27" t="inlineStr">
        <is>
          <t>MP-FLEJE</t>
        </is>
      </c>
      <c r="C18" s="28" t="inlineStr">
        <is>
          <t xml:space="preserve">            Fleje e=1,6 × 200 (paso 180)</t>
        </is>
      </c>
      <c r="D18" s="27" t="n">
        <v>0.18</v>
      </c>
      <c r="E18" s="27" t="inlineStr">
        <is>
          <t>m</t>
        </is>
      </c>
      <c r="F18" s="29" t="n">
        <v>2.512</v>
      </c>
      <c r="G18" s="29">
        <f>D18*F18</f>
        <v/>
      </c>
      <c r="H18" s="27" t="inlineStr">
        <is>
          <t>Fleje SAE 1010</t>
        </is>
      </c>
      <c r="I18" s="28" t="inlineStr">
        <is>
          <t>disco Ø177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ABC5-04</t>
        </is>
      </c>
      <c r="C19" s="12" t="inlineStr">
        <is>
          <t xml:space="preserve">        Cuello roscado</t>
        </is>
      </c>
      <c r="D19" s="25" t="n">
        <v>1</v>
      </c>
      <c r="E19" s="25" t="inlineStr">
        <is>
          <t>u</t>
        </is>
      </c>
      <c r="F19" s="26" t="n">
        <v>0.0589</v>
      </c>
      <c r="G19" s="26">
        <f>D19*F19</f>
        <v/>
      </c>
      <c r="H19" s="25" t="inlineStr">
        <is>
          <t>Acero SAE 1010</t>
        </is>
      </c>
      <c r="I19" s="12" t="inlineStr">
        <is>
          <t>Ø37 × 15 de alto, rosca M30x1,5, asiento Ø35</t>
        </is>
      </c>
      <c r="J19" s="25" t="inlineStr">
        <is>
          <t>Fabricación</t>
        </is>
      </c>
      <c r="K19" s="12" t="inlineStr">
        <is>
          <t>7 Preparación de cuello -&gt; 8 soldadura de cuello</t>
        </is>
      </c>
      <c r="L19" s="12" t="n"/>
      <c r="M19" s="25" t="inlineStr">
        <is>
          <t>P</t>
        </is>
      </c>
      <c r="N19" s="25" t="inlineStr">
        <is>
          <t>FL_DES_ABC_5kg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0.059</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ABC5-C1</t>
        </is>
      </c>
      <c r="C21" s="12" t="inlineStr">
        <is>
          <t xml:space="preserve">        Aporte de soldadura: Alambre MAG ER70S-6 Ø0,9/1,2</t>
        </is>
      </c>
      <c r="D21" s="25" t="n">
        <v>0.0571</v>
      </c>
      <c r="E21" s="25" t="inlineStr">
        <is>
          <t>kg</t>
        </is>
      </c>
      <c r="F21" s="26" t="n">
        <v>0.92</v>
      </c>
      <c r="G21" s="26">
        <f>D21*F21</f>
        <v/>
      </c>
      <c r="H21" s="25" t="inlineStr">
        <is>
          <t>Alambre MAG ER70S-6 Ø0,9/1,2</t>
        </is>
      </c>
      <c r="I21" s="12" t="inlineStr">
        <is>
          <t>cordones del plano: 53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ABC5-C2</t>
        </is>
      </c>
      <c r="C22" s="12" t="inlineStr">
        <is>
          <t xml:space="preserve">        Gas de protección: Arcal 21 (Ar + 18 % CO₂)</t>
        </is>
      </c>
      <c r="D22" s="25" t="n">
        <v>25.7</v>
      </c>
      <c r="E22" s="25" t="inlineStr">
        <is>
          <t>L</t>
        </is>
      </c>
      <c r="F22" s="26" t="n"/>
      <c r="G22" s="26" t="n"/>
      <c r="H22" s="25" t="inlineStr">
        <is>
          <t>Arcal 21 (Ar + 18 % CO₂)</t>
        </is>
      </c>
      <c r="I22" s="12" t="inlineStr">
        <is>
          <t>1,7 min de arco × 15 L/min</t>
        </is>
      </c>
      <c r="J22" s="25" t="inlineStr">
        <is>
          <t>Compra</t>
        </is>
      </c>
      <c r="K22" s="12" t="inlineStr">
        <is>
          <t>Colector SC</t>
        </is>
      </c>
      <c r="L22" s="12" t="n"/>
      <c r="M22" s="25" t="inlineStr">
        <is>
          <t>R</t>
        </is>
      </c>
      <c r="N22" s="25" t="n"/>
      <c r="O22" s="12" t="n"/>
    </row>
    <row r="23" outlineLevel="1">
      <c r="A23" s="25" t="n">
        <v>2</v>
      </c>
      <c r="B23" s="25" t="inlineStr">
        <is>
          <t>ABC5-C3</t>
        </is>
      </c>
      <c r="C23" s="12" t="inlineStr">
        <is>
          <t xml:space="preserve">        Granalla de acero (consumo)</t>
        </is>
      </c>
      <c r="D23" s="25" t="n">
        <v>0.016</v>
      </c>
      <c r="E23" s="25" t="inlineStr">
        <is>
          <t>kg</t>
        </is>
      </c>
      <c r="F23" s="26" t="n"/>
      <c r="G23" s="26" t="n"/>
      <c r="H23" s="25" t="inlineStr">
        <is>
          <t>Granalla S-230</t>
        </is>
      </c>
      <c r="I23" s="12" t="inlineStr">
        <is>
          <t>0,198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ABC5-C4</t>
        </is>
      </c>
      <c r="C24" s="12" t="inlineStr">
        <is>
          <t xml:space="preserve">        Pintura en polvo poliéster rojo</t>
        </is>
      </c>
      <c r="D24" s="25" t="n">
        <v>0.037</v>
      </c>
      <c r="E24" s="25" t="inlineStr">
        <is>
          <t>kg</t>
        </is>
      </c>
      <c r="F24" s="26" t="n">
        <v>0.65</v>
      </c>
      <c r="G24" s="26">
        <f>D24*F24</f>
        <v/>
      </c>
      <c r="H24" s="25" t="inlineStr">
        <is>
          <t>Poliéster rojo 03-1-050</t>
        </is>
      </c>
      <c r="I24" s="12" t="inlineStr">
        <is>
          <t>0,198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outlineLevel="1">
      <c r="A25" s="25" t="n">
        <v>2</v>
      </c>
      <c r="B25" s="25" t="inlineStr">
        <is>
          <t>ABC5-T1</t>
        </is>
      </c>
      <c r="C25" s="12" t="inlineStr">
        <is>
          <t xml:space="preserve">        Tapón protector de rosca del cuello</t>
        </is>
      </c>
      <c r="D25" s="25" t="n">
        <v>1</v>
      </c>
      <c r="E25" s="25" t="inlineStr">
        <is>
          <t>u</t>
        </is>
      </c>
      <c r="F25" s="26" t="n">
        <v>0.005</v>
      </c>
      <c r="G25" s="26">
        <f>D25*F25</f>
        <v/>
      </c>
      <c r="H25" s="25" t="inlineStr">
        <is>
          <t>Polietileno</t>
        </is>
      </c>
      <c r="I25" s="12" t="inlineStr">
        <is>
          <t>para rosca M30x1,5</t>
        </is>
      </c>
      <c r="J25" s="25" t="inlineStr">
        <is>
          <t>Compra</t>
        </is>
      </c>
      <c r="K25" s="12" t="inlineStr">
        <is>
          <t>Embalaje</t>
        </is>
      </c>
      <c r="L25" s="12" t="n"/>
      <c r="M25" s="25" t="inlineStr">
        <is>
          <t>R</t>
        </is>
      </c>
      <c r="N25" s="25" t="n"/>
      <c r="O25" s="12" t="n"/>
    </row>
    <row r="26" outlineLevel="1">
      <c r="A26" s="25" t="n">
        <v>2</v>
      </c>
      <c r="B26" s="25" t="inlineStr">
        <is>
          <t>ABC5-T2</t>
        </is>
      </c>
      <c r="C26" s="12" t="inlineStr">
        <is>
          <t xml:space="preserve">        Marcado del recipiente (estampado)</t>
        </is>
      </c>
      <c r="D26" s="25" t="n">
        <v>1</v>
      </c>
      <c r="E26" s="25" t="inlineStr">
        <is>
          <t>u</t>
        </is>
      </c>
      <c r="F26" s="26" t="n"/>
      <c r="G26" s="26" t="n"/>
      <c r="H26" s="25" t="inlineStr">
        <is>
          <t>-</t>
        </is>
      </c>
      <c r="I26" s="12" t="inlineStr">
        <is>
          <t>N° de serie, año, presión de prueba, norma</t>
        </is>
      </c>
      <c r="J26" s="25" t="inlineStr">
        <is>
          <t>Proceso</t>
        </is>
      </c>
      <c r="K26" s="12" t="inlineStr">
        <is>
          <t>Marcado</t>
        </is>
      </c>
      <c r="L26" s="12" t="inlineStr">
        <is>
          <t>IRAM 3523 (marcado)</t>
        </is>
      </c>
      <c r="M26" s="25" t="inlineStr">
        <is>
          <t>R</t>
        </is>
      </c>
      <c r="N26" s="25" t="n"/>
      <c r="O26" s="12" t="n"/>
    </row>
    <row r="27">
      <c r="A27" s="22" t="n">
        <v>1</v>
      </c>
      <c r="B27" s="22" t="inlineStr">
        <is>
          <t>ABC5-S7</t>
        </is>
      </c>
      <c r="C27" s="23" t="inlineStr">
        <is>
          <t xml:space="preserve">    Embalaje</t>
        </is>
      </c>
      <c r="D27" s="22" t="n">
        <v>1</v>
      </c>
      <c r="E27" s="22" t="inlineStr">
        <is>
          <t>u</t>
        </is>
      </c>
      <c r="F27" s="24" t="n"/>
      <c r="G27" s="24">
        <f>G28+G29+G30+G31</f>
        <v/>
      </c>
      <c r="H27" s="22" t="n"/>
      <c r="I27" s="23" t="n"/>
      <c r="J27" s="22" t="inlineStr">
        <is>
          <t>Compra</t>
        </is>
      </c>
      <c r="K27" s="23" t="inlineStr">
        <is>
          <t>23 Embalaje -&gt; 24 envolvedora (T11)</t>
        </is>
      </c>
      <c r="L27" s="23" t="n"/>
      <c r="M27" s="22" t="n"/>
      <c r="N27" s="22" t="n"/>
      <c r="O27" s="23" t="n"/>
    </row>
    <row r="28" outlineLevel="1">
      <c r="A28" s="25" t="n">
        <v>2</v>
      </c>
      <c r="B28" s="25" t="inlineStr">
        <is>
          <t>ABC5-E1</t>
        </is>
      </c>
      <c r="C28" s="12" t="inlineStr">
        <is>
          <t xml:space="preserve">        Caja de cartón corrugado simple</t>
        </is>
      </c>
      <c r="D28" s="25" t="n">
        <v>1</v>
      </c>
      <c r="E28" s="25" t="inlineStr">
        <is>
          <t>u</t>
        </is>
      </c>
      <c r="F28" s="26" t="n">
        <v>0.25</v>
      </c>
      <c r="G28" s="26">
        <f>D28*F28</f>
        <v/>
      </c>
      <c r="H28" s="25" t="inlineStr">
        <is>
          <t>Cartón corrugado</t>
        </is>
      </c>
      <c r="I28" s="12" t="inlineStr">
        <is>
          <t>183 × 183 × 410 interior</t>
        </is>
      </c>
      <c r="J28" s="25" t="inlineStr">
        <is>
          <t>Compra</t>
        </is>
      </c>
      <c r="K28" s="12" t="inlineStr">
        <is>
          <t>23 Embalaje</t>
        </is>
      </c>
      <c r="L28" s="12" t="n"/>
      <c r="M28" s="25" t="inlineStr">
        <is>
          <t>R</t>
        </is>
      </c>
      <c r="N28" s="25" t="n"/>
      <c r="O28" s="12" t="n"/>
    </row>
    <row r="29" outlineLevel="1">
      <c r="A29" s="25" t="n">
        <v>2</v>
      </c>
      <c r="B29" s="25" t="inlineStr">
        <is>
          <t>ABC5-E3</t>
        </is>
      </c>
      <c r="C29" s="12" t="inlineStr">
        <is>
          <t xml:space="preserve">        Pallet 1200 × 1000 (fracción)</t>
        </is>
      </c>
      <c r="D29" s="25" t="n">
        <v>0.0111</v>
      </c>
      <c r="E29" s="25" t="inlineStr">
        <is>
          <t>u</t>
        </is>
      </c>
      <c r="F29" s="26" t="n">
        <v>0.244</v>
      </c>
      <c r="G29" s="26">
        <f>D29*F29</f>
        <v/>
      </c>
      <c r="H29" s="25" t="inlineStr">
        <is>
          <t>Madera</t>
        </is>
      </c>
      <c r="I29" s="12" t="inlineStr">
        <is>
          <t>90 u por pallet</t>
        </is>
      </c>
      <c r="J29" s="25" t="inlineStr">
        <is>
          <t>Compra</t>
        </is>
      </c>
      <c r="K29" s="12" t="inlineStr">
        <is>
          <t>23 Embalaje</t>
        </is>
      </c>
      <c r="L29" s="12" t="n"/>
      <c r="M29" s="25" t="inlineStr">
        <is>
          <t>R</t>
        </is>
      </c>
      <c r="N29" s="25" t="n"/>
      <c r="O29" s="12" t="n"/>
    </row>
    <row r="30" outlineLevel="1">
      <c r="A30" s="25" t="n">
        <v>2</v>
      </c>
      <c r="B30" s="25" t="inlineStr">
        <is>
          <t>ABC5-E4</t>
        </is>
      </c>
      <c r="C30" s="12" t="inlineStr">
        <is>
          <t xml:space="preserve">        Film stretch (fracción del pallet)</t>
        </is>
      </c>
      <c r="D30" s="25" t="n">
        <v>0.0039</v>
      </c>
      <c r="E30" s="25" t="inlineStr">
        <is>
          <t>kg</t>
        </is>
      </c>
      <c r="F30" s="26" t="n">
        <v>1</v>
      </c>
      <c r="G30" s="26">
        <f>D30*F30</f>
        <v/>
      </c>
      <c r="H30" s="25" t="inlineStr">
        <is>
          <t>PE lineal 23 µm</t>
        </is>
      </c>
      <c r="I30" s="12" t="inlineStr">
        <is>
          <t>envolvedora EDOS PS5</t>
        </is>
      </c>
      <c r="J30" s="25" t="inlineStr">
        <is>
          <t>Compra</t>
        </is>
      </c>
      <c r="K30" s="12" t="inlineStr">
        <is>
          <t>24 Envolvedora (T11)</t>
        </is>
      </c>
      <c r="L30" s="12" t="n"/>
      <c r="M30" s="25" t="inlineStr">
        <is>
          <t>R</t>
        </is>
      </c>
      <c r="N30" s="25" t="n"/>
      <c r="O30" s="12" t="n"/>
    </row>
    <row r="31" outlineLevel="1">
      <c r="A31" s="25" t="n">
        <v>2</v>
      </c>
      <c r="B31" s="25" t="inlineStr">
        <is>
          <t>ABC5-E5</t>
        </is>
      </c>
      <c r="C31" s="12" t="inlineStr">
        <is>
          <t xml:space="preserve">        Etiqueta de pallet (lote y destino, fracción)</t>
        </is>
      </c>
      <c r="D31" s="25" t="n">
        <v>0.0111</v>
      </c>
      <c r="E31" s="25" t="inlineStr">
        <is>
          <t>u</t>
        </is>
      </c>
      <c r="F31" s="26" t="n">
        <v>0</v>
      </c>
      <c r="G31" s="26">
        <f>D31*F31</f>
        <v/>
      </c>
      <c r="H31" s="25" t="inlineStr">
        <is>
          <t>Papel térmico</t>
        </is>
      </c>
      <c r="I31" s="12" t="inlineStr">
        <is>
          <t>100 × 150</t>
        </is>
      </c>
      <c r="J31" s="25" t="inlineStr">
        <is>
          <t>Compra</t>
        </is>
      </c>
      <c r="K31" s="12" t="inlineStr">
        <is>
          <t>24 Envolvedora</t>
        </is>
      </c>
      <c r="L31" s="12" t="n"/>
      <c r="M31" s="25" t="inlineStr">
        <is>
          <t>R</t>
        </is>
      </c>
      <c r="N31" s="25" t="n"/>
      <c r="O31" s="12" t="n"/>
    </row>
  </sheetData>
  <autoFilter ref="A10:O31"/>
  <pageMargins left="0.75" right="0.75" top="1" bottom="1" header="0.5" footer="0.5"/>
  <pageSetup orientation="landscape" fitToHeight="0" fitToWidth="1"/>
</worksheet>
</file>

<file path=xl/worksheets/sheet27.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FL_REC_ABC_10kg</t>
        </is>
      </c>
    </row>
    <row r="2">
      <c r="A2" s="2" t="inlineStr">
        <is>
          <t>Cilindro (recipiente) ABC 10 kg - repuesto vacío sin válvula</t>
        </is>
      </c>
    </row>
    <row r="3">
      <c r="A3" s="14" t="inlineStr">
        <is>
          <t>Plano de origen</t>
        </is>
      </c>
      <c r="C3" t="inlineStr">
        <is>
          <t>FL_REC_ABC_10kg  (recipiente para venta suelta)</t>
        </is>
      </c>
      <c r="E3" s="14" t="inlineStr">
        <is>
          <t>Peso vacío S1-S4 (kg)</t>
        </is>
      </c>
      <c r="G3" s="30">
        <f>G12</f>
        <v/>
      </c>
    </row>
    <row r="4">
      <c r="A4" s="14" t="inlineStr">
        <is>
          <t>Plano de despiece</t>
        </is>
      </c>
      <c r="C4" t="inlineStr">
        <is>
          <t>FL_DES_ABC_10kg (salida/despiece/)</t>
        </is>
      </c>
      <c r="E4" s="14" t="inlineStr">
        <is>
          <t>Peso cargado S1-S6 (kg)</t>
        </is>
      </c>
      <c r="G4" s="30">
        <f>G12</f>
        <v/>
      </c>
    </row>
    <row r="5">
      <c r="A5" s="14" t="inlineStr">
        <is>
          <t>Norma del producto</t>
        </is>
      </c>
      <c r="C5" t="inlineStr">
        <is>
          <t>IRAM 3523</t>
        </is>
      </c>
      <c r="E5" s="14" t="inlineStr">
        <is>
          <t>Peso con soporte y embalaje (kg)</t>
        </is>
      </c>
      <c r="G5" s="30">
        <f>G12+G27</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FL_REC_ABC_10kg</t>
        </is>
      </c>
      <c r="C11" s="20" t="inlineStr">
        <is>
          <t>Cilindro (recipiente) ABC 10 kg - repuesto vacío sin válvula</t>
        </is>
      </c>
      <c r="D11" s="19" t="n">
        <v>1</v>
      </c>
      <c r="E11" s="19" t="inlineStr">
        <is>
          <t>u</t>
        </is>
      </c>
      <c r="F11" s="21" t="n"/>
      <c r="G11" s="21">
        <f>G5</f>
        <v/>
      </c>
      <c r="H11" s="19" t="n"/>
      <c r="I11" s="20" t="n"/>
      <c r="J11" s="19" t="n"/>
      <c r="K11" s="20" t="n"/>
      <c r="L11" s="20" t="inlineStr">
        <is>
          <t>IRAM 3523</t>
        </is>
      </c>
      <c r="M11" s="19" t="inlineStr">
        <is>
          <t>P</t>
        </is>
      </c>
      <c r="N11" s="19" t="inlineStr">
        <is>
          <t>FL_REC_ABC_10kg</t>
        </is>
      </c>
      <c r="O11" s="20" t="inlineStr">
        <is>
          <t>Fabricación propia</t>
        </is>
      </c>
    </row>
    <row r="12">
      <c r="A12" s="22" t="n">
        <v>1</v>
      </c>
      <c r="B12" s="22" t="inlineStr">
        <is>
          <t>ABC10-S1</t>
        </is>
      </c>
      <c r="C12" s="23" t="inlineStr">
        <is>
          <t xml:space="preserve">    Recipiente (cilindro)</t>
        </is>
      </c>
      <c r="D12" s="22" t="n">
        <v>1</v>
      </c>
      <c r="E12" s="22" t="inlineStr">
        <is>
          <t>u</t>
        </is>
      </c>
      <c r="F12" s="24" t="n"/>
      <c r="G12" s="24">
        <f>G13+G15+G17+G19+G21+G24+G25</f>
        <v/>
      </c>
      <c r="H12" s="22" t="n"/>
      <c r="I12" s="23" t="n"/>
      <c r="J12" s="22" t="inlineStr">
        <is>
          <t>Fabricación</t>
        </is>
      </c>
      <c r="K12" s="23" t="n"/>
      <c r="L12" s="23" t="inlineStr">
        <is>
          <t>IRAM 3523 / 3550 (recipiente)</t>
        </is>
      </c>
      <c r="M12" s="22" t="inlineStr">
        <is>
          <t>P</t>
        </is>
      </c>
      <c r="N12" s="22" t="inlineStr">
        <is>
          <t>FL_DES_ABC_10kg</t>
        </is>
      </c>
      <c r="O12" s="23" t="n"/>
    </row>
    <row r="13" outlineLevel="1">
      <c r="A13" s="25" t="n">
        <v>2</v>
      </c>
      <c r="B13" s="25" t="inlineStr">
        <is>
          <t>ABC10-01</t>
        </is>
      </c>
      <c r="C13" s="12" t="inlineStr">
        <is>
          <t xml:space="preserve">        Cuerpo (virola)</t>
        </is>
      </c>
      <c r="D13" s="25" t="n">
        <v>1</v>
      </c>
      <c r="E13" s="25" t="inlineStr">
        <is>
          <t>u</t>
        </is>
      </c>
      <c r="F13" s="26" t="n">
        <v>4.3132</v>
      </c>
      <c r="G13" s="26">
        <f>D13*F13</f>
        <v/>
      </c>
      <c r="H13" s="25" t="inlineStr">
        <is>
          <t>Chapa acero SAE 1010 e=2</t>
        </is>
      </c>
      <c r="I13" s="12" t="inlineStr">
        <is>
          <t>Ø181,5 × e2 × 487,2 de alto; desarrollo 563,9 × 487,2</t>
        </is>
      </c>
      <c r="J13" s="25" t="inlineStr">
        <is>
          <t>Fabricación</t>
        </is>
      </c>
      <c r="K13" s="12" t="inlineStr">
        <is>
          <t>1 Guillotina -&gt; 2 numerado -&gt; 3 cilindrado -&gt; 4 soldadura longitudinal</t>
        </is>
      </c>
      <c r="L13" s="12" t="n"/>
      <c r="M13" s="25" t="inlineStr">
        <is>
          <t>P</t>
        </is>
      </c>
      <c r="N13" s="25" t="inlineStr">
        <is>
          <t>FL_DES_ABC_10kg</t>
        </is>
      </c>
      <c r="O13" s="12" t="inlineStr">
        <is>
          <t>costura long. MIG</t>
        </is>
      </c>
    </row>
    <row r="14" outlineLevel="2">
      <c r="A14" s="27" t="n">
        <v>3</v>
      </c>
      <c r="B14" s="27" t="inlineStr">
        <is>
          <t>MP-HOJA</t>
        </is>
      </c>
      <c r="C14" s="28" t="inlineStr">
        <is>
          <t xml:space="preserve">            Recorte de hoja LAF 1500 × 3000 e=2</t>
        </is>
      </c>
      <c r="D14" s="27" t="n">
        <v>1</v>
      </c>
      <c r="E14" s="27" t="inlineStr">
        <is>
          <t>u</t>
        </is>
      </c>
      <c r="F14" s="29" t="n">
        <v>4.71</v>
      </c>
      <c r="G14" s="29">
        <f>D14*F14</f>
        <v/>
      </c>
      <c r="H14" s="27" t="inlineStr">
        <is>
          <t>Chapa SAE 1010 LAF</t>
        </is>
      </c>
      <c r="I14" s="28" t="inlineStr">
        <is>
          <t>495 × 563 (aprovech. 92,9 %)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ABC10-02</t>
        </is>
      </c>
      <c r="C15" s="12" t="inlineStr">
        <is>
          <t xml:space="preserve">        Cúpula</t>
        </is>
      </c>
      <c r="D15" s="25" t="n">
        <v>1</v>
      </c>
      <c r="E15" s="25" t="inlineStr">
        <is>
          <t>u</t>
        </is>
      </c>
      <c r="F15" s="26" t="n">
        <v>0.4871</v>
      </c>
      <c r="G15" s="26">
        <f>D15*F15</f>
        <v/>
      </c>
      <c r="H15" s="25" t="inlineStr">
        <is>
          <t>Chapa acero SAE 1010 e=1,6</t>
        </is>
      </c>
      <c r="I15" s="12" t="inlineStr">
        <is>
          <t>Ø181,5 × e1,6 × 61,3 de alto; disco Ø258</t>
        </is>
      </c>
      <c r="J15" s="25" t="inlineStr">
        <is>
          <t>Fabricación</t>
        </is>
      </c>
      <c r="K15" s="12" t="inlineStr">
        <is>
          <t>6 Desbobinado + embutido (M06-M08)</t>
        </is>
      </c>
      <c r="L15" s="12" t="n"/>
      <c r="M15" s="25" t="inlineStr">
        <is>
          <t>P</t>
        </is>
      </c>
      <c r="N15" s="25" t="inlineStr">
        <is>
          <t>FL_DES_ABC_10kg</t>
        </is>
      </c>
      <c r="O15" s="12" t="inlineStr">
        <is>
          <t>embutida</t>
        </is>
      </c>
    </row>
    <row r="16" outlineLevel="2">
      <c r="A16" s="27" t="n">
        <v>3</v>
      </c>
      <c r="B16" s="27" t="inlineStr">
        <is>
          <t>MP-FLEJE</t>
        </is>
      </c>
      <c r="C16" s="28" t="inlineStr">
        <is>
          <t xml:space="preserve">            Fleje e=2 × 300 (paso 261)</t>
        </is>
      </c>
      <c r="D16" s="27" t="n">
        <v>0.261</v>
      </c>
      <c r="E16" s="27" t="inlineStr">
        <is>
          <t>m</t>
        </is>
      </c>
      <c r="F16" s="29" t="n">
        <v>4.71</v>
      </c>
      <c r="G16" s="29">
        <f>D16*F16</f>
        <v/>
      </c>
      <c r="H16" s="27" t="inlineStr">
        <is>
          <t>Fleje SAE 1010</t>
        </is>
      </c>
      <c r="I16" s="28" t="inlineStr">
        <is>
          <t>disco Ø258 (kg por m de fleje)</t>
        </is>
      </c>
      <c r="J16" s="27" t="inlineStr">
        <is>
          <t>Compra (Pacheco / Pradecon)</t>
        </is>
      </c>
      <c r="K16" s="28" t="inlineStr">
        <is>
          <t>AL-1F porta-flejes</t>
        </is>
      </c>
      <c r="L16" s="28" t="n"/>
      <c r="M16" s="27" t="inlineStr">
        <is>
          <t>L</t>
        </is>
      </c>
      <c r="N16" s="27" t="inlineStr">
        <is>
          <t>FL_PI_04 h2</t>
        </is>
      </c>
      <c r="O16" s="28" t="inlineStr">
        <is>
          <t>OJO: el fleje es e=2 y el plano e=1,6</t>
        </is>
      </c>
    </row>
    <row r="17" outlineLevel="1">
      <c r="A17" s="25" t="n">
        <v>2</v>
      </c>
      <c r="B17" s="25" t="inlineStr">
        <is>
          <t>ABC10-03</t>
        </is>
      </c>
      <c r="C17" s="12" t="inlineStr">
        <is>
          <t xml:space="preserve">        Fondo</t>
        </is>
      </c>
      <c r="D17" s="25" t="n">
        <v>1</v>
      </c>
      <c r="E17" s="25" t="inlineStr">
        <is>
          <t>u</t>
        </is>
      </c>
      <c r="F17" s="26" t="n">
        <v>0.3885</v>
      </c>
      <c r="G17" s="26">
        <f>D17*F17</f>
        <v/>
      </c>
      <c r="H17" s="25" t="inlineStr">
        <is>
          <t>Chapa acero SAE 1010 e=2</t>
        </is>
      </c>
      <c r="I17" s="12" t="inlineStr">
        <is>
          <t>Ø181,5 × e2 × 13,7 de alto; disco Ø205</t>
        </is>
      </c>
      <c r="J17" s="25" t="inlineStr">
        <is>
          <t>Fabricación</t>
        </is>
      </c>
      <c r="K17" s="12" t="inlineStr">
        <is>
          <t>6 Desbobinado + embutido (M06-M08)</t>
        </is>
      </c>
      <c r="L17" s="12" t="n"/>
      <c r="M17" s="25" t="inlineStr">
        <is>
          <t>P</t>
        </is>
      </c>
      <c r="N17" s="25" t="inlineStr">
        <is>
          <t>FL_DES_ABC_10kg</t>
        </is>
      </c>
      <c r="O17" s="12" t="inlineStr">
        <is>
          <t>embutido</t>
        </is>
      </c>
    </row>
    <row r="18" outlineLevel="2">
      <c r="A18" s="27" t="n">
        <v>3</v>
      </c>
      <c r="B18" s="27" t="inlineStr">
        <is>
          <t>MP-FLEJE</t>
        </is>
      </c>
      <c r="C18" s="28" t="inlineStr">
        <is>
          <t xml:space="preserve">            Fleje e=2 × 249 (paso 208)</t>
        </is>
      </c>
      <c r="D18" s="27" t="n">
        <v>0.208</v>
      </c>
      <c r="E18" s="27" t="inlineStr">
        <is>
          <t>m</t>
        </is>
      </c>
      <c r="F18" s="29" t="n">
        <v>3.909</v>
      </c>
      <c r="G18" s="29">
        <f>D18*F18</f>
        <v/>
      </c>
      <c r="H18" s="27" t="inlineStr">
        <is>
          <t>Fleje SAE 1010</t>
        </is>
      </c>
      <c r="I18" s="28" t="inlineStr">
        <is>
          <t>disco Ø205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ABC10-04</t>
        </is>
      </c>
      <c r="C19" s="12" t="inlineStr">
        <is>
          <t xml:space="preserve">        Cuello roscado</t>
        </is>
      </c>
      <c r="D19" s="25" t="n">
        <v>1</v>
      </c>
      <c r="E19" s="25" t="inlineStr">
        <is>
          <t>u</t>
        </is>
      </c>
      <c r="F19" s="26" t="n">
        <v>0.0542</v>
      </c>
      <c r="G19" s="26">
        <f>D19*F19</f>
        <v/>
      </c>
      <c r="H19" s="25" t="inlineStr">
        <is>
          <t>Acero SAE 1010</t>
        </is>
      </c>
      <c r="I19" s="12" t="inlineStr">
        <is>
          <t>Ø36,8 × 14 de alto, rosca M30x1,5, asiento Ø35</t>
        </is>
      </c>
      <c r="J19" s="25" t="inlineStr">
        <is>
          <t>Fabricación</t>
        </is>
      </c>
      <c r="K19" s="12" t="inlineStr">
        <is>
          <t>7 Preparación de cuello -&gt; 8 soldadura de cuello</t>
        </is>
      </c>
      <c r="L19" s="12" t="n"/>
      <c r="M19" s="25" t="inlineStr">
        <is>
          <t>P</t>
        </is>
      </c>
      <c r="N19" s="25" t="inlineStr">
        <is>
          <t>FL_DES_ABC_10kg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0.054</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ABC10-C1</t>
        </is>
      </c>
      <c r="C21" s="12" t="inlineStr">
        <is>
          <t xml:space="preserve">        Aporte de soldadura: Alambre MAG ER70S-6 Ø0,9/1,2</t>
        </is>
      </c>
      <c r="D21" s="25" t="n">
        <v>0.1019</v>
      </c>
      <c r="E21" s="25" t="inlineStr">
        <is>
          <t>kg</t>
        </is>
      </c>
      <c r="F21" s="26" t="n">
        <v>0.92</v>
      </c>
      <c r="G21" s="26">
        <f>D21*F21</f>
        <v/>
      </c>
      <c r="H21" s="25" t="inlineStr">
        <is>
          <t>Alambre MAG ER70S-6 Ø0,9/1,2</t>
        </is>
      </c>
      <c r="I21" s="12" t="inlineStr">
        <is>
          <t>cordones del plano: 94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ABC10-C2</t>
        </is>
      </c>
      <c r="C22" s="12" t="inlineStr">
        <is>
          <t xml:space="preserve">        Gas de protección: Arcal 21 (Ar + 18 % CO₂)</t>
        </is>
      </c>
      <c r="D22" s="25" t="n">
        <v>45.8</v>
      </c>
      <c r="E22" s="25" t="inlineStr">
        <is>
          <t>L</t>
        </is>
      </c>
      <c r="F22" s="26" t="n"/>
      <c r="G22" s="26" t="n"/>
      <c r="H22" s="25" t="inlineStr">
        <is>
          <t>Arcal 21 (Ar + 18 % CO₂)</t>
        </is>
      </c>
      <c r="I22" s="12" t="inlineStr">
        <is>
          <t>3,1 min de arco × 15 L/min</t>
        </is>
      </c>
      <c r="J22" s="25" t="inlineStr">
        <is>
          <t>Compra</t>
        </is>
      </c>
      <c r="K22" s="12" t="inlineStr">
        <is>
          <t>Colector SC</t>
        </is>
      </c>
      <c r="L22" s="12" t="n"/>
      <c r="M22" s="25" t="inlineStr">
        <is>
          <t>R</t>
        </is>
      </c>
      <c r="N22" s="25" t="n"/>
      <c r="O22" s="12" t="n"/>
    </row>
    <row r="23" outlineLevel="1">
      <c r="A23" s="25" t="n">
        <v>2</v>
      </c>
      <c r="B23" s="25" t="inlineStr">
        <is>
          <t>ABC10-C3</t>
        </is>
      </c>
      <c r="C23" s="12" t="inlineStr">
        <is>
          <t xml:space="preserve">        Granalla de acero (consumo)</t>
        </is>
      </c>
      <c r="D23" s="25" t="n">
        <v>0.027</v>
      </c>
      <c r="E23" s="25" t="inlineStr">
        <is>
          <t>kg</t>
        </is>
      </c>
      <c r="F23" s="26" t="n"/>
      <c r="G23" s="26" t="n"/>
      <c r="H23" s="25" t="inlineStr">
        <is>
          <t>Granalla S-230</t>
        </is>
      </c>
      <c r="I23" s="12" t="inlineStr">
        <is>
          <t>0,338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ABC10-C4</t>
        </is>
      </c>
      <c r="C24" s="12" t="inlineStr">
        <is>
          <t xml:space="preserve">        Pintura en polvo poliéster rojo</t>
        </is>
      </c>
      <c r="D24" s="25" t="n">
        <v>0.063</v>
      </c>
      <c r="E24" s="25" t="inlineStr">
        <is>
          <t>kg</t>
        </is>
      </c>
      <c r="F24" s="26" t="n">
        <v>0.65</v>
      </c>
      <c r="G24" s="26">
        <f>D24*F24</f>
        <v/>
      </c>
      <c r="H24" s="25" t="inlineStr">
        <is>
          <t>Poliéster rojo 03-1-050</t>
        </is>
      </c>
      <c r="I24" s="12" t="inlineStr">
        <is>
          <t>0,338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outlineLevel="1">
      <c r="A25" s="25" t="n">
        <v>2</v>
      </c>
      <c r="B25" s="25" t="inlineStr">
        <is>
          <t>ABC10-T1</t>
        </is>
      </c>
      <c r="C25" s="12" t="inlineStr">
        <is>
          <t xml:space="preserve">        Tapón protector de rosca del cuello</t>
        </is>
      </c>
      <c r="D25" s="25" t="n">
        <v>1</v>
      </c>
      <c r="E25" s="25" t="inlineStr">
        <is>
          <t>u</t>
        </is>
      </c>
      <c r="F25" s="26" t="n">
        <v>0.005</v>
      </c>
      <c r="G25" s="26">
        <f>D25*F25</f>
        <v/>
      </c>
      <c r="H25" s="25" t="inlineStr">
        <is>
          <t>Polietileno</t>
        </is>
      </c>
      <c r="I25" s="12" t="inlineStr">
        <is>
          <t>para rosca M30x1,5</t>
        </is>
      </c>
      <c r="J25" s="25" t="inlineStr">
        <is>
          <t>Compra</t>
        </is>
      </c>
      <c r="K25" s="12" t="inlineStr">
        <is>
          <t>Embalaje</t>
        </is>
      </c>
      <c r="L25" s="12" t="n"/>
      <c r="M25" s="25" t="inlineStr">
        <is>
          <t>R</t>
        </is>
      </c>
      <c r="N25" s="25" t="n"/>
      <c r="O25" s="12" t="n"/>
    </row>
    <row r="26" outlineLevel="1">
      <c r="A26" s="25" t="n">
        <v>2</v>
      </c>
      <c r="B26" s="25" t="inlineStr">
        <is>
          <t>ABC10-T2</t>
        </is>
      </c>
      <c r="C26" s="12" t="inlineStr">
        <is>
          <t xml:space="preserve">        Marcado del recipiente (estampado)</t>
        </is>
      </c>
      <c r="D26" s="25" t="n">
        <v>1</v>
      </c>
      <c r="E26" s="25" t="inlineStr">
        <is>
          <t>u</t>
        </is>
      </c>
      <c r="F26" s="26" t="n"/>
      <c r="G26" s="26" t="n"/>
      <c r="H26" s="25" t="inlineStr">
        <is>
          <t>-</t>
        </is>
      </c>
      <c r="I26" s="12" t="inlineStr">
        <is>
          <t>N° de serie, año, presión de prueba, norma</t>
        </is>
      </c>
      <c r="J26" s="25" t="inlineStr">
        <is>
          <t>Proceso</t>
        </is>
      </c>
      <c r="K26" s="12" t="inlineStr">
        <is>
          <t>Marcado</t>
        </is>
      </c>
      <c r="L26" s="12" t="inlineStr">
        <is>
          <t>IRAM 3523 (marcado)</t>
        </is>
      </c>
      <c r="M26" s="25" t="inlineStr">
        <is>
          <t>R</t>
        </is>
      </c>
      <c r="N26" s="25" t="n"/>
      <c r="O26" s="12" t="n"/>
    </row>
    <row r="27">
      <c r="A27" s="22" t="n">
        <v>1</v>
      </c>
      <c r="B27" s="22" t="inlineStr">
        <is>
          <t>ABC10-S7</t>
        </is>
      </c>
      <c r="C27" s="23" t="inlineStr">
        <is>
          <t xml:space="preserve">    Embalaje</t>
        </is>
      </c>
      <c r="D27" s="22" t="n">
        <v>1</v>
      </c>
      <c r="E27" s="22" t="inlineStr">
        <is>
          <t>u</t>
        </is>
      </c>
      <c r="F27" s="24" t="n"/>
      <c r="G27" s="24">
        <f>G28+G29+G30+G31</f>
        <v/>
      </c>
      <c r="H27" s="22" t="n"/>
      <c r="I27" s="23" t="n"/>
      <c r="J27" s="22" t="inlineStr">
        <is>
          <t>Compra</t>
        </is>
      </c>
      <c r="K27" s="23" t="inlineStr">
        <is>
          <t>23 Embalaje -&gt; 24 envolvedora (T11)</t>
        </is>
      </c>
      <c r="L27" s="23" t="n"/>
      <c r="M27" s="22" t="n"/>
      <c r="N27" s="22" t="n"/>
      <c r="O27" s="23" t="n"/>
    </row>
    <row r="28" outlineLevel="1">
      <c r="A28" s="25" t="n">
        <v>2</v>
      </c>
      <c r="B28" s="25" t="inlineStr">
        <is>
          <t>ABC10-E1</t>
        </is>
      </c>
      <c r="C28" s="12" t="inlineStr">
        <is>
          <t xml:space="preserve">        Caja de cartón corrugado doble</t>
        </is>
      </c>
      <c r="D28" s="25" t="n">
        <v>1</v>
      </c>
      <c r="E28" s="25" t="inlineStr">
        <is>
          <t>u</t>
        </is>
      </c>
      <c r="F28" s="26" t="n">
        <v>0.5</v>
      </c>
      <c r="G28" s="26">
        <f>D28*F28</f>
        <v/>
      </c>
      <c r="H28" s="25" t="inlineStr">
        <is>
          <t>Cartón corrugado</t>
        </is>
      </c>
      <c r="I28" s="12" t="inlineStr">
        <is>
          <t>212 × 212 × 582 interior</t>
        </is>
      </c>
      <c r="J28" s="25" t="inlineStr">
        <is>
          <t>Compra</t>
        </is>
      </c>
      <c r="K28" s="12" t="inlineStr">
        <is>
          <t>23 Embalaje</t>
        </is>
      </c>
      <c r="L28" s="12" t="n"/>
      <c r="M28" s="25" t="inlineStr">
        <is>
          <t>R</t>
        </is>
      </c>
      <c r="N28" s="25" t="n"/>
      <c r="O28" s="12" t="n"/>
    </row>
    <row r="29" outlineLevel="1">
      <c r="A29" s="25" t="n">
        <v>2</v>
      </c>
      <c r="B29" s="25" t="inlineStr">
        <is>
          <t>ABC10-E3</t>
        </is>
      </c>
      <c r="C29" s="12" t="inlineStr">
        <is>
          <t xml:space="preserve">        Pallet 1200 × 1000 (fracción)</t>
        </is>
      </c>
      <c r="D29" s="25" t="n">
        <v>0.025</v>
      </c>
      <c r="E29" s="25" t="inlineStr">
        <is>
          <t>u</t>
        </is>
      </c>
      <c r="F29" s="26" t="n">
        <v>0.55</v>
      </c>
      <c r="G29" s="26">
        <f>D29*F29</f>
        <v/>
      </c>
      <c r="H29" s="25" t="inlineStr">
        <is>
          <t>Madera</t>
        </is>
      </c>
      <c r="I29" s="12" t="inlineStr">
        <is>
          <t>40 u por pallet</t>
        </is>
      </c>
      <c r="J29" s="25" t="inlineStr">
        <is>
          <t>Compra</t>
        </is>
      </c>
      <c r="K29" s="12" t="inlineStr">
        <is>
          <t>23 Embalaje</t>
        </is>
      </c>
      <c r="L29" s="12" t="n"/>
      <c r="M29" s="25" t="inlineStr">
        <is>
          <t>R</t>
        </is>
      </c>
      <c r="N29" s="25" t="n"/>
      <c r="O29" s="12" t="n"/>
    </row>
    <row r="30" outlineLevel="1">
      <c r="A30" s="25" t="n">
        <v>2</v>
      </c>
      <c r="B30" s="25" t="inlineStr">
        <is>
          <t>ABC10-E4</t>
        </is>
      </c>
      <c r="C30" s="12" t="inlineStr">
        <is>
          <t xml:space="preserve">        Film stretch (fracción del pallet)</t>
        </is>
      </c>
      <c r="D30" s="25" t="n">
        <v>0.008699999999999999</v>
      </c>
      <c r="E30" s="25" t="inlineStr">
        <is>
          <t>kg</t>
        </is>
      </c>
      <c r="F30" s="26" t="n">
        <v>1</v>
      </c>
      <c r="G30" s="26">
        <f>D30*F30</f>
        <v/>
      </c>
      <c r="H30" s="25" t="inlineStr">
        <is>
          <t>PE lineal 23 µm</t>
        </is>
      </c>
      <c r="I30" s="12" t="inlineStr">
        <is>
          <t>envolvedora EDOS PS5</t>
        </is>
      </c>
      <c r="J30" s="25" t="inlineStr">
        <is>
          <t>Compra</t>
        </is>
      </c>
      <c r="K30" s="12" t="inlineStr">
        <is>
          <t>24 Envolvedora (T11)</t>
        </is>
      </c>
      <c r="L30" s="12" t="n"/>
      <c r="M30" s="25" t="inlineStr">
        <is>
          <t>R</t>
        </is>
      </c>
      <c r="N30" s="25" t="n"/>
      <c r="O30" s="12" t="n"/>
    </row>
    <row r="31" outlineLevel="1">
      <c r="A31" s="25" t="n">
        <v>2</v>
      </c>
      <c r="B31" s="25" t="inlineStr">
        <is>
          <t>ABC10-E5</t>
        </is>
      </c>
      <c r="C31" s="12" t="inlineStr">
        <is>
          <t xml:space="preserve">        Etiqueta de pallet (lote y destino, fracción)</t>
        </is>
      </c>
      <c r="D31" s="25" t="n">
        <v>0.025</v>
      </c>
      <c r="E31" s="25" t="inlineStr">
        <is>
          <t>u</t>
        </is>
      </c>
      <c r="F31" s="26" t="n">
        <v>0</v>
      </c>
      <c r="G31" s="26">
        <f>D31*F31</f>
        <v/>
      </c>
      <c r="H31" s="25" t="inlineStr">
        <is>
          <t>Papel térmico</t>
        </is>
      </c>
      <c r="I31" s="12" t="inlineStr">
        <is>
          <t>100 × 150</t>
        </is>
      </c>
      <c r="J31" s="25" t="inlineStr">
        <is>
          <t>Compra</t>
        </is>
      </c>
      <c r="K31" s="12" t="inlineStr">
        <is>
          <t>24 Envolvedora</t>
        </is>
      </c>
      <c r="L31" s="12" t="n"/>
      <c r="M31" s="25" t="inlineStr">
        <is>
          <t>R</t>
        </is>
      </c>
      <c r="N31" s="25" t="n"/>
      <c r="O31" s="12" t="n"/>
    </row>
  </sheetData>
  <autoFilter ref="A10:O31"/>
  <pageMargins left="0.75" right="0.75" top="1" bottom="1" header="0.5" footer="0.5"/>
  <pageSetup orientation="landscape" fitToHeight="0" fitToWidth="1"/>
</worksheet>
</file>

<file path=xl/worksheets/sheet28.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FL_REC_ABC_25kg</t>
        </is>
      </c>
    </row>
    <row r="2">
      <c r="A2" s="2" t="inlineStr">
        <is>
          <t>Cilindro (recipiente) ABC 25 kg rodante - repuesto vacío sin válvula</t>
        </is>
      </c>
    </row>
    <row r="3">
      <c r="A3" s="14" t="inlineStr">
        <is>
          <t>Plano de origen</t>
        </is>
      </c>
      <c r="C3" t="inlineStr">
        <is>
          <t>FL_REC_ABC_25kg  (recipiente para venta suelta)</t>
        </is>
      </c>
      <c r="E3" s="14" t="inlineStr">
        <is>
          <t>Peso vacío S1-S4 (kg)</t>
        </is>
      </c>
      <c r="G3" s="30">
        <f>G12</f>
        <v/>
      </c>
    </row>
    <row r="4">
      <c r="A4" s="14" t="inlineStr">
        <is>
          <t>Plano de despiece</t>
        </is>
      </c>
      <c r="C4" t="inlineStr">
        <is>
          <t>FL_DES_ABC_25kg (salida/despiece/)</t>
        </is>
      </c>
      <c r="E4" s="14" t="inlineStr">
        <is>
          <t>Peso cargado S1-S6 (kg)</t>
        </is>
      </c>
      <c r="G4" s="30">
        <f>G12</f>
        <v/>
      </c>
    </row>
    <row r="5">
      <c r="A5" s="14" t="inlineStr">
        <is>
          <t>Norma del producto</t>
        </is>
      </c>
      <c r="C5" t="inlineStr">
        <is>
          <t>IRAM 3550</t>
        </is>
      </c>
      <c r="E5" s="14" t="inlineStr">
        <is>
          <t>Peso con soporte y embalaje (kg)</t>
        </is>
      </c>
      <c r="G5" s="30">
        <f>G12+G25</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FL_REC_ABC_25kg</t>
        </is>
      </c>
      <c r="C11" s="20" t="inlineStr">
        <is>
          <t>Cilindro (recipiente) ABC 25 kg rodante - repuesto vacío sin válvula</t>
        </is>
      </c>
      <c r="D11" s="19" t="n">
        <v>1</v>
      </c>
      <c r="E11" s="19" t="inlineStr">
        <is>
          <t>u</t>
        </is>
      </c>
      <c r="F11" s="21" t="n"/>
      <c r="G11" s="21">
        <f>G5</f>
        <v/>
      </c>
      <c r="H11" s="19" t="n"/>
      <c r="I11" s="20" t="n"/>
      <c r="J11" s="19" t="n"/>
      <c r="K11" s="20" t="n"/>
      <c r="L11" s="20" t="inlineStr">
        <is>
          <t>IRAM 3550</t>
        </is>
      </c>
      <c r="M11" s="19" t="inlineStr">
        <is>
          <t>P</t>
        </is>
      </c>
      <c r="N11" s="19" t="inlineStr">
        <is>
          <t>FL_REC_ABC_25kg</t>
        </is>
      </c>
      <c r="O11" s="20" t="inlineStr">
        <is>
          <t>Fabricación propia</t>
        </is>
      </c>
    </row>
    <row r="12">
      <c r="A12" s="22" t="n">
        <v>1</v>
      </c>
      <c r="B12" s="22" t="inlineStr">
        <is>
          <t>ABC25-S1</t>
        </is>
      </c>
      <c r="C12" s="23" t="inlineStr">
        <is>
          <t xml:space="preserve">    Recipiente (cilindro)</t>
        </is>
      </c>
      <c r="D12" s="22" t="n">
        <v>1</v>
      </c>
      <c r="E12" s="22" t="inlineStr">
        <is>
          <t>u</t>
        </is>
      </c>
      <c r="F12" s="24" t="n"/>
      <c r="G12" s="24">
        <f>G13+G15+G16+G17+G19+G22+G23</f>
        <v/>
      </c>
      <c r="H12" s="22" t="n"/>
      <c r="I12" s="23" t="n"/>
      <c r="J12" s="22" t="inlineStr">
        <is>
          <t>Fabricación</t>
        </is>
      </c>
      <c r="K12" s="23" t="n"/>
      <c r="L12" s="23" t="inlineStr">
        <is>
          <t>IRAM 3523 / 3550 (recipiente)</t>
        </is>
      </c>
      <c r="M12" s="22" t="inlineStr">
        <is>
          <t>P</t>
        </is>
      </c>
      <c r="N12" s="22" t="inlineStr">
        <is>
          <t>FL_DES_ABC_25kg</t>
        </is>
      </c>
      <c r="O12" s="23" t="n"/>
    </row>
    <row r="13" outlineLevel="1">
      <c r="A13" s="25" t="n">
        <v>2</v>
      </c>
      <c r="B13" s="25" t="inlineStr">
        <is>
          <t>ABC25-01</t>
        </is>
      </c>
      <c r="C13" s="12" t="inlineStr">
        <is>
          <t xml:space="preserve">        Cuerpo (virola)</t>
        </is>
      </c>
      <c r="D13" s="25" t="n">
        <v>1</v>
      </c>
      <c r="E13" s="25" t="inlineStr">
        <is>
          <t>u</t>
        </is>
      </c>
      <c r="F13" s="26" t="n">
        <v>8.756600000000001</v>
      </c>
      <c r="G13" s="26">
        <f>D13*F13</f>
        <v/>
      </c>
      <c r="H13" s="25" t="inlineStr">
        <is>
          <t>Chapa acero SAE 1010 e=3,2</t>
        </is>
      </c>
      <c r="I13" s="12" t="inlineStr">
        <is>
          <t>Ø276,5 × e3,2 × 406 de alto; desarrollo 858,6 × 406</t>
        </is>
      </c>
      <c r="J13" s="25" t="inlineStr">
        <is>
          <t>Fabricación</t>
        </is>
      </c>
      <c r="K13" s="12" t="inlineStr">
        <is>
          <t>1 Guillotina -&gt; C1 cilindrado -&gt; C2 punteo -&gt; C3 sold. long.</t>
        </is>
      </c>
      <c r="L13" s="12" t="n"/>
      <c r="M13" s="25" t="inlineStr">
        <is>
          <t>P</t>
        </is>
      </c>
      <c r="N13" s="25" t="inlineStr">
        <is>
          <t>FL_DES_ABC_25kg</t>
        </is>
      </c>
      <c r="O13" s="12" t="inlineStr">
        <is>
          <t>costura long. MIG</t>
        </is>
      </c>
    </row>
    <row r="14" outlineLevel="2">
      <c r="A14" s="27" t="n">
        <v>3</v>
      </c>
      <c r="B14" s="27" t="inlineStr">
        <is>
          <t>MP-HOJA</t>
        </is>
      </c>
      <c r="C14" s="28" t="inlineStr">
        <is>
          <t xml:space="preserve">            Recorte de hoja LAC 1500 × 3000 e=3,2</t>
        </is>
      </c>
      <c r="D14" s="27" t="n">
        <v>1</v>
      </c>
      <c r="E14" s="27" t="inlineStr">
        <is>
          <t>u</t>
        </is>
      </c>
      <c r="F14" s="29" t="n">
        <v>12.558</v>
      </c>
      <c r="G14" s="29">
        <f>D14*F14</f>
        <v/>
      </c>
      <c r="H14" s="27" t="inlineStr">
        <is>
          <t>Chapa SAE 1010 LAC</t>
        </is>
      </c>
      <c r="I14" s="28" t="inlineStr">
        <is>
          <t>490 × 858 (aprovech. 84,1 %)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ABC25-02</t>
        </is>
      </c>
      <c r="C15" s="12" t="inlineStr">
        <is>
          <t xml:space="preserve">        Cúpula</t>
        </is>
      </c>
      <c r="D15" s="25" t="n">
        <v>1</v>
      </c>
      <c r="E15" s="25" t="inlineStr">
        <is>
          <t>u</t>
        </is>
      </c>
      <c r="F15" s="26" t="n">
        <v>2.162</v>
      </c>
      <c r="G15" s="26">
        <f>D15*F15</f>
        <v/>
      </c>
      <c r="H15" s="25" t="inlineStr">
        <is>
          <t>Chapa acero SAE 1010 e=3,2</t>
        </is>
      </c>
      <c r="I15" s="12" t="inlineStr">
        <is>
          <t>Ø276,5 × e3,2 × 86,3 de alto; disco Ø341</t>
        </is>
      </c>
      <c r="J15" s="25" t="inlineStr">
        <is>
          <t>Compra</t>
        </is>
      </c>
      <c r="K15" s="12" t="inlineStr">
        <is>
          <t>Compra (casquetes de carros, rack RK1)</t>
        </is>
      </c>
      <c r="L15" s="12" t="n"/>
      <c r="M15" s="25" t="inlineStr">
        <is>
          <t>P</t>
        </is>
      </c>
      <c r="N15" s="25" t="inlineStr">
        <is>
          <t>FL_DES_ABC_25kg</t>
        </is>
      </c>
      <c r="O15" s="12" t="inlineStr">
        <is>
          <t>embutida</t>
        </is>
      </c>
    </row>
    <row r="16" outlineLevel="1">
      <c r="A16" s="25" t="n">
        <v>2</v>
      </c>
      <c r="B16" s="25" t="inlineStr">
        <is>
          <t>ABC25-03</t>
        </is>
      </c>
      <c r="C16" s="12" t="inlineStr">
        <is>
          <t xml:space="preserve">        Fondo</t>
        </is>
      </c>
      <c r="D16" s="25" t="n">
        <v>1</v>
      </c>
      <c r="E16" s="25" t="inlineStr">
        <is>
          <t>u</t>
        </is>
      </c>
      <c r="F16" s="26" t="n">
        <v>2.2425</v>
      </c>
      <c r="G16" s="26">
        <f>D16*F16</f>
        <v/>
      </c>
      <c r="H16" s="25" t="inlineStr">
        <is>
          <t>Chapa acero SAE 1010 e=3,2</t>
        </is>
      </c>
      <c r="I16" s="12" t="inlineStr">
        <is>
          <t>Ø276,5 × e3,2 × 87 de alto; disco Ø347,3</t>
        </is>
      </c>
      <c r="J16" s="25" t="inlineStr">
        <is>
          <t>Compra</t>
        </is>
      </c>
      <c r="K16" s="12" t="inlineStr">
        <is>
          <t>Compra (casquetes de carros, rack RK1)</t>
        </is>
      </c>
      <c r="L16" s="12" t="n"/>
      <c r="M16" s="25" t="inlineStr">
        <is>
          <t>P</t>
        </is>
      </c>
      <c r="N16" s="25" t="inlineStr">
        <is>
          <t>FL_DES_ABC_25kg</t>
        </is>
      </c>
      <c r="O16" s="12" t="inlineStr">
        <is>
          <t>embutido</t>
        </is>
      </c>
    </row>
    <row r="17" outlineLevel="1">
      <c r="A17" s="25" t="n">
        <v>2</v>
      </c>
      <c r="B17" s="25" t="inlineStr">
        <is>
          <t>ABC25-04</t>
        </is>
      </c>
      <c r="C17" s="12" t="inlineStr">
        <is>
          <t xml:space="preserve">        Cuello roscado</t>
        </is>
      </c>
      <c r="D17" s="25" t="n">
        <v>1</v>
      </c>
      <c r="E17" s="25" t="inlineStr">
        <is>
          <t>u</t>
        </is>
      </c>
      <c r="F17" s="26" t="n">
        <v>0.1326</v>
      </c>
      <c r="G17" s="26">
        <f>D17*F17</f>
        <v/>
      </c>
      <c r="H17" s="25" t="inlineStr">
        <is>
          <t>Acero SAE 1010</t>
        </is>
      </c>
      <c r="I17" s="12" t="inlineStr">
        <is>
          <t>Ø37 × 35 de alto, rosca M30x1,5, asiento Ø35</t>
        </is>
      </c>
      <c r="J17" s="25" t="inlineStr">
        <is>
          <t>Fabricación</t>
        </is>
      </c>
      <c r="K17" s="12" t="inlineStr">
        <is>
          <t>C2 punteo</t>
        </is>
      </c>
      <c r="L17" s="12" t="n"/>
      <c r="M17" s="25" t="inlineStr">
        <is>
          <t>P</t>
        </is>
      </c>
      <c r="N17" s="25" t="inlineStr">
        <is>
          <t>FL_DES_ABC_25kg</t>
        </is>
      </c>
      <c r="O17" s="12" t="inlineStr">
        <is>
          <t>M30x1,5</t>
        </is>
      </c>
    </row>
    <row r="18" outlineLevel="2">
      <c r="A18" s="27" t="n">
        <v>3</v>
      </c>
      <c r="B18" s="27" t="inlineStr">
        <is>
          <t>MP-CUELLO</t>
        </is>
      </c>
      <c r="C18" s="28" t="inlineStr">
        <is>
          <t xml:space="preserve">            Cuello roscado mecanizado (pieza comprada lista para soldar)</t>
        </is>
      </c>
      <c r="D18" s="27" t="n">
        <v>1</v>
      </c>
      <c r="E18" s="27" t="inlineStr">
        <is>
          <t>u</t>
        </is>
      </c>
      <c r="F18" s="29" t="n">
        <v>0.133</v>
      </c>
      <c r="G18" s="29">
        <f>D18*F18</f>
        <v/>
      </c>
      <c r="H18" s="27" t="inlineStr">
        <is>
          <t>Acero SAE 1010 / 1020</t>
        </is>
      </c>
      <c r="I18" s="28" t="inlineStr">
        <is>
          <t>rosca M30x1,5</t>
        </is>
      </c>
      <c r="J18" s="27" t="inlineStr">
        <is>
          <t>Compra (Eli-Met)</t>
        </is>
      </c>
      <c r="K18" s="28" t="inlineStr">
        <is>
          <t>AL-1C cuellos y roscas</t>
        </is>
      </c>
      <c r="L18" s="28" t="n"/>
      <c r="M18" s="27" t="inlineStr">
        <is>
          <t>L</t>
        </is>
      </c>
      <c r="N18" s="27" t="n"/>
      <c r="O18" s="28" t="n"/>
    </row>
    <row r="19" outlineLevel="1">
      <c r="A19" s="25" t="n">
        <v>2</v>
      </c>
      <c r="B19" s="25" t="inlineStr">
        <is>
          <t>ABC25-C1</t>
        </is>
      </c>
      <c r="C19" s="12" t="inlineStr">
        <is>
          <t xml:space="preserve">        Aporte de soldadura: Alambre MAG ER70S-6 Ø0,9/1,2</t>
        </is>
      </c>
      <c r="D19" s="25" t="n">
        <v>0.3484</v>
      </c>
      <c r="E19" s="25" t="inlineStr">
        <is>
          <t>kg</t>
        </is>
      </c>
      <c r="F19" s="26" t="n">
        <v>0.92</v>
      </c>
      <c r="G19" s="26">
        <f>D19*F19</f>
        <v/>
      </c>
      <c r="H19" s="25" t="inlineStr">
        <is>
          <t>Alambre MAG ER70S-6 Ø0,9/1,2</t>
        </is>
      </c>
      <c r="I19" s="12" t="inlineStr">
        <is>
          <t>cordones del plano: 321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ABC25-C2</t>
        </is>
      </c>
      <c r="C20" s="12" t="inlineStr">
        <is>
          <t xml:space="preserve">        Gas de protección: Arcal 21 (Ar + 18 % CO₂)</t>
        </is>
      </c>
      <c r="D20" s="25" t="n">
        <v>156.8</v>
      </c>
      <c r="E20" s="25" t="inlineStr">
        <is>
          <t>L</t>
        </is>
      </c>
      <c r="F20" s="26" t="n"/>
      <c r="G20" s="26" t="n"/>
      <c r="H20" s="25" t="inlineStr">
        <is>
          <t>Arcal 21 (Ar + 18 % CO₂)</t>
        </is>
      </c>
      <c r="I20" s="12" t="inlineStr">
        <is>
          <t>10,5 min de arco × 15 L/min</t>
        </is>
      </c>
      <c r="J20" s="25" t="inlineStr">
        <is>
          <t>Compra</t>
        </is>
      </c>
      <c r="K20" s="12" t="inlineStr">
        <is>
          <t>Colector SC</t>
        </is>
      </c>
      <c r="L20" s="12" t="n"/>
      <c r="M20" s="25" t="inlineStr">
        <is>
          <t>R</t>
        </is>
      </c>
      <c r="N20" s="25" t="n"/>
      <c r="O20" s="12" t="n"/>
    </row>
    <row r="21" outlineLevel="1">
      <c r="A21" s="25" t="n">
        <v>2</v>
      </c>
      <c r="B21" s="25" t="inlineStr">
        <is>
          <t>ABC25-C3</t>
        </is>
      </c>
      <c r="C21" s="12" t="inlineStr">
        <is>
          <t xml:space="preserve">        Granalla de acero (consumo)</t>
        </is>
      </c>
      <c r="D21" s="25" t="n">
        <v>0.042</v>
      </c>
      <c r="E21" s="25" t="inlineStr">
        <is>
          <t>kg</t>
        </is>
      </c>
      <c r="F21" s="26" t="n"/>
      <c r="G21" s="26" t="n"/>
      <c r="H21" s="25" t="inlineStr">
        <is>
          <t>Granalla S-230</t>
        </is>
      </c>
      <c r="I21" s="12" t="inlineStr">
        <is>
          <t>0,524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ABC25-C4</t>
        </is>
      </c>
      <c r="C22" s="12" t="inlineStr">
        <is>
          <t xml:space="preserve">        Pintura en polvo poliéster rojo</t>
        </is>
      </c>
      <c r="D22" s="25" t="n">
        <v>0.097</v>
      </c>
      <c r="E22" s="25" t="inlineStr">
        <is>
          <t>kg</t>
        </is>
      </c>
      <c r="F22" s="26" t="n">
        <v>0.65</v>
      </c>
      <c r="G22" s="26">
        <f>D22*F22</f>
        <v/>
      </c>
      <c r="H22" s="25" t="inlineStr">
        <is>
          <t>Poliéster rojo 03-1-050</t>
        </is>
      </c>
      <c r="I22" s="12" t="inlineStr">
        <is>
          <t>0,524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outlineLevel="1">
      <c r="A23" s="25" t="n">
        <v>2</v>
      </c>
      <c r="B23" s="25" t="inlineStr">
        <is>
          <t>ABC25-T1</t>
        </is>
      </c>
      <c r="C23" s="12" t="inlineStr">
        <is>
          <t xml:space="preserve">        Tapón protector de rosca del cuello</t>
        </is>
      </c>
      <c r="D23" s="25" t="n">
        <v>1</v>
      </c>
      <c r="E23" s="25" t="inlineStr">
        <is>
          <t>u</t>
        </is>
      </c>
      <c r="F23" s="26" t="n">
        <v>0.005</v>
      </c>
      <c r="G23" s="26">
        <f>D23*F23</f>
        <v/>
      </c>
      <c r="H23" s="25" t="inlineStr">
        <is>
          <t>Polietileno</t>
        </is>
      </c>
      <c r="I23" s="12" t="inlineStr">
        <is>
          <t>para rosca M30x1,5</t>
        </is>
      </c>
      <c r="J23" s="25" t="inlineStr">
        <is>
          <t>Compra</t>
        </is>
      </c>
      <c r="K23" s="12" t="inlineStr">
        <is>
          <t>Embalaje</t>
        </is>
      </c>
      <c r="L23" s="12" t="n"/>
      <c r="M23" s="25" t="inlineStr">
        <is>
          <t>R</t>
        </is>
      </c>
      <c r="N23" s="25" t="n"/>
      <c r="O23" s="12" t="n"/>
    </row>
    <row r="24" outlineLevel="1">
      <c r="A24" s="25" t="n">
        <v>2</v>
      </c>
      <c r="B24" s="25" t="inlineStr">
        <is>
          <t>ABC25-T2</t>
        </is>
      </c>
      <c r="C24" s="12" t="inlineStr">
        <is>
          <t xml:space="preserve">        Marcado del recipiente (estampado)</t>
        </is>
      </c>
      <c r="D24" s="25" t="n">
        <v>1</v>
      </c>
      <c r="E24" s="25" t="inlineStr">
        <is>
          <t>u</t>
        </is>
      </c>
      <c r="F24" s="26" t="n"/>
      <c r="G24" s="26" t="n"/>
      <c r="H24" s="25" t="inlineStr">
        <is>
          <t>-</t>
        </is>
      </c>
      <c r="I24" s="12" t="inlineStr">
        <is>
          <t>N° de serie, año, presión de prueba, norma</t>
        </is>
      </c>
      <c r="J24" s="25" t="inlineStr">
        <is>
          <t>Proceso</t>
        </is>
      </c>
      <c r="K24" s="12" t="inlineStr">
        <is>
          <t>Marcado</t>
        </is>
      </c>
      <c r="L24" s="12" t="inlineStr">
        <is>
          <t>IRAM 3523 (marcado)</t>
        </is>
      </c>
      <c r="M24" s="25" t="inlineStr">
        <is>
          <t>R</t>
        </is>
      </c>
      <c r="N24" s="25" t="n"/>
      <c r="O24" s="12" t="n"/>
    </row>
    <row r="25">
      <c r="A25" s="22" t="n">
        <v>1</v>
      </c>
      <c r="B25" s="22" t="inlineStr">
        <is>
          <t>ABC25-S7</t>
        </is>
      </c>
      <c r="C25" s="23" t="inlineStr">
        <is>
          <t xml:space="preserve">    Embalaje</t>
        </is>
      </c>
      <c r="D25" s="22" t="n">
        <v>1</v>
      </c>
      <c r="E25" s="22" t="inlineStr">
        <is>
          <t>u</t>
        </is>
      </c>
      <c r="F25" s="24" t="n"/>
      <c r="G25" s="24">
        <f>G26+G27+G28+G29</f>
        <v/>
      </c>
      <c r="H25" s="22" t="n"/>
      <c r="I25" s="23" t="n"/>
      <c r="J25" s="22" t="inlineStr">
        <is>
          <t>Compra</t>
        </is>
      </c>
      <c r="K25" s="23" t="inlineStr">
        <is>
          <t>23 Embalaje -&gt; 24 envolvedora (T11)</t>
        </is>
      </c>
      <c r="L25" s="23" t="n"/>
      <c r="M25" s="22" t="n"/>
      <c r="N25" s="22" t="n"/>
      <c r="O25" s="23" t="n"/>
    </row>
    <row r="26" outlineLevel="1">
      <c r="A26" s="25" t="n">
        <v>2</v>
      </c>
      <c r="B26" s="25" t="inlineStr">
        <is>
          <t>ABC25-E1</t>
        </is>
      </c>
      <c r="C26" s="12" t="inlineStr">
        <is>
          <t xml:space="preserve">        Esquineros y funda de polietileno</t>
        </is>
      </c>
      <c r="D26" s="25" t="n">
        <v>1</v>
      </c>
      <c r="E26" s="25" t="inlineStr">
        <is>
          <t>jgo</t>
        </is>
      </c>
      <c r="F26" s="26" t="n">
        <v>0.3</v>
      </c>
      <c r="G26" s="26">
        <f>D26*F26</f>
        <v/>
      </c>
      <c r="H26" s="25" t="inlineStr">
        <is>
          <t>PE / cartón</t>
        </is>
      </c>
      <c r="I26" s="12" t="inlineStr">
        <is>
          <t>a medida</t>
        </is>
      </c>
      <c r="J26" s="25" t="inlineStr">
        <is>
          <t>Compra</t>
        </is>
      </c>
      <c r="K26" s="12" t="inlineStr">
        <is>
          <t>23 Embalaje</t>
        </is>
      </c>
      <c r="L26" s="12" t="n"/>
      <c r="M26" s="25" t="inlineStr">
        <is>
          <t>R</t>
        </is>
      </c>
      <c r="N26" s="25" t="n"/>
      <c r="O26" s="12" t="n"/>
    </row>
    <row r="27" outlineLevel="1">
      <c r="A27" s="25" t="n">
        <v>2</v>
      </c>
      <c r="B27" s="25" t="inlineStr">
        <is>
          <t>ABC25-E3</t>
        </is>
      </c>
      <c r="C27" s="12" t="inlineStr">
        <is>
          <t xml:space="preserve">        Pallet 1200 × 1000 (fracción)</t>
        </is>
      </c>
      <c r="D27" s="25" t="n">
        <v>0.0833</v>
      </c>
      <c r="E27" s="25" t="inlineStr">
        <is>
          <t>u</t>
        </is>
      </c>
      <c r="F27" s="26" t="n">
        <v>1.833</v>
      </c>
      <c r="G27" s="26">
        <f>D27*F27</f>
        <v/>
      </c>
      <c r="H27" s="25" t="inlineStr">
        <is>
          <t>Madera</t>
        </is>
      </c>
      <c r="I27" s="12" t="inlineStr">
        <is>
          <t>12 u por pallet</t>
        </is>
      </c>
      <c r="J27" s="25" t="inlineStr">
        <is>
          <t>Compra</t>
        </is>
      </c>
      <c r="K27" s="12" t="inlineStr">
        <is>
          <t>23 Embalaje</t>
        </is>
      </c>
      <c r="L27" s="12" t="n"/>
      <c r="M27" s="25" t="inlineStr">
        <is>
          <t>R</t>
        </is>
      </c>
      <c r="N27" s="25" t="n"/>
      <c r="O27" s="12" t="n"/>
    </row>
    <row r="28" outlineLevel="1">
      <c r="A28" s="25" t="n">
        <v>2</v>
      </c>
      <c r="B28" s="25" t="inlineStr">
        <is>
          <t>ABC25-E4</t>
        </is>
      </c>
      <c r="C28" s="12" t="inlineStr">
        <is>
          <t xml:space="preserve">        Film stretch (fracción del pallet)</t>
        </is>
      </c>
      <c r="D28" s="25" t="n">
        <v>0.0292</v>
      </c>
      <c r="E28" s="25" t="inlineStr">
        <is>
          <t>kg</t>
        </is>
      </c>
      <c r="F28" s="26" t="n">
        <v>1</v>
      </c>
      <c r="G28" s="26">
        <f>D28*F28</f>
        <v/>
      </c>
      <c r="H28" s="25" t="inlineStr">
        <is>
          <t>PE lineal 23 µm</t>
        </is>
      </c>
      <c r="I28" s="12" t="inlineStr">
        <is>
          <t>envolvedora EDOS PS5</t>
        </is>
      </c>
      <c r="J28" s="25" t="inlineStr">
        <is>
          <t>Compra</t>
        </is>
      </c>
      <c r="K28" s="12" t="inlineStr">
        <is>
          <t>24 Envolvedora (T11)</t>
        </is>
      </c>
      <c r="L28" s="12" t="n"/>
      <c r="M28" s="25" t="inlineStr">
        <is>
          <t>R</t>
        </is>
      </c>
      <c r="N28" s="25" t="n"/>
      <c r="O28" s="12" t="n"/>
    </row>
    <row r="29" outlineLevel="1">
      <c r="A29" s="25" t="n">
        <v>2</v>
      </c>
      <c r="B29" s="25" t="inlineStr">
        <is>
          <t>ABC25-E5</t>
        </is>
      </c>
      <c r="C29" s="12" t="inlineStr">
        <is>
          <t xml:space="preserve">        Etiqueta de pallet (lote y destino, fracción)</t>
        </is>
      </c>
      <c r="D29" s="25" t="n">
        <v>0.0833</v>
      </c>
      <c r="E29" s="25" t="inlineStr">
        <is>
          <t>u</t>
        </is>
      </c>
      <c r="F29" s="26" t="n">
        <v>0</v>
      </c>
      <c r="G29" s="26">
        <f>D29*F29</f>
        <v/>
      </c>
      <c r="H29" s="25" t="inlineStr">
        <is>
          <t>Papel térmico</t>
        </is>
      </c>
      <c r="I29" s="12" t="inlineStr">
        <is>
          <t>100 × 150</t>
        </is>
      </c>
      <c r="J29" s="25" t="inlineStr">
        <is>
          <t>Compra</t>
        </is>
      </c>
      <c r="K29" s="12" t="inlineStr">
        <is>
          <t>24 Envolvedora</t>
        </is>
      </c>
      <c r="L29" s="12" t="n"/>
      <c r="M29" s="25" t="inlineStr">
        <is>
          <t>R</t>
        </is>
      </c>
      <c r="N29" s="25" t="n"/>
      <c r="O29" s="12" t="n"/>
    </row>
  </sheetData>
  <autoFilter ref="A10:O29"/>
  <pageMargins left="0.75" right="0.75" top="1" bottom="1" header="0.5" footer="0.5"/>
  <pageSetup orientation="landscape" fitToHeight="0" fitToWidth="1"/>
</worksheet>
</file>

<file path=xl/worksheets/sheet29.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FL_REC_ABC_50kg</t>
        </is>
      </c>
    </row>
    <row r="2">
      <c r="A2" s="2" t="inlineStr">
        <is>
          <t>Cilindro (recipiente) ABC 50 kg rodante - repuesto vacío sin válvula</t>
        </is>
      </c>
    </row>
    <row r="3">
      <c r="A3" s="14" t="inlineStr">
        <is>
          <t>Plano de origen</t>
        </is>
      </c>
      <c r="C3" t="inlineStr">
        <is>
          <t>FL_REC_ABC_50kg  (recipiente para venta suelta)</t>
        </is>
      </c>
      <c r="E3" s="14" t="inlineStr">
        <is>
          <t>Peso vacío S1-S4 (kg)</t>
        </is>
      </c>
      <c r="G3" s="30">
        <f>G12</f>
        <v/>
      </c>
    </row>
    <row r="4">
      <c r="A4" s="14" t="inlineStr">
        <is>
          <t>Plano de despiece</t>
        </is>
      </c>
      <c r="C4" t="inlineStr">
        <is>
          <t>FL_DES_ABC_50kg (salida/despiece/)</t>
        </is>
      </c>
      <c r="E4" s="14" t="inlineStr">
        <is>
          <t>Peso cargado S1-S6 (kg)</t>
        </is>
      </c>
      <c r="G4" s="30">
        <f>G12</f>
        <v/>
      </c>
    </row>
    <row r="5">
      <c r="A5" s="14" t="inlineStr">
        <is>
          <t>Norma del producto</t>
        </is>
      </c>
      <c r="C5" t="inlineStr">
        <is>
          <t>IRAM 3550</t>
        </is>
      </c>
      <c r="E5" s="14" t="inlineStr">
        <is>
          <t>Peso con soporte y embalaje (kg)</t>
        </is>
      </c>
      <c r="G5" s="30">
        <f>G12+G25</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FL_REC_ABC_50kg</t>
        </is>
      </c>
      <c r="C11" s="20" t="inlineStr">
        <is>
          <t>Cilindro (recipiente) ABC 50 kg rodante - repuesto vacío sin válvula</t>
        </is>
      </c>
      <c r="D11" s="19" t="n">
        <v>1</v>
      </c>
      <c r="E11" s="19" t="inlineStr">
        <is>
          <t>u</t>
        </is>
      </c>
      <c r="F11" s="21" t="n"/>
      <c r="G11" s="21">
        <f>G5</f>
        <v/>
      </c>
      <c r="H11" s="19" t="n"/>
      <c r="I11" s="20" t="n"/>
      <c r="J11" s="19" t="n"/>
      <c r="K11" s="20" t="n"/>
      <c r="L11" s="20" t="inlineStr">
        <is>
          <t>IRAM 3550</t>
        </is>
      </c>
      <c r="M11" s="19" t="inlineStr">
        <is>
          <t>P</t>
        </is>
      </c>
      <c r="N11" s="19" t="inlineStr">
        <is>
          <t>FL_REC_ABC_50kg</t>
        </is>
      </c>
      <c r="O11" s="20" t="inlineStr">
        <is>
          <t>Fabricación propia</t>
        </is>
      </c>
    </row>
    <row r="12">
      <c r="A12" s="22" t="n">
        <v>1</v>
      </c>
      <c r="B12" s="22" t="inlineStr">
        <is>
          <t>ABC50-S1</t>
        </is>
      </c>
      <c r="C12" s="23" t="inlineStr">
        <is>
          <t xml:space="preserve">    Recipiente (cilindro)</t>
        </is>
      </c>
      <c r="D12" s="22" t="n">
        <v>1</v>
      </c>
      <c r="E12" s="22" t="inlineStr">
        <is>
          <t>u</t>
        </is>
      </c>
      <c r="F12" s="24" t="n"/>
      <c r="G12" s="24">
        <f>G13+G15+G16+G17+G19+G22+G23</f>
        <v/>
      </c>
      <c r="H12" s="22" t="n"/>
      <c r="I12" s="23" t="n"/>
      <c r="J12" s="22" t="inlineStr">
        <is>
          <t>Fabricación</t>
        </is>
      </c>
      <c r="K12" s="23" t="n"/>
      <c r="L12" s="23" t="inlineStr">
        <is>
          <t>IRAM 3523 / 3550 (recipiente)</t>
        </is>
      </c>
      <c r="M12" s="22" t="inlineStr">
        <is>
          <t>P</t>
        </is>
      </c>
      <c r="N12" s="22" t="inlineStr">
        <is>
          <t>FL_DES_ABC_50kg</t>
        </is>
      </c>
      <c r="O12" s="23" t="n"/>
    </row>
    <row r="13" outlineLevel="1">
      <c r="A13" s="25" t="n">
        <v>2</v>
      </c>
      <c r="B13" s="25" t="inlineStr">
        <is>
          <t>ABC50-01</t>
        </is>
      </c>
      <c r="C13" s="12" t="inlineStr">
        <is>
          <t xml:space="preserve">        Cuerpo (virola)</t>
        </is>
      </c>
      <c r="D13" s="25" t="n">
        <v>1</v>
      </c>
      <c r="E13" s="25" t="inlineStr">
        <is>
          <t>u</t>
        </is>
      </c>
      <c r="F13" s="26" t="n">
        <v>13.3755</v>
      </c>
      <c r="G13" s="26">
        <f>D13*F13</f>
        <v/>
      </c>
      <c r="H13" s="25" t="inlineStr">
        <is>
          <t>Chapa acero SAE 1010 e=3,2</t>
        </is>
      </c>
      <c r="I13" s="12" t="inlineStr">
        <is>
          <t>Ø320 × e3,2 × 535 de alto; desarrollo 995,3 × 535</t>
        </is>
      </c>
      <c r="J13" s="25" t="inlineStr">
        <is>
          <t>Fabricación</t>
        </is>
      </c>
      <c r="K13" s="12" t="inlineStr">
        <is>
          <t>1 Guillotina -&gt; C1 cilindrado -&gt; C2 punteo -&gt; C3 sold. long.</t>
        </is>
      </c>
      <c r="L13" s="12" t="n"/>
      <c r="M13" s="25" t="inlineStr">
        <is>
          <t>P</t>
        </is>
      </c>
      <c r="N13" s="25" t="inlineStr">
        <is>
          <t>FL_DES_ABC_50kg</t>
        </is>
      </c>
      <c r="O13" s="12" t="inlineStr">
        <is>
          <t>costura long. MIG</t>
        </is>
      </c>
    </row>
    <row r="14" outlineLevel="2">
      <c r="A14" s="27" t="n">
        <v>3</v>
      </c>
      <c r="B14" s="27" t="inlineStr">
        <is>
          <t>MP-HOJA</t>
        </is>
      </c>
      <c r="C14" s="28" t="inlineStr">
        <is>
          <t xml:space="preserve">            Recorte de hoja LAC 1500 × 3000 e=3,2</t>
        </is>
      </c>
      <c r="D14" s="27" t="n">
        <v>1</v>
      </c>
      <c r="E14" s="27" t="inlineStr">
        <is>
          <t>u</t>
        </is>
      </c>
      <c r="F14" s="29" t="n">
        <v>18.845</v>
      </c>
      <c r="G14" s="29">
        <f>D14*F14</f>
        <v/>
      </c>
      <c r="H14" s="27" t="inlineStr">
        <is>
          <t>Chapa SAE 1010 LAC</t>
        </is>
      </c>
      <c r="I14" s="28" t="inlineStr">
        <is>
          <t>640 × 994 (aprovech. 84,8 %)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ABC50-02</t>
        </is>
      </c>
      <c r="C15" s="12" t="inlineStr">
        <is>
          <t xml:space="preserve">        Cúpula</t>
        </is>
      </c>
      <c r="D15" s="25" t="n">
        <v>1</v>
      </c>
      <c r="E15" s="25" t="inlineStr">
        <is>
          <t>u</t>
        </is>
      </c>
      <c r="F15" s="26" t="n">
        <v>2.884</v>
      </c>
      <c r="G15" s="26">
        <f>D15*F15</f>
        <v/>
      </c>
      <c r="H15" s="25" t="inlineStr">
        <is>
          <t>Chapa acero SAE 1010 e=3,2</t>
        </is>
      </c>
      <c r="I15" s="12" t="inlineStr">
        <is>
          <t>Ø320 × e3,2 × 101,7 de alto; disco Ø393,8</t>
        </is>
      </c>
      <c r="J15" s="25" t="inlineStr">
        <is>
          <t>Compra</t>
        </is>
      </c>
      <c r="K15" s="12" t="inlineStr">
        <is>
          <t>Compra (casquetes de carros, rack RK1)</t>
        </is>
      </c>
      <c r="L15" s="12" t="n"/>
      <c r="M15" s="25" t="inlineStr">
        <is>
          <t>P</t>
        </is>
      </c>
      <c r="N15" s="25" t="inlineStr">
        <is>
          <t>FL_DES_ABC_50kg</t>
        </is>
      </c>
      <c r="O15" s="12" t="inlineStr">
        <is>
          <t>embutida</t>
        </is>
      </c>
    </row>
    <row r="16" outlineLevel="1">
      <c r="A16" s="25" t="n">
        <v>2</v>
      </c>
      <c r="B16" s="25" t="inlineStr">
        <is>
          <t>ABC50-03</t>
        </is>
      </c>
      <c r="C16" s="12" t="inlineStr">
        <is>
          <t xml:space="preserve">        Fondo</t>
        </is>
      </c>
      <c r="D16" s="25" t="n">
        <v>1</v>
      </c>
      <c r="E16" s="25" t="inlineStr">
        <is>
          <t>u</t>
        </is>
      </c>
      <c r="F16" s="26" t="n">
        <v>3.1025</v>
      </c>
      <c r="G16" s="26">
        <f>D16*F16</f>
        <v/>
      </c>
      <c r="H16" s="25" t="inlineStr">
        <is>
          <t>Chapa acero SAE 1010 e=3,2</t>
        </is>
      </c>
      <c r="I16" s="12" t="inlineStr">
        <is>
          <t>Ø320 × e3,2 × 105 de alto; disco Ø408,5</t>
        </is>
      </c>
      <c r="J16" s="25" t="inlineStr">
        <is>
          <t>Compra</t>
        </is>
      </c>
      <c r="K16" s="12" t="inlineStr">
        <is>
          <t>Compra (casquetes de carros, rack RK1)</t>
        </is>
      </c>
      <c r="L16" s="12" t="n"/>
      <c r="M16" s="25" t="inlineStr">
        <is>
          <t>P</t>
        </is>
      </c>
      <c r="N16" s="25" t="inlineStr">
        <is>
          <t>FL_DES_ABC_50kg</t>
        </is>
      </c>
      <c r="O16" s="12" t="inlineStr">
        <is>
          <t>embutido</t>
        </is>
      </c>
    </row>
    <row r="17" outlineLevel="1">
      <c r="A17" s="25" t="n">
        <v>2</v>
      </c>
      <c r="B17" s="25" t="inlineStr">
        <is>
          <t>ABC50-04</t>
        </is>
      </c>
      <c r="C17" s="12" t="inlineStr">
        <is>
          <t xml:space="preserve">        Cuello roscado</t>
        </is>
      </c>
      <c r="D17" s="25" t="n">
        <v>1</v>
      </c>
      <c r="E17" s="25" t="inlineStr">
        <is>
          <t>u</t>
        </is>
      </c>
      <c r="F17" s="26" t="n">
        <v>0.6085</v>
      </c>
      <c r="G17" s="26">
        <f>D17*F17</f>
        <v/>
      </c>
      <c r="H17" s="25" t="inlineStr">
        <is>
          <t>Acero SAE 1010</t>
        </is>
      </c>
      <c r="I17" s="12" t="inlineStr">
        <is>
          <t>Ø88 × 37 de alto, rosca RBSP 2 1/2"-11 h, asiento Ø80</t>
        </is>
      </c>
      <c r="J17" s="25" t="inlineStr">
        <is>
          <t>Fabricación</t>
        </is>
      </c>
      <c r="K17" s="12" t="inlineStr">
        <is>
          <t>C2 punteo</t>
        </is>
      </c>
      <c r="L17" s="12" t="n"/>
      <c r="M17" s="25" t="inlineStr">
        <is>
          <t>P</t>
        </is>
      </c>
      <c r="N17" s="25" t="inlineStr">
        <is>
          <t>FL_DES_ABC_50kg</t>
        </is>
      </c>
      <c r="O17" s="12" t="inlineStr">
        <is>
          <t>RBSP 2 1/2"-11 h</t>
        </is>
      </c>
    </row>
    <row r="18" outlineLevel="2">
      <c r="A18" s="27" t="n">
        <v>3</v>
      </c>
      <c r="B18" s="27" t="inlineStr">
        <is>
          <t>MP-CUELLO</t>
        </is>
      </c>
      <c r="C18" s="28" t="inlineStr">
        <is>
          <t xml:space="preserve">            Cuello roscado mecanizado (pieza comprada lista para soldar)</t>
        </is>
      </c>
      <c r="D18" s="27" t="n">
        <v>1</v>
      </c>
      <c r="E18" s="27" t="inlineStr">
        <is>
          <t>u</t>
        </is>
      </c>
      <c r="F18" s="29" t="n">
        <v>0.608</v>
      </c>
      <c r="G18" s="29">
        <f>D18*F18</f>
        <v/>
      </c>
      <c r="H18" s="27" t="inlineStr">
        <is>
          <t>Acero SAE 1010 / 1020</t>
        </is>
      </c>
      <c r="I18" s="28" t="inlineStr">
        <is>
          <t>rosca RBSP 2 1/2"-11 h</t>
        </is>
      </c>
      <c r="J18" s="27" t="inlineStr">
        <is>
          <t>Compra (Eli-Met)</t>
        </is>
      </c>
      <c r="K18" s="28" t="inlineStr">
        <is>
          <t>AL-1C cuellos y roscas</t>
        </is>
      </c>
      <c r="L18" s="28" t="n"/>
      <c r="M18" s="27" t="inlineStr">
        <is>
          <t>L</t>
        </is>
      </c>
      <c r="N18" s="27" t="n"/>
      <c r="O18" s="28" t="n"/>
    </row>
    <row r="19" outlineLevel="1">
      <c r="A19" s="25" t="n">
        <v>2</v>
      </c>
      <c r="B19" s="25" t="inlineStr">
        <is>
          <t>ABC50-C1</t>
        </is>
      </c>
      <c r="C19" s="12" t="inlineStr">
        <is>
          <t xml:space="preserve">        Aporte de soldadura: Alambre MAG ER70S-6 Ø0,9/1,2</t>
        </is>
      </c>
      <c r="D19" s="25" t="n">
        <v>0.433</v>
      </c>
      <c r="E19" s="25" t="inlineStr">
        <is>
          <t>kg</t>
        </is>
      </c>
      <c r="F19" s="26" t="n">
        <v>0.92</v>
      </c>
      <c r="G19" s="26">
        <f>D19*F19</f>
        <v/>
      </c>
      <c r="H19" s="25" t="inlineStr">
        <is>
          <t>Alambre MAG ER70S-6 Ø0,9/1,2</t>
        </is>
      </c>
      <c r="I19" s="12" t="inlineStr">
        <is>
          <t>cordones del plano: 398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ABC50-C2</t>
        </is>
      </c>
      <c r="C20" s="12" t="inlineStr">
        <is>
          <t xml:space="preserve">        Gas de protección: Arcal 21 (Ar + 18 % CO₂)</t>
        </is>
      </c>
      <c r="D20" s="25" t="n">
        <v>194.9</v>
      </c>
      <c r="E20" s="25" t="inlineStr">
        <is>
          <t>L</t>
        </is>
      </c>
      <c r="F20" s="26" t="n"/>
      <c r="G20" s="26" t="n"/>
      <c r="H20" s="25" t="inlineStr">
        <is>
          <t>Arcal 21 (Ar + 18 % CO₂)</t>
        </is>
      </c>
      <c r="I20" s="12" t="inlineStr">
        <is>
          <t>13 min de arco × 15 L/min</t>
        </is>
      </c>
      <c r="J20" s="25" t="inlineStr">
        <is>
          <t>Compra</t>
        </is>
      </c>
      <c r="K20" s="12" t="inlineStr">
        <is>
          <t>Colector SC</t>
        </is>
      </c>
      <c r="L20" s="12" t="n"/>
      <c r="M20" s="25" t="inlineStr">
        <is>
          <t>R</t>
        </is>
      </c>
      <c r="N20" s="25" t="n"/>
      <c r="O20" s="12" t="n"/>
    </row>
    <row r="21" outlineLevel="1">
      <c r="A21" s="25" t="n">
        <v>2</v>
      </c>
      <c r="B21" s="25" t="inlineStr">
        <is>
          <t>ABC50-C3</t>
        </is>
      </c>
      <c r="C21" s="12" t="inlineStr">
        <is>
          <t xml:space="preserve">        Granalla de acero (consumo)</t>
        </is>
      </c>
      <c r="D21" s="25" t="n">
        <v>0.062</v>
      </c>
      <c r="E21" s="25" t="inlineStr">
        <is>
          <t>kg</t>
        </is>
      </c>
      <c r="F21" s="26" t="n"/>
      <c r="G21" s="26" t="n"/>
      <c r="H21" s="25" t="inlineStr">
        <is>
          <t>Granalla S-230</t>
        </is>
      </c>
      <c r="I21" s="12" t="inlineStr">
        <is>
          <t>0,771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ABC50-C4</t>
        </is>
      </c>
      <c r="C22" s="12" t="inlineStr">
        <is>
          <t xml:space="preserve">        Pintura en polvo poliéster rojo</t>
        </is>
      </c>
      <c r="D22" s="25" t="n">
        <v>0.143</v>
      </c>
      <c r="E22" s="25" t="inlineStr">
        <is>
          <t>kg</t>
        </is>
      </c>
      <c r="F22" s="26" t="n">
        <v>0.65</v>
      </c>
      <c r="G22" s="26">
        <f>D22*F22</f>
        <v/>
      </c>
      <c r="H22" s="25" t="inlineStr">
        <is>
          <t>Poliéster rojo 03-1-050</t>
        </is>
      </c>
      <c r="I22" s="12" t="inlineStr">
        <is>
          <t>0,771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outlineLevel="1">
      <c r="A23" s="25" t="n">
        <v>2</v>
      </c>
      <c r="B23" s="25" t="inlineStr">
        <is>
          <t>ABC50-T1</t>
        </is>
      </c>
      <c r="C23" s="12" t="inlineStr">
        <is>
          <t xml:space="preserve">        Tapón protector de rosca del cuello</t>
        </is>
      </c>
      <c r="D23" s="25" t="n">
        <v>1</v>
      </c>
      <c r="E23" s="25" t="inlineStr">
        <is>
          <t>u</t>
        </is>
      </c>
      <c r="F23" s="26" t="n">
        <v>0.005</v>
      </c>
      <c r="G23" s="26">
        <f>D23*F23</f>
        <v/>
      </c>
      <c r="H23" s="25" t="inlineStr">
        <is>
          <t>Polietileno</t>
        </is>
      </c>
      <c r="I23" s="12" t="inlineStr">
        <is>
          <t>para rosca RBSP 2 1/2"-11 h</t>
        </is>
      </c>
      <c r="J23" s="25" t="inlineStr">
        <is>
          <t>Compra</t>
        </is>
      </c>
      <c r="K23" s="12" t="inlineStr">
        <is>
          <t>Embalaje</t>
        </is>
      </c>
      <c r="L23" s="12" t="n"/>
      <c r="M23" s="25" t="inlineStr">
        <is>
          <t>R</t>
        </is>
      </c>
      <c r="N23" s="25" t="n"/>
      <c r="O23" s="12" t="n"/>
    </row>
    <row r="24" outlineLevel="1">
      <c r="A24" s="25" t="n">
        <v>2</v>
      </c>
      <c r="B24" s="25" t="inlineStr">
        <is>
          <t>ABC50-T2</t>
        </is>
      </c>
      <c r="C24" s="12" t="inlineStr">
        <is>
          <t xml:space="preserve">        Marcado del recipiente (estampado)</t>
        </is>
      </c>
      <c r="D24" s="25" t="n">
        <v>1</v>
      </c>
      <c r="E24" s="25" t="inlineStr">
        <is>
          <t>u</t>
        </is>
      </c>
      <c r="F24" s="26" t="n"/>
      <c r="G24" s="26" t="n"/>
      <c r="H24" s="25" t="inlineStr">
        <is>
          <t>-</t>
        </is>
      </c>
      <c r="I24" s="12" t="inlineStr">
        <is>
          <t>N° de serie, año, presión de prueba, norma</t>
        </is>
      </c>
      <c r="J24" s="25" t="inlineStr">
        <is>
          <t>Proceso</t>
        </is>
      </c>
      <c r="K24" s="12" t="inlineStr">
        <is>
          <t>Marcado</t>
        </is>
      </c>
      <c r="L24" s="12" t="inlineStr">
        <is>
          <t>IRAM 3523 (marcado)</t>
        </is>
      </c>
      <c r="M24" s="25" t="inlineStr">
        <is>
          <t>R</t>
        </is>
      </c>
      <c r="N24" s="25" t="n"/>
      <c r="O24" s="12" t="n"/>
    </row>
    <row r="25">
      <c r="A25" s="22" t="n">
        <v>1</v>
      </c>
      <c r="B25" s="22" t="inlineStr">
        <is>
          <t>ABC50-S7</t>
        </is>
      </c>
      <c r="C25" s="23" t="inlineStr">
        <is>
          <t xml:space="preserve">    Embalaje</t>
        </is>
      </c>
      <c r="D25" s="22" t="n">
        <v>1</v>
      </c>
      <c r="E25" s="22" t="inlineStr">
        <is>
          <t>u</t>
        </is>
      </c>
      <c r="F25" s="24" t="n"/>
      <c r="G25" s="24">
        <f>G26+G27+G28+G29</f>
        <v/>
      </c>
      <c r="H25" s="22" t="n"/>
      <c r="I25" s="23" t="n"/>
      <c r="J25" s="22" t="inlineStr">
        <is>
          <t>Compra</t>
        </is>
      </c>
      <c r="K25" s="23" t="inlineStr">
        <is>
          <t>23 Embalaje -&gt; 24 envolvedora (T11)</t>
        </is>
      </c>
      <c r="L25" s="23" t="n"/>
      <c r="M25" s="22" t="n"/>
      <c r="N25" s="22" t="n"/>
      <c r="O25" s="23" t="n"/>
    </row>
    <row r="26" outlineLevel="1">
      <c r="A26" s="25" t="n">
        <v>2</v>
      </c>
      <c r="B26" s="25" t="inlineStr">
        <is>
          <t>ABC50-E1</t>
        </is>
      </c>
      <c r="C26" s="12" t="inlineStr">
        <is>
          <t xml:space="preserve">        Esquineros y funda de polietileno</t>
        </is>
      </c>
      <c r="D26" s="25" t="n">
        <v>1</v>
      </c>
      <c r="E26" s="25" t="inlineStr">
        <is>
          <t>jgo</t>
        </is>
      </c>
      <c r="F26" s="26" t="n">
        <v>0.3</v>
      </c>
      <c r="G26" s="26">
        <f>D26*F26</f>
        <v/>
      </c>
      <c r="H26" s="25" t="inlineStr">
        <is>
          <t>PE / cartón</t>
        </is>
      </c>
      <c r="I26" s="12" t="inlineStr">
        <is>
          <t>a medida</t>
        </is>
      </c>
      <c r="J26" s="25" t="inlineStr">
        <is>
          <t>Compra</t>
        </is>
      </c>
      <c r="K26" s="12" t="inlineStr">
        <is>
          <t>23 Embalaje</t>
        </is>
      </c>
      <c r="L26" s="12" t="n"/>
      <c r="M26" s="25" t="inlineStr">
        <is>
          <t>R</t>
        </is>
      </c>
      <c r="N26" s="25" t="n"/>
      <c r="O26" s="12" t="n"/>
    </row>
    <row r="27" outlineLevel="1">
      <c r="A27" s="25" t="n">
        <v>2</v>
      </c>
      <c r="B27" s="25" t="inlineStr">
        <is>
          <t>ABC50-E3</t>
        </is>
      </c>
      <c r="C27" s="12" t="inlineStr">
        <is>
          <t xml:space="preserve">        Pallet 1200 × 1000 (fracción)</t>
        </is>
      </c>
      <c r="D27" s="25" t="n">
        <v>0.1111</v>
      </c>
      <c r="E27" s="25" t="inlineStr">
        <is>
          <t>u</t>
        </is>
      </c>
      <c r="F27" s="26" t="n">
        <v>2.444</v>
      </c>
      <c r="G27" s="26">
        <f>D27*F27</f>
        <v/>
      </c>
      <c r="H27" s="25" t="inlineStr">
        <is>
          <t>Madera</t>
        </is>
      </c>
      <c r="I27" s="12" t="inlineStr">
        <is>
          <t>9 u por pallet</t>
        </is>
      </c>
      <c r="J27" s="25" t="inlineStr">
        <is>
          <t>Compra</t>
        </is>
      </c>
      <c r="K27" s="12" t="inlineStr">
        <is>
          <t>23 Embalaje</t>
        </is>
      </c>
      <c r="L27" s="12" t="n"/>
      <c r="M27" s="25" t="inlineStr">
        <is>
          <t>R</t>
        </is>
      </c>
      <c r="N27" s="25" t="n"/>
      <c r="O27" s="12" t="n"/>
    </row>
    <row r="28" outlineLevel="1">
      <c r="A28" s="25" t="n">
        <v>2</v>
      </c>
      <c r="B28" s="25" t="inlineStr">
        <is>
          <t>ABC50-E4</t>
        </is>
      </c>
      <c r="C28" s="12" t="inlineStr">
        <is>
          <t xml:space="preserve">        Film stretch (fracción del pallet)</t>
        </is>
      </c>
      <c r="D28" s="25" t="n">
        <v>0.0389</v>
      </c>
      <c r="E28" s="25" t="inlineStr">
        <is>
          <t>kg</t>
        </is>
      </c>
      <c r="F28" s="26" t="n">
        <v>1</v>
      </c>
      <c r="G28" s="26">
        <f>D28*F28</f>
        <v/>
      </c>
      <c r="H28" s="25" t="inlineStr">
        <is>
          <t>PE lineal 23 µm</t>
        </is>
      </c>
      <c r="I28" s="12" t="inlineStr">
        <is>
          <t>envolvedora EDOS PS5</t>
        </is>
      </c>
      <c r="J28" s="25" t="inlineStr">
        <is>
          <t>Compra</t>
        </is>
      </c>
      <c r="K28" s="12" t="inlineStr">
        <is>
          <t>24 Envolvedora (T11)</t>
        </is>
      </c>
      <c r="L28" s="12" t="n"/>
      <c r="M28" s="25" t="inlineStr">
        <is>
          <t>R</t>
        </is>
      </c>
      <c r="N28" s="25" t="n"/>
      <c r="O28" s="12" t="n"/>
    </row>
    <row r="29" outlineLevel="1">
      <c r="A29" s="25" t="n">
        <v>2</v>
      </c>
      <c r="B29" s="25" t="inlineStr">
        <is>
          <t>ABC50-E5</t>
        </is>
      </c>
      <c r="C29" s="12" t="inlineStr">
        <is>
          <t xml:space="preserve">        Etiqueta de pallet (lote y destino, fracción)</t>
        </is>
      </c>
      <c r="D29" s="25" t="n">
        <v>0.1111</v>
      </c>
      <c r="E29" s="25" t="inlineStr">
        <is>
          <t>u</t>
        </is>
      </c>
      <c r="F29" s="26" t="n">
        <v>0</v>
      </c>
      <c r="G29" s="26">
        <f>D29*F29</f>
        <v/>
      </c>
      <c r="H29" s="25" t="inlineStr">
        <is>
          <t>Papel térmico</t>
        </is>
      </c>
      <c r="I29" s="12" t="inlineStr">
        <is>
          <t>100 × 150</t>
        </is>
      </c>
      <c r="J29" s="25" t="inlineStr">
        <is>
          <t>Compra</t>
        </is>
      </c>
      <c r="K29" s="12" t="inlineStr">
        <is>
          <t>24 Envolvedora</t>
        </is>
      </c>
      <c r="L29" s="12" t="n"/>
      <c r="M29" s="25" t="inlineStr">
        <is>
          <t>R</t>
        </is>
      </c>
      <c r="N29" s="25" t="n"/>
      <c r="O29" s="12" t="n"/>
    </row>
  </sheetData>
  <autoFilter ref="A10:O29"/>
  <pageMargins left="0.75" right="0.75" top="1" bottom="1" header="0.5" footer="0.5"/>
  <pageSetup orientation="landscape" fitToHeight="0" fitToWidth="1"/>
</worksheet>
</file>

<file path=xl/worksheets/sheet30.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FL_REC_ABC_70kg</t>
        </is>
      </c>
    </row>
    <row r="2">
      <c r="A2" s="2" t="inlineStr">
        <is>
          <t>Cilindro (recipiente) ABC 70 kg rodante - repuesto vacío sin válvula</t>
        </is>
      </c>
    </row>
    <row r="3">
      <c r="A3" s="14" t="inlineStr">
        <is>
          <t>Plano de origen</t>
        </is>
      </c>
      <c r="C3" t="inlineStr">
        <is>
          <t>FL_REC_ABC_70kg  (recipiente para venta suelta)</t>
        </is>
      </c>
      <c r="E3" s="14" t="inlineStr">
        <is>
          <t>Peso vacío S1-S4 (kg)</t>
        </is>
      </c>
      <c r="G3" s="30">
        <f>G12</f>
        <v/>
      </c>
    </row>
    <row r="4">
      <c r="A4" s="14" t="inlineStr">
        <is>
          <t>Plano de despiece</t>
        </is>
      </c>
      <c r="C4" t="inlineStr">
        <is>
          <t>FL_DES_ABC_70kg (salida/despiece/)</t>
        </is>
      </c>
      <c r="E4" s="14" t="inlineStr">
        <is>
          <t>Peso cargado S1-S6 (kg)</t>
        </is>
      </c>
      <c r="G4" s="30">
        <f>G12</f>
        <v/>
      </c>
    </row>
    <row r="5">
      <c r="A5" s="14" t="inlineStr">
        <is>
          <t>Norma del producto</t>
        </is>
      </c>
      <c r="C5" t="inlineStr">
        <is>
          <t>IRAM 3550</t>
        </is>
      </c>
      <c r="E5" s="14" t="inlineStr">
        <is>
          <t>Peso con soporte y embalaje (kg)</t>
        </is>
      </c>
      <c r="G5" s="30">
        <f>G12+G25</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FL_REC_ABC_70kg</t>
        </is>
      </c>
      <c r="C11" s="20" t="inlineStr">
        <is>
          <t>Cilindro (recipiente) ABC 70 kg rodante - repuesto vacío sin válvula</t>
        </is>
      </c>
      <c r="D11" s="19" t="n">
        <v>1</v>
      </c>
      <c r="E11" s="19" t="inlineStr">
        <is>
          <t>u</t>
        </is>
      </c>
      <c r="F11" s="21" t="n"/>
      <c r="G11" s="21">
        <f>G5</f>
        <v/>
      </c>
      <c r="H11" s="19" t="n"/>
      <c r="I11" s="20" t="n"/>
      <c r="J11" s="19" t="n"/>
      <c r="K11" s="20" t="n"/>
      <c r="L11" s="20" t="inlineStr">
        <is>
          <t>IRAM 3550</t>
        </is>
      </c>
      <c r="M11" s="19" t="inlineStr">
        <is>
          <t>P</t>
        </is>
      </c>
      <c r="N11" s="19" t="inlineStr">
        <is>
          <t>FL_REC_ABC_70kg</t>
        </is>
      </c>
      <c r="O11" s="20" t="inlineStr">
        <is>
          <t>Fabricación propia</t>
        </is>
      </c>
    </row>
    <row r="12">
      <c r="A12" s="22" t="n">
        <v>1</v>
      </c>
      <c r="B12" s="22" t="inlineStr">
        <is>
          <t>ABC70-S1</t>
        </is>
      </c>
      <c r="C12" s="23" t="inlineStr">
        <is>
          <t xml:space="preserve">    Recipiente (cilindro)</t>
        </is>
      </c>
      <c r="D12" s="22" t="n">
        <v>1</v>
      </c>
      <c r="E12" s="22" t="inlineStr">
        <is>
          <t>u</t>
        </is>
      </c>
      <c r="F12" s="24" t="n"/>
      <c r="G12" s="24">
        <f>G13+G15+G16+G17+G19+G22+G23</f>
        <v/>
      </c>
      <c r="H12" s="22" t="n"/>
      <c r="I12" s="23" t="n"/>
      <c r="J12" s="22" t="inlineStr">
        <is>
          <t>Fabricación</t>
        </is>
      </c>
      <c r="K12" s="23" t="n"/>
      <c r="L12" s="23" t="inlineStr">
        <is>
          <t>IRAM 3523 / 3550 (recipiente)</t>
        </is>
      </c>
      <c r="M12" s="22" t="inlineStr">
        <is>
          <t>P</t>
        </is>
      </c>
      <c r="N12" s="22" t="inlineStr">
        <is>
          <t>FL_DES_ABC_70kg</t>
        </is>
      </c>
      <c r="O12" s="23" t="n"/>
    </row>
    <row r="13" outlineLevel="1">
      <c r="A13" s="25" t="n">
        <v>2</v>
      </c>
      <c r="B13" s="25" t="inlineStr">
        <is>
          <t>ABC70-01</t>
        </is>
      </c>
      <c r="C13" s="12" t="inlineStr">
        <is>
          <t xml:space="preserve">        Cuerpo (virola)</t>
        </is>
      </c>
      <c r="D13" s="25" t="n">
        <v>1</v>
      </c>
      <c r="E13" s="25" t="inlineStr">
        <is>
          <t>u</t>
        </is>
      </c>
      <c r="F13" s="26" t="n">
        <v>18.1781</v>
      </c>
      <c r="G13" s="26">
        <f>D13*F13</f>
        <v/>
      </c>
      <c r="H13" s="25" t="inlineStr">
        <is>
          <t>Chapa acero SAE 1010 e=3,2</t>
        </is>
      </c>
      <c r="I13" s="12" t="inlineStr">
        <is>
          <t>Ø350 × e3,2 × 664,2 de alto; desarrollo 1.089,5 × 664,2</t>
        </is>
      </c>
      <c r="J13" s="25" t="inlineStr">
        <is>
          <t>Fabricación</t>
        </is>
      </c>
      <c r="K13" s="12" t="inlineStr">
        <is>
          <t>1 Guillotina -&gt; C1 cilindrado -&gt; C2 punteo -&gt; C3 sold. long.</t>
        </is>
      </c>
      <c r="L13" s="12" t="n"/>
      <c r="M13" s="25" t="inlineStr">
        <is>
          <t>P</t>
        </is>
      </c>
      <c r="N13" s="25" t="inlineStr">
        <is>
          <t>FL_DES_ABC_70kg</t>
        </is>
      </c>
      <c r="O13" s="12" t="inlineStr">
        <is>
          <t>costura long. MIG</t>
        </is>
      </c>
    </row>
    <row r="14" outlineLevel="2">
      <c r="A14" s="27" t="n">
        <v>3</v>
      </c>
      <c r="B14" s="27" t="inlineStr">
        <is>
          <t>MP-HOJA</t>
        </is>
      </c>
      <c r="C14" s="28" t="inlineStr">
        <is>
          <t xml:space="preserve">            Recorte de hoja LAC 1500 × 3000 e=4,75</t>
        </is>
      </c>
      <c r="D14" s="27" t="n">
        <v>1</v>
      </c>
      <c r="E14" s="27" t="inlineStr">
        <is>
          <t>u</t>
        </is>
      </c>
      <c r="F14" s="29" t="n">
        <v>41.925</v>
      </c>
      <c r="G14" s="29">
        <f>D14*F14</f>
        <v/>
      </c>
      <c r="H14" s="27" t="inlineStr">
        <is>
          <t>Chapa SAE 1010 LAC</t>
        </is>
      </c>
      <c r="I14" s="28" t="inlineStr">
        <is>
          <t>680 × 1.212 (aprovech. 73,3 %)</t>
        </is>
      </c>
      <c r="J14" s="27" t="inlineStr">
        <is>
          <t>Compra (Pradecon)</t>
        </is>
      </c>
      <c r="K14" s="28" t="inlineStr">
        <is>
          <t>AL-1H paquetes de hojas</t>
        </is>
      </c>
      <c r="L14" s="28" t="n"/>
      <c r="M14" s="27" t="inlineStr">
        <is>
          <t>L</t>
        </is>
      </c>
      <c r="N14" s="27" t="inlineStr">
        <is>
          <t>FL_PI_04 h2</t>
        </is>
      </c>
      <c r="O14" s="28" t="inlineStr">
        <is>
          <t>OJO: la hoja de corte usa e=4,75 y el plano e=3,2</t>
        </is>
      </c>
    </row>
    <row r="15" outlineLevel="1">
      <c r="A15" s="25" t="n">
        <v>2</v>
      </c>
      <c r="B15" s="25" t="inlineStr">
        <is>
          <t>ABC70-02</t>
        </is>
      </c>
      <c r="C15" s="12" t="inlineStr">
        <is>
          <t xml:space="preserve">        Cúpula</t>
        </is>
      </c>
      <c r="D15" s="25" t="n">
        <v>1</v>
      </c>
      <c r="E15" s="25" t="inlineStr">
        <is>
          <t>u</t>
        </is>
      </c>
      <c r="F15" s="26" t="n">
        <v>3.4748</v>
      </c>
      <c r="G15" s="26">
        <f>D15*F15</f>
        <v/>
      </c>
      <c r="H15" s="25" t="inlineStr">
        <is>
          <t>Chapa acero SAE 1010 e=3,2</t>
        </is>
      </c>
      <c r="I15" s="12" t="inlineStr">
        <is>
          <t>Ø350 × e3,2 × 111,8 de alto; disco Ø432,3</t>
        </is>
      </c>
      <c r="J15" s="25" t="inlineStr">
        <is>
          <t>Compra</t>
        </is>
      </c>
      <c r="K15" s="12" t="inlineStr">
        <is>
          <t>Compra (casquetes de carros, rack RK1)</t>
        </is>
      </c>
      <c r="L15" s="12" t="n"/>
      <c r="M15" s="25" t="inlineStr">
        <is>
          <t>P</t>
        </is>
      </c>
      <c r="N15" s="25" t="inlineStr">
        <is>
          <t>FL_DES_ABC_70kg</t>
        </is>
      </c>
      <c r="O15" s="12" t="inlineStr">
        <is>
          <t>embutida</t>
        </is>
      </c>
    </row>
    <row r="16" outlineLevel="1">
      <c r="A16" s="25" t="n">
        <v>2</v>
      </c>
      <c r="B16" s="25" t="inlineStr">
        <is>
          <t>ABC70-03</t>
        </is>
      </c>
      <c r="C16" s="12" t="inlineStr">
        <is>
          <t xml:space="preserve">        Fondo</t>
        </is>
      </c>
      <c r="D16" s="25" t="n">
        <v>1</v>
      </c>
      <c r="E16" s="25" t="inlineStr">
        <is>
          <t>u</t>
        </is>
      </c>
      <c r="F16" s="26" t="n">
        <v>3.7246</v>
      </c>
      <c r="G16" s="26">
        <f>D16*F16</f>
        <v/>
      </c>
      <c r="H16" s="25" t="inlineStr">
        <is>
          <t>Chapa acero SAE 1010 e=3,2</t>
        </is>
      </c>
      <c r="I16" s="12" t="inlineStr">
        <is>
          <t>Ø350 × e3,2 × 114,8 de alto; disco Ø447,5</t>
        </is>
      </c>
      <c r="J16" s="25" t="inlineStr">
        <is>
          <t>Compra</t>
        </is>
      </c>
      <c r="K16" s="12" t="inlineStr">
        <is>
          <t>Compra (casquetes de carros, rack RK1)</t>
        </is>
      </c>
      <c r="L16" s="12" t="n"/>
      <c r="M16" s="25" t="inlineStr">
        <is>
          <t>P</t>
        </is>
      </c>
      <c r="N16" s="25" t="inlineStr">
        <is>
          <t>FL_DES_ABC_70kg</t>
        </is>
      </c>
      <c r="O16" s="12" t="inlineStr">
        <is>
          <t>embutido</t>
        </is>
      </c>
    </row>
    <row r="17" outlineLevel="1">
      <c r="A17" s="25" t="n">
        <v>2</v>
      </c>
      <c r="B17" s="25" t="inlineStr">
        <is>
          <t>ABC70-04</t>
        </is>
      </c>
      <c r="C17" s="12" t="inlineStr">
        <is>
          <t xml:space="preserve">        Cuello roscado</t>
        </is>
      </c>
      <c r="D17" s="25" t="n">
        <v>1</v>
      </c>
      <c r="E17" s="25" t="inlineStr">
        <is>
          <t>u</t>
        </is>
      </c>
      <c r="F17" s="26" t="n">
        <v>0.6084000000000001</v>
      </c>
      <c r="G17" s="26">
        <f>D17*F17</f>
        <v/>
      </c>
      <c r="H17" s="25" t="inlineStr">
        <is>
          <t>Acero SAE 1010</t>
        </is>
      </c>
      <c r="I17" s="12" t="inlineStr">
        <is>
          <t>Ø88 × 37 de alto, rosca RBSP 2 1/2"-11 h, asiento Ø80</t>
        </is>
      </c>
      <c r="J17" s="25" t="inlineStr">
        <is>
          <t>Fabricación</t>
        </is>
      </c>
      <c r="K17" s="12" t="inlineStr">
        <is>
          <t>C2 punteo</t>
        </is>
      </c>
      <c r="L17" s="12" t="n"/>
      <c r="M17" s="25" t="inlineStr">
        <is>
          <t>P</t>
        </is>
      </c>
      <c r="N17" s="25" t="inlineStr">
        <is>
          <t>FL_DES_ABC_70kg</t>
        </is>
      </c>
      <c r="O17" s="12" t="inlineStr">
        <is>
          <t>RBSP 2 1/2"-11 h</t>
        </is>
      </c>
    </row>
    <row r="18" outlineLevel="2">
      <c r="A18" s="27" t="n">
        <v>3</v>
      </c>
      <c r="B18" s="27" t="inlineStr">
        <is>
          <t>MP-CUELLO</t>
        </is>
      </c>
      <c r="C18" s="28" t="inlineStr">
        <is>
          <t xml:space="preserve">            Cuello roscado mecanizado (pieza comprada lista para soldar)</t>
        </is>
      </c>
      <c r="D18" s="27" t="n">
        <v>1</v>
      </c>
      <c r="E18" s="27" t="inlineStr">
        <is>
          <t>u</t>
        </is>
      </c>
      <c r="F18" s="29" t="n">
        <v>0.608</v>
      </c>
      <c r="G18" s="29">
        <f>D18*F18</f>
        <v/>
      </c>
      <c r="H18" s="27" t="inlineStr">
        <is>
          <t>Acero SAE 1010 / 1020</t>
        </is>
      </c>
      <c r="I18" s="28" t="inlineStr">
        <is>
          <t>rosca RBSP 2 1/2"-11 h</t>
        </is>
      </c>
      <c r="J18" s="27" t="inlineStr">
        <is>
          <t>Compra (Eli-Met)</t>
        </is>
      </c>
      <c r="K18" s="28" t="inlineStr">
        <is>
          <t>AL-1C cuellos y roscas</t>
        </is>
      </c>
      <c r="L18" s="28" t="n"/>
      <c r="M18" s="27" t="inlineStr">
        <is>
          <t>L</t>
        </is>
      </c>
      <c r="N18" s="27" t="n"/>
      <c r="O18" s="28" t="n"/>
    </row>
    <row r="19" outlineLevel="1">
      <c r="A19" s="25" t="n">
        <v>2</v>
      </c>
      <c r="B19" s="25" t="inlineStr">
        <is>
          <t>ABC70-C1</t>
        </is>
      </c>
      <c r="C19" s="12" t="inlineStr">
        <is>
          <t xml:space="preserve">        Aporte de soldadura: Alambre MAG ER70S-6 Ø0,9/1,2</t>
        </is>
      </c>
      <c r="D19" s="25" t="n">
        <v>0.4746</v>
      </c>
      <c r="E19" s="25" t="inlineStr">
        <is>
          <t>kg</t>
        </is>
      </c>
      <c r="F19" s="26" t="n">
        <v>0.92</v>
      </c>
      <c r="G19" s="26">
        <f>D19*F19</f>
        <v/>
      </c>
      <c r="H19" s="25" t="inlineStr">
        <is>
          <t>Alambre MAG ER70S-6 Ø0,9/1,2</t>
        </is>
      </c>
      <c r="I19" s="12" t="inlineStr">
        <is>
          <t>cordones del plano: 437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ABC70-C2</t>
        </is>
      </c>
      <c r="C20" s="12" t="inlineStr">
        <is>
          <t xml:space="preserve">        Gas de protección: Arcal 21 (Ar + 18 % CO₂)</t>
        </is>
      </c>
      <c r="D20" s="25" t="n">
        <v>213.6</v>
      </c>
      <c r="E20" s="25" t="inlineStr">
        <is>
          <t>L</t>
        </is>
      </c>
      <c r="F20" s="26" t="n"/>
      <c r="G20" s="26" t="n"/>
      <c r="H20" s="25" t="inlineStr">
        <is>
          <t>Arcal 21 (Ar + 18 % CO₂)</t>
        </is>
      </c>
      <c r="I20" s="12" t="inlineStr">
        <is>
          <t>14,2 min de arco × 15 L/min</t>
        </is>
      </c>
      <c r="J20" s="25" t="inlineStr">
        <is>
          <t>Compra</t>
        </is>
      </c>
      <c r="K20" s="12" t="inlineStr">
        <is>
          <t>Colector SC</t>
        </is>
      </c>
      <c r="L20" s="12" t="n"/>
      <c r="M20" s="25" t="inlineStr">
        <is>
          <t>R</t>
        </is>
      </c>
      <c r="N20" s="25" t="n"/>
      <c r="O20" s="12" t="n"/>
    </row>
    <row r="21" outlineLevel="1">
      <c r="A21" s="25" t="n">
        <v>2</v>
      </c>
      <c r="B21" s="25" t="inlineStr">
        <is>
          <t>ABC70-C3</t>
        </is>
      </c>
      <c r="C21" s="12" t="inlineStr">
        <is>
          <t xml:space="preserve">        Granalla de acero (consumo)</t>
        </is>
      </c>
      <c r="D21" s="25" t="n">
        <v>0.081</v>
      </c>
      <c r="E21" s="25" t="inlineStr">
        <is>
          <t>kg</t>
        </is>
      </c>
      <c r="F21" s="26" t="n"/>
      <c r="G21" s="26" t="n"/>
      <c r="H21" s="25" t="inlineStr">
        <is>
          <t>Granalla S-230</t>
        </is>
      </c>
      <c r="I21" s="12" t="inlineStr">
        <is>
          <t>1,01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ABC70-C4</t>
        </is>
      </c>
      <c r="C22" s="12" t="inlineStr">
        <is>
          <t xml:space="preserve">        Pintura en polvo poliéster rojo</t>
        </is>
      </c>
      <c r="D22" s="25" t="n">
        <v>0.187</v>
      </c>
      <c r="E22" s="25" t="inlineStr">
        <is>
          <t>kg</t>
        </is>
      </c>
      <c r="F22" s="26" t="n">
        <v>0.65</v>
      </c>
      <c r="G22" s="26">
        <f>D22*F22</f>
        <v/>
      </c>
      <c r="H22" s="25" t="inlineStr">
        <is>
          <t>Poliéster rojo 03-1-050</t>
        </is>
      </c>
      <c r="I22" s="12" t="inlineStr">
        <is>
          <t>1,01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outlineLevel="1">
      <c r="A23" s="25" t="n">
        <v>2</v>
      </c>
      <c r="B23" s="25" t="inlineStr">
        <is>
          <t>ABC70-T1</t>
        </is>
      </c>
      <c r="C23" s="12" t="inlineStr">
        <is>
          <t xml:space="preserve">        Tapón protector de rosca del cuello</t>
        </is>
      </c>
      <c r="D23" s="25" t="n">
        <v>1</v>
      </c>
      <c r="E23" s="25" t="inlineStr">
        <is>
          <t>u</t>
        </is>
      </c>
      <c r="F23" s="26" t="n">
        <v>0.005</v>
      </c>
      <c r="G23" s="26">
        <f>D23*F23</f>
        <v/>
      </c>
      <c r="H23" s="25" t="inlineStr">
        <is>
          <t>Polietileno</t>
        </is>
      </c>
      <c r="I23" s="12" t="inlineStr">
        <is>
          <t>para rosca RBSP 2 1/2"-11 h</t>
        </is>
      </c>
      <c r="J23" s="25" t="inlineStr">
        <is>
          <t>Compra</t>
        </is>
      </c>
      <c r="K23" s="12" t="inlineStr">
        <is>
          <t>Embalaje</t>
        </is>
      </c>
      <c r="L23" s="12" t="n"/>
      <c r="M23" s="25" t="inlineStr">
        <is>
          <t>R</t>
        </is>
      </c>
      <c r="N23" s="25" t="n"/>
      <c r="O23" s="12" t="n"/>
    </row>
    <row r="24" outlineLevel="1">
      <c r="A24" s="25" t="n">
        <v>2</v>
      </c>
      <c r="B24" s="25" t="inlineStr">
        <is>
          <t>ABC70-T2</t>
        </is>
      </c>
      <c r="C24" s="12" t="inlineStr">
        <is>
          <t xml:space="preserve">        Marcado del recipiente (estampado)</t>
        </is>
      </c>
      <c r="D24" s="25" t="n">
        <v>1</v>
      </c>
      <c r="E24" s="25" t="inlineStr">
        <is>
          <t>u</t>
        </is>
      </c>
      <c r="F24" s="26" t="n"/>
      <c r="G24" s="26" t="n"/>
      <c r="H24" s="25" t="inlineStr">
        <is>
          <t>-</t>
        </is>
      </c>
      <c r="I24" s="12" t="inlineStr">
        <is>
          <t>N° de serie, año, presión de prueba, norma</t>
        </is>
      </c>
      <c r="J24" s="25" t="inlineStr">
        <is>
          <t>Proceso</t>
        </is>
      </c>
      <c r="K24" s="12" t="inlineStr">
        <is>
          <t>Marcado</t>
        </is>
      </c>
      <c r="L24" s="12" t="inlineStr">
        <is>
          <t>IRAM 3523 (marcado)</t>
        </is>
      </c>
      <c r="M24" s="25" t="inlineStr">
        <is>
          <t>R</t>
        </is>
      </c>
      <c r="N24" s="25" t="n"/>
      <c r="O24" s="12" t="n"/>
    </row>
    <row r="25">
      <c r="A25" s="22" t="n">
        <v>1</v>
      </c>
      <c r="B25" s="22" t="inlineStr">
        <is>
          <t>ABC70-S7</t>
        </is>
      </c>
      <c r="C25" s="23" t="inlineStr">
        <is>
          <t xml:space="preserve">    Embalaje</t>
        </is>
      </c>
      <c r="D25" s="22" t="n">
        <v>1</v>
      </c>
      <c r="E25" s="22" t="inlineStr">
        <is>
          <t>u</t>
        </is>
      </c>
      <c r="F25" s="24" t="n"/>
      <c r="G25" s="24">
        <f>G26+G27+G28+G29</f>
        <v/>
      </c>
      <c r="H25" s="22" t="n"/>
      <c r="I25" s="23" t="n"/>
      <c r="J25" s="22" t="inlineStr">
        <is>
          <t>Compra</t>
        </is>
      </c>
      <c r="K25" s="23" t="inlineStr">
        <is>
          <t>23 Embalaje -&gt; 24 envolvedora (T11)</t>
        </is>
      </c>
      <c r="L25" s="23" t="n"/>
      <c r="M25" s="22" t="n"/>
      <c r="N25" s="22" t="n"/>
      <c r="O25" s="23" t="n"/>
    </row>
    <row r="26" outlineLevel="1">
      <c r="A26" s="25" t="n">
        <v>2</v>
      </c>
      <c r="B26" s="25" t="inlineStr">
        <is>
          <t>ABC70-E1</t>
        </is>
      </c>
      <c r="C26" s="12" t="inlineStr">
        <is>
          <t xml:space="preserve">        Esquineros y funda de polietileno</t>
        </is>
      </c>
      <c r="D26" s="25" t="n">
        <v>1</v>
      </c>
      <c r="E26" s="25" t="inlineStr">
        <is>
          <t>jgo</t>
        </is>
      </c>
      <c r="F26" s="26" t="n">
        <v>0.3</v>
      </c>
      <c r="G26" s="26">
        <f>D26*F26</f>
        <v/>
      </c>
      <c r="H26" s="25" t="inlineStr">
        <is>
          <t>PE / cartón</t>
        </is>
      </c>
      <c r="I26" s="12" t="inlineStr">
        <is>
          <t>a medida</t>
        </is>
      </c>
      <c r="J26" s="25" t="inlineStr">
        <is>
          <t>Compra</t>
        </is>
      </c>
      <c r="K26" s="12" t="inlineStr">
        <is>
          <t>23 Embalaje</t>
        </is>
      </c>
      <c r="L26" s="12" t="n"/>
      <c r="M26" s="25" t="inlineStr">
        <is>
          <t>R</t>
        </is>
      </c>
      <c r="N26" s="25" t="n"/>
      <c r="O26" s="12" t="n"/>
    </row>
    <row r="27" outlineLevel="1">
      <c r="A27" s="25" t="n">
        <v>2</v>
      </c>
      <c r="B27" s="25" t="inlineStr">
        <is>
          <t>ABC70-E3</t>
        </is>
      </c>
      <c r="C27" s="12" t="inlineStr">
        <is>
          <t xml:space="preserve">        Pallet 1200 × 1000 (fracción)</t>
        </is>
      </c>
      <c r="D27" s="25" t="n">
        <v>0.1667</v>
      </c>
      <c r="E27" s="25" t="inlineStr">
        <is>
          <t>u</t>
        </is>
      </c>
      <c r="F27" s="26" t="n">
        <v>3.667</v>
      </c>
      <c r="G27" s="26">
        <f>D27*F27</f>
        <v/>
      </c>
      <c r="H27" s="25" t="inlineStr">
        <is>
          <t>Madera</t>
        </is>
      </c>
      <c r="I27" s="12" t="inlineStr">
        <is>
          <t>6 u por pallet</t>
        </is>
      </c>
      <c r="J27" s="25" t="inlineStr">
        <is>
          <t>Compra</t>
        </is>
      </c>
      <c r="K27" s="12" t="inlineStr">
        <is>
          <t>23 Embalaje</t>
        </is>
      </c>
      <c r="L27" s="12" t="n"/>
      <c r="M27" s="25" t="inlineStr">
        <is>
          <t>R</t>
        </is>
      </c>
      <c r="N27" s="25" t="n"/>
      <c r="O27" s="12" t="n"/>
    </row>
    <row r="28" outlineLevel="1">
      <c r="A28" s="25" t="n">
        <v>2</v>
      </c>
      <c r="B28" s="25" t="inlineStr">
        <is>
          <t>ABC70-E4</t>
        </is>
      </c>
      <c r="C28" s="12" t="inlineStr">
        <is>
          <t xml:space="preserve">        Film stretch (fracción del pallet)</t>
        </is>
      </c>
      <c r="D28" s="25" t="n">
        <v>0.0583</v>
      </c>
      <c r="E28" s="25" t="inlineStr">
        <is>
          <t>kg</t>
        </is>
      </c>
      <c r="F28" s="26" t="n">
        <v>1</v>
      </c>
      <c r="G28" s="26">
        <f>D28*F28</f>
        <v/>
      </c>
      <c r="H28" s="25" t="inlineStr">
        <is>
          <t>PE lineal 23 µm</t>
        </is>
      </c>
      <c r="I28" s="12" t="inlineStr">
        <is>
          <t>envolvedora EDOS PS5</t>
        </is>
      </c>
      <c r="J28" s="25" t="inlineStr">
        <is>
          <t>Compra</t>
        </is>
      </c>
      <c r="K28" s="12" t="inlineStr">
        <is>
          <t>24 Envolvedora (T11)</t>
        </is>
      </c>
      <c r="L28" s="12" t="n"/>
      <c r="M28" s="25" t="inlineStr">
        <is>
          <t>R</t>
        </is>
      </c>
      <c r="N28" s="25" t="n"/>
      <c r="O28" s="12" t="n"/>
    </row>
    <row r="29" outlineLevel="1">
      <c r="A29" s="25" t="n">
        <v>2</v>
      </c>
      <c r="B29" s="25" t="inlineStr">
        <is>
          <t>ABC70-E5</t>
        </is>
      </c>
      <c r="C29" s="12" t="inlineStr">
        <is>
          <t xml:space="preserve">        Etiqueta de pallet (lote y destino, fracción)</t>
        </is>
      </c>
      <c r="D29" s="25" t="n">
        <v>0.1667</v>
      </c>
      <c r="E29" s="25" t="inlineStr">
        <is>
          <t>u</t>
        </is>
      </c>
      <c r="F29" s="26" t="n">
        <v>0</v>
      </c>
      <c r="G29" s="26">
        <f>D29*F29</f>
        <v/>
      </c>
      <c r="H29" s="25" t="inlineStr">
        <is>
          <t>Papel térmico</t>
        </is>
      </c>
      <c r="I29" s="12" t="inlineStr">
        <is>
          <t>100 × 150</t>
        </is>
      </c>
      <c r="J29" s="25" t="inlineStr">
        <is>
          <t>Compra</t>
        </is>
      </c>
      <c r="K29" s="12" t="inlineStr">
        <is>
          <t>24 Envolvedora</t>
        </is>
      </c>
      <c r="L29" s="12" t="n"/>
      <c r="M29" s="25" t="inlineStr">
        <is>
          <t>R</t>
        </is>
      </c>
      <c r="N29" s="25" t="n"/>
      <c r="O29" s="12" t="n"/>
    </row>
  </sheetData>
  <autoFilter ref="A10:O29"/>
  <pageMargins left="0.75" right="0.75" top="1" bottom="1" header="0.5" footer="0.5"/>
  <pageSetup orientation="landscape" fitToHeight="0" fitToWidth="1"/>
</worksheet>
</file>

<file path=xl/worksheets/sheet31.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FL_REC_ABC_100kg</t>
        </is>
      </c>
    </row>
    <row r="2">
      <c r="A2" s="2" t="inlineStr">
        <is>
          <t>Cilindro (recipiente) ABC 100 kg rodante - repuesto vacío sin válvula</t>
        </is>
      </c>
    </row>
    <row r="3">
      <c r="A3" s="14" t="inlineStr">
        <is>
          <t>Plano de origen</t>
        </is>
      </c>
      <c r="C3" t="inlineStr">
        <is>
          <t>FL_REC_ABC_100kg  (recipiente para venta suelta)</t>
        </is>
      </c>
      <c r="E3" s="14" t="inlineStr">
        <is>
          <t>Peso vacío S1-S4 (kg)</t>
        </is>
      </c>
      <c r="G3" s="30">
        <f>G12</f>
        <v/>
      </c>
    </row>
    <row r="4">
      <c r="A4" s="14" t="inlineStr">
        <is>
          <t>Plano de despiece</t>
        </is>
      </c>
      <c r="C4" t="inlineStr">
        <is>
          <t>FL_DES_ABC_100kg (salida/despiece/)</t>
        </is>
      </c>
      <c r="E4" s="14" t="inlineStr">
        <is>
          <t>Peso cargado S1-S6 (kg)</t>
        </is>
      </c>
      <c r="G4" s="30">
        <f>G12</f>
        <v/>
      </c>
    </row>
    <row r="5">
      <c r="A5" s="14" t="inlineStr">
        <is>
          <t>Norma del producto</t>
        </is>
      </c>
      <c r="C5" t="inlineStr">
        <is>
          <t>IRAM 3550</t>
        </is>
      </c>
      <c r="E5" s="14" t="inlineStr">
        <is>
          <t>Peso con soporte y embalaje (kg)</t>
        </is>
      </c>
      <c r="G5" s="30">
        <f>G12+G25</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FL_REC_ABC_100kg</t>
        </is>
      </c>
      <c r="C11" s="20" t="inlineStr">
        <is>
          <t>Cilindro (recipiente) ABC 100 kg rodante - repuesto vacío sin válvula</t>
        </is>
      </c>
      <c r="D11" s="19" t="n">
        <v>1</v>
      </c>
      <c r="E11" s="19" t="inlineStr">
        <is>
          <t>u</t>
        </is>
      </c>
      <c r="F11" s="21" t="n"/>
      <c r="G11" s="21">
        <f>G5</f>
        <v/>
      </c>
      <c r="H11" s="19" t="n"/>
      <c r="I11" s="20" t="n"/>
      <c r="J11" s="19" t="n"/>
      <c r="K11" s="20" t="n"/>
      <c r="L11" s="20" t="inlineStr">
        <is>
          <t>IRAM 3550</t>
        </is>
      </c>
      <c r="M11" s="19" t="inlineStr">
        <is>
          <t>P</t>
        </is>
      </c>
      <c r="N11" s="19" t="inlineStr">
        <is>
          <t>FL_REC_ABC_100kg</t>
        </is>
      </c>
      <c r="O11" s="20" t="inlineStr">
        <is>
          <t>Fabricación propia</t>
        </is>
      </c>
    </row>
    <row r="12">
      <c r="A12" s="22" t="n">
        <v>1</v>
      </c>
      <c r="B12" s="22" t="inlineStr">
        <is>
          <t>ABC100-S1</t>
        </is>
      </c>
      <c r="C12" s="23" t="inlineStr">
        <is>
          <t xml:space="preserve">    Recipiente (cilindro)</t>
        </is>
      </c>
      <c r="D12" s="22" t="n">
        <v>1</v>
      </c>
      <c r="E12" s="22" t="inlineStr">
        <is>
          <t>u</t>
        </is>
      </c>
      <c r="F12" s="24" t="n"/>
      <c r="G12" s="24">
        <f>G13+G15+G16+G17+G19+G22+G23</f>
        <v/>
      </c>
      <c r="H12" s="22" t="n"/>
      <c r="I12" s="23" t="n"/>
      <c r="J12" s="22" t="inlineStr">
        <is>
          <t>Fabricación</t>
        </is>
      </c>
      <c r="K12" s="23" t="n"/>
      <c r="L12" s="23" t="inlineStr">
        <is>
          <t>IRAM 3523 / 3550 (recipiente)</t>
        </is>
      </c>
      <c r="M12" s="22" t="inlineStr">
        <is>
          <t>P</t>
        </is>
      </c>
      <c r="N12" s="22" t="inlineStr">
        <is>
          <t>FL_DES_ABC_100kg</t>
        </is>
      </c>
      <c r="O12" s="23" t="n"/>
    </row>
    <row r="13" outlineLevel="1">
      <c r="A13" s="25" t="n">
        <v>2</v>
      </c>
      <c r="B13" s="25" t="inlineStr">
        <is>
          <t>ABC100-01</t>
        </is>
      </c>
      <c r="C13" s="12" t="inlineStr">
        <is>
          <t xml:space="preserve">        Cuerpo (virola)</t>
        </is>
      </c>
      <c r="D13" s="25" t="n">
        <v>1</v>
      </c>
      <c r="E13" s="25" t="inlineStr">
        <is>
          <t>u</t>
        </is>
      </c>
      <c r="F13" s="26" t="n">
        <v>23.5073</v>
      </c>
      <c r="G13" s="26">
        <f>D13*F13</f>
        <v/>
      </c>
      <c r="H13" s="25" t="inlineStr">
        <is>
          <t>Chapa acero SAE 1010 e=3,2</t>
        </is>
      </c>
      <c r="I13" s="12" t="inlineStr">
        <is>
          <t>Ø390 × e3,2 × 770,1 de alto; desarrollo 1.215,2 × 770,1</t>
        </is>
      </c>
      <c r="J13" s="25" t="inlineStr">
        <is>
          <t>Fabricación</t>
        </is>
      </c>
      <c r="K13" s="12" t="inlineStr">
        <is>
          <t>1 Guillotina -&gt; C1 cilindrado -&gt; C2 punteo -&gt; C3 sold. long.</t>
        </is>
      </c>
      <c r="L13" s="12" t="n"/>
      <c r="M13" s="25" t="inlineStr">
        <is>
          <t>P</t>
        </is>
      </c>
      <c r="N13" s="25" t="inlineStr">
        <is>
          <t>FL_DES_ABC_100kg</t>
        </is>
      </c>
      <c r="O13" s="12" t="inlineStr">
        <is>
          <t>costura long. MIG</t>
        </is>
      </c>
    </row>
    <row r="14" outlineLevel="2">
      <c r="A14" s="27" t="n">
        <v>3</v>
      </c>
      <c r="B14" s="27" t="inlineStr">
        <is>
          <t>MP-HOJA</t>
        </is>
      </c>
      <c r="C14" s="28" t="inlineStr">
        <is>
          <t xml:space="preserve">            Recorte de hoja LAC 1500 × 3000 e=4,75</t>
        </is>
      </c>
      <c r="D14" s="27" t="n">
        <v>1</v>
      </c>
      <c r="E14" s="27" t="inlineStr">
        <is>
          <t>u</t>
        </is>
      </c>
      <c r="F14" s="29" t="n">
        <v>55.947</v>
      </c>
      <c r="G14" s="29">
        <f>D14*F14</f>
        <v/>
      </c>
      <c r="H14" s="27" t="inlineStr">
        <is>
          <t>Chapa SAE 1010 LAC</t>
        </is>
      </c>
      <c r="I14" s="28" t="inlineStr">
        <is>
          <t>900 × 1.212 (aprovech. 72,7 %)</t>
        </is>
      </c>
      <c r="J14" s="27" t="inlineStr">
        <is>
          <t>Compra (Pradecon)</t>
        </is>
      </c>
      <c r="K14" s="28" t="inlineStr">
        <is>
          <t>AL-1H paquetes de hojas</t>
        </is>
      </c>
      <c r="L14" s="28" t="n"/>
      <c r="M14" s="27" t="inlineStr">
        <is>
          <t>L</t>
        </is>
      </c>
      <c r="N14" s="27" t="inlineStr">
        <is>
          <t>FL_PI_04 h2</t>
        </is>
      </c>
      <c r="O14" s="28" t="inlineStr">
        <is>
          <t>OJO: la hoja de corte usa e=4,75 y el plano e=3,2</t>
        </is>
      </c>
    </row>
    <row r="15" outlineLevel="1">
      <c r="A15" s="25" t="n">
        <v>2</v>
      </c>
      <c r="B15" s="25" t="inlineStr">
        <is>
          <t>ABC100-02</t>
        </is>
      </c>
      <c r="C15" s="12" t="inlineStr">
        <is>
          <t xml:space="preserve">        Cúpula</t>
        </is>
      </c>
      <c r="D15" s="25" t="n">
        <v>1</v>
      </c>
      <c r="E15" s="25" t="inlineStr">
        <is>
          <t>u</t>
        </is>
      </c>
      <c r="F15" s="26" t="n">
        <v>4.3435</v>
      </c>
      <c r="G15" s="26">
        <f>D15*F15</f>
        <v/>
      </c>
      <c r="H15" s="25" t="inlineStr">
        <is>
          <t>Chapa acero SAE 1010 e=3,2</t>
        </is>
      </c>
      <c r="I15" s="12" t="inlineStr">
        <is>
          <t>Ø390 × e3,2 × 125,2 de alto; disco Ø483,3</t>
        </is>
      </c>
      <c r="J15" s="25" t="inlineStr">
        <is>
          <t>Compra</t>
        </is>
      </c>
      <c r="K15" s="12" t="inlineStr">
        <is>
          <t>Compra (casquetes de carros, rack RK1)</t>
        </is>
      </c>
      <c r="L15" s="12" t="n"/>
      <c r="M15" s="25" t="inlineStr">
        <is>
          <t>P</t>
        </is>
      </c>
      <c r="N15" s="25" t="inlineStr">
        <is>
          <t>FL_DES_ABC_100kg</t>
        </is>
      </c>
      <c r="O15" s="12" t="inlineStr">
        <is>
          <t>embutida</t>
        </is>
      </c>
    </row>
    <row r="16" outlineLevel="1">
      <c r="A16" s="25" t="n">
        <v>2</v>
      </c>
      <c r="B16" s="25" t="inlineStr">
        <is>
          <t>ABC100-03</t>
        </is>
      </c>
      <c r="C16" s="12" t="inlineStr">
        <is>
          <t xml:space="preserve">        Fondo</t>
        </is>
      </c>
      <c r="D16" s="25" t="n">
        <v>1</v>
      </c>
      <c r="E16" s="25" t="inlineStr">
        <is>
          <t>u</t>
        </is>
      </c>
      <c r="F16" s="26" t="n">
        <v>4.645</v>
      </c>
      <c r="G16" s="26">
        <f>D16*F16</f>
        <v/>
      </c>
      <c r="H16" s="25" t="inlineStr">
        <is>
          <t>Chapa acero SAE 1010 e=3,2</t>
        </is>
      </c>
      <c r="I16" s="12" t="inlineStr">
        <is>
          <t>Ø390 × e3,2 × 127,9 de alto; disco Ø499,8</t>
        </is>
      </c>
      <c r="J16" s="25" t="inlineStr">
        <is>
          <t>Compra</t>
        </is>
      </c>
      <c r="K16" s="12" t="inlineStr">
        <is>
          <t>Compra (casquetes de carros, rack RK1)</t>
        </is>
      </c>
      <c r="L16" s="12" t="n"/>
      <c r="M16" s="25" t="inlineStr">
        <is>
          <t>P</t>
        </is>
      </c>
      <c r="N16" s="25" t="inlineStr">
        <is>
          <t>FL_DES_ABC_100kg</t>
        </is>
      </c>
      <c r="O16" s="12" t="inlineStr">
        <is>
          <t>embutido</t>
        </is>
      </c>
    </row>
    <row r="17" outlineLevel="1">
      <c r="A17" s="25" t="n">
        <v>2</v>
      </c>
      <c r="B17" s="25" t="inlineStr">
        <is>
          <t>ABC100-04</t>
        </is>
      </c>
      <c r="C17" s="12" t="inlineStr">
        <is>
          <t xml:space="preserve">        Cuello roscado</t>
        </is>
      </c>
      <c r="D17" s="25" t="n">
        <v>1</v>
      </c>
      <c r="E17" s="25" t="inlineStr">
        <is>
          <t>u</t>
        </is>
      </c>
      <c r="F17" s="26" t="n">
        <v>0.6084000000000001</v>
      </c>
      <c r="G17" s="26">
        <f>D17*F17</f>
        <v/>
      </c>
      <c r="H17" s="25" t="inlineStr">
        <is>
          <t>Acero SAE 1010</t>
        </is>
      </c>
      <c r="I17" s="12" t="inlineStr">
        <is>
          <t>Ø88 × 37 de alto, rosca RBSP 2 1/2"-11 h, asiento Ø80</t>
        </is>
      </c>
      <c r="J17" s="25" t="inlineStr">
        <is>
          <t>Fabricación</t>
        </is>
      </c>
      <c r="K17" s="12" t="inlineStr">
        <is>
          <t>C2 punteo</t>
        </is>
      </c>
      <c r="L17" s="12" t="n"/>
      <c r="M17" s="25" t="inlineStr">
        <is>
          <t>P</t>
        </is>
      </c>
      <c r="N17" s="25" t="inlineStr">
        <is>
          <t>FL_DES_ABC_100kg</t>
        </is>
      </c>
      <c r="O17" s="12" t="inlineStr">
        <is>
          <t>RBSP 2 1/2"-11 h</t>
        </is>
      </c>
    </row>
    <row r="18" outlineLevel="2">
      <c r="A18" s="27" t="n">
        <v>3</v>
      </c>
      <c r="B18" s="27" t="inlineStr">
        <is>
          <t>MP-CUELLO</t>
        </is>
      </c>
      <c r="C18" s="28" t="inlineStr">
        <is>
          <t xml:space="preserve">            Cuello roscado mecanizado (pieza comprada lista para soldar)</t>
        </is>
      </c>
      <c r="D18" s="27" t="n">
        <v>1</v>
      </c>
      <c r="E18" s="27" t="inlineStr">
        <is>
          <t>u</t>
        </is>
      </c>
      <c r="F18" s="29" t="n">
        <v>0.608</v>
      </c>
      <c r="G18" s="29">
        <f>D18*F18</f>
        <v/>
      </c>
      <c r="H18" s="27" t="inlineStr">
        <is>
          <t>Acero SAE 1010 / 1020</t>
        </is>
      </c>
      <c r="I18" s="28" t="inlineStr">
        <is>
          <t>rosca RBSP 2 1/2"-11 h</t>
        </is>
      </c>
      <c r="J18" s="27" t="inlineStr">
        <is>
          <t>Compra (Eli-Met)</t>
        </is>
      </c>
      <c r="K18" s="28" t="inlineStr">
        <is>
          <t>AL-1C cuellos y roscas</t>
        </is>
      </c>
      <c r="L18" s="28" t="n"/>
      <c r="M18" s="27" t="inlineStr">
        <is>
          <t>L</t>
        </is>
      </c>
      <c r="N18" s="27" t="n"/>
      <c r="O18" s="28" t="n"/>
    </row>
    <row r="19" outlineLevel="1">
      <c r="A19" s="25" t="n">
        <v>2</v>
      </c>
      <c r="B19" s="25" t="inlineStr">
        <is>
          <t>ABC100-C1</t>
        </is>
      </c>
      <c r="C19" s="12" t="inlineStr">
        <is>
          <t xml:space="preserve">        Aporte de soldadura: Alambre MAG ER70S-6 Ø0,9/1,2</t>
        </is>
      </c>
      <c r="D19" s="25" t="n">
        <v>0.5256999999999999</v>
      </c>
      <c r="E19" s="25" t="inlineStr">
        <is>
          <t>kg</t>
        </is>
      </c>
      <c r="F19" s="26" t="n">
        <v>0.92</v>
      </c>
      <c r="G19" s="26">
        <f>D19*F19</f>
        <v/>
      </c>
      <c r="H19" s="25" t="inlineStr">
        <is>
          <t>Alambre MAG ER70S-6 Ø0,9/1,2</t>
        </is>
      </c>
      <c r="I19" s="12" t="inlineStr">
        <is>
          <t>cordones del plano: 484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ABC100-C2</t>
        </is>
      </c>
      <c r="C20" s="12" t="inlineStr">
        <is>
          <t xml:space="preserve">        Gas de protección: Arcal 21 (Ar + 18 % CO₂)</t>
        </is>
      </c>
      <c r="D20" s="25" t="n">
        <v>236.6</v>
      </c>
      <c r="E20" s="25" t="inlineStr">
        <is>
          <t>L</t>
        </is>
      </c>
      <c r="F20" s="26" t="n"/>
      <c r="G20" s="26" t="n"/>
      <c r="H20" s="25" t="inlineStr">
        <is>
          <t>Arcal 21 (Ar + 18 % CO₂)</t>
        </is>
      </c>
      <c r="I20" s="12" t="inlineStr">
        <is>
          <t>15,8 min de arco × 15 L/min</t>
        </is>
      </c>
      <c r="J20" s="25" t="inlineStr">
        <is>
          <t>Compra</t>
        </is>
      </c>
      <c r="K20" s="12" t="inlineStr">
        <is>
          <t>Colector SC</t>
        </is>
      </c>
      <c r="L20" s="12" t="n"/>
      <c r="M20" s="25" t="inlineStr">
        <is>
          <t>R</t>
        </is>
      </c>
      <c r="N20" s="25" t="n"/>
      <c r="O20" s="12" t="n"/>
    </row>
    <row r="21" outlineLevel="1">
      <c r="A21" s="25" t="n">
        <v>2</v>
      </c>
      <c r="B21" s="25" t="inlineStr">
        <is>
          <t>ABC100-C3</t>
        </is>
      </c>
      <c r="C21" s="12" t="inlineStr">
        <is>
          <t xml:space="preserve">        Granalla de acero (consumo)</t>
        </is>
      </c>
      <c r="D21" s="25" t="n">
        <v>0.103</v>
      </c>
      <c r="E21" s="25" t="inlineStr">
        <is>
          <t>kg</t>
        </is>
      </c>
      <c r="F21" s="26" t="n"/>
      <c r="G21" s="26" t="n"/>
      <c r="H21" s="25" t="inlineStr">
        <is>
          <t>Granalla S-230</t>
        </is>
      </c>
      <c r="I21" s="12" t="inlineStr">
        <is>
          <t>1,294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ABC100-C4</t>
        </is>
      </c>
      <c r="C22" s="12" t="inlineStr">
        <is>
          <t xml:space="preserve">        Pintura en polvo poliéster rojo</t>
        </is>
      </c>
      <c r="D22" s="25" t="n">
        <v>0.239</v>
      </c>
      <c r="E22" s="25" t="inlineStr">
        <is>
          <t>kg</t>
        </is>
      </c>
      <c r="F22" s="26" t="n">
        <v>0.65</v>
      </c>
      <c r="G22" s="26">
        <f>D22*F22</f>
        <v/>
      </c>
      <c r="H22" s="25" t="inlineStr">
        <is>
          <t>Poliéster rojo 03-1-050</t>
        </is>
      </c>
      <c r="I22" s="12" t="inlineStr">
        <is>
          <t>1,294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outlineLevel="1">
      <c r="A23" s="25" t="n">
        <v>2</v>
      </c>
      <c r="B23" s="25" t="inlineStr">
        <is>
          <t>ABC100-T1</t>
        </is>
      </c>
      <c r="C23" s="12" t="inlineStr">
        <is>
          <t xml:space="preserve">        Tapón protector de rosca del cuello</t>
        </is>
      </c>
      <c r="D23" s="25" t="n">
        <v>1</v>
      </c>
      <c r="E23" s="25" t="inlineStr">
        <is>
          <t>u</t>
        </is>
      </c>
      <c r="F23" s="26" t="n">
        <v>0.005</v>
      </c>
      <c r="G23" s="26">
        <f>D23*F23</f>
        <v/>
      </c>
      <c r="H23" s="25" t="inlineStr">
        <is>
          <t>Polietileno</t>
        </is>
      </c>
      <c r="I23" s="12" t="inlineStr">
        <is>
          <t>para rosca RBSP 2 1/2"-11 h</t>
        </is>
      </c>
      <c r="J23" s="25" t="inlineStr">
        <is>
          <t>Compra</t>
        </is>
      </c>
      <c r="K23" s="12" t="inlineStr">
        <is>
          <t>Embalaje</t>
        </is>
      </c>
      <c r="L23" s="12" t="n"/>
      <c r="M23" s="25" t="inlineStr">
        <is>
          <t>R</t>
        </is>
      </c>
      <c r="N23" s="25" t="n"/>
      <c r="O23" s="12" t="n"/>
    </row>
    <row r="24" outlineLevel="1">
      <c r="A24" s="25" t="n">
        <v>2</v>
      </c>
      <c r="B24" s="25" t="inlineStr">
        <is>
          <t>ABC100-T2</t>
        </is>
      </c>
      <c r="C24" s="12" t="inlineStr">
        <is>
          <t xml:space="preserve">        Marcado del recipiente (estampado)</t>
        </is>
      </c>
      <c r="D24" s="25" t="n">
        <v>1</v>
      </c>
      <c r="E24" s="25" t="inlineStr">
        <is>
          <t>u</t>
        </is>
      </c>
      <c r="F24" s="26" t="n"/>
      <c r="G24" s="26" t="n"/>
      <c r="H24" s="25" t="inlineStr">
        <is>
          <t>-</t>
        </is>
      </c>
      <c r="I24" s="12" t="inlineStr">
        <is>
          <t>N° de serie, año, presión de prueba, norma</t>
        </is>
      </c>
      <c r="J24" s="25" t="inlineStr">
        <is>
          <t>Proceso</t>
        </is>
      </c>
      <c r="K24" s="12" t="inlineStr">
        <is>
          <t>Marcado</t>
        </is>
      </c>
      <c r="L24" s="12" t="inlineStr">
        <is>
          <t>IRAM 3523 (marcado)</t>
        </is>
      </c>
      <c r="M24" s="25" t="inlineStr">
        <is>
          <t>R</t>
        </is>
      </c>
      <c r="N24" s="25" t="n"/>
      <c r="O24" s="12" t="n"/>
    </row>
    <row r="25">
      <c r="A25" s="22" t="n">
        <v>1</v>
      </c>
      <c r="B25" s="22" t="inlineStr">
        <is>
          <t>ABC100-S7</t>
        </is>
      </c>
      <c r="C25" s="23" t="inlineStr">
        <is>
          <t xml:space="preserve">    Embalaje</t>
        </is>
      </c>
      <c r="D25" s="22" t="n">
        <v>1</v>
      </c>
      <c r="E25" s="22" t="inlineStr">
        <is>
          <t>u</t>
        </is>
      </c>
      <c r="F25" s="24" t="n"/>
      <c r="G25" s="24">
        <f>G26+G27+G28+G29</f>
        <v/>
      </c>
      <c r="H25" s="22" t="n"/>
      <c r="I25" s="23" t="n"/>
      <c r="J25" s="22" t="inlineStr">
        <is>
          <t>Compra</t>
        </is>
      </c>
      <c r="K25" s="23" t="inlineStr">
        <is>
          <t>23 Embalaje -&gt; 24 envolvedora (T11)</t>
        </is>
      </c>
      <c r="L25" s="23" t="n"/>
      <c r="M25" s="22" t="n"/>
      <c r="N25" s="22" t="n"/>
      <c r="O25" s="23" t="n"/>
    </row>
    <row r="26" outlineLevel="1">
      <c r="A26" s="25" t="n">
        <v>2</v>
      </c>
      <c r="B26" s="25" t="inlineStr">
        <is>
          <t>ABC100-E1</t>
        </is>
      </c>
      <c r="C26" s="12" t="inlineStr">
        <is>
          <t xml:space="preserve">        Esquineros y funda de polietileno</t>
        </is>
      </c>
      <c r="D26" s="25" t="n">
        <v>1</v>
      </c>
      <c r="E26" s="25" t="inlineStr">
        <is>
          <t>jgo</t>
        </is>
      </c>
      <c r="F26" s="26" t="n">
        <v>0.3</v>
      </c>
      <c r="G26" s="26">
        <f>D26*F26</f>
        <v/>
      </c>
      <c r="H26" s="25" t="inlineStr">
        <is>
          <t>PE / cartón</t>
        </is>
      </c>
      <c r="I26" s="12" t="inlineStr">
        <is>
          <t>a medida</t>
        </is>
      </c>
      <c r="J26" s="25" t="inlineStr">
        <is>
          <t>Compra</t>
        </is>
      </c>
      <c r="K26" s="12" t="inlineStr">
        <is>
          <t>23 Embalaje</t>
        </is>
      </c>
      <c r="L26" s="12" t="n"/>
      <c r="M26" s="25" t="inlineStr">
        <is>
          <t>R</t>
        </is>
      </c>
      <c r="N26" s="25" t="n"/>
      <c r="O26" s="12" t="n"/>
    </row>
    <row r="27" outlineLevel="1">
      <c r="A27" s="25" t="n">
        <v>2</v>
      </c>
      <c r="B27" s="25" t="inlineStr">
        <is>
          <t>ABC100-E3</t>
        </is>
      </c>
      <c r="C27" s="12" t="inlineStr">
        <is>
          <t xml:space="preserve">        Pallet 1200 × 1000 (fracción)</t>
        </is>
      </c>
      <c r="D27" s="25" t="n">
        <v>0.1667</v>
      </c>
      <c r="E27" s="25" t="inlineStr">
        <is>
          <t>u</t>
        </is>
      </c>
      <c r="F27" s="26" t="n">
        <v>3.667</v>
      </c>
      <c r="G27" s="26">
        <f>D27*F27</f>
        <v/>
      </c>
      <c r="H27" s="25" t="inlineStr">
        <is>
          <t>Madera</t>
        </is>
      </c>
      <c r="I27" s="12" t="inlineStr">
        <is>
          <t>6 u por pallet</t>
        </is>
      </c>
      <c r="J27" s="25" t="inlineStr">
        <is>
          <t>Compra</t>
        </is>
      </c>
      <c r="K27" s="12" t="inlineStr">
        <is>
          <t>23 Embalaje</t>
        </is>
      </c>
      <c r="L27" s="12" t="n"/>
      <c r="M27" s="25" t="inlineStr">
        <is>
          <t>R</t>
        </is>
      </c>
      <c r="N27" s="25" t="n"/>
      <c r="O27" s="12" t="n"/>
    </row>
    <row r="28" outlineLevel="1">
      <c r="A28" s="25" t="n">
        <v>2</v>
      </c>
      <c r="B28" s="25" t="inlineStr">
        <is>
          <t>ABC100-E4</t>
        </is>
      </c>
      <c r="C28" s="12" t="inlineStr">
        <is>
          <t xml:space="preserve">        Film stretch (fracción del pallet)</t>
        </is>
      </c>
      <c r="D28" s="25" t="n">
        <v>0.0583</v>
      </c>
      <c r="E28" s="25" t="inlineStr">
        <is>
          <t>kg</t>
        </is>
      </c>
      <c r="F28" s="26" t="n">
        <v>1</v>
      </c>
      <c r="G28" s="26">
        <f>D28*F28</f>
        <v/>
      </c>
      <c r="H28" s="25" t="inlineStr">
        <is>
          <t>PE lineal 23 µm</t>
        </is>
      </c>
      <c r="I28" s="12" t="inlineStr">
        <is>
          <t>envolvedora EDOS PS5</t>
        </is>
      </c>
      <c r="J28" s="25" t="inlineStr">
        <is>
          <t>Compra</t>
        </is>
      </c>
      <c r="K28" s="12" t="inlineStr">
        <is>
          <t>24 Envolvedora (T11)</t>
        </is>
      </c>
      <c r="L28" s="12" t="n"/>
      <c r="M28" s="25" t="inlineStr">
        <is>
          <t>R</t>
        </is>
      </c>
      <c r="N28" s="25" t="n"/>
      <c r="O28" s="12" t="n"/>
    </row>
    <row r="29" outlineLevel="1">
      <c r="A29" s="25" t="n">
        <v>2</v>
      </c>
      <c r="B29" s="25" t="inlineStr">
        <is>
          <t>ABC100-E5</t>
        </is>
      </c>
      <c r="C29" s="12" t="inlineStr">
        <is>
          <t xml:space="preserve">        Etiqueta de pallet (lote y destino, fracción)</t>
        </is>
      </c>
      <c r="D29" s="25" t="n">
        <v>0.1667</v>
      </c>
      <c r="E29" s="25" t="inlineStr">
        <is>
          <t>u</t>
        </is>
      </c>
      <c r="F29" s="26" t="n">
        <v>0</v>
      </c>
      <c r="G29" s="26">
        <f>D29*F29</f>
        <v/>
      </c>
      <c r="H29" s="25" t="inlineStr">
        <is>
          <t>Papel térmico</t>
        </is>
      </c>
      <c r="I29" s="12" t="inlineStr">
        <is>
          <t>100 × 150</t>
        </is>
      </c>
      <c r="J29" s="25" t="inlineStr">
        <is>
          <t>Compra</t>
        </is>
      </c>
      <c r="K29" s="12" t="inlineStr">
        <is>
          <t>24 Envolvedora</t>
        </is>
      </c>
      <c r="L29" s="12" t="n"/>
      <c r="M29" s="25" t="inlineStr">
        <is>
          <t>R</t>
        </is>
      </c>
      <c r="N29" s="25" t="n"/>
      <c r="O29" s="12" t="n"/>
    </row>
  </sheetData>
  <autoFilter ref="A10:O29"/>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11" t="inlineStr">
        <is>
          <t>Validación contra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4" t="inlineStr">
        <is>
          <t>Plano</t>
        </is>
      </c>
      <c r="B4" s="4" t="inlineStr">
        <is>
          <t>Referencia</t>
        </is>
      </c>
      <c r="C4" s="4" t="inlineStr">
        <is>
          <t>Peso cargado (kg)</t>
        </is>
      </c>
      <c r="D4" s="4" t="inlineStr">
        <is>
          <t>Fuente</t>
        </is>
      </c>
      <c r="E4" s="4" t="inlineStr">
        <is>
          <t>FLAMA modelo (kg)</t>
        </is>
      </c>
      <c r="F4" s="4" t="inlineStr">
        <is>
          <t>Diferencia</t>
        </is>
      </c>
    </row>
    <row r="5">
      <c r="A5" s="5" t="inlineStr">
        <is>
          <t>FL_MAT_ABC_1kg</t>
        </is>
      </c>
      <c r="B5" s="5" t="inlineStr">
        <is>
          <t>Georgia ABC 60 1 kg Ø3" (330 × 76)</t>
        </is>
      </c>
      <c r="C5" s="5" t="n">
        <v>1.82</v>
      </c>
      <c r="D5" s="5" t="inlineStr">
        <is>
          <t>Ficha técnica Georgia</t>
        </is>
      </c>
      <c r="E5" s="6">
        <f>'FL_MAT_ABC_1kg'!G4</f>
        <v/>
      </c>
      <c r="F5" s="7">
        <f>E5/C5-1</f>
        <v/>
      </c>
    </row>
    <row r="6">
      <c r="A6" s="5" t="inlineStr">
        <is>
          <t>FL_MAT_ABC_1kg</t>
        </is>
      </c>
      <c r="B6" s="5" t="inlineStr">
        <is>
          <t>Fadesa 1 kg Ø3 (340 × 92)</t>
        </is>
      </c>
      <c r="C6" s="5" t="n">
        <v>1.9</v>
      </c>
      <c r="D6" s="5" t="inlineStr">
        <is>
          <t>Catálogo Fadesa pág. 4</t>
        </is>
      </c>
      <c r="E6" s="6">
        <f>'FL_MAT_ABC_1kg'!G4</f>
        <v/>
      </c>
      <c r="F6" s="7">
        <f>E6/C6-1</f>
        <v/>
      </c>
    </row>
    <row r="7">
      <c r="A7" s="5" t="inlineStr">
        <is>
          <t>FL_MAT_ABC_2.5kg</t>
        </is>
      </c>
      <c r="B7" s="5" t="inlineStr">
        <is>
          <t>Georgia ABC 60 2,5 kg (380 × 230 × 135)</t>
        </is>
      </c>
      <c r="C7" s="5" t="n">
        <v>5.2</v>
      </c>
      <c r="D7" s="5" t="inlineStr">
        <is>
          <t>Ficha técnica Georgia</t>
        </is>
      </c>
      <c r="E7" s="6">
        <f>'FL_MAT_ABC_2.5kg'!G4</f>
        <v/>
      </c>
      <c r="F7" s="7">
        <f>E7/C7-1</f>
        <v/>
      </c>
    </row>
    <row r="8">
      <c r="A8" s="5" t="inlineStr">
        <is>
          <t>FL_MAT_ABC_2.5kg</t>
        </is>
      </c>
      <c r="B8" s="5" t="inlineStr">
        <is>
          <t>Melisam ABC 2,5 kg (435 × 217 × 125)</t>
        </is>
      </c>
      <c r="C8" s="5" t="n">
        <v>5.1</v>
      </c>
      <c r="D8" s="5" t="inlineStr">
        <is>
          <t>Ficha técnica Melisam</t>
        </is>
      </c>
      <c r="E8" s="6">
        <f>'FL_MAT_ABC_2.5kg'!G4</f>
        <v/>
      </c>
      <c r="F8" s="7">
        <f>E8/C8-1</f>
        <v/>
      </c>
    </row>
    <row r="9">
      <c r="A9" s="5" t="inlineStr">
        <is>
          <t>FL_MAT_ABC_5kg</t>
        </is>
      </c>
      <c r="B9" s="5" t="inlineStr">
        <is>
          <t>Georgia ABC 90 5 kg (480 × 240 × 175)</t>
        </is>
      </c>
      <c r="C9" s="5" t="n">
        <v>8.9</v>
      </c>
      <c r="D9" s="5" t="inlineStr">
        <is>
          <t>Ficha técnica Georgia</t>
        </is>
      </c>
      <c r="E9" s="6">
        <f>'FL_MAT_ABC_5kg'!G4</f>
        <v/>
      </c>
      <c r="F9" s="7">
        <f>E9/C9-1</f>
        <v/>
      </c>
    </row>
    <row r="10">
      <c r="A10" s="5" t="inlineStr">
        <is>
          <t>FL_MAT_ABC_5kg</t>
        </is>
      </c>
      <c r="B10" s="5" t="inlineStr">
        <is>
          <t>Melisam ABC 5 kg (466 × 245 × 159)</t>
        </is>
      </c>
      <c r="C10" s="5" t="n">
        <v>8.449999999999999</v>
      </c>
      <c r="D10" s="5" t="inlineStr">
        <is>
          <t>Ficha técnica Melisam</t>
        </is>
      </c>
      <c r="E10" s="6">
        <f>'FL_MAT_ABC_5kg'!G4</f>
        <v/>
      </c>
      <c r="F10" s="7">
        <f>E10/C10-1</f>
        <v/>
      </c>
    </row>
    <row r="11">
      <c r="A11" s="5" t="inlineStr">
        <is>
          <t>FL_MAT_ABC_10kg</t>
        </is>
      </c>
      <c r="B11" s="5" t="inlineStr">
        <is>
          <t>Georgia ABC 90 10 kg (690 × 250 × 175)</t>
        </is>
      </c>
      <c r="C11" s="5" t="n">
        <v>16.3</v>
      </c>
      <c r="D11" s="5" t="inlineStr">
        <is>
          <t>Ficha técnica Georgia</t>
        </is>
      </c>
      <c r="E11" s="6">
        <f>'FL_MAT_ABC_10kg'!G4</f>
        <v/>
      </c>
      <c r="F11" s="7">
        <f>E11/C11-1</f>
        <v/>
      </c>
    </row>
    <row r="12">
      <c r="A12" s="5" t="inlineStr">
        <is>
          <t>FL_MAT_ABC_10kg</t>
        </is>
      </c>
      <c r="B12" s="5" t="inlineStr">
        <is>
          <t>Melisam ABC 10 kg (630 × 255 × 179)</t>
        </is>
      </c>
      <c r="C12" s="5" t="n">
        <v>15.5</v>
      </c>
      <c r="D12" s="5" t="inlineStr">
        <is>
          <t>Ficha técnica Melisam</t>
        </is>
      </c>
      <c r="E12" s="6">
        <f>'FL_MAT_ABC_10kg'!G4</f>
        <v/>
      </c>
      <c r="F12" s="7">
        <f>E12/C12-1</f>
        <v/>
      </c>
    </row>
    <row r="13">
      <c r="A13" s="5" t="inlineStr">
        <is>
          <t>FL_MAT_ABC_25kg</t>
        </is>
      </c>
      <c r="B13" s="5" t="inlineStr">
        <is>
          <t>Georgia ABC 90 25 kg</t>
        </is>
      </c>
      <c r="C13" s="5" t="n">
        <v>55</v>
      </c>
      <c r="D13" s="5" t="inlineStr">
        <is>
          <t>Ficha técnica Georgia</t>
        </is>
      </c>
      <c r="E13" s="6">
        <f>'FL_MAT_ABC_25kg'!G4</f>
        <v/>
      </c>
      <c r="F13" s="7">
        <f>E13/C13-1</f>
        <v/>
      </c>
    </row>
    <row r="14">
      <c r="A14" s="5" t="inlineStr">
        <is>
          <t>FL_MAT_ABC_50kg</t>
        </is>
      </c>
      <c r="B14" s="5" t="inlineStr">
        <is>
          <t>Georgia ABC 90 50 kg</t>
        </is>
      </c>
      <c r="C14" s="5" t="n">
        <v>100</v>
      </c>
      <c r="D14" s="5" t="inlineStr">
        <is>
          <t>Ficha técnica Georgia</t>
        </is>
      </c>
      <c r="E14" s="6">
        <f>'FL_MAT_ABC_50kg'!G4</f>
        <v/>
      </c>
      <c r="F14" s="7">
        <f>E14/C14-1</f>
        <v/>
      </c>
    </row>
    <row r="15">
      <c r="A15" s="5" t="inlineStr">
        <is>
          <t>FL_MAT_ABC_70kg</t>
        </is>
      </c>
      <c r="B15" s="5" t="inlineStr">
        <is>
          <t>Georgia ABC 90 70 kg</t>
        </is>
      </c>
      <c r="C15" s="5" t="n">
        <v>140</v>
      </c>
      <c r="D15" s="5" t="inlineStr">
        <is>
          <t>Ficha técnica Georgia</t>
        </is>
      </c>
      <c r="E15" s="6">
        <f>'FL_MAT_ABC_70kg'!G4</f>
        <v/>
      </c>
      <c r="F15" s="7">
        <f>E15/C15-1</f>
        <v/>
      </c>
    </row>
    <row r="16">
      <c r="A16" s="5" t="inlineStr">
        <is>
          <t>FL_MAT_ABC_100kg</t>
        </is>
      </c>
      <c r="B16" s="5" t="inlineStr">
        <is>
          <t>Georgia ABC 90 100 kg</t>
        </is>
      </c>
      <c r="C16" s="5" t="n">
        <v>185</v>
      </c>
      <c r="D16" s="5" t="inlineStr">
        <is>
          <t>Ficha técnica Georgia</t>
        </is>
      </c>
      <c r="E16" s="6">
        <f>'FL_MAT_ABC_100kg'!G4</f>
        <v/>
      </c>
      <c r="F16" s="7">
        <f>E16/C16-1</f>
        <v/>
      </c>
    </row>
    <row r="17">
      <c r="A17" s="5" t="inlineStr">
        <is>
          <t>FL_MAT_SALESK_6l</t>
        </is>
      </c>
      <c r="B17" s="5" t="inlineStr">
        <is>
          <t>Melisam acetato 6 L inox (450 × 235 × 179)</t>
        </is>
      </c>
      <c r="C17" s="5" t="n">
        <v>9.5</v>
      </c>
      <c r="D17" s="5" t="inlineStr">
        <is>
          <t>Ficha técnica Melisam</t>
        </is>
      </c>
      <c r="E17" s="6">
        <f>'FL_MAT_SALESK_6l'!G4</f>
        <v/>
      </c>
      <c r="F17" s="7">
        <f>E17/C17-1</f>
        <v/>
      </c>
    </row>
    <row r="18">
      <c r="A18" s="5" t="inlineStr">
        <is>
          <t>FL_MAT_SALESK_6l</t>
        </is>
      </c>
      <c r="B18" s="5" t="inlineStr">
        <is>
          <t>Georgia/Fadesa acetato 6 L (dato inconsistente con 1,30 g/ml)</t>
        </is>
      </c>
      <c r="C18" s="5" t="n">
        <v>8.25</v>
      </c>
      <c r="D18" s="5" t="inlineStr">
        <is>
          <t>Ficha Georgia / catálogo Fadesa</t>
        </is>
      </c>
      <c r="E18" s="6">
        <f>'FL_MAT_SALESK_6l'!G4</f>
        <v/>
      </c>
      <c r="F18" s="7">
        <f>E18/C18-1</f>
        <v/>
      </c>
    </row>
    <row r="19">
      <c r="A19" s="5" t="inlineStr">
        <is>
          <t>FL_MAT_CLASED_9l</t>
        </is>
      </c>
      <c r="B19" s="5" t="inlineStr">
        <is>
          <t>Georgia clase D 5 kg (480 × 225 × 153)</t>
        </is>
      </c>
      <c r="C19" s="5" t="n">
        <v>8.5</v>
      </c>
      <c r="D19" s="5" t="inlineStr">
        <is>
          <t>Ficha técnica Georgia (otra capacidad)</t>
        </is>
      </c>
      <c r="E19" s="6">
        <f>'FL_MAT_CLASED_9l'!G4</f>
        <v/>
      </c>
      <c r="F19" s="7">
        <f>E19/C19-1</f>
        <v/>
      </c>
    </row>
  </sheetData>
  <mergeCells count="1">
    <mergeCell ref="A2:F2"/>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11" t="inlineStr">
        <is>
          <t>Fuentes y jerarquía: 1 norma IRAM &gt; 2 certificado IRAM y ficha del fabricante certificado local &gt; 3 catálogo &gt; 4 HDS internacional (las HDS aclaran que sus valores NO son especificación del producto)</t>
        </is>
      </c>
    </row>
    <row r="3" ht="20" customHeight="1">
      <c r="A3" s="4" t="inlineStr">
        <is>
          <t>Id</t>
        </is>
      </c>
      <c r="B3" s="4" t="inlineStr">
        <is>
          <t>Documento</t>
        </is>
      </c>
      <c r="C3" s="4" t="inlineStr">
        <is>
          <t>Tipo</t>
        </is>
      </c>
      <c r="D3" s="4" t="inlineStr">
        <is>
          <t>Confianza</t>
        </is>
      </c>
      <c r="E3" s="4" t="inlineStr">
        <is>
          <t>Datos que aporta</t>
        </is>
      </c>
    </row>
    <row r="4">
      <c r="A4" s="12" t="inlineStr">
        <is>
          <t>N1</t>
        </is>
      </c>
      <c r="B4" s="12" t="inlineStr">
        <is>
          <t>IRAM 3517-2:2020</t>
        </is>
      </c>
      <c r="C4" s="12" t="inlineStr">
        <is>
          <t>Norma IRAM (licencia)</t>
        </is>
      </c>
      <c r="D4" s="12" t="inlineStr">
        <is>
          <t>1 - manda</t>
        </is>
      </c>
      <c r="E4" s="12" t="inlineStr">
        <is>
          <t>Tabla 2 gas impulsor; tabla 3 tolerancia de carga; 9.4.13 precinto; 9.9.1 agentes; 4.4.1 recuperación</t>
        </is>
      </c>
    </row>
    <row r="5">
      <c r="A5" s="12" t="inlineStr">
        <is>
          <t>N2</t>
        </is>
      </c>
      <c r="B5" s="12" t="inlineStr">
        <is>
          <t>IRAM 3523 (polvo bajo presión manuales)</t>
        </is>
      </c>
      <c r="C5" s="12" t="inlineStr">
        <is>
          <t>Norma IRAM</t>
        </is>
      </c>
      <c r="D5" s="12" t="inlineStr">
        <is>
          <t>1 - manda</t>
        </is>
      </c>
      <c r="E5" s="12" t="inlineStr">
        <is>
          <t>2.2 capacidad = masa de polvo; 2.3 Ps a 20 °C; 3.10 N₂ seco; 4.6 tabla II tolerancia; 4.7 Ps &lt; 1,7 MPa</t>
        </is>
      </c>
    </row>
    <row r="6">
      <c r="A6" s="12" t="inlineStr">
        <is>
          <t>N3</t>
        </is>
      </c>
      <c r="B6" s="12" t="inlineStr">
        <is>
          <t>IRAM 3569 / 3566 / 3697 / 3515 / 3526-1 (normas de AGENTE)</t>
        </is>
      </c>
      <c r="C6" s="12" t="inlineStr">
        <is>
          <t>Norma IRAM</t>
        </is>
      </c>
      <c r="D6" s="12" t="inlineStr">
        <is>
          <t>1 - FALTA</t>
        </is>
      </c>
      <c r="E6" s="12" t="inlineStr">
        <is>
          <t>Requisitos y ensayos del agente: pedir</t>
        </is>
      </c>
    </row>
    <row r="7">
      <c r="A7" s="12" t="inlineStr">
        <is>
          <t>L1</t>
        </is>
      </c>
      <c r="B7" s="12" t="inlineStr">
        <is>
          <t>Licencia IRAM 3523 Drago/Norbco (Luis Pasquinelli e Hijos SA), anexo I 2008</t>
        </is>
      </c>
      <c r="C7" s="12" t="inlineStr">
        <is>
          <t>Certificado IRAM</t>
        </is>
      </c>
      <c r="D7" s="12" t="inlineStr">
        <is>
          <t>2</t>
        </is>
      </c>
      <c r="E7" s="12" t="inlineStr">
        <is>
          <t>Potencial por grado: 1 kg DEM-60 1A-5B; 5 kg DEM-60 6A-40B / DEM-90 10A-40B; 10 kg DEM-60 6A-60B / DEM-90 10A-60B</t>
        </is>
      </c>
    </row>
    <row r="8">
      <c r="A8" s="12" t="inlineStr">
        <is>
          <t>L2</t>
        </is>
      </c>
      <c r="B8" s="12" t="inlineStr">
        <is>
          <t>Licencia IRAM 3694 Drago y Georgia/Fadesa</t>
        </is>
      </c>
      <c r="C8" s="12" t="inlineStr">
        <is>
          <t>Certificado IRAM</t>
        </is>
      </c>
      <c r="D8" s="12" t="inlineStr">
        <is>
          <t>2</t>
        </is>
      </c>
      <c r="E8" s="12" t="inlineStr">
        <is>
          <t>Agente clase K certificado: DEMSA KITCHEN (DEM S.A.) o Cookingwater (Quimex); 6 y 10 L; 1A-K</t>
        </is>
      </c>
    </row>
    <row r="9">
      <c r="A9" s="12" t="inlineStr">
        <is>
          <t>L3</t>
        </is>
      </c>
      <c r="B9" s="12" t="inlineStr">
        <is>
          <t>Licencia IRAM 3527 Drago 10 L</t>
        </is>
      </c>
      <c r="C9" s="12" t="inlineStr">
        <is>
          <t>Certificado IRAM</t>
        </is>
      </c>
      <c r="D9" s="12" t="inlineStr">
        <is>
          <t>2</t>
        </is>
      </c>
      <c r="E9" s="12" t="inlineStr">
        <is>
          <t>AFFF marca DEM S.A.; recipiente aluminio; 3A-10B</t>
        </is>
      </c>
    </row>
    <row r="10">
      <c r="A10" s="12" t="inlineStr">
        <is>
          <t>A1</t>
        </is>
      </c>
      <c r="B10" s="12" t="inlineStr">
        <is>
          <t>DEMSA ABC 40 / 55 / 55 Premium / 90 - hojas técnicas</t>
        </is>
      </c>
      <c r="C10" s="12" t="inlineStr">
        <is>
          <t>Fabricante argentino del agente (Sello IRAM 3569, BVQI)</t>
        </is>
      </c>
      <c r="D10" s="12" t="inlineStr">
        <is>
          <t>2</t>
        </is>
      </c>
      <c r="E10" s="12" t="inlineStr">
        <is>
          <t>MAP 40 / 55 (55,9-64,3 Premium) / 90 %; granulometría, repelencia ≥ 90-97, humedad ≤ 0,25</t>
        </is>
      </c>
    </row>
    <row r="11">
      <c r="A11" s="12" t="inlineStr">
        <is>
          <t>A2</t>
        </is>
      </c>
      <c r="B11" s="12" t="inlineStr">
        <is>
          <t>DEMSA hoja de seguridad ABC</t>
        </is>
      </c>
      <c r="C11" s="12" t="inlineStr">
        <is>
          <t>Fabricante argentino</t>
        </is>
      </c>
      <c r="D11" s="12" t="inlineStr">
        <is>
          <t>2</t>
        </is>
      </c>
      <c r="E11" s="12" t="inlineStr">
        <is>
          <t>MAP 40-90 %, sulfato de amonio 5-55 %; densidad aparente &gt; 0,85; pH 6-7,5</t>
        </is>
      </c>
    </row>
    <row r="12">
      <c r="A12" s="12" t="inlineStr">
        <is>
          <t>A3</t>
        </is>
      </c>
      <c r="B12" s="12" t="inlineStr">
        <is>
          <t>DEMSA catálogo</t>
        </is>
      </c>
      <c r="C12" s="12" t="inlineStr">
        <is>
          <t>Fabricante argentino</t>
        </is>
      </c>
      <c r="D12" s="12" t="inlineStr">
        <is>
          <t>2</t>
        </is>
      </c>
      <c r="E12" s="12" t="inlineStr">
        <is>
          <t>Especificación IRAM por grado: ABC 55 52,25-57,75 %; ABC 90 85,5-94,5 %; BC 85,5-94,5 %; AFFF 3 % 1,025</t>
        </is>
      </c>
    </row>
    <row r="13">
      <c r="A13" s="12" t="inlineStr">
        <is>
          <t>A4</t>
        </is>
      </c>
      <c r="B13" s="12" t="inlineStr">
        <is>
          <t>DEMSA BC STD / Púrpura K (IRAM 3566), clase D, Kitchen (IRAM 3697), AFFF 203 MN (IRAM 3515)</t>
        </is>
      </c>
      <c r="C13" s="12" t="inlineStr">
        <is>
          <t>Fabricante argentino</t>
        </is>
      </c>
      <c r="D13" s="12" t="inlineStr">
        <is>
          <t>2</t>
        </is>
      </c>
      <c r="E13" s="12" t="inlineStr">
        <is>
          <t>NaHCO₃ ≥ 85,5 %; KHCO₃ 92 ± 5 %; NaCl &gt; 90 %; Kitchen 1,300 g/ml pH 8,5</t>
        </is>
      </c>
    </row>
    <row r="14">
      <c r="A14" s="12" t="inlineStr">
        <is>
          <t>F1</t>
        </is>
      </c>
      <c r="B14" s="12" t="inlineStr">
        <is>
          <t>Georgia fichas técnicas ABC 60 (1; 2,5 kg), ABC 90 (5 a 100 kg), clase D, acetato</t>
        </is>
      </c>
      <c r="C14" s="12" t="inlineStr">
        <is>
          <t>Fabricante argentino del extintor</t>
        </is>
      </c>
      <c r="D14" s="12" t="inlineStr">
        <is>
          <t>3</t>
        </is>
      </c>
      <c r="E14" s="12" t="inlineStr">
        <is>
          <t>Pesos, medidas, potencial, gas (N₂ seco)</t>
        </is>
      </c>
    </row>
    <row r="15">
      <c r="A15" s="12" t="inlineStr">
        <is>
          <t>F2</t>
        </is>
      </c>
      <c r="B15" s="12" t="inlineStr">
        <is>
          <t>Melisam fichas ABC, HFC 236fa, acetato</t>
        </is>
      </c>
      <c r="C15" s="12" t="inlineStr">
        <is>
          <t>Fabricante argentino del extintor</t>
        </is>
      </c>
      <c r="D15" s="12" t="inlineStr">
        <is>
          <t>3</t>
        </is>
      </c>
      <c r="E15" s="12" t="inlineStr">
        <is>
          <t>Pesos y medidas; acetato 6 L 9,5 kg (coherente con 1,30 g/ml)</t>
        </is>
      </c>
    </row>
    <row r="16">
      <c r="A16" s="12" t="inlineStr">
        <is>
          <t>C1</t>
        </is>
      </c>
      <c r="B16" s="12" t="inlineStr">
        <is>
          <t>Catálogo Fadesa 3</t>
        </is>
      </c>
      <c r="C16" s="12" t="inlineStr">
        <is>
          <t>Catálogo comercial</t>
        </is>
      </c>
      <c r="D16" s="12" t="inlineStr">
        <is>
          <t>4 - pesos repetidos entre tablas</t>
        </is>
      </c>
      <c r="E16" s="12" t="inlineStr">
        <is>
          <t>Dimensiones y Ps</t>
        </is>
      </c>
    </row>
    <row r="17">
      <c r="A17" s="12" t="inlineStr">
        <is>
          <t>X1</t>
        </is>
      </c>
      <c r="B17" s="12" t="inlineStr">
        <is>
          <t>HDS internacionales (Buckeye, Amerex, Badger, Brooks, Halotron, Met-L-X)</t>
        </is>
      </c>
      <c r="C17" s="12" t="inlineStr">
        <is>
          <t>HDS</t>
        </is>
      </c>
      <c r="D17" s="12" t="inlineStr">
        <is>
          <t>5 - respaldo</t>
        </is>
      </c>
      <c r="E17" s="12" t="inlineStr">
        <is>
          <t>Química y mecanismo; sus valores no son especificación</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298"/>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s>
  <sheetData>
    <row r="1">
      <c r="A1" s="11"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Porcentajes de merma (3 % polvo, 2 % HCFC) = valores R a medir en planta con la balanza de RC-CQ.</t>
        </is>
      </c>
    </row>
    <row r="8">
      <c r="A8" s="32" t="inlineStr">
        <is>
          <t>Código kit</t>
        </is>
      </c>
      <c r="B8" s="32" t="inlineStr">
        <is>
          <t>Plano</t>
        </is>
      </c>
      <c r="C8" s="32" t="inlineStr">
        <is>
          <t>Extintor</t>
        </is>
      </c>
      <c r="D8" s="32" t="inlineStr">
        <is>
          <t>Caso</t>
        </is>
      </c>
      <c r="E8" s="32" t="inlineStr">
        <is>
          <t>Ítem</t>
        </is>
      </c>
      <c r="F8" s="32" t="inlineStr">
        <is>
          <t>Cant.</t>
        </is>
      </c>
      <c r="G8" s="32" t="inlineStr">
        <is>
          <t>UM</t>
        </is>
      </c>
      <c r="H8" s="32" t="inlineStr">
        <is>
          <t>Estado / origen</t>
        </is>
      </c>
      <c r="I8" s="32" t="inlineStr">
        <is>
          <t>Referencia</t>
        </is>
      </c>
    </row>
    <row r="9">
      <c r="A9" s="25" t="inlineStr">
        <is>
          <t>RK-ABC1-A</t>
        </is>
      </c>
      <c r="B9" s="25" t="inlineStr">
        <is>
          <t>FL_MAT_ABC_1kg</t>
        </is>
      </c>
      <c r="C9" s="25" t="inlineStr">
        <is>
          <t>Extintor ABC 1 kg</t>
        </is>
      </c>
      <c r="D9" s="12" t="inlineStr">
        <is>
          <t>A - Extintor descargado (uso o descarga parcial)</t>
        </is>
      </c>
      <c r="E9" s="12" t="inlineStr">
        <is>
          <t>Polvo químico seco ABC (fosfato monoamónico)</t>
        </is>
      </c>
      <c r="F9" s="25" t="n">
        <v>1</v>
      </c>
      <c r="G9" s="25" t="inlineStr">
        <is>
          <t>kg</t>
        </is>
      </c>
      <c r="H9" s="12" t="inlineStr">
        <is>
          <t>Nuevo 100 %</t>
        </is>
      </c>
      <c r="I9" s="12" t="inlineStr">
        <is>
          <t>IRAM 3517-2:2020 9.9.1.4: el polvo de un extintor accionado no se reutiliza</t>
        </is>
      </c>
    </row>
    <row r="10">
      <c r="A10" s="25" t="inlineStr">
        <is>
          <t>RK-ABC1-A</t>
        </is>
      </c>
      <c r="B10" s="25" t="inlineStr">
        <is>
          <t>FL_MAT_ABC_1kg</t>
        </is>
      </c>
      <c r="C10" s="25" t="inlineStr">
        <is>
          <t>Extintor ABC 1 kg</t>
        </is>
      </c>
      <c r="D10" s="12" t="inlineStr">
        <is>
          <t>A - Extintor descargado (uso o descarga parcial)</t>
        </is>
      </c>
      <c r="E10" s="12" t="inlineStr">
        <is>
          <t>Precinto numerado nuevo</t>
        </is>
      </c>
      <c r="F10" s="25" t="n">
        <v>1</v>
      </c>
      <c r="G10" s="25" t="inlineStr">
        <is>
          <t>u</t>
        </is>
      </c>
      <c r="H10" s="12" t="inlineStr">
        <is>
          <t>Nuevo</t>
        </is>
      </c>
      <c r="I10" s="12" t="inlineStr">
        <is>
          <t>IRAM 3517-2:2020 9.4.13</t>
        </is>
      </c>
    </row>
    <row r="11">
      <c r="A11" s="25" t="inlineStr">
        <is>
          <t>RK-ABC1-A</t>
        </is>
      </c>
      <c r="B11" s="25" t="inlineStr">
        <is>
          <t>FL_MAT_ABC_1kg</t>
        </is>
      </c>
      <c r="C11" s="25" t="inlineStr">
        <is>
          <t>Extintor ABC 1 kg</t>
        </is>
      </c>
      <c r="D11" s="12" t="inlineStr">
        <is>
          <t>A - Extintor descargado (uso o descarga parcial)</t>
        </is>
      </c>
      <c r="E11" s="12" t="inlineStr">
        <is>
          <t>Marbete (anillo, color del año)</t>
        </is>
      </c>
      <c r="F11" s="25" t="n">
        <v>1</v>
      </c>
      <c r="G11" s="25" t="inlineStr">
        <is>
          <t>u</t>
        </is>
      </c>
      <c r="H11" s="12" t="inlineStr">
        <is>
          <t>Nuevo</t>
        </is>
      </c>
      <c r="I11" s="12" t="inlineStr">
        <is>
          <t>IRAM 3517-2:2020 9.4.14 · fig. 9 · tabla 4</t>
        </is>
      </c>
    </row>
    <row r="12">
      <c r="A12" s="25" t="inlineStr">
        <is>
          <t>RK-ABC1-A</t>
        </is>
      </c>
      <c r="B12" s="25" t="inlineStr">
        <is>
          <t>FL_MAT_ABC_1kg</t>
        </is>
      </c>
      <c r="C12" s="25" t="inlineStr">
        <is>
          <t>Extintor ABC 1 kg</t>
        </is>
      </c>
      <c r="D12" s="12" t="inlineStr">
        <is>
          <t>A - Extintor descargado (uso o descarga parcial)</t>
        </is>
      </c>
      <c r="E12" s="12" t="inlineStr">
        <is>
          <t>Tarjeta / etiqueta de control</t>
        </is>
      </c>
      <c r="F12" s="25" t="n">
        <v>1</v>
      </c>
      <c r="G12" s="25" t="inlineStr">
        <is>
          <t>u</t>
        </is>
      </c>
      <c r="H12" s="12" t="inlineStr">
        <is>
          <t>Nuevo</t>
        </is>
      </c>
      <c r="I12" s="12" t="inlineStr">
        <is>
          <t>IRAM 3517-2:2020 8.3.3</t>
        </is>
      </c>
    </row>
    <row r="13">
      <c r="A13" s="25" t="inlineStr">
        <is>
          <t>RK-ABC1-A</t>
        </is>
      </c>
      <c r="B13" s="25" t="inlineStr">
        <is>
          <t>FL_MAT_ABC_1kg</t>
        </is>
      </c>
      <c r="C13" s="25" t="inlineStr">
        <is>
          <t>Extintor ABC 1 kg</t>
        </is>
      </c>
      <c r="D13" s="12" t="inlineStr">
        <is>
          <t>A - Extintor descargado (uso o descarga parcial)</t>
        </is>
      </c>
      <c r="E13" s="12" t="inlineStr">
        <is>
          <t>Junta tórica de asiento del cuello</t>
        </is>
      </c>
      <c r="F13" s="25" t="n">
        <v>1</v>
      </c>
      <c r="G13" s="25" t="inlineStr">
        <is>
          <t>u</t>
        </is>
      </c>
      <c r="H13" s="12" t="inlineStr">
        <is>
          <t>Nuevo (R: cambio sistemático)</t>
        </is>
      </c>
      <c r="I13" s="12" t="inlineStr"/>
    </row>
    <row r="14">
      <c r="A14" s="25" t="inlineStr">
        <is>
          <t>RK-ABC1-A</t>
        </is>
      </c>
      <c r="B14" s="25" t="inlineStr">
        <is>
          <t>FL_MAT_ABC_1kg</t>
        </is>
      </c>
      <c r="C14" s="25" t="inlineStr">
        <is>
          <t>Extintor ABC 1 kg</t>
        </is>
      </c>
      <c r="D14" s="12" t="inlineStr">
        <is>
          <t>A - Extintor descargado (uso o descarga parcial)</t>
        </is>
      </c>
      <c r="E14" s="12" t="inlineStr">
        <is>
          <t>Gas impulsor N₂</t>
        </is>
      </c>
      <c r="F14" s="25" t="n">
        <v>0.0012</v>
      </c>
      <c r="G14" s="25" t="inlineStr">
        <is>
          <t>kg</t>
        </is>
      </c>
      <c r="H14" s="12" t="inlineStr">
        <is>
          <t>Nuevo</t>
        </is>
      </c>
      <c r="I14" s="12" t="inlineStr">
        <is>
          <t>IRAM 3517-2:2020 9.4.9 tabla 2</t>
        </is>
      </c>
    </row>
    <row r="15">
      <c r="A15" s="25" t="inlineStr">
        <is>
          <t>RK-ABC1-B</t>
        </is>
      </c>
      <c r="B15" s="25" t="inlineStr">
        <is>
          <t>FL_MAT_ABC_1kg</t>
        </is>
      </c>
      <c r="C15" s="25" t="inlineStr">
        <is>
          <t>Extintor ABC 1 kg</t>
        </is>
      </c>
      <c r="D15" s="12" t="inlineStr">
        <is>
          <t>B - Mantenimiento con apertura sin descarga (control interior, PH)</t>
        </is>
      </c>
      <c r="E15" s="12" t="inlineStr">
        <is>
          <t>Polvo químico seco ABC (fosfato monoamónico) recuperado</t>
        </is>
      </c>
      <c r="F15" s="25" t="n">
        <v>0.97</v>
      </c>
      <c r="G15" s="25" t="inlineStr">
        <is>
          <t>kg</t>
        </is>
      </c>
      <c r="H15" s="12" t="inlineStr">
        <is>
          <t>Recuperado en sistema cerrado</t>
        </is>
      </c>
      <c r="I15" s="12" t="inlineStr">
        <is>
          <t>IRAM 3517-2:2020 4.4.1 y) sistema cerrado de recuperación con inspección; 9.9.3 control (puffer IRAM 3672, fusión IRAM 3569 en ABC)</t>
        </is>
      </c>
    </row>
    <row r="16">
      <c r="A16" s="25" t="inlineStr">
        <is>
          <t>RK-ABC1-B</t>
        </is>
      </c>
      <c r="B16" s="25" t="inlineStr">
        <is>
          <t>FL_MAT_ABC_1kg</t>
        </is>
      </c>
      <c r="C16" s="25" t="inlineStr">
        <is>
          <t>Extintor ABC 1 kg</t>
        </is>
      </c>
      <c r="D16" s="12" t="inlineStr">
        <is>
          <t>B - Mantenimiento con apertura sin descarga (control interior, PH)</t>
        </is>
      </c>
      <c r="E16" s="12" t="inlineStr">
        <is>
          <t>Polvo químico seco ABC (fosfato monoamónico) de reposición de mermas</t>
        </is>
      </c>
      <c r="F16" s="25" t="n">
        <v>0.03</v>
      </c>
      <c r="G16" s="25" t="inlineStr">
        <is>
          <t>kg</t>
        </is>
      </c>
      <c r="H16" s="12" t="inlineStr">
        <is>
          <t>Nuevo (R: 3 % de merma)</t>
        </is>
      </c>
      <c r="I16" s="12" t="inlineStr">
        <is>
          <t>Mismo tipo y marca (prohibido mezclar ABC con BC, 9.9.1.6)</t>
        </is>
      </c>
    </row>
    <row r="17">
      <c r="A17" s="25" t="inlineStr">
        <is>
          <t>RK-ABC1-B</t>
        </is>
      </c>
      <c r="B17" s="25" t="inlineStr">
        <is>
          <t>FL_MAT_ABC_1kg</t>
        </is>
      </c>
      <c r="C17" s="25" t="inlineStr">
        <is>
          <t>Extintor ABC 1 kg</t>
        </is>
      </c>
      <c r="D17" s="12" t="inlineStr">
        <is>
          <t>B - Mantenimiento con apertura sin descarga (control interior, PH)</t>
        </is>
      </c>
      <c r="E17" s="12" t="inlineStr">
        <is>
          <t>Precinto numerado nuevo</t>
        </is>
      </c>
      <c r="F17" s="25" t="n">
        <v>1</v>
      </c>
      <c r="G17" s="25" t="inlineStr">
        <is>
          <t>u</t>
        </is>
      </c>
      <c r="H17" s="12" t="inlineStr">
        <is>
          <t>Nuevo</t>
        </is>
      </c>
      <c r="I17" s="12" t="inlineStr">
        <is>
          <t>IRAM 3517-2:2020 9.4.13</t>
        </is>
      </c>
    </row>
    <row r="18">
      <c r="A18" s="25" t="inlineStr">
        <is>
          <t>RK-ABC1-B</t>
        </is>
      </c>
      <c r="B18" s="25" t="inlineStr">
        <is>
          <t>FL_MAT_ABC_1kg</t>
        </is>
      </c>
      <c r="C18" s="25" t="inlineStr">
        <is>
          <t>Extintor ABC 1 kg</t>
        </is>
      </c>
      <c r="D18" s="12" t="inlineStr">
        <is>
          <t>B - Mantenimiento con apertura sin descarga (control interior, PH)</t>
        </is>
      </c>
      <c r="E18" s="12" t="inlineStr">
        <is>
          <t>Marbete (anillo, color del año)</t>
        </is>
      </c>
      <c r="F18" s="25" t="n">
        <v>1</v>
      </c>
      <c r="G18" s="25" t="inlineStr">
        <is>
          <t>u</t>
        </is>
      </c>
      <c r="H18" s="12" t="inlineStr">
        <is>
          <t>Nuevo</t>
        </is>
      </c>
      <c r="I18" s="12" t="inlineStr">
        <is>
          <t>IRAM 3517-2:2020 9.4.14 · fig. 9 · tabla 4</t>
        </is>
      </c>
    </row>
    <row r="19">
      <c r="A19" s="25" t="inlineStr">
        <is>
          <t>RK-ABC1-B</t>
        </is>
      </c>
      <c r="B19" s="25" t="inlineStr">
        <is>
          <t>FL_MAT_ABC_1kg</t>
        </is>
      </c>
      <c r="C19" s="25" t="inlineStr">
        <is>
          <t>Extintor ABC 1 kg</t>
        </is>
      </c>
      <c r="D19" s="12" t="inlineStr">
        <is>
          <t>B - Mantenimiento con apertura sin descarga (control interior, PH)</t>
        </is>
      </c>
      <c r="E19" s="12" t="inlineStr">
        <is>
          <t>Tarjeta / etiqueta de control</t>
        </is>
      </c>
      <c r="F19" s="25" t="n">
        <v>1</v>
      </c>
      <c r="G19" s="25" t="inlineStr">
        <is>
          <t>u</t>
        </is>
      </c>
      <c r="H19" s="12" t="inlineStr">
        <is>
          <t>Nuevo</t>
        </is>
      </c>
      <c r="I19" s="12" t="inlineStr">
        <is>
          <t>IRAM 3517-2:2020 8.3.3</t>
        </is>
      </c>
    </row>
    <row r="20">
      <c r="A20" s="25" t="inlineStr">
        <is>
          <t>RK-ABC1-B</t>
        </is>
      </c>
      <c r="B20" s="25" t="inlineStr">
        <is>
          <t>FL_MAT_ABC_1kg</t>
        </is>
      </c>
      <c r="C20" s="25" t="inlineStr">
        <is>
          <t>Extintor ABC 1 kg</t>
        </is>
      </c>
      <c r="D20" s="12" t="inlineStr">
        <is>
          <t>B - Mantenimiento con apertura sin descarga (control interior, PH)</t>
        </is>
      </c>
      <c r="E20" s="12" t="inlineStr">
        <is>
          <t>Junta tórica de asiento del cuello</t>
        </is>
      </c>
      <c r="F20" s="25" t="n">
        <v>1</v>
      </c>
      <c r="G20" s="25" t="inlineStr">
        <is>
          <t>u</t>
        </is>
      </c>
      <c r="H20" s="12" t="inlineStr">
        <is>
          <t>Nuevo (R: cambio sistemático)</t>
        </is>
      </c>
      <c r="I20" s="12" t="inlineStr"/>
    </row>
    <row r="21">
      <c r="A21" s="25" t="inlineStr">
        <is>
          <t>RK-ABC1-B</t>
        </is>
      </c>
      <c r="B21" s="25" t="inlineStr">
        <is>
          <t>FL_MAT_ABC_1kg</t>
        </is>
      </c>
      <c r="C21" s="25" t="inlineStr">
        <is>
          <t>Extintor ABC 1 kg</t>
        </is>
      </c>
      <c r="D21" s="12" t="inlineStr">
        <is>
          <t>B - Mantenimiento con apertura sin descarga (control interior, PH)</t>
        </is>
      </c>
      <c r="E21" s="12" t="inlineStr">
        <is>
          <t>Gas impulsor N₂</t>
        </is>
      </c>
      <c r="F21" s="25" t="n">
        <v>0.0012</v>
      </c>
      <c r="G21" s="25" t="inlineStr">
        <is>
          <t>kg</t>
        </is>
      </c>
      <c r="H21" s="12" t="inlineStr">
        <is>
          <t>Nuevo</t>
        </is>
      </c>
      <c r="I21" s="12" t="inlineStr">
        <is>
          <t>IRAM 3517-2:2020 9.4.9 tabla 2</t>
        </is>
      </c>
    </row>
    <row r="22">
      <c r="A22" s="25" t="inlineStr">
        <is>
          <t>RK-ABC1-C</t>
        </is>
      </c>
      <c r="B22" s="25" t="inlineStr">
        <is>
          <t>FL_MAT_ABC_1kg</t>
        </is>
      </c>
      <c r="C22" s="25" t="inlineStr">
        <is>
          <t>Extintor ABC 1 kg</t>
        </is>
      </c>
      <c r="D22" s="12" t="inlineStr">
        <is>
          <t>C - Cambio obligatorio de polvo (versión anterior de la IRAM 3569)</t>
        </is>
      </c>
      <c r="E22" s="12" t="inlineStr">
        <is>
          <t>Polvo químico seco ABC (fosfato monoamónico)</t>
        </is>
      </c>
      <c r="F22" s="25" t="n">
        <v>1</v>
      </c>
      <c r="G22" s="25" t="inlineStr">
        <is>
          <t>kg</t>
        </is>
      </c>
      <c r="H22" s="12" t="inlineStr">
        <is>
          <t>Nuevo 100 %; el viejo va a residuos (RC-IR)</t>
        </is>
      </c>
      <c r="I22" s="12" t="inlineStr">
        <is>
          <t>IRAM 3517-2:2020 9.9.4</t>
        </is>
      </c>
    </row>
    <row r="23">
      <c r="A23" s="25" t="inlineStr">
        <is>
          <t>RK-ABC1-C</t>
        </is>
      </c>
      <c r="B23" s="25" t="inlineStr">
        <is>
          <t>FL_MAT_ABC_1kg</t>
        </is>
      </c>
      <c r="C23" s="25" t="inlineStr">
        <is>
          <t>Extintor ABC 1 kg</t>
        </is>
      </c>
      <c r="D23" s="12" t="inlineStr">
        <is>
          <t>C - Cambio obligatorio de polvo (versión anterior de la IRAM 3569)</t>
        </is>
      </c>
      <c r="E23" s="12" t="inlineStr">
        <is>
          <t>Precinto numerado nuevo</t>
        </is>
      </c>
      <c r="F23" s="25" t="n">
        <v>1</v>
      </c>
      <c r="G23" s="25" t="inlineStr">
        <is>
          <t>u</t>
        </is>
      </c>
      <c r="H23" s="12" t="inlineStr">
        <is>
          <t>Nuevo</t>
        </is>
      </c>
      <c r="I23" s="12" t="inlineStr">
        <is>
          <t>IRAM 3517-2:2020 9.4.13</t>
        </is>
      </c>
    </row>
    <row r="24">
      <c r="A24" s="25" t="inlineStr">
        <is>
          <t>RK-ABC1-C</t>
        </is>
      </c>
      <c r="B24" s="25" t="inlineStr">
        <is>
          <t>FL_MAT_ABC_1kg</t>
        </is>
      </c>
      <c r="C24" s="25" t="inlineStr">
        <is>
          <t>Extintor ABC 1 kg</t>
        </is>
      </c>
      <c r="D24" s="12" t="inlineStr">
        <is>
          <t>C - Cambio obligatorio de polvo (versión anterior de la IRAM 3569)</t>
        </is>
      </c>
      <c r="E24" s="12" t="inlineStr">
        <is>
          <t>Marbete (anillo, color del año)</t>
        </is>
      </c>
      <c r="F24" s="25" t="n">
        <v>1</v>
      </c>
      <c r="G24" s="25" t="inlineStr">
        <is>
          <t>u</t>
        </is>
      </c>
      <c r="H24" s="12" t="inlineStr">
        <is>
          <t>Nuevo</t>
        </is>
      </c>
      <c r="I24" s="12" t="inlineStr">
        <is>
          <t>IRAM 3517-2:2020 9.4.14 · fig. 9 · tabla 4</t>
        </is>
      </c>
    </row>
    <row r="25">
      <c r="A25" s="25" t="inlineStr">
        <is>
          <t>RK-ABC1-C</t>
        </is>
      </c>
      <c r="B25" s="25" t="inlineStr">
        <is>
          <t>FL_MAT_ABC_1kg</t>
        </is>
      </c>
      <c r="C25" s="25" t="inlineStr">
        <is>
          <t>Extintor ABC 1 kg</t>
        </is>
      </c>
      <c r="D25" s="12" t="inlineStr">
        <is>
          <t>C - Cambio obligatorio de polvo (versión anterior de la IRAM 3569)</t>
        </is>
      </c>
      <c r="E25" s="12" t="inlineStr">
        <is>
          <t>Tarjeta / etiqueta de control</t>
        </is>
      </c>
      <c r="F25" s="25" t="n">
        <v>1</v>
      </c>
      <c r="G25" s="25" t="inlineStr">
        <is>
          <t>u</t>
        </is>
      </c>
      <c r="H25" s="12" t="inlineStr">
        <is>
          <t>Nuevo</t>
        </is>
      </c>
      <c r="I25" s="12" t="inlineStr">
        <is>
          <t>IRAM 3517-2:2020 8.3.3</t>
        </is>
      </c>
    </row>
    <row r="26">
      <c r="A26" s="25" t="inlineStr">
        <is>
          <t>RK-ABC1-C</t>
        </is>
      </c>
      <c r="B26" s="25" t="inlineStr">
        <is>
          <t>FL_MAT_ABC_1kg</t>
        </is>
      </c>
      <c r="C26" s="25" t="inlineStr">
        <is>
          <t>Extintor ABC 1 kg</t>
        </is>
      </c>
      <c r="D26" s="12" t="inlineStr">
        <is>
          <t>C - Cambio obligatorio de polvo (versión anterior de la IRAM 3569)</t>
        </is>
      </c>
      <c r="E26" s="12" t="inlineStr">
        <is>
          <t>Junta tórica de asiento del cuello</t>
        </is>
      </c>
      <c r="F26" s="25" t="n">
        <v>1</v>
      </c>
      <c r="G26" s="25" t="inlineStr">
        <is>
          <t>u</t>
        </is>
      </c>
      <c r="H26" s="12" t="inlineStr">
        <is>
          <t>Nuevo (R: cambio sistemático)</t>
        </is>
      </c>
      <c r="I26" s="12" t="inlineStr"/>
    </row>
    <row r="27">
      <c r="A27" s="25" t="inlineStr">
        <is>
          <t>RK-ABC1-C</t>
        </is>
      </c>
      <c r="B27" s="25" t="inlineStr">
        <is>
          <t>FL_MAT_ABC_1kg</t>
        </is>
      </c>
      <c r="C27" s="25" t="inlineStr">
        <is>
          <t>Extintor ABC 1 kg</t>
        </is>
      </c>
      <c r="D27" s="12" t="inlineStr">
        <is>
          <t>C - Cambio obligatorio de polvo (versión anterior de la IRAM 3569)</t>
        </is>
      </c>
      <c r="E27" s="12" t="inlineStr">
        <is>
          <t>Gas impulsor N₂</t>
        </is>
      </c>
      <c r="F27" s="25" t="n">
        <v>0.0012</v>
      </c>
      <c r="G27" s="25" t="inlineStr">
        <is>
          <t>kg</t>
        </is>
      </c>
      <c r="H27" s="12" t="inlineStr">
        <is>
          <t>Nuevo</t>
        </is>
      </c>
      <c r="I27" s="12" t="inlineStr">
        <is>
          <t>IRAM 3517-2:2020 9.4.9 tabla 2</t>
        </is>
      </c>
    </row>
    <row r="28">
      <c r="A28" s="25" t="inlineStr">
        <is>
          <t>RK-ABC1-I</t>
        </is>
      </c>
      <c r="B28" s="25" t="inlineStr">
        <is>
          <t>FL_MAT_ABC_1kg</t>
        </is>
      </c>
      <c r="C28" s="25" t="inlineStr">
        <is>
          <t>Extintor ABC 1 kg</t>
        </is>
      </c>
      <c r="D28" s="12" t="inlineStr">
        <is>
          <t>Según inspección (consumo estadístico a definir)</t>
        </is>
      </c>
      <c r="E28" s="12" t="inlineStr">
        <is>
          <t>Manómetro / manguera / tobera / kit de válvula</t>
        </is>
      </c>
      <c r="F28" s="25" t="inlineStr">
        <is>
          <t>-</t>
        </is>
      </c>
      <c r="G28" s="25" t="inlineStr">
        <is>
          <t>u</t>
        </is>
      </c>
      <c r="H28" s="12" t="inlineStr">
        <is>
          <t>Recambio sólo si falla</t>
        </is>
      </c>
      <c r="I28" s="12" t="inlineStr">
        <is>
          <t>IRAM 3517-2:2020 9.4.11 (cada manguera vuelve a su extintor)</t>
        </is>
      </c>
    </row>
    <row r="29">
      <c r="A29" s="25" t="inlineStr">
        <is>
          <t>RK-ABC2.5-A</t>
        </is>
      </c>
      <c r="B29" s="25" t="inlineStr">
        <is>
          <t>FL_MAT_ABC_2.5kg</t>
        </is>
      </c>
      <c r="C29" s="25" t="inlineStr">
        <is>
          <t>Extintor ABC 2,5 kg</t>
        </is>
      </c>
      <c r="D29" s="12" t="inlineStr">
        <is>
          <t>A - Extintor descargado (uso o descarga parcial)</t>
        </is>
      </c>
      <c r="E29" s="12" t="inlineStr">
        <is>
          <t>Polvo químico seco ABC (fosfato monoamónico)</t>
        </is>
      </c>
      <c r="F29" s="25" t="n">
        <v>2.5</v>
      </c>
      <c r="G29" s="25" t="inlineStr">
        <is>
          <t>kg</t>
        </is>
      </c>
      <c r="H29" s="12" t="inlineStr">
        <is>
          <t>Nuevo 100 %</t>
        </is>
      </c>
      <c r="I29" s="12" t="inlineStr">
        <is>
          <t>IRAM 3517-2:2020 9.9.1.4: el polvo de un extintor accionado no se reutiliza</t>
        </is>
      </c>
    </row>
    <row r="30">
      <c r="A30" s="25" t="inlineStr">
        <is>
          <t>RK-ABC2.5-A</t>
        </is>
      </c>
      <c r="B30" s="25" t="inlineStr">
        <is>
          <t>FL_MAT_ABC_2.5kg</t>
        </is>
      </c>
      <c r="C30" s="25" t="inlineStr">
        <is>
          <t>Extintor ABC 2,5 kg</t>
        </is>
      </c>
      <c r="D30" s="12" t="inlineStr">
        <is>
          <t>A - Extintor descargado (uso o descarga parcial)</t>
        </is>
      </c>
      <c r="E30" s="12" t="inlineStr">
        <is>
          <t>Precinto numerado nuevo</t>
        </is>
      </c>
      <c r="F30" s="25" t="n">
        <v>1</v>
      </c>
      <c r="G30" s="25" t="inlineStr">
        <is>
          <t>u</t>
        </is>
      </c>
      <c r="H30" s="12" t="inlineStr">
        <is>
          <t>Nuevo</t>
        </is>
      </c>
      <c r="I30" s="12" t="inlineStr">
        <is>
          <t>IRAM 3517-2:2020 9.4.13</t>
        </is>
      </c>
    </row>
    <row r="31">
      <c r="A31" s="25" t="inlineStr">
        <is>
          <t>RK-ABC2.5-A</t>
        </is>
      </c>
      <c r="B31" s="25" t="inlineStr">
        <is>
          <t>FL_MAT_ABC_2.5kg</t>
        </is>
      </c>
      <c r="C31" s="25" t="inlineStr">
        <is>
          <t>Extintor ABC 2,5 kg</t>
        </is>
      </c>
      <c r="D31" s="12" t="inlineStr">
        <is>
          <t>A - Extintor descargado (uso o descarga parcial)</t>
        </is>
      </c>
      <c r="E31" s="12" t="inlineStr">
        <is>
          <t>Marbete (anillo, color del año)</t>
        </is>
      </c>
      <c r="F31" s="25" t="n">
        <v>1</v>
      </c>
      <c r="G31" s="25" t="inlineStr">
        <is>
          <t>u</t>
        </is>
      </c>
      <c r="H31" s="12" t="inlineStr">
        <is>
          <t>Nuevo</t>
        </is>
      </c>
      <c r="I31" s="12" t="inlineStr">
        <is>
          <t>IRAM 3517-2:2020 9.4.14 · fig. 9 · tabla 4</t>
        </is>
      </c>
    </row>
    <row r="32">
      <c r="A32" s="25" t="inlineStr">
        <is>
          <t>RK-ABC2.5-A</t>
        </is>
      </c>
      <c r="B32" s="25" t="inlineStr">
        <is>
          <t>FL_MAT_ABC_2.5kg</t>
        </is>
      </c>
      <c r="C32" s="25" t="inlineStr">
        <is>
          <t>Extintor ABC 2,5 kg</t>
        </is>
      </c>
      <c r="D32" s="12" t="inlineStr">
        <is>
          <t>A - Extintor descargado (uso o descarga parcial)</t>
        </is>
      </c>
      <c r="E32" s="12" t="inlineStr">
        <is>
          <t>Tarjeta / etiqueta de control</t>
        </is>
      </c>
      <c r="F32" s="25" t="n">
        <v>1</v>
      </c>
      <c r="G32" s="25" t="inlineStr">
        <is>
          <t>u</t>
        </is>
      </c>
      <c r="H32" s="12" t="inlineStr">
        <is>
          <t>Nuevo</t>
        </is>
      </c>
      <c r="I32" s="12" t="inlineStr">
        <is>
          <t>IRAM 3517-2:2020 8.3.3</t>
        </is>
      </c>
    </row>
    <row r="33">
      <c r="A33" s="25" t="inlineStr">
        <is>
          <t>RK-ABC2.5-A</t>
        </is>
      </c>
      <c r="B33" s="25" t="inlineStr">
        <is>
          <t>FL_MAT_ABC_2.5kg</t>
        </is>
      </c>
      <c r="C33" s="25" t="inlineStr">
        <is>
          <t>Extintor ABC 2,5 kg</t>
        </is>
      </c>
      <c r="D33" s="12" t="inlineStr">
        <is>
          <t>A - Extintor descargado (uso o descarga parcial)</t>
        </is>
      </c>
      <c r="E33" s="12" t="inlineStr">
        <is>
          <t>Junta tórica de asiento del cuello</t>
        </is>
      </c>
      <c r="F33" s="25" t="n">
        <v>1</v>
      </c>
      <c r="G33" s="25" t="inlineStr">
        <is>
          <t>u</t>
        </is>
      </c>
      <c r="H33" s="12" t="inlineStr">
        <is>
          <t>Nuevo (R: cambio sistemático)</t>
        </is>
      </c>
      <c r="I33" s="12" t="inlineStr"/>
    </row>
    <row r="34">
      <c r="A34" s="25" t="inlineStr">
        <is>
          <t>RK-ABC2.5-A</t>
        </is>
      </c>
      <c r="B34" s="25" t="inlineStr">
        <is>
          <t>FL_MAT_ABC_2.5kg</t>
        </is>
      </c>
      <c r="C34" s="25" t="inlineStr">
        <is>
          <t>Extintor ABC 2,5 kg</t>
        </is>
      </c>
      <c r="D34" s="12" t="inlineStr">
        <is>
          <t>A - Extintor descargado (uso o descarga parcial)</t>
        </is>
      </c>
      <c r="E34" s="12" t="inlineStr">
        <is>
          <t>Gas impulsor N₂</t>
        </is>
      </c>
      <c r="F34" s="25" t="n">
        <v>0.0125</v>
      </c>
      <c r="G34" s="25" t="inlineStr">
        <is>
          <t>kg</t>
        </is>
      </c>
      <c r="H34" s="12" t="inlineStr">
        <is>
          <t>Nuevo</t>
        </is>
      </c>
      <c r="I34" s="12" t="inlineStr">
        <is>
          <t>IRAM 3517-2:2020 9.4.9 tabla 2</t>
        </is>
      </c>
    </row>
    <row r="35">
      <c r="A35" s="25" t="inlineStr">
        <is>
          <t>RK-ABC2.5-B</t>
        </is>
      </c>
      <c r="B35" s="25" t="inlineStr">
        <is>
          <t>FL_MAT_ABC_2.5kg</t>
        </is>
      </c>
      <c r="C35" s="25" t="inlineStr">
        <is>
          <t>Extintor ABC 2,5 kg</t>
        </is>
      </c>
      <c r="D35" s="12" t="inlineStr">
        <is>
          <t>B - Mantenimiento con apertura sin descarga (control interior, PH)</t>
        </is>
      </c>
      <c r="E35" s="12" t="inlineStr">
        <is>
          <t>Polvo químico seco ABC (fosfato monoamónico) recuperado</t>
        </is>
      </c>
      <c r="F35" s="25" t="n">
        <v>2.425</v>
      </c>
      <c r="G35" s="25" t="inlineStr">
        <is>
          <t>kg</t>
        </is>
      </c>
      <c r="H35" s="12" t="inlineStr">
        <is>
          <t>Recuperado en sistema cerrado</t>
        </is>
      </c>
      <c r="I35" s="12" t="inlineStr">
        <is>
          <t>IRAM 3517-2:2020 4.4.1 y) sistema cerrado de recuperación con inspección; 9.9.3 control (puffer IRAM 3672, fusión IRAM 3569 en ABC)</t>
        </is>
      </c>
    </row>
    <row r="36">
      <c r="A36" s="25" t="inlineStr">
        <is>
          <t>RK-ABC2.5-B</t>
        </is>
      </c>
      <c r="B36" s="25" t="inlineStr">
        <is>
          <t>FL_MAT_ABC_2.5kg</t>
        </is>
      </c>
      <c r="C36" s="25" t="inlineStr">
        <is>
          <t>Extintor ABC 2,5 kg</t>
        </is>
      </c>
      <c r="D36" s="12" t="inlineStr">
        <is>
          <t>B - Mantenimiento con apertura sin descarga (control interior, PH)</t>
        </is>
      </c>
      <c r="E36" s="12" t="inlineStr">
        <is>
          <t>Polvo químico seco ABC (fosfato monoamónico) de reposición de mermas</t>
        </is>
      </c>
      <c r="F36" s="25" t="n">
        <v>0.075</v>
      </c>
      <c r="G36" s="25" t="inlineStr">
        <is>
          <t>kg</t>
        </is>
      </c>
      <c r="H36" s="12" t="inlineStr">
        <is>
          <t>Nuevo (R: 3 % de merma)</t>
        </is>
      </c>
      <c r="I36" s="12" t="inlineStr">
        <is>
          <t>Mismo tipo y marca (prohibido mezclar ABC con BC, 9.9.1.6)</t>
        </is>
      </c>
    </row>
    <row r="37">
      <c r="A37" s="25" t="inlineStr">
        <is>
          <t>RK-ABC2.5-B</t>
        </is>
      </c>
      <c r="B37" s="25" t="inlineStr">
        <is>
          <t>FL_MAT_ABC_2.5kg</t>
        </is>
      </c>
      <c r="C37" s="25" t="inlineStr">
        <is>
          <t>Extintor ABC 2,5 kg</t>
        </is>
      </c>
      <c r="D37" s="12" t="inlineStr">
        <is>
          <t>B - Mantenimiento con apertura sin descarga (control interior, PH)</t>
        </is>
      </c>
      <c r="E37" s="12" t="inlineStr">
        <is>
          <t>Precinto numerado nuevo</t>
        </is>
      </c>
      <c r="F37" s="25" t="n">
        <v>1</v>
      </c>
      <c r="G37" s="25" t="inlineStr">
        <is>
          <t>u</t>
        </is>
      </c>
      <c r="H37" s="12" t="inlineStr">
        <is>
          <t>Nuevo</t>
        </is>
      </c>
      <c r="I37" s="12" t="inlineStr">
        <is>
          <t>IRAM 3517-2:2020 9.4.13</t>
        </is>
      </c>
    </row>
    <row r="38">
      <c r="A38" s="25" t="inlineStr">
        <is>
          <t>RK-ABC2.5-B</t>
        </is>
      </c>
      <c r="B38" s="25" t="inlineStr">
        <is>
          <t>FL_MAT_ABC_2.5kg</t>
        </is>
      </c>
      <c r="C38" s="25" t="inlineStr">
        <is>
          <t>Extintor ABC 2,5 kg</t>
        </is>
      </c>
      <c r="D38" s="12" t="inlineStr">
        <is>
          <t>B - Mantenimiento con apertura sin descarga (control interior, PH)</t>
        </is>
      </c>
      <c r="E38" s="12" t="inlineStr">
        <is>
          <t>Marbete (anillo, color del año)</t>
        </is>
      </c>
      <c r="F38" s="25" t="n">
        <v>1</v>
      </c>
      <c r="G38" s="25" t="inlineStr">
        <is>
          <t>u</t>
        </is>
      </c>
      <c r="H38" s="12" t="inlineStr">
        <is>
          <t>Nuevo</t>
        </is>
      </c>
      <c r="I38" s="12" t="inlineStr">
        <is>
          <t>IRAM 3517-2:2020 9.4.14 · fig. 9 · tabla 4</t>
        </is>
      </c>
    </row>
    <row r="39">
      <c r="A39" s="25" t="inlineStr">
        <is>
          <t>RK-ABC2.5-B</t>
        </is>
      </c>
      <c r="B39" s="25" t="inlineStr">
        <is>
          <t>FL_MAT_ABC_2.5kg</t>
        </is>
      </c>
      <c r="C39" s="25" t="inlineStr">
        <is>
          <t>Extintor ABC 2,5 kg</t>
        </is>
      </c>
      <c r="D39" s="12" t="inlineStr">
        <is>
          <t>B - Mantenimiento con apertura sin descarga (control interior, PH)</t>
        </is>
      </c>
      <c r="E39" s="12" t="inlineStr">
        <is>
          <t>Tarjeta / etiqueta de control</t>
        </is>
      </c>
      <c r="F39" s="25" t="n">
        <v>1</v>
      </c>
      <c r="G39" s="25" t="inlineStr">
        <is>
          <t>u</t>
        </is>
      </c>
      <c r="H39" s="12" t="inlineStr">
        <is>
          <t>Nuevo</t>
        </is>
      </c>
      <c r="I39" s="12" t="inlineStr">
        <is>
          <t>IRAM 3517-2:2020 8.3.3</t>
        </is>
      </c>
    </row>
    <row r="40">
      <c r="A40" s="25" t="inlineStr">
        <is>
          <t>RK-ABC2.5-B</t>
        </is>
      </c>
      <c r="B40" s="25" t="inlineStr">
        <is>
          <t>FL_MAT_ABC_2.5kg</t>
        </is>
      </c>
      <c r="C40" s="25" t="inlineStr">
        <is>
          <t>Extintor ABC 2,5 kg</t>
        </is>
      </c>
      <c r="D40" s="12" t="inlineStr">
        <is>
          <t>B - Mantenimiento con apertura sin descarga (control interior, PH)</t>
        </is>
      </c>
      <c r="E40" s="12" t="inlineStr">
        <is>
          <t>Junta tórica de asiento del cuello</t>
        </is>
      </c>
      <c r="F40" s="25" t="n">
        <v>1</v>
      </c>
      <c r="G40" s="25" t="inlineStr">
        <is>
          <t>u</t>
        </is>
      </c>
      <c r="H40" s="12" t="inlineStr">
        <is>
          <t>Nuevo (R: cambio sistemático)</t>
        </is>
      </c>
      <c r="I40" s="12" t="inlineStr"/>
    </row>
    <row r="41">
      <c r="A41" s="25" t="inlineStr">
        <is>
          <t>RK-ABC2.5-B</t>
        </is>
      </c>
      <c r="B41" s="25" t="inlineStr">
        <is>
          <t>FL_MAT_ABC_2.5kg</t>
        </is>
      </c>
      <c r="C41" s="25" t="inlineStr">
        <is>
          <t>Extintor ABC 2,5 kg</t>
        </is>
      </c>
      <c r="D41" s="12" t="inlineStr">
        <is>
          <t>B - Mantenimiento con apertura sin descarga (control interior, PH)</t>
        </is>
      </c>
      <c r="E41" s="12" t="inlineStr">
        <is>
          <t>Gas impulsor N₂</t>
        </is>
      </c>
      <c r="F41" s="25" t="n">
        <v>0.0125</v>
      </c>
      <c r="G41" s="25" t="inlineStr">
        <is>
          <t>kg</t>
        </is>
      </c>
      <c r="H41" s="12" t="inlineStr">
        <is>
          <t>Nuevo</t>
        </is>
      </c>
      <c r="I41" s="12" t="inlineStr">
        <is>
          <t>IRAM 3517-2:2020 9.4.9 tabla 2</t>
        </is>
      </c>
    </row>
    <row r="42">
      <c r="A42" s="25" t="inlineStr">
        <is>
          <t>RK-ABC2.5-C</t>
        </is>
      </c>
      <c r="B42" s="25" t="inlineStr">
        <is>
          <t>FL_MAT_ABC_2.5kg</t>
        </is>
      </c>
      <c r="C42" s="25" t="inlineStr">
        <is>
          <t>Extintor ABC 2,5 kg</t>
        </is>
      </c>
      <c r="D42" s="12" t="inlineStr">
        <is>
          <t>C - Cambio obligatorio de polvo (versión anterior de la IRAM 3569)</t>
        </is>
      </c>
      <c r="E42" s="12" t="inlineStr">
        <is>
          <t>Polvo químico seco ABC (fosfato monoamónico)</t>
        </is>
      </c>
      <c r="F42" s="25" t="n">
        <v>2.5</v>
      </c>
      <c r="G42" s="25" t="inlineStr">
        <is>
          <t>kg</t>
        </is>
      </c>
      <c r="H42" s="12" t="inlineStr">
        <is>
          <t>Nuevo 100 %; el viejo va a residuos (RC-IR)</t>
        </is>
      </c>
      <c r="I42" s="12" t="inlineStr">
        <is>
          <t>IRAM 3517-2:2020 9.9.4</t>
        </is>
      </c>
    </row>
    <row r="43">
      <c r="A43" s="25" t="inlineStr">
        <is>
          <t>RK-ABC2.5-C</t>
        </is>
      </c>
      <c r="B43" s="25" t="inlineStr">
        <is>
          <t>FL_MAT_ABC_2.5kg</t>
        </is>
      </c>
      <c r="C43" s="25" t="inlineStr">
        <is>
          <t>Extintor ABC 2,5 kg</t>
        </is>
      </c>
      <c r="D43" s="12" t="inlineStr">
        <is>
          <t>C - Cambio obligatorio de polvo (versión anterior de la IRAM 3569)</t>
        </is>
      </c>
      <c r="E43" s="12" t="inlineStr">
        <is>
          <t>Precinto numerado nuevo</t>
        </is>
      </c>
      <c r="F43" s="25" t="n">
        <v>1</v>
      </c>
      <c r="G43" s="25" t="inlineStr">
        <is>
          <t>u</t>
        </is>
      </c>
      <c r="H43" s="12" t="inlineStr">
        <is>
          <t>Nuevo</t>
        </is>
      </c>
      <c r="I43" s="12" t="inlineStr">
        <is>
          <t>IRAM 3517-2:2020 9.4.13</t>
        </is>
      </c>
    </row>
    <row r="44">
      <c r="A44" s="25" t="inlineStr">
        <is>
          <t>RK-ABC2.5-C</t>
        </is>
      </c>
      <c r="B44" s="25" t="inlineStr">
        <is>
          <t>FL_MAT_ABC_2.5kg</t>
        </is>
      </c>
      <c r="C44" s="25" t="inlineStr">
        <is>
          <t>Extintor ABC 2,5 kg</t>
        </is>
      </c>
      <c r="D44" s="12" t="inlineStr">
        <is>
          <t>C - Cambio obligatorio de polvo (versión anterior de la IRAM 3569)</t>
        </is>
      </c>
      <c r="E44" s="12" t="inlineStr">
        <is>
          <t>Marbete (anillo, color del año)</t>
        </is>
      </c>
      <c r="F44" s="25" t="n">
        <v>1</v>
      </c>
      <c r="G44" s="25" t="inlineStr">
        <is>
          <t>u</t>
        </is>
      </c>
      <c r="H44" s="12" t="inlineStr">
        <is>
          <t>Nuevo</t>
        </is>
      </c>
      <c r="I44" s="12" t="inlineStr">
        <is>
          <t>IRAM 3517-2:2020 9.4.14 · fig. 9 · tabla 4</t>
        </is>
      </c>
    </row>
    <row r="45">
      <c r="A45" s="25" t="inlineStr">
        <is>
          <t>RK-ABC2.5-C</t>
        </is>
      </c>
      <c r="B45" s="25" t="inlineStr">
        <is>
          <t>FL_MAT_ABC_2.5kg</t>
        </is>
      </c>
      <c r="C45" s="25" t="inlineStr">
        <is>
          <t>Extintor ABC 2,5 kg</t>
        </is>
      </c>
      <c r="D45" s="12" t="inlineStr">
        <is>
          <t>C - Cambio obligatorio de polvo (versión anterior de la IRAM 3569)</t>
        </is>
      </c>
      <c r="E45" s="12" t="inlineStr">
        <is>
          <t>Tarjeta / etiqueta de control</t>
        </is>
      </c>
      <c r="F45" s="25" t="n">
        <v>1</v>
      </c>
      <c r="G45" s="25" t="inlineStr">
        <is>
          <t>u</t>
        </is>
      </c>
      <c r="H45" s="12" t="inlineStr">
        <is>
          <t>Nuevo</t>
        </is>
      </c>
      <c r="I45" s="12" t="inlineStr">
        <is>
          <t>IRAM 3517-2:2020 8.3.3</t>
        </is>
      </c>
    </row>
    <row r="46">
      <c r="A46" s="25" t="inlineStr">
        <is>
          <t>RK-ABC2.5-C</t>
        </is>
      </c>
      <c r="B46" s="25" t="inlineStr">
        <is>
          <t>FL_MAT_ABC_2.5kg</t>
        </is>
      </c>
      <c r="C46" s="25" t="inlineStr">
        <is>
          <t>Extintor ABC 2,5 kg</t>
        </is>
      </c>
      <c r="D46" s="12" t="inlineStr">
        <is>
          <t>C - Cambio obligatorio de polvo (versión anterior de la IRAM 3569)</t>
        </is>
      </c>
      <c r="E46" s="12" t="inlineStr">
        <is>
          <t>Junta tórica de asiento del cuello</t>
        </is>
      </c>
      <c r="F46" s="25" t="n">
        <v>1</v>
      </c>
      <c r="G46" s="25" t="inlineStr">
        <is>
          <t>u</t>
        </is>
      </c>
      <c r="H46" s="12" t="inlineStr">
        <is>
          <t>Nuevo (R: cambio sistemático)</t>
        </is>
      </c>
      <c r="I46" s="12" t="inlineStr"/>
    </row>
    <row r="47">
      <c r="A47" s="25" t="inlineStr">
        <is>
          <t>RK-ABC2.5-C</t>
        </is>
      </c>
      <c r="B47" s="25" t="inlineStr">
        <is>
          <t>FL_MAT_ABC_2.5kg</t>
        </is>
      </c>
      <c r="C47" s="25" t="inlineStr">
        <is>
          <t>Extintor ABC 2,5 kg</t>
        </is>
      </c>
      <c r="D47" s="12" t="inlineStr">
        <is>
          <t>C - Cambio obligatorio de polvo (versión anterior de la IRAM 3569)</t>
        </is>
      </c>
      <c r="E47" s="12" t="inlineStr">
        <is>
          <t>Gas impulsor N₂</t>
        </is>
      </c>
      <c r="F47" s="25" t="n">
        <v>0.0125</v>
      </c>
      <c r="G47" s="25" t="inlineStr">
        <is>
          <t>kg</t>
        </is>
      </c>
      <c r="H47" s="12" t="inlineStr">
        <is>
          <t>Nuevo</t>
        </is>
      </c>
      <c r="I47" s="12" t="inlineStr">
        <is>
          <t>IRAM 3517-2:2020 9.4.9 tabla 2</t>
        </is>
      </c>
    </row>
    <row r="48">
      <c r="A48" s="25" t="inlineStr">
        <is>
          <t>RK-ABC2.5-I</t>
        </is>
      </c>
      <c r="B48" s="25" t="inlineStr">
        <is>
          <t>FL_MAT_ABC_2.5kg</t>
        </is>
      </c>
      <c r="C48" s="25" t="inlineStr">
        <is>
          <t>Extintor ABC 2,5 kg</t>
        </is>
      </c>
      <c r="D48" s="12" t="inlineStr">
        <is>
          <t>Según inspección (consumo estadístico a definir)</t>
        </is>
      </c>
      <c r="E48" s="12" t="inlineStr">
        <is>
          <t>Manómetro / manguera / tobera / kit de válvula</t>
        </is>
      </c>
      <c r="F48" s="25" t="inlineStr">
        <is>
          <t>-</t>
        </is>
      </c>
      <c r="G48" s="25" t="inlineStr">
        <is>
          <t>u</t>
        </is>
      </c>
      <c r="H48" s="12" t="inlineStr">
        <is>
          <t>Recambio sólo si falla</t>
        </is>
      </c>
      <c r="I48" s="12" t="inlineStr">
        <is>
          <t>IRAM 3517-2:2020 9.4.11 (cada manguera vuelve a su extintor)</t>
        </is>
      </c>
    </row>
    <row r="49">
      <c r="A49" s="25" t="inlineStr">
        <is>
          <t>RK-ABC5-A</t>
        </is>
      </c>
      <c r="B49" s="25" t="inlineStr">
        <is>
          <t>FL_MAT_ABC_5kg</t>
        </is>
      </c>
      <c r="C49" s="25" t="inlineStr">
        <is>
          <t>Extintor ABC 5 kg</t>
        </is>
      </c>
      <c r="D49" s="12" t="inlineStr">
        <is>
          <t>A - Extintor descargado (uso o descarga parcial)</t>
        </is>
      </c>
      <c r="E49" s="12" t="inlineStr">
        <is>
          <t>Polvo químico seco ABC (fosfato monoamónico)</t>
        </is>
      </c>
      <c r="F49" s="25" t="n">
        <v>5</v>
      </c>
      <c r="G49" s="25" t="inlineStr">
        <is>
          <t>kg</t>
        </is>
      </c>
      <c r="H49" s="12" t="inlineStr">
        <is>
          <t>Nuevo 100 %</t>
        </is>
      </c>
      <c r="I49" s="12" t="inlineStr">
        <is>
          <t>IRAM 3517-2:2020 9.9.1.4: el polvo de un extintor accionado no se reutiliza</t>
        </is>
      </c>
    </row>
    <row r="50">
      <c r="A50" s="25" t="inlineStr">
        <is>
          <t>RK-ABC5-A</t>
        </is>
      </c>
      <c r="B50" s="25" t="inlineStr">
        <is>
          <t>FL_MAT_ABC_5kg</t>
        </is>
      </c>
      <c r="C50" s="25" t="inlineStr">
        <is>
          <t>Extintor ABC 5 kg</t>
        </is>
      </c>
      <c r="D50" s="12" t="inlineStr">
        <is>
          <t>A - Extintor descargado (uso o descarga parcial)</t>
        </is>
      </c>
      <c r="E50" s="12" t="inlineStr">
        <is>
          <t>Precinto numerado nuevo</t>
        </is>
      </c>
      <c r="F50" s="25" t="n">
        <v>1</v>
      </c>
      <c r="G50" s="25" t="inlineStr">
        <is>
          <t>u</t>
        </is>
      </c>
      <c r="H50" s="12" t="inlineStr">
        <is>
          <t>Nuevo</t>
        </is>
      </c>
      <c r="I50" s="12" t="inlineStr">
        <is>
          <t>IRAM 3517-2:2020 9.4.13</t>
        </is>
      </c>
    </row>
    <row r="51">
      <c r="A51" s="25" t="inlineStr">
        <is>
          <t>RK-ABC5-A</t>
        </is>
      </c>
      <c r="B51" s="25" t="inlineStr">
        <is>
          <t>FL_MAT_ABC_5kg</t>
        </is>
      </c>
      <c r="C51" s="25" t="inlineStr">
        <is>
          <t>Extintor ABC 5 kg</t>
        </is>
      </c>
      <c r="D51" s="12" t="inlineStr">
        <is>
          <t>A - Extintor descargado (uso o descarga parcial)</t>
        </is>
      </c>
      <c r="E51" s="12" t="inlineStr">
        <is>
          <t>Marbete (anillo, color del año)</t>
        </is>
      </c>
      <c r="F51" s="25" t="n">
        <v>1</v>
      </c>
      <c r="G51" s="25" t="inlineStr">
        <is>
          <t>u</t>
        </is>
      </c>
      <c r="H51" s="12" t="inlineStr">
        <is>
          <t>Nuevo</t>
        </is>
      </c>
      <c r="I51" s="12" t="inlineStr">
        <is>
          <t>IRAM 3517-2:2020 9.4.14 · fig. 9 · tabla 4</t>
        </is>
      </c>
    </row>
    <row r="52">
      <c r="A52" s="25" t="inlineStr">
        <is>
          <t>RK-ABC5-A</t>
        </is>
      </c>
      <c r="B52" s="25" t="inlineStr">
        <is>
          <t>FL_MAT_ABC_5kg</t>
        </is>
      </c>
      <c r="C52" s="25" t="inlineStr">
        <is>
          <t>Extintor ABC 5 kg</t>
        </is>
      </c>
      <c r="D52" s="12" t="inlineStr">
        <is>
          <t>A - Extintor descargado (uso o descarga parcial)</t>
        </is>
      </c>
      <c r="E52" s="12" t="inlineStr">
        <is>
          <t>Tarjeta / etiqueta de control</t>
        </is>
      </c>
      <c r="F52" s="25" t="n">
        <v>1</v>
      </c>
      <c r="G52" s="25" t="inlineStr">
        <is>
          <t>u</t>
        </is>
      </c>
      <c r="H52" s="12" t="inlineStr">
        <is>
          <t>Nuevo</t>
        </is>
      </c>
      <c r="I52" s="12" t="inlineStr">
        <is>
          <t>IRAM 3517-2:2020 8.3.3</t>
        </is>
      </c>
    </row>
    <row r="53">
      <c r="A53" s="25" t="inlineStr">
        <is>
          <t>RK-ABC5-A</t>
        </is>
      </c>
      <c r="B53" s="25" t="inlineStr">
        <is>
          <t>FL_MAT_ABC_5kg</t>
        </is>
      </c>
      <c r="C53" s="25" t="inlineStr">
        <is>
          <t>Extintor ABC 5 kg</t>
        </is>
      </c>
      <c r="D53" s="12" t="inlineStr">
        <is>
          <t>A - Extintor descargado (uso o descarga parcial)</t>
        </is>
      </c>
      <c r="E53" s="12" t="inlineStr">
        <is>
          <t>Junta tórica de asiento del cuello</t>
        </is>
      </c>
      <c r="F53" s="25" t="n">
        <v>1</v>
      </c>
      <c r="G53" s="25" t="inlineStr">
        <is>
          <t>u</t>
        </is>
      </c>
      <c r="H53" s="12" t="inlineStr">
        <is>
          <t>Nuevo (R: cambio sistemático)</t>
        </is>
      </c>
      <c r="I53" s="12" t="inlineStr"/>
    </row>
    <row r="54">
      <c r="A54" s="25" t="inlineStr">
        <is>
          <t>RK-ABC5-A</t>
        </is>
      </c>
      <c r="B54" s="25" t="inlineStr">
        <is>
          <t>FL_MAT_ABC_5kg</t>
        </is>
      </c>
      <c r="C54" s="25" t="inlineStr">
        <is>
          <t>Extintor ABC 5 kg</t>
        </is>
      </c>
      <c r="D54" s="12" t="inlineStr">
        <is>
          <t>A - Extintor descargado (uso o descarga parcial)</t>
        </is>
      </c>
      <c r="E54" s="12" t="inlineStr">
        <is>
          <t>Gas impulsor N₂</t>
        </is>
      </c>
      <c r="F54" s="25" t="n">
        <v>0.0077</v>
      </c>
      <c r="G54" s="25" t="inlineStr">
        <is>
          <t>kg</t>
        </is>
      </c>
      <c r="H54" s="12" t="inlineStr">
        <is>
          <t>Nuevo</t>
        </is>
      </c>
      <c r="I54" s="12" t="inlineStr">
        <is>
          <t>IRAM 3517-2:2020 9.4.9 tabla 2</t>
        </is>
      </c>
    </row>
    <row r="55">
      <c r="A55" s="25" t="inlineStr">
        <is>
          <t>RK-ABC5-B</t>
        </is>
      </c>
      <c r="B55" s="25" t="inlineStr">
        <is>
          <t>FL_MAT_ABC_5kg</t>
        </is>
      </c>
      <c r="C55" s="25" t="inlineStr">
        <is>
          <t>Extintor ABC 5 kg</t>
        </is>
      </c>
      <c r="D55" s="12" t="inlineStr">
        <is>
          <t>B - Mantenimiento con apertura sin descarga (control interior, PH)</t>
        </is>
      </c>
      <c r="E55" s="12" t="inlineStr">
        <is>
          <t>Polvo químico seco ABC (fosfato monoamónico) recuperado</t>
        </is>
      </c>
      <c r="F55" s="25" t="n">
        <v>4.85</v>
      </c>
      <c r="G55" s="25" t="inlineStr">
        <is>
          <t>kg</t>
        </is>
      </c>
      <c r="H55" s="12" t="inlineStr">
        <is>
          <t>Recuperado en sistema cerrado</t>
        </is>
      </c>
      <c r="I55" s="12" t="inlineStr">
        <is>
          <t>IRAM 3517-2:2020 4.4.1 y) sistema cerrado de recuperación con inspección; 9.9.3 control (puffer IRAM 3672, fusión IRAM 3569 en ABC)</t>
        </is>
      </c>
    </row>
    <row r="56">
      <c r="A56" s="25" t="inlineStr">
        <is>
          <t>RK-ABC5-B</t>
        </is>
      </c>
      <c r="B56" s="25" t="inlineStr">
        <is>
          <t>FL_MAT_ABC_5kg</t>
        </is>
      </c>
      <c r="C56" s="25" t="inlineStr">
        <is>
          <t>Extintor ABC 5 kg</t>
        </is>
      </c>
      <c r="D56" s="12" t="inlineStr">
        <is>
          <t>B - Mantenimiento con apertura sin descarga (control interior, PH)</t>
        </is>
      </c>
      <c r="E56" s="12" t="inlineStr">
        <is>
          <t>Polvo químico seco ABC (fosfato monoamónico) de reposición de mermas</t>
        </is>
      </c>
      <c r="F56" s="25" t="n">
        <v>0.15</v>
      </c>
      <c r="G56" s="25" t="inlineStr">
        <is>
          <t>kg</t>
        </is>
      </c>
      <c r="H56" s="12" t="inlineStr">
        <is>
          <t>Nuevo (R: 3 % de merma)</t>
        </is>
      </c>
      <c r="I56" s="12" t="inlineStr">
        <is>
          <t>Mismo tipo y marca (prohibido mezclar ABC con BC, 9.9.1.6)</t>
        </is>
      </c>
    </row>
    <row r="57">
      <c r="A57" s="25" t="inlineStr">
        <is>
          <t>RK-ABC5-B</t>
        </is>
      </c>
      <c r="B57" s="25" t="inlineStr">
        <is>
          <t>FL_MAT_ABC_5kg</t>
        </is>
      </c>
      <c r="C57" s="25" t="inlineStr">
        <is>
          <t>Extintor ABC 5 kg</t>
        </is>
      </c>
      <c r="D57" s="12" t="inlineStr">
        <is>
          <t>B - Mantenimiento con apertura sin descarga (control interior, PH)</t>
        </is>
      </c>
      <c r="E57" s="12" t="inlineStr">
        <is>
          <t>Precinto numerado nuevo</t>
        </is>
      </c>
      <c r="F57" s="25" t="n">
        <v>1</v>
      </c>
      <c r="G57" s="25" t="inlineStr">
        <is>
          <t>u</t>
        </is>
      </c>
      <c r="H57" s="12" t="inlineStr">
        <is>
          <t>Nuevo</t>
        </is>
      </c>
      <c r="I57" s="12" t="inlineStr">
        <is>
          <t>IRAM 3517-2:2020 9.4.13</t>
        </is>
      </c>
    </row>
    <row r="58">
      <c r="A58" s="25" t="inlineStr">
        <is>
          <t>RK-ABC5-B</t>
        </is>
      </c>
      <c r="B58" s="25" t="inlineStr">
        <is>
          <t>FL_MAT_ABC_5kg</t>
        </is>
      </c>
      <c r="C58" s="25" t="inlineStr">
        <is>
          <t>Extintor ABC 5 kg</t>
        </is>
      </c>
      <c r="D58" s="12" t="inlineStr">
        <is>
          <t>B - Mantenimiento con apertura sin descarga (control interior, PH)</t>
        </is>
      </c>
      <c r="E58" s="12" t="inlineStr">
        <is>
          <t>Marbete (anillo, color del año)</t>
        </is>
      </c>
      <c r="F58" s="25" t="n">
        <v>1</v>
      </c>
      <c r="G58" s="25" t="inlineStr">
        <is>
          <t>u</t>
        </is>
      </c>
      <c r="H58" s="12" t="inlineStr">
        <is>
          <t>Nuevo</t>
        </is>
      </c>
      <c r="I58" s="12" t="inlineStr">
        <is>
          <t>IRAM 3517-2:2020 9.4.14 · fig. 9 · tabla 4</t>
        </is>
      </c>
    </row>
    <row r="59">
      <c r="A59" s="25" t="inlineStr">
        <is>
          <t>RK-ABC5-B</t>
        </is>
      </c>
      <c r="B59" s="25" t="inlineStr">
        <is>
          <t>FL_MAT_ABC_5kg</t>
        </is>
      </c>
      <c r="C59" s="25" t="inlineStr">
        <is>
          <t>Extintor ABC 5 kg</t>
        </is>
      </c>
      <c r="D59" s="12" t="inlineStr">
        <is>
          <t>B - Mantenimiento con apertura sin descarga (control interior, PH)</t>
        </is>
      </c>
      <c r="E59" s="12" t="inlineStr">
        <is>
          <t>Tarjeta / etiqueta de control</t>
        </is>
      </c>
      <c r="F59" s="25" t="n">
        <v>1</v>
      </c>
      <c r="G59" s="25" t="inlineStr">
        <is>
          <t>u</t>
        </is>
      </c>
      <c r="H59" s="12" t="inlineStr">
        <is>
          <t>Nuevo</t>
        </is>
      </c>
      <c r="I59" s="12" t="inlineStr">
        <is>
          <t>IRAM 3517-2:2020 8.3.3</t>
        </is>
      </c>
    </row>
    <row r="60">
      <c r="A60" s="25" t="inlineStr">
        <is>
          <t>RK-ABC5-B</t>
        </is>
      </c>
      <c r="B60" s="25" t="inlineStr">
        <is>
          <t>FL_MAT_ABC_5kg</t>
        </is>
      </c>
      <c r="C60" s="25" t="inlineStr">
        <is>
          <t>Extintor ABC 5 kg</t>
        </is>
      </c>
      <c r="D60" s="12" t="inlineStr">
        <is>
          <t>B - Mantenimiento con apertura sin descarga (control interior, PH)</t>
        </is>
      </c>
      <c r="E60" s="12" t="inlineStr">
        <is>
          <t>Junta tórica de asiento del cuello</t>
        </is>
      </c>
      <c r="F60" s="25" t="n">
        <v>1</v>
      </c>
      <c r="G60" s="25" t="inlineStr">
        <is>
          <t>u</t>
        </is>
      </c>
      <c r="H60" s="12" t="inlineStr">
        <is>
          <t>Nuevo (R: cambio sistemático)</t>
        </is>
      </c>
      <c r="I60" s="12" t="inlineStr"/>
    </row>
    <row r="61">
      <c r="A61" s="25" t="inlineStr">
        <is>
          <t>RK-ABC5-B</t>
        </is>
      </c>
      <c r="B61" s="25" t="inlineStr">
        <is>
          <t>FL_MAT_ABC_5kg</t>
        </is>
      </c>
      <c r="C61" s="25" t="inlineStr">
        <is>
          <t>Extintor ABC 5 kg</t>
        </is>
      </c>
      <c r="D61" s="12" t="inlineStr">
        <is>
          <t>B - Mantenimiento con apertura sin descarga (control interior, PH)</t>
        </is>
      </c>
      <c r="E61" s="12" t="inlineStr">
        <is>
          <t>Gas impulsor N₂</t>
        </is>
      </c>
      <c r="F61" s="25" t="n">
        <v>0.0077</v>
      </c>
      <c r="G61" s="25" t="inlineStr">
        <is>
          <t>kg</t>
        </is>
      </c>
      <c r="H61" s="12" t="inlineStr">
        <is>
          <t>Nuevo</t>
        </is>
      </c>
      <c r="I61" s="12" t="inlineStr">
        <is>
          <t>IRAM 3517-2:2020 9.4.9 tabla 2</t>
        </is>
      </c>
    </row>
    <row r="62">
      <c r="A62" s="25" t="inlineStr">
        <is>
          <t>RK-ABC5-C</t>
        </is>
      </c>
      <c r="B62" s="25" t="inlineStr">
        <is>
          <t>FL_MAT_ABC_5kg</t>
        </is>
      </c>
      <c r="C62" s="25" t="inlineStr">
        <is>
          <t>Extintor ABC 5 kg</t>
        </is>
      </c>
      <c r="D62" s="12" t="inlineStr">
        <is>
          <t>C - Cambio obligatorio de polvo (versión anterior de la IRAM 3569)</t>
        </is>
      </c>
      <c r="E62" s="12" t="inlineStr">
        <is>
          <t>Polvo químico seco ABC (fosfato monoamónico)</t>
        </is>
      </c>
      <c r="F62" s="25" t="n">
        <v>5</v>
      </c>
      <c r="G62" s="25" t="inlineStr">
        <is>
          <t>kg</t>
        </is>
      </c>
      <c r="H62" s="12" t="inlineStr">
        <is>
          <t>Nuevo 100 %; el viejo va a residuos (RC-IR)</t>
        </is>
      </c>
      <c r="I62" s="12" t="inlineStr">
        <is>
          <t>IRAM 3517-2:2020 9.9.4</t>
        </is>
      </c>
    </row>
    <row r="63">
      <c r="A63" s="25" t="inlineStr">
        <is>
          <t>RK-ABC5-C</t>
        </is>
      </c>
      <c r="B63" s="25" t="inlineStr">
        <is>
          <t>FL_MAT_ABC_5kg</t>
        </is>
      </c>
      <c r="C63" s="25" t="inlineStr">
        <is>
          <t>Extintor ABC 5 kg</t>
        </is>
      </c>
      <c r="D63" s="12" t="inlineStr">
        <is>
          <t>C - Cambio obligatorio de polvo (versión anterior de la IRAM 3569)</t>
        </is>
      </c>
      <c r="E63" s="12" t="inlineStr">
        <is>
          <t>Precinto numerado nuevo</t>
        </is>
      </c>
      <c r="F63" s="25" t="n">
        <v>1</v>
      </c>
      <c r="G63" s="25" t="inlineStr">
        <is>
          <t>u</t>
        </is>
      </c>
      <c r="H63" s="12" t="inlineStr">
        <is>
          <t>Nuevo</t>
        </is>
      </c>
      <c r="I63" s="12" t="inlineStr">
        <is>
          <t>IRAM 3517-2:2020 9.4.13</t>
        </is>
      </c>
    </row>
    <row r="64">
      <c r="A64" s="25" t="inlineStr">
        <is>
          <t>RK-ABC5-C</t>
        </is>
      </c>
      <c r="B64" s="25" t="inlineStr">
        <is>
          <t>FL_MAT_ABC_5kg</t>
        </is>
      </c>
      <c r="C64" s="25" t="inlineStr">
        <is>
          <t>Extintor ABC 5 kg</t>
        </is>
      </c>
      <c r="D64" s="12" t="inlineStr">
        <is>
          <t>C - Cambio obligatorio de polvo (versión anterior de la IRAM 3569)</t>
        </is>
      </c>
      <c r="E64" s="12" t="inlineStr">
        <is>
          <t>Marbete (anillo, color del año)</t>
        </is>
      </c>
      <c r="F64" s="25" t="n">
        <v>1</v>
      </c>
      <c r="G64" s="25" t="inlineStr">
        <is>
          <t>u</t>
        </is>
      </c>
      <c r="H64" s="12" t="inlineStr">
        <is>
          <t>Nuevo</t>
        </is>
      </c>
      <c r="I64" s="12" t="inlineStr">
        <is>
          <t>IRAM 3517-2:2020 9.4.14 · fig. 9 · tabla 4</t>
        </is>
      </c>
    </row>
    <row r="65">
      <c r="A65" s="25" t="inlineStr">
        <is>
          <t>RK-ABC5-C</t>
        </is>
      </c>
      <c r="B65" s="25" t="inlineStr">
        <is>
          <t>FL_MAT_ABC_5kg</t>
        </is>
      </c>
      <c r="C65" s="25" t="inlineStr">
        <is>
          <t>Extintor ABC 5 kg</t>
        </is>
      </c>
      <c r="D65" s="12" t="inlineStr">
        <is>
          <t>C - Cambio obligatorio de polvo (versión anterior de la IRAM 3569)</t>
        </is>
      </c>
      <c r="E65" s="12" t="inlineStr">
        <is>
          <t>Tarjeta / etiqueta de control</t>
        </is>
      </c>
      <c r="F65" s="25" t="n">
        <v>1</v>
      </c>
      <c r="G65" s="25" t="inlineStr">
        <is>
          <t>u</t>
        </is>
      </c>
      <c r="H65" s="12" t="inlineStr">
        <is>
          <t>Nuevo</t>
        </is>
      </c>
      <c r="I65" s="12" t="inlineStr">
        <is>
          <t>IRAM 3517-2:2020 8.3.3</t>
        </is>
      </c>
    </row>
    <row r="66">
      <c r="A66" s="25" t="inlineStr">
        <is>
          <t>RK-ABC5-C</t>
        </is>
      </c>
      <c r="B66" s="25" t="inlineStr">
        <is>
          <t>FL_MAT_ABC_5kg</t>
        </is>
      </c>
      <c r="C66" s="25" t="inlineStr">
        <is>
          <t>Extintor ABC 5 kg</t>
        </is>
      </c>
      <c r="D66" s="12" t="inlineStr">
        <is>
          <t>C - Cambio obligatorio de polvo (versión anterior de la IRAM 3569)</t>
        </is>
      </c>
      <c r="E66" s="12" t="inlineStr">
        <is>
          <t>Junta tórica de asiento del cuello</t>
        </is>
      </c>
      <c r="F66" s="25" t="n">
        <v>1</v>
      </c>
      <c r="G66" s="25" t="inlineStr">
        <is>
          <t>u</t>
        </is>
      </c>
      <c r="H66" s="12" t="inlineStr">
        <is>
          <t>Nuevo (R: cambio sistemático)</t>
        </is>
      </c>
      <c r="I66" s="12" t="inlineStr"/>
    </row>
    <row r="67">
      <c r="A67" s="25" t="inlineStr">
        <is>
          <t>RK-ABC5-C</t>
        </is>
      </c>
      <c r="B67" s="25" t="inlineStr">
        <is>
          <t>FL_MAT_ABC_5kg</t>
        </is>
      </c>
      <c r="C67" s="25" t="inlineStr">
        <is>
          <t>Extintor ABC 5 kg</t>
        </is>
      </c>
      <c r="D67" s="12" t="inlineStr">
        <is>
          <t>C - Cambio obligatorio de polvo (versión anterior de la IRAM 3569)</t>
        </is>
      </c>
      <c r="E67" s="12" t="inlineStr">
        <is>
          <t>Gas impulsor N₂</t>
        </is>
      </c>
      <c r="F67" s="25" t="n">
        <v>0.0077</v>
      </c>
      <c r="G67" s="25" t="inlineStr">
        <is>
          <t>kg</t>
        </is>
      </c>
      <c r="H67" s="12" t="inlineStr">
        <is>
          <t>Nuevo</t>
        </is>
      </c>
      <c r="I67" s="12" t="inlineStr">
        <is>
          <t>IRAM 3517-2:2020 9.4.9 tabla 2</t>
        </is>
      </c>
    </row>
    <row r="68">
      <c r="A68" s="25" t="inlineStr">
        <is>
          <t>RK-ABC5-I</t>
        </is>
      </c>
      <c r="B68" s="25" t="inlineStr">
        <is>
          <t>FL_MAT_ABC_5kg</t>
        </is>
      </c>
      <c r="C68" s="25" t="inlineStr">
        <is>
          <t>Extintor ABC 5 kg</t>
        </is>
      </c>
      <c r="D68" s="12" t="inlineStr">
        <is>
          <t>Según inspección (consumo estadístico a definir)</t>
        </is>
      </c>
      <c r="E68" s="12" t="inlineStr">
        <is>
          <t>Manómetro / manguera / tobera / kit de válvula</t>
        </is>
      </c>
      <c r="F68" s="25" t="inlineStr">
        <is>
          <t>-</t>
        </is>
      </c>
      <c r="G68" s="25" t="inlineStr">
        <is>
          <t>u</t>
        </is>
      </c>
      <c r="H68" s="12" t="inlineStr">
        <is>
          <t>Recambio sólo si falla</t>
        </is>
      </c>
      <c r="I68" s="12" t="inlineStr">
        <is>
          <t>IRAM 3517-2:2020 9.4.11 (cada manguera vuelve a su extintor)</t>
        </is>
      </c>
    </row>
    <row r="69">
      <c r="A69" s="25" t="inlineStr">
        <is>
          <t>RK-ABC10-A</t>
        </is>
      </c>
      <c r="B69" s="25" t="inlineStr">
        <is>
          <t>FL_MAT_ABC_10kg</t>
        </is>
      </c>
      <c r="C69" s="25" t="inlineStr">
        <is>
          <t>Extintor ABC 10 kg</t>
        </is>
      </c>
      <c r="D69" s="12" t="inlineStr">
        <is>
          <t>A - Extintor descargado (uso o descarga parcial)</t>
        </is>
      </c>
      <c r="E69" s="12" t="inlineStr">
        <is>
          <t>Polvo químico seco ABC (fosfato monoamónico)</t>
        </is>
      </c>
      <c r="F69" s="25" t="n">
        <v>10</v>
      </c>
      <c r="G69" s="25" t="inlineStr">
        <is>
          <t>kg</t>
        </is>
      </c>
      <c r="H69" s="12" t="inlineStr">
        <is>
          <t>Nuevo 100 %</t>
        </is>
      </c>
      <c r="I69" s="12" t="inlineStr">
        <is>
          <t>IRAM 3517-2:2020 9.9.1.4: el polvo de un extintor accionado no se reutiliza</t>
        </is>
      </c>
    </row>
    <row r="70">
      <c r="A70" s="25" t="inlineStr">
        <is>
          <t>RK-ABC10-A</t>
        </is>
      </c>
      <c r="B70" s="25" t="inlineStr">
        <is>
          <t>FL_MAT_ABC_10kg</t>
        </is>
      </c>
      <c r="C70" s="25" t="inlineStr">
        <is>
          <t>Extintor ABC 10 kg</t>
        </is>
      </c>
      <c r="D70" s="12" t="inlineStr">
        <is>
          <t>A - Extintor descargado (uso o descarga parcial)</t>
        </is>
      </c>
      <c r="E70" s="12" t="inlineStr">
        <is>
          <t>Precinto numerado nuevo</t>
        </is>
      </c>
      <c r="F70" s="25" t="n">
        <v>1</v>
      </c>
      <c r="G70" s="25" t="inlineStr">
        <is>
          <t>u</t>
        </is>
      </c>
      <c r="H70" s="12" t="inlineStr">
        <is>
          <t>Nuevo</t>
        </is>
      </c>
      <c r="I70" s="12" t="inlineStr">
        <is>
          <t>IRAM 3517-2:2020 9.4.13</t>
        </is>
      </c>
    </row>
    <row r="71">
      <c r="A71" s="25" t="inlineStr">
        <is>
          <t>RK-ABC10-A</t>
        </is>
      </c>
      <c r="B71" s="25" t="inlineStr">
        <is>
          <t>FL_MAT_ABC_10kg</t>
        </is>
      </c>
      <c r="C71" s="25" t="inlineStr">
        <is>
          <t>Extintor ABC 10 kg</t>
        </is>
      </c>
      <c r="D71" s="12" t="inlineStr">
        <is>
          <t>A - Extintor descargado (uso o descarga parcial)</t>
        </is>
      </c>
      <c r="E71" s="12" t="inlineStr">
        <is>
          <t>Marbete (anillo, color del año)</t>
        </is>
      </c>
      <c r="F71" s="25" t="n">
        <v>1</v>
      </c>
      <c r="G71" s="25" t="inlineStr">
        <is>
          <t>u</t>
        </is>
      </c>
      <c r="H71" s="12" t="inlineStr">
        <is>
          <t>Nuevo</t>
        </is>
      </c>
      <c r="I71" s="12" t="inlineStr">
        <is>
          <t>IRAM 3517-2:2020 9.4.14 · fig. 9 · tabla 4</t>
        </is>
      </c>
    </row>
    <row r="72">
      <c r="A72" s="25" t="inlineStr">
        <is>
          <t>RK-ABC10-A</t>
        </is>
      </c>
      <c r="B72" s="25" t="inlineStr">
        <is>
          <t>FL_MAT_ABC_10kg</t>
        </is>
      </c>
      <c r="C72" s="25" t="inlineStr">
        <is>
          <t>Extintor ABC 10 kg</t>
        </is>
      </c>
      <c r="D72" s="12" t="inlineStr">
        <is>
          <t>A - Extintor descargado (uso o descarga parcial)</t>
        </is>
      </c>
      <c r="E72" s="12" t="inlineStr">
        <is>
          <t>Tarjeta / etiqueta de control</t>
        </is>
      </c>
      <c r="F72" s="25" t="n">
        <v>1</v>
      </c>
      <c r="G72" s="25" t="inlineStr">
        <is>
          <t>u</t>
        </is>
      </c>
      <c r="H72" s="12" t="inlineStr">
        <is>
          <t>Nuevo</t>
        </is>
      </c>
      <c r="I72" s="12" t="inlineStr">
        <is>
          <t>IRAM 3517-2:2020 8.3.3</t>
        </is>
      </c>
    </row>
    <row r="73">
      <c r="A73" s="25" t="inlineStr">
        <is>
          <t>RK-ABC10-A</t>
        </is>
      </c>
      <c r="B73" s="25" t="inlineStr">
        <is>
          <t>FL_MAT_ABC_10kg</t>
        </is>
      </c>
      <c r="C73" s="25" t="inlineStr">
        <is>
          <t>Extintor ABC 10 kg</t>
        </is>
      </c>
      <c r="D73" s="12" t="inlineStr">
        <is>
          <t>A - Extintor descargado (uso o descarga parcial)</t>
        </is>
      </c>
      <c r="E73" s="12" t="inlineStr">
        <is>
          <t>Junta tórica de asiento del cuello</t>
        </is>
      </c>
      <c r="F73" s="25" t="n">
        <v>1</v>
      </c>
      <c r="G73" s="25" t="inlineStr">
        <is>
          <t>u</t>
        </is>
      </c>
      <c r="H73" s="12" t="inlineStr">
        <is>
          <t>Nuevo (R: cambio sistemático)</t>
        </is>
      </c>
      <c r="I73" s="12" t="inlineStr"/>
    </row>
    <row r="74">
      <c r="A74" s="25" t="inlineStr">
        <is>
          <t>RK-ABC10-A</t>
        </is>
      </c>
      <c r="B74" s="25" t="inlineStr">
        <is>
          <t>FL_MAT_ABC_10kg</t>
        </is>
      </c>
      <c r="C74" s="25" t="inlineStr">
        <is>
          <t>Extintor ABC 10 kg</t>
        </is>
      </c>
      <c r="D74" s="12" t="inlineStr">
        <is>
          <t>A - Extintor descargado (uso o descarga parcial)</t>
        </is>
      </c>
      <c r="E74" s="12" t="inlineStr">
        <is>
          <t>Gas impulsor N₂</t>
        </is>
      </c>
      <c r="F74" s="25" t="n">
        <v>0.024</v>
      </c>
      <c r="G74" s="25" t="inlineStr">
        <is>
          <t>kg</t>
        </is>
      </c>
      <c r="H74" s="12" t="inlineStr">
        <is>
          <t>Nuevo</t>
        </is>
      </c>
      <c r="I74" s="12" t="inlineStr">
        <is>
          <t>IRAM 3517-2:2020 9.4.9 tabla 2</t>
        </is>
      </c>
    </row>
    <row r="75">
      <c r="A75" s="25" t="inlineStr">
        <is>
          <t>RK-ABC10-B</t>
        </is>
      </c>
      <c r="B75" s="25" t="inlineStr">
        <is>
          <t>FL_MAT_ABC_10kg</t>
        </is>
      </c>
      <c r="C75" s="25" t="inlineStr">
        <is>
          <t>Extintor ABC 10 kg</t>
        </is>
      </c>
      <c r="D75" s="12" t="inlineStr">
        <is>
          <t>B - Mantenimiento con apertura sin descarga (control interior, PH)</t>
        </is>
      </c>
      <c r="E75" s="12" t="inlineStr">
        <is>
          <t>Polvo químico seco ABC (fosfato monoamónico) recuperado</t>
        </is>
      </c>
      <c r="F75" s="25" t="n">
        <v>9.699999999999999</v>
      </c>
      <c r="G75" s="25" t="inlineStr">
        <is>
          <t>kg</t>
        </is>
      </c>
      <c r="H75" s="12" t="inlineStr">
        <is>
          <t>Recuperado en sistema cerrado</t>
        </is>
      </c>
      <c r="I75" s="12" t="inlineStr">
        <is>
          <t>IRAM 3517-2:2020 4.4.1 y) sistema cerrado de recuperación con inspección; 9.9.3 control (puffer IRAM 3672, fusión IRAM 3569 en ABC)</t>
        </is>
      </c>
    </row>
    <row r="76">
      <c r="A76" s="25" t="inlineStr">
        <is>
          <t>RK-ABC10-B</t>
        </is>
      </c>
      <c r="B76" s="25" t="inlineStr">
        <is>
          <t>FL_MAT_ABC_10kg</t>
        </is>
      </c>
      <c r="C76" s="25" t="inlineStr">
        <is>
          <t>Extintor ABC 10 kg</t>
        </is>
      </c>
      <c r="D76" s="12" t="inlineStr">
        <is>
          <t>B - Mantenimiento con apertura sin descarga (control interior, PH)</t>
        </is>
      </c>
      <c r="E76" s="12" t="inlineStr">
        <is>
          <t>Polvo químico seco ABC (fosfato monoamónico) de reposición de mermas</t>
        </is>
      </c>
      <c r="F76" s="25" t="n">
        <v>0.3</v>
      </c>
      <c r="G76" s="25" t="inlineStr">
        <is>
          <t>kg</t>
        </is>
      </c>
      <c r="H76" s="12" t="inlineStr">
        <is>
          <t>Nuevo (R: 3 % de merma)</t>
        </is>
      </c>
      <c r="I76" s="12" t="inlineStr">
        <is>
          <t>Mismo tipo y marca (prohibido mezclar ABC con BC, 9.9.1.6)</t>
        </is>
      </c>
    </row>
    <row r="77">
      <c r="A77" s="25" t="inlineStr">
        <is>
          <t>RK-ABC10-B</t>
        </is>
      </c>
      <c r="B77" s="25" t="inlineStr">
        <is>
          <t>FL_MAT_ABC_10kg</t>
        </is>
      </c>
      <c r="C77" s="25" t="inlineStr">
        <is>
          <t>Extintor ABC 10 kg</t>
        </is>
      </c>
      <c r="D77" s="12" t="inlineStr">
        <is>
          <t>B - Mantenimiento con apertura sin descarga (control interior, PH)</t>
        </is>
      </c>
      <c r="E77" s="12" t="inlineStr">
        <is>
          <t>Precinto numerado nuevo</t>
        </is>
      </c>
      <c r="F77" s="25" t="n">
        <v>1</v>
      </c>
      <c r="G77" s="25" t="inlineStr">
        <is>
          <t>u</t>
        </is>
      </c>
      <c r="H77" s="12" t="inlineStr">
        <is>
          <t>Nuevo</t>
        </is>
      </c>
      <c r="I77" s="12" t="inlineStr">
        <is>
          <t>IRAM 3517-2:2020 9.4.13</t>
        </is>
      </c>
    </row>
    <row r="78">
      <c r="A78" s="25" t="inlineStr">
        <is>
          <t>RK-ABC10-B</t>
        </is>
      </c>
      <c r="B78" s="25" t="inlineStr">
        <is>
          <t>FL_MAT_ABC_10kg</t>
        </is>
      </c>
      <c r="C78" s="25" t="inlineStr">
        <is>
          <t>Extintor ABC 10 kg</t>
        </is>
      </c>
      <c r="D78" s="12" t="inlineStr">
        <is>
          <t>B - Mantenimiento con apertura sin descarga (control interior, PH)</t>
        </is>
      </c>
      <c r="E78" s="12" t="inlineStr">
        <is>
          <t>Marbete (anillo, color del año)</t>
        </is>
      </c>
      <c r="F78" s="25" t="n">
        <v>1</v>
      </c>
      <c r="G78" s="25" t="inlineStr">
        <is>
          <t>u</t>
        </is>
      </c>
      <c r="H78" s="12" t="inlineStr">
        <is>
          <t>Nuevo</t>
        </is>
      </c>
      <c r="I78" s="12" t="inlineStr">
        <is>
          <t>IRAM 3517-2:2020 9.4.14 · fig. 9 · tabla 4</t>
        </is>
      </c>
    </row>
    <row r="79">
      <c r="A79" s="25" t="inlineStr">
        <is>
          <t>RK-ABC10-B</t>
        </is>
      </c>
      <c r="B79" s="25" t="inlineStr">
        <is>
          <t>FL_MAT_ABC_10kg</t>
        </is>
      </c>
      <c r="C79" s="25" t="inlineStr">
        <is>
          <t>Extintor ABC 10 kg</t>
        </is>
      </c>
      <c r="D79" s="12" t="inlineStr">
        <is>
          <t>B - Mantenimiento con apertura sin descarga (control interior, PH)</t>
        </is>
      </c>
      <c r="E79" s="12" t="inlineStr">
        <is>
          <t>Tarjeta / etiqueta de control</t>
        </is>
      </c>
      <c r="F79" s="25" t="n">
        <v>1</v>
      </c>
      <c r="G79" s="25" t="inlineStr">
        <is>
          <t>u</t>
        </is>
      </c>
      <c r="H79" s="12" t="inlineStr">
        <is>
          <t>Nuevo</t>
        </is>
      </c>
      <c r="I79" s="12" t="inlineStr">
        <is>
          <t>IRAM 3517-2:2020 8.3.3</t>
        </is>
      </c>
    </row>
    <row r="80">
      <c r="A80" s="25" t="inlineStr">
        <is>
          <t>RK-ABC10-B</t>
        </is>
      </c>
      <c r="B80" s="25" t="inlineStr">
        <is>
          <t>FL_MAT_ABC_10kg</t>
        </is>
      </c>
      <c r="C80" s="25" t="inlineStr">
        <is>
          <t>Extintor ABC 10 kg</t>
        </is>
      </c>
      <c r="D80" s="12" t="inlineStr">
        <is>
          <t>B - Mantenimiento con apertura sin descarga (control interior, PH)</t>
        </is>
      </c>
      <c r="E80" s="12" t="inlineStr">
        <is>
          <t>Junta tórica de asiento del cuello</t>
        </is>
      </c>
      <c r="F80" s="25" t="n">
        <v>1</v>
      </c>
      <c r="G80" s="25" t="inlineStr">
        <is>
          <t>u</t>
        </is>
      </c>
      <c r="H80" s="12" t="inlineStr">
        <is>
          <t>Nuevo (R: cambio sistemático)</t>
        </is>
      </c>
      <c r="I80" s="12" t="inlineStr"/>
    </row>
    <row r="81">
      <c r="A81" s="25" t="inlineStr">
        <is>
          <t>RK-ABC10-B</t>
        </is>
      </c>
      <c r="B81" s="25" t="inlineStr">
        <is>
          <t>FL_MAT_ABC_10kg</t>
        </is>
      </c>
      <c r="C81" s="25" t="inlineStr">
        <is>
          <t>Extintor ABC 10 kg</t>
        </is>
      </c>
      <c r="D81" s="12" t="inlineStr">
        <is>
          <t>B - Mantenimiento con apertura sin descarga (control interior, PH)</t>
        </is>
      </c>
      <c r="E81" s="12" t="inlineStr">
        <is>
          <t>Gas impulsor N₂</t>
        </is>
      </c>
      <c r="F81" s="25" t="n">
        <v>0.024</v>
      </c>
      <c r="G81" s="25" t="inlineStr">
        <is>
          <t>kg</t>
        </is>
      </c>
      <c r="H81" s="12" t="inlineStr">
        <is>
          <t>Nuevo</t>
        </is>
      </c>
      <c r="I81" s="12" t="inlineStr">
        <is>
          <t>IRAM 3517-2:2020 9.4.9 tabla 2</t>
        </is>
      </c>
    </row>
    <row r="82">
      <c r="A82" s="25" t="inlineStr">
        <is>
          <t>RK-ABC10-C</t>
        </is>
      </c>
      <c r="B82" s="25" t="inlineStr">
        <is>
          <t>FL_MAT_ABC_10kg</t>
        </is>
      </c>
      <c r="C82" s="25" t="inlineStr">
        <is>
          <t>Extintor ABC 10 kg</t>
        </is>
      </c>
      <c r="D82" s="12" t="inlineStr">
        <is>
          <t>C - Cambio obligatorio de polvo (versión anterior de la IRAM 3569)</t>
        </is>
      </c>
      <c r="E82" s="12" t="inlineStr">
        <is>
          <t>Polvo químico seco ABC (fosfato monoamónico)</t>
        </is>
      </c>
      <c r="F82" s="25" t="n">
        <v>10</v>
      </c>
      <c r="G82" s="25" t="inlineStr">
        <is>
          <t>kg</t>
        </is>
      </c>
      <c r="H82" s="12" t="inlineStr">
        <is>
          <t>Nuevo 100 %; el viejo va a residuos (RC-IR)</t>
        </is>
      </c>
      <c r="I82" s="12" t="inlineStr">
        <is>
          <t>IRAM 3517-2:2020 9.9.4</t>
        </is>
      </c>
    </row>
    <row r="83">
      <c r="A83" s="25" t="inlineStr">
        <is>
          <t>RK-ABC10-C</t>
        </is>
      </c>
      <c r="B83" s="25" t="inlineStr">
        <is>
          <t>FL_MAT_ABC_10kg</t>
        </is>
      </c>
      <c r="C83" s="25" t="inlineStr">
        <is>
          <t>Extintor ABC 10 kg</t>
        </is>
      </c>
      <c r="D83" s="12" t="inlineStr">
        <is>
          <t>C - Cambio obligatorio de polvo (versión anterior de la IRAM 3569)</t>
        </is>
      </c>
      <c r="E83" s="12" t="inlineStr">
        <is>
          <t>Precinto numerado nuevo</t>
        </is>
      </c>
      <c r="F83" s="25" t="n">
        <v>1</v>
      </c>
      <c r="G83" s="25" t="inlineStr">
        <is>
          <t>u</t>
        </is>
      </c>
      <c r="H83" s="12" t="inlineStr">
        <is>
          <t>Nuevo</t>
        </is>
      </c>
      <c r="I83" s="12" t="inlineStr">
        <is>
          <t>IRAM 3517-2:2020 9.4.13</t>
        </is>
      </c>
    </row>
    <row r="84">
      <c r="A84" s="25" t="inlineStr">
        <is>
          <t>RK-ABC10-C</t>
        </is>
      </c>
      <c r="B84" s="25" t="inlineStr">
        <is>
          <t>FL_MAT_ABC_10kg</t>
        </is>
      </c>
      <c r="C84" s="25" t="inlineStr">
        <is>
          <t>Extintor ABC 10 kg</t>
        </is>
      </c>
      <c r="D84" s="12" t="inlineStr">
        <is>
          <t>C - Cambio obligatorio de polvo (versión anterior de la IRAM 3569)</t>
        </is>
      </c>
      <c r="E84" s="12" t="inlineStr">
        <is>
          <t>Marbete (anillo, color del año)</t>
        </is>
      </c>
      <c r="F84" s="25" t="n">
        <v>1</v>
      </c>
      <c r="G84" s="25" t="inlineStr">
        <is>
          <t>u</t>
        </is>
      </c>
      <c r="H84" s="12" t="inlineStr">
        <is>
          <t>Nuevo</t>
        </is>
      </c>
      <c r="I84" s="12" t="inlineStr">
        <is>
          <t>IRAM 3517-2:2020 9.4.14 · fig. 9 · tabla 4</t>
        </is>
      </c>
    </row>
    <row r="85">
      <c r="A85" s="25" t="inlineStr">
        <is>
          <t>RK-ABC10-C</t>
        </is>
      </c>
      <c r="B85" s="25" t="inlineStr">
        <is>
          <t>FL_MAT_ABC_10kg</t>
        </is>
      </c>
      <c r="C85" s="25" t="inlineStr">
        <is>
          <t>Extintor ABC 10 kg</t>
        </is>
      </c>
      <c r="D85" s="12" t="inlineStr">
        <is>
          <t>C - Cambio obligatorio de polvo (versión anterior de la IRAM 3569)</t>
        </is>
      </c>
      <c r="E85" s="12" t="inlineStr">
        <is>
          <t>Tarjeta / etiqueta de control</t>
        </is>
      </c>
      <c r="F85" s="25" t="n">
        <v>1</v>
      </c>
      <c r="G85" s="25" t="inlineStr">
        <is>
          <t>u</t>
        </is>
      </c>
      <c r="H85" s="12" t="inlineStr">
        <is>
          <t>Nuevo</t>
        </is>
      </c>
      <c r="I85" s="12" t="inlineStr">
        <is>
          <t>IRAM 3517-2:2020 8.3.3</t>
        </is>
      </c>
    </row>
    <row r="86">
      <c r="A86" s="25" t="inlineStr">
        <is>
          <t>RK-ABC10-C</t>
        </is>
      </c>
      <c r="B86" s="25" t="inlineStr">
        <is>
          <t>FL_MAT_ABC_10kg</t>
        </is>
      </c>
      <c r="C86" s="25" t="inlineStr">
        <is>
          <t>Extintor ABC 10 kg</t>
        </is>
      </c>
      <c r="D86" s="12" t="inlineStr">
        <is>
          <t>C - Cambio obligatorio de polvo (versión anterior de la IRAM 3569)</t>
        </is>
      </c>
      <c r="E86" s="12" t="inlineStr">
        <is>
          <t>Junta tórica de asiento del cuello</t>
        </is>
      </c>
      <c r="F86" s="25" t="n">
        <v>1</v>
      </c>
      <c r="G86" s="25" t="inlineStr">
        <is>
          <t>u</t>
        </is>
      </c>
      <c r="H86" s="12" t="inlineStr">
        <is>
          <t>Nuevo (R: cambio sistemático)</t>
        </is>
      </c>
      <c r="I86" s="12" t="inlineStr"/>
    </row>
    <row r="87">
      <c r="A87" s="25" t="inlineStr">
        <is>
          <t>RK-ABC10-C</t>
        </is>
      </c>
      <c r="B87" s="25" t="inlineStr">
        <is>
          <t>FL_MAT_ABC_10kg</t>
        </is>
      </c>
      <c r="C87" s="25" t="inlineStr">
        <is>
          <t>Extintor ABC 10 kg</t>
        </is>
      </c>
      <c r="D87" s="12" t="inlineStr">
        <is>
          <t>C - Cambio obligatorio de polvo (versión anterior de la IRAM 3569)</t>
        </is>
      </c>
      <c r="E87" s="12" t="inlineStr">
        <is>
          <t>Gas impulsor N₂</t>
        </is>
      </c>
      <c r="F87" s="25" t="n">
        <v>0.024</v>
      </c>
      <c r="G87" s="25" t="inlineStr">
        <is>
          <t>kg</t>
        </is>
      </c>
      <c r="H87" s="12" t="inlineStr">
        <is>
          <t>Nuevo</t>
        </is>
      </c>
      <c r="I87" s="12" t="inlineStr">
        <is>
          <t>IRAM 3517-2:2020 9.4.9 tabla 2</t>
        </is>
      </c>
    </row>
    <row r="88">
      <c r="A88" s="25" t="inlineStr">
        <is>
          <t>RK-ABC10-I</t>
        </is>
      </c>
      <c r="B88" s="25" t="inlineStr">
        <is>
          <t>FL_MAT_ABC_10kg</t>
        </is>
      </c>
      <c r="C88" s="25" t="inlineStr">
        <is>
          <t>Extintor ABC 10 kg</t>
        </is>
      </c>
      <c r="D88" s="12" t="inlineStr">
        <is>
          <t>Según inspección (consumo estadístico a definir)</t>
        </is>
      </c>
      <c r="E88" s="12" t="inlineStr">
        <is>
          <t>Manómetro / manguera / tobera / kit de válvula</t>
        </is>
      </c>
      <c r="F88" s="25" t="inlineStr">
        <is>
          <t>-</t>
        </is>
      </c>
      <c r="G88" s="25" t="inlineStr">
        <is>
          <t>u</t>
        </is>
      </c>
      <c r="H88" s="12" t="inlineStr">
        <is>
          <t>Recambio sólo si falla</t>
        </is>
      </c>
      <c r="I88" s="12" t="inlineStr">
        <is>
          <t>IRAM 3517-2:2020 9.4.11 (cada manguera vuelve a su extintor)</t>
        </is>
      </c>
    </row>
    <row r="89">
      <c r="A89" s="25" t="inlineStr">
        <is>
          <t>RK-AGUA10-A</t>
        </is>
      </c>
      <c r="B89" s="25" t="inlineStr">
        <is>
          <t>FL_MAT_AGUA_10l</t>
        </is>
      </c>
      <c r="C89" s="25" t="inlineStr">
        <is>
          <t>Extintor Agua 10 l</t>
        </is>
      </c>
      <c r="D89" s="12" t="inlineStr">
        <is>
          <t>A - Extintor descargado</t>
        </is>
      </c>
      <c r="E89" s="12" t="inlineStr">
        <is>
          <t>Agua</t>
        </is>
      </c>
      <c r="F89" s="25" t="n">
        <v>10</v>
      </c>
      <c r="G89" s="25" t="inlineStr">
        <is>
          <t>L</t>
        </is>
      </c>
      <c r="H89" s="12" t="inlineStr">
        <is>
          <t>Nuevo</t>
        </is>
      </c>
      <c r="I89" s="12" t="inlineStr">
        <is>
          <t>IRAM 3517-2:2020 9.9 tabla 6</t>
        </is>
      </c>
    </row>
    <row r="90">
      <c r="A90" s="25" t="inlineStr">
        <is>
          <t>RK-AGUA10-A</t>
        </is>
      </c>
      <c r="B90" s="25" t="inlineStr">
        <is>
          <t>FL_MAT_AGUA_10l</t>
        </is>
      </c>
      <c r="C90" s="25" t="inlineStr">
        <is>
          <t>Extintor Agua 10 l</t>
        </is>
      </c>
      <c r="D90" s="12" t="inlineStr">
        <is>
          <t>A - Extintor descargado</t>
        </is>
      </c>
      <c r="E90" s="12" t="inlineStr">
        <is>
          <t>Precinto numerado nuevo</t>
        </is>
      </c>
      <c r="F90" s="25" t="n">
        <v>1</v>
      </c>
      <c r="G90" s="25" t="inlineStr">
        <is>
          <t>u</t>
        </is>
      </c>
      <c r="H90" s="12" t="inlineStr">
        <is>
          <t>Nuevo</t>
        </is>
      </c>
      <c r="I90" s="12" t="inlineStr">
        <is>
          <t>IRAM 3517-2:2020 9.4.13</t>
        </is>
      </c>
    </row>
    <row r="91">
      <c r="A91" s="25" t="inlineStr">
        <is>
          <t>RK-AGUA10-A</t>
        </is>
      </c>
      <c r="B91" s="25" t="inlineStr">
        <is>
          <t>FL_MAT_AGUA_10l</t>
        </is>
      </c>
      <c r="C91" s="25" t="inlineStr">
        <is>
          <t>Extintor Agua 10 l</t>
        </is>
      </c>
      <c r="D91" s="12" t="inlineStr">
        <is>
          <t>A - Extintor descargado</t>
        </is>
      </c>
      <c r="E91" s="12" t="inlineStr">
        <is>
          <t>Marbete (anillo, color del año)</t>
        </is>
      </c>
      <c r="F91" s="25" t="n">
        <v>1</v>
      </c>
      <c r="G91" s="25" t="inlineStr">
        <is>
          <t>u</t>
        </is>
      </c>
      <c r="H91" s="12" t="inlineStr">
        <is>
          <t>Nuevo</t>
        </is>
      </c>
      <c r="I91" s="12" t="inlineStr">
        <is>
          <t>IRAM 3517-2:2020 9.4.14 · fig. 9 · tabla 4</t>
        </is>
      </c>
    </row>
    <row r="92">
      <c r="A92" s="25" t="inlineStr">
        <is>
          <t>RK-AGUA10-A</t>
        </is>
      </c>
      <c r="B92" s="25" t="inlineStr">
        <is>
          <t>FL_MAT_AGUA_10l</t>
        </is>
      </c>
      <c r="C92" s="25" t="inlineStr">
        <is>
          <t>Extintor Agua 10 l</t>
        </is>
      </c>
      <c r="D92" s="12" t="inlineStr">
        <is>
          <t>A - Extintor descargado</t>
        </is>
      </c>
      <c r="E92" s="12" t="inlineStr">
        <is>
          <t>Tarjeta / etiqueta de control</t>
        </is>
      </c>
      <c r="F92" s="25" t="n">
        <v>1</v>
      </c>
      <c r="G92" s="25" t="inlineStr">
        <is>
          <t>u</t>
        </is>
      </c>
      <c r="H92" s="12" t="inlineStr">
        <is>
          <t>Nuevo</t>
        </is>
      </c>
      <c r="I92" s="12" t="inlineStr">
        <is>
          <t>IRAM 3517-2:2020 8.3.3</t>
        </is>
      </c>
    </row>
    <row r="93">
      <c r="A93" s="25" t="inlineStr">
        <is>
          <t>RK-AGUA10-A</t>
        </is>
      </c>
      <c r="B93" s="25" t="inlineStr">
        <is>
          <t>FL_MAT_AGUA_10l</t>
        </is>
      </c>
      <c r="C93" s="25" t="inlineStr">
        <is>
          <t>Extintor Agua 10 l</t>
        </is>
      </c>
      <c r="D93" s="12" t="inlineStr">
        <is>
          <t>A - Extintor descargado</t>
        </is>
      </c>
      <c r="E93" s="12" t="inlineStr">
        <is>
          <t>Junta tórica de asiento del cuello</t>
        </is>
      </c>
      <c r="F93" s="25" t="n">
        <v>1</v>
      </c>
      <c r="G93" s="25" t="inlineStr">
        <is>
          <t>u</t>
        </is>
      </c>
      <c r="H93" s="12" t="inlineStr">
        <is>
          <t>Nuevo (R: cambio sistemático)</t>
        </is>
      </c>
      <c r="I93" s="12" t="inlineStr"/>
    </row>
    <row r="94">
      <c r="A94" s="25" t="inlineStr">
        <is>
          <t>RK-AGUA10-A</t>
        </is>
      </c>
      <c r="B94" s="25" t="inlineStr">
        <is>
          <t>FL_MAT_AGUA_10l</t>
        </is>
      </c>
      <c r="C94" s="25" t="inlineStr">
        <is>
          <t>Extintor Agua 10 l</t>
        </is>
      </c>
      <c r="D94" s="12" t="inlineStr">
        <is>
          <t>A - Extintor descargado</t>
        </is>
      </c>
      <c r="E94" s="12" t="inlineStr">
        <is>
          <t>Gas impulsor Aire comprimido</t>
        </is>
      </c>
      <c r="F94" s="25" t="n">
        <v>0.0427</v>
      </c>
      <c r="G94" s="25" t="inlineStr">
        <is>
          <t>kg</t>
        </is>
      </c>
      <c r="H94" s="12" t="inlineStr">
        <is>
          <t>Nuevo</t>
        </is>
      </c>
      <c r="I94" s="12" t="inlineStr">
        <is>
          <t>IRAM 3517-2:2020 9.4.9 tabla 2</t>
        </is>
      </c>
    </row>
    <row r="95">
      <c r="A95" s="25" t="inlineStr">
        <is>
          <t>RK-AGUA10-B</t>
        </is>
      </c>
      <c r="B95" s="25" t="inlineStr">
        <is>
          <t>FL_MAT_AGUA_10l</t>
        </is>
      </c>
      <c r="C95" s="25" t="inlineStr">
        <is>
          <t>Extintor Agua 10 l</t>
        </is>
      </c>
      <c r="D95" s="12" t="inlineStr">
        <is>
          <t>B - Mantenimiento (PH cada 2 años en inoxidables y AFFF)</t>
        </is>
      </c>
      <c r="E95" s="12" t="inlineStr">
        <is>
          <t>Agua</t>
        </is>
      </c>
      <c r="F95" s="25" t="n">
        <v>10</v>
      </c>
      <c r="G95" s="25" t="inlineStr">
        <is>
          <t>L</t>
        </is>
      </c>
      <c r="H95" s="12" t="inlineStr">
        <is>
          <t>Nuevo (R: la carga líquida no se recupera; confirmar vida útil del concentrado con el fabricante)</t>
        </is>
      </c>
      <c r="I95" s="12" t="inlineStr">
        <is>
          <t>IRAM 3517-2:2020 9.9</t>
        </is>
      </c>
    </row>
    <row r="96">
      <c r="A96" s="25" t="inlineStr">
        <is>
          <t>RK-AGUA10-B</t>
        </is>
      </c>
      <c r="B96" s="25" t="inlineStr">
        <is>
          <t>FL_MAT_AGUA_10l</t>
        </is>
      </c>
      <c r="C96" s="25" t="inlineStr">
        <is>
          <t>Extintor Agua 10 l</t>
        </is>
      </c>
      <c r="D96" s="12" t="inlineStr">
        <is>
          <t>B - Mantenimiento (PH cada 2 años en inoxidables y AFFF)</t>
        </is>
      </c>
      <c r="E96" s="12" t="inlineStr">
        <is>
          <t>Precinto numerado nuevo</t>
        </is>
      </c>
      <c r="F96" s="25" t="n">
        <v>1</v>
      </c>
      <c r="G96" s="25" t="inlineStr">
        <is>
          <t>u</t>
        </is>
      </c>
      <c r="H96" s="12" t="inlineStr">
        <is>
          <t>Nuevo</t>
        </is>
      </c>
      <c r="I96" s="12" t="inlineStr">
        <is>
          <t>IRAM 3517-2:2020 9.4.13</t>
        </is>
      </c>
    </row>
    <row r="97">
      <c r="A97" s="25" t="inlineStr">
        <is>
          <t>RK-AGUA10-B</t>
        </is>
      </c>
      <c r="B97" s="25" t="inlineStr">
        <is>
          <t>FL_MAT_AGUA_10l</t>
        </is>
      </c>
      <c r="C97" s="25" t="inlineStr">
        <is>
          <t>Extintor Agua 10 l</t>
        </is>
      </c>
      <c r="D97" s="12" t="inlineStr">
        <is>
          <t>B - Mantenimiento (PH cada 2 años en inoxidables y AFFF)</t>
        </is>
      </c>
      <c r="E97" s="12" t="inlineStr">
        <is>
          <t>Marbete (anillo, color del año)</t>
        </is>
      </c>
      <c r="F97" s="25" t="n">
        <v>1</v>
      </c>
      <c r="G97" s="25" t="inlineStr">
        <is>
          <t>u</t>
        </is>
      </c>
      <c r="H97" s="12" t="inlineStr">
        <is>
          <t>Nuevo</t>
        </is>
      </c>
      <c r="I97" s="12" t="inlineStr">
        <is>
          <t>IRAM 3517-2:2020 9.4.14 · fig. 9 · tabla 4</t>
        </is>
      </c>
    </row>
    <row r="98">
      <c r="A98" s="25" t="inlineStr">
        <is>
          <t>RK-AGUA10-B</t>
        </is>
      </c>
      <c r="B98" s="25" t="inlineStr">
        <is>
          <t>FL_MAT_AGUA_10l</t>
        </is>
      </c>
      <c r="C98" s="25" t="inlineStr">
        <is>
          <t>Extintor Agua 10 l</t>
        </is>
      </c>
      <c r="D98" s="12" t="inlineStr">
        <is>
          <t>B - Mantenimiento (PH cada 2 años en inoxidables y AFFF)</t>
        </is>
      </c>
      <c r="E98" s="12" t="inlineStr">
        <is>
          <t>Tarjeta / etiqueta de control</t>
        </is>
      </c>
      <c r="F98" s="25" t="n">
        <v>1</v>
      </c>
      <c r="G98" s="25" t="inlineStr">
        <is>
          <t>u</t>
        </is>
      </c>
      <c r="H98" s="12" t="inlineStr">
        <is>
          <t>Nuevo</t>
        </is>
      </c>
      <c r="I98" s="12" t="inlineStr">
        <is>
          <t>IRAM 3517-2:2020 8.3.3</t>
        </is>
      </c>
    </row>
    <row r="99">
      <c r="A99" s="25" t="inlineStr">
        <is>
          <t>RK-AGUA10-B</t>
        </is>
      </c>
      <c r="B99" s="25" t="inlineStr">
        <is>
          <t>FL_MAT_AGUA_10l</t>
        </is>
      </c>
      <c r="C99" s="25" t="inlineStr">
        <is>
          <t>Extintor Agua 10 l</t>
        </is>
      </c>
      <c r="D99" s="12" t="inlineStr">
        <is>
          <t>B - Mantenimiento (PH cada 2 años en inoxidables y AFFF)</t>
        </is>
      </c>
      <c r="E99" s="12" t="inlineStr">
        <is>
          <t>Junta tórica de asiento del cuello</t>
        </is>
      </c>
      <c r="F99" s="25" t="n">
        <v>1</v>
      </c>
      <c r="G99" s="25" t="inlineStr">
        <is>
          <t>u</t>
        </is>
      </c>
      <c r="H99" s="12" t="inlineStr">
        <is>
          <t>Nuevo (R: cambio sistemático)</t>
        </is>
      </c>
      <c r="I99" s="12" t="inlineStr"/>
    </row>
    <row r="100">
      <c r="A100" s="25" t="inlineStr">
        <is>
          <t>RK-AGUA10-B</t>
        </is>
      </c>
      <c r="B100" s="25" t="inlineStr">
        <is>
          <t>FL_MAT_AGUA_10l</t>
        </is>
      </c>
      <c r="C100" s="25" t="inlineStr">
        <is>
          <t>Extintor Agua 10 l</t>
        </is>
      </c>
      <c r="D100" s="12" t="inlineStr">
        <is>
          <t>B - Mantenimiento (PH cada 2 años en inoxidables y AFFF)</t>
        </is>
      </c>
      <c r="E100" s="12" t="inlineStr">
        <is>
          <t>Gas impulsor Aire comprimido</t>
        </is>
      </c>
      <c r="F100" s="25" t="n">
        <v>0.0427</v>
      </c>
      <c r="G100" s="25" t="inlineStr">
        <is>
          <t>kg</t>
        </is>
      </c>
      <c r="H100" s="12" t="inlineStr">
        <is>
          <t>Nuevo</t>
        </is>
      </c>
      <c r="I100" s="12" t="inlineStr">
        <is>
          <t>IRAM 3517-2:2020 9.4.9 tabla 2</t>
        </is>
      </c>
    </row>
    <row r="101">
      <c r="A101" s="25" t="inlineStr">
        <is>
          <t>RK-AGUA10-I</t>
        </is>
      </c>
      <c r="B101" s="25" t="inlineStr">
        <is>
          <t>FL_MAT_AGUA_10l</t>
        </is>
      </c>
      <c r="C101" s="25" t="inlineStr">
        <is>
          <t>Extintor Agua 10 l</t>
        </is>
      </c>
      <c r="D101" s="12" t="inlineStr">
        <is>
          <t>Según inspección (consumo estadístico a definir)</t>
        </is>
      </c>
      <c r="E101" s="12" t="inlineStr">
        <is>
          <t>Manómetro / manguera / tobera / kit de válvula</t>
        </is>
      </c>
      <c r="F101" s="25" t="inlineStr">
        <is>
          <t>-</t>
        </is>
      </c>
      <c r="G101" s="25" t="inlineStr">
        <is>
          <t>u</t>
        </is>
      </c>
      <c r="H101" s="12" t="inlineStr">
        <is>
          <t>Recambio sólo si falla</t>
        </is>
      </c>
      <c r="I101" s="12" t="inlineStr">
        <is>
          <t>IRAM 3517-2:2020 9.4.11 (cada manguera vuelve a su extintor)</t>
        </is>
      </c>
    </row>
    <row r="102">
      <c r="A102" s="25" t="inlineStr">
        <is>
          <t>RK-AFFF10-A</t>
        </is>
      </c>
      <c r="B102" s="25" t="inlineStr">
        <is>
          <t>FL_MAT_AFFF_10l</t>
        </is>
      </c>
      <c r="C102" s="25" t="inlineStr">
        <is>
          <t>Extintor AFFF 10 l</t>
        </is>
      </c>
      <c r="D102" s="12" t="inlineStr">
        <is>
          <t>A - Extintor descargado</t>
        </is>
      </c>
      <c r="E102" s="12" t="inlineStr">
        <is>
          <t>Agua + espumígeno AFFF 3 % (DEMSA 203 MN, IRAM 3515)</t>
        </is>
      </c>
      <c r="F102" s="25" t="n">
        <v>10</v>
      </c>
      <c r="G102" s="25" t="inlineStr">
        <is>
          <t>L</t>
        </is>
      </c>
      <c r="H102" s="12" t="inlineStr">
        <is>
          <t>Nuevo</t>
        </is>
      </c>
      <c r="I102" s="12" t="inlineStr">
        <is>
          <t>IRAM 3517-2:2020 9.9 tabla 6</t>
        </is>
      </c>
    </row>
    <row r="103">
      <c r="A103" s="25" t="inlineStr">
        <is>
          <t>RK-AFFF10-A</t>
        </is>
      </c>
      <c r="B103" s="25" t="inlineStr">
        <is>
          <t>FL_MAT_AFFF_10l</t>
        </is>
      </c>
      <c r="C103" s="25" t="inlineStr">
        <is>
          <t>Extintor AFFF 10 l</t>
        </is>
      </c>
      <c r="D103" s="12" t="inlineStr">
        <is>
          <t>A - Extintor descargado</t>
        </is>
      </c>
      <c r="E103" s="12" t="inlineStr">
        <is>
          <t>Precinto numerado nuevo</t>
        </is>
      </c>
      <c r="F103" s="25" t="n">
        <v>1</v>
      </c>
      <c r="G103" s="25" t="inlineStr">
        <is>
          <t>u</t>
        </is>
      </c>
      <c r="H103" s="12" t="inlineStr">
        <is>
          <t>Nuevo</t>
        </is>
      </c>
      <c r="I103" s="12" t="inlineStr">
        <is>
          <t>IRAM 3517-2:2020 9.4.13</t>
        </is>
      </c>
    </row>
    <row r="104">
      <c r="A104" s="25" t="inlineStr">
        <is>
          <t>RK-AFFF10-A</t>
        </is>
      </c>
      <c r="B104" s="25" t="inlineStr">
        <is>
          <t>FL_MAT_AFFF_10l</t>
        </is>
      </c>
      <c r="C104" s="25" t="inlineStr">
        <is>
          <t>Extintor AFFF 10 l</t>
        </is>
      </c>
      <c r="D104" s="12" t="inlineStr">
        <is>
          <t>A - Extintor descargado</t>
        </is>
      </c>
      <c r="E104" s="12" t="inlineStr">
        <is>
          <t>Marbete (anillo, color del año)</t>
        </is>
      </c>
      <c r="F104" s="25" t="n">
        <v>1</v>
      </c>
      <c r="G104" s="25" t="inlineStr">
        <is>
          <t>u</t>
        </is>
      </c>
      <c r="H104" s="12" t="inlineStr">
        <is>
          <t>Nuevo</t>
        </is>
      </c>
      <c r="I104" s="12" t="inlineStr">
        <is>
          <t>IRAM 3517-2:2020 9.4.14 · fig. 9 · tabla 4</t>
        </is>
      </c>
    </row>
    <row r="105">
      <c r="A105" s="25" t="inlineStr">
        <is>
          <t>RK-AFFF10-A</t>
        </is>
      </c>
      <c r="B105" s="25" t="inlineStr">
        <is>
          <t>FL_MAT_AFFF_10l</t>
        </is>
      </c>
      <c r="C105" s="25" t="inlineStr">
        <is>
          <t>Extintor AFFF 10 l</t>
        </is>
      </c>
      <c r="D105" s="12" t="inlineStr">
        <is>
          <t>A - Extintor descargado</t>
        </is>
      </c>
      <c r="E105" s="12" t="inlineStr">
        <is>
          <t>Tarjeta / etiqueta de control</t>
        </is>
      </c>
      <c r="F105" s="25" t="n">
        <v>1</v>
      </c>
      <c r="G105" s="25" t="inlineStr">
        <is>
          <t>u</t>
        </is>
      </c>
      <c r="H105" s="12" t="inlineStr">
        <is>
          <t>Nuevo</t>
        </is>
      </c>
      <c r="I105" s="12" t="inlineStr">
        <is>
          <t>IRAM 3517-2:2020 8.3.3</t>
        </is>
      </c>
    </row>
    <row r="106">
      <c r="A106" s="25" t="inlineStr">
        <is>
          <t>RK-AFFF10-A</t>
        </is>
      </c>
      <c r="B106" s="25" t="inlineStr">
        <is>
          <t>FL_MAT_AFFF_10l</t>
        </is>
      </c>
      <c r="C106" s="25" t="inlineStr">
        <is>
          <t>Extintor AFFF 10 l</t>
        </is>
      </c>
      <c r="D106" s="12" t="inlineStr">
        <is>
          <t>A - Extintor descargado</t>
        </is>
      </c>
      <c r="E106" s="12" t="inlineStr">
        <is>
          <t>Junta tórica de asiento del cuello</t>
        </is>
      </c>
      <c r="F106" s="25" t="n">
        <v>1</v>
      </c>
      <c r="G106" s="25" t="inlineStr">
        <is>
          <t>u</t>
        </is>
      </c>
      <c r="H106" s="12" t="inlineStr">
        <is>
          <t>Nuevo (R: cambio sistemático)</t>
        </is>
      </c>
      <c r="I106" s="12" t="inlineStr"/>
    </row>
    <row r="107">
      <c r="A107" s="25" t="inlineStr">
        <is>
          <t>RK-AFFF10-A</t>
        </is>
      </c>
      <c r="B107" s="25" t="inlineStr">
        <is>
          <t>FL_MAT_AFFF_10l</t>
        </is>
      </c>
      <c r="C107" s="25" t="inlineStr">
        <is>
          <t>Extintor AFFF 10 l</t>
        </is>
      </c>
      <c r="D107" s="12" t="inlineStr">
        <is>
          <t>A - Extintor descargado</t>
        </is>
      </c>
      <c r="E107" s="12" t="inlineStr">
        <is>
          <t>Gas impulsor Aire comprimido</t>
        </is>
      </c>
      <c r="F107" s="25" t="n">
        <v>0.0427</v>
      </c>
      <c r="G107" s="25" t="inlineStr">
        <is>
          <t>kg</t>
        </is>
      </c>
      <c r="H107" s="12" t="inlineStr">
        <is>
          <t>Nuevo</t>
        </is>
      </c>
      <c r="I107" s="12" t="inlineStr">
        <is>
          <t>IRAM 3517-2:2020 9.4.9 tabla 2</t>
        </is>
      </c>
    </row>
    <row r="108">
      <c r="A108" s="25" t="inlineStr">
        <is>
          <t>RK-AFFF10-B</t>
        </is>
      </c>
      <c r="B108" s="25" t="inlineStr">
        <is>
          <t>FL_MAT_AFFF_10l</t>
        </is>
      </c>
      <c r="C108" s="25" t="inlineStr">
        <is>
          <t>Extintor AFFF 10 l</t>
        </is>
      </c>
      <c r="D108" s="12" t="inlineStr">
        <is>
          <t>B - Mantenimiento (PH cada 2 años en inoxidables y AFFF)</t>
        </is>
      </c>
      <c r="E108" s="12" t="inlineStr">
        <is>
          <t>Agua + espumígeno AFFF 3 % (DEMSA 203 MN, IRAM 3515)</t>
        </is>
      </c>
      <c r="F108" s="25" t="n">
        <v>10</v>
      </c>
      <c r="G108" s="25" t="inlineStr">
        <is>
          <t>L</t>
        </is>
      </c>
      <c r="H108" s="12" t="inlineStr">
        <is>
          <t>Nuevo (R: la carga líquida no se recupera; confirmar vida útil del concentrado con el fabricante)</t>
        </is>
      </c>
      <c r="I108" s="12" t="inlineStr">
        <is>
          <t>IRAM 3517-2:2020 9.9</t>
        </is>
      </c>
    </row>
    <row r="109">
      <c r="A109" s="25" t="inlineStr">
        <is>
          <t>RK-AFFF10-B</t>
        </is>
      </c>
      <c r="B109" s="25" t="inlineStr">
        <is>
          <t>FL_MAT_AFFF_10l</t>
        </is>
      </c>
      <c r="C109" s="25" t="inlineStr">
        <is>
          <t>Extintor AFFF 10 l</t>
        </is>
      </c>
      <c r="D109" s="12" t="inlineStr">
        <is>
          <t>B - Mantenimiento (PH cada 2 años en inoxidables y AFFF)</t>
        </is>
      </c>
      <c r="E109" s="12" t="inlineStr">
        <is>
          <t>Precinto numerado nuevo</t>
        </is>
      </c>
      <c r="F109" s="25" t="n">
        <v>1</v>
      </c>
      <c r="G109" s="25" t="inlineStr">
        <is>
          <t>u</t>
        </is>
      </c>
      <c r="H109" s="12" t="inlineStr">
        <is>
          <t>Nuevo</t>
        </is>
      </c>
      <c r="I109" s="12" t="inlineStr">
        <is>
          <t>IRAM 3517-2:2020 9.4.13</t>
        </is>
      </c>
    </row>
    <row r="110">
      <c r="A110" s="25" t="inlineStr">
        <is>
          <t>RK-AFFF10-B</t>
        </is>
      </c>
      <c r="B110" s="25" t="inlineStr">
        <is>
          <t>FL_MAT_AFFF_10l</t>
        </is>
      </c>
      <c r="C110" s="25" t="inlineStr">
        <is>
          <t>Extintor AFFF 10 l</t>
        </is>
      </c>
      <c r="D110" s="12" t="inlineStr">
        <is>
          <t>B - Mantenimiento (PH cada 2 años en inoxidables y AFFF)</t>
        </is>
      </c>
      <c r="E110" s="12" t="inlineStr">
        <is>
          <t>Marbete (anillo, color del año)</t>
        </is>
      </c>
      <c r="F110" s="25" t="n">
        <v>1</v>
      </c>
      <c r="G110" s="25" t="inlineStr">
        <is>
          <t>u</t>
        </is>
      </c>
      <c r="H110" s="12" t="inlineStr">
        <is>
          <t>Nuevo</t>
        </is>
      </c>
      <c r="I110" s="12" t="inlineStr">
        <is>
          <t>IRAM 3517-2:2020 9.4.14 · fig. 9 · tabla 4</t>
        </is>
      </c>
    </row>
    <row r="111">
      <c r="A111" s="25" t="inlineStr">
        <is>
          <t>RK-AFFF10-B</t>
        </is>
      </c>
      <c r="B111" s="25" t="inlineStr">
        <is>
          <t>FL_MAT_AFFF_10l</t>
        </is>
      </c>
      <c r="C111" s="25" t="inlineStr">
        <is>
          <t>Extintor AFFF 10 l</t>
        </is>
      </c>
      <c r="D111" s="12" t="inlineStr">
        <is>
          <t>B - Mantenimiento (PH cada 2 años en inoxidables y AFFF)</t>
        </is>
      </c>
      <c r="E111" s="12" t="inlineStr">
        <is>
          <t>Tarjeta / etiqueta de control</t>
        </is>
      </c>
      <c r="F111" s="25" t="n">
        <v>1</v>
      </c>
      <c r="G111" s="25" t="inlineStr">
        <is>
          <t>u</t>
        </is>
      </c>
      <c r="H111" s="12" t="inlineStr">
        <is>
          <t>Nuevo</t>
        </is>
      </c>
      <c r="I111" s="12" t="inlineStr">
        <is>
          <t>IRAM 3517-2:2020 8.3.3</t>
        </is>
      </c>
    </row>
    <row r="112">
      <c r="A112" s="25" t="inlineStr">
        <is>
          <t>RK-AFFF10-B</t>
        </is>
      </c>
      <c r="B112" s="25" t="inlineStr">
        <is>
          <t>FL_MAT_AFFF_10l</t>
        </is>
      </c>
      <c r="C112" s="25" t="inlineStr">
        <is>
          <t>Extintor AFFF 10 l</t>
        </is>
      </c>
      <c r="D112" s="12" t="inlineStr">
        <is>
          <t>B - Mantenimiento (PH cada 2 años en inoxidables y AFFF)</t>
        </is>
      </c>
      <c r="E112" s="12" t="inlineStr">
        <is>
          <t>Junta tórica de asiento del cuello</t>
        </is>
      </c>
      <c r="F112" s="25" t="n">
        <v>1</v>
      </c>
      <c r="G112" s="25" t="inlineStr">
        <is>
          <t>u</t>
        </is>
      </c>
      <c r="H112" s="12" t="inlineStr">
        <is>
          <t>Nuevo (R: cambio sistemático)</t>
        </is>
      </c>
      <c r="I112" s="12" t="inlineStr"/>
    </row>
    <row r="113">
      <c r="A113" s="25" t="inlineStr">
        <is>
          <t>RK-AFFF10-B</t>
        </is>
      </c>
      <c r="B113" s="25" t="inlineStr">
        <is>
          <t>FL_MAT_AFFF_10l</t>
        </is>
      </c>
      <c r="C113" s="25" t="inlineStr">
        <is>
          <t>Extintor AFFF 10 l</t>
        </is>
      </c>
      <c r="D113" s="12" t="inlineStr">
        <is>
          <t>B - Mantenimiento (PH cada 2 años en inoxidables y AFFF)</t>
        </is>
      </c>
      <c r="E113" s="12" t="inlineStr">
        <is>
          <t>Gas impulsor Aire comprimido</t>
        </is>
      </c>
      <c r="F113" s="25" t="n">
        <v>0.0427</v>
      </c>
      <c r="G113" s="25" t="inlineStr">
        <is>
          <t>kg</t>
        </is>
      </c>
      <c r="H113" s="12" t="inlineStr">
        <is>
          <t>Nuevo</t>
        </is>
      </c>
      <c r="I113" s="12" t="inlineStr">
        <is>
          <t>IRAM 3517-2:2020 9.4.9 tabla 2</t>
        </is>
      </c>
    </row>
    <row r="114">
      <c r="A114" s="25" t="inlineStr">
        <is>
          <t>RK-AFFF10-I</t>
        </is>
      </c>
      <c r="B114" s="25" t="inlineStr">
        <is>
          <t>FL_MAT_AFFF_10l</t>
        </is>
      </c>
      <c r="C114" s="25" t="inlineStr">
        <is>
          <t>Extintor AFFF 10 l</t>
        </is>
      </c>
      <c r="D114" s="12" t="inlineStr">
        <is>
          <t>Según inspección (consumo estadístico a definir)</t>
        </is>
      </c>
      <c r="E114" s="12" t="inlineStr">
        <is>
          <t>Manómetro / manguera / tobera / kit de válvula</t>
        </is>
      </c>
      <c r="F114" s="25" t="inlineStr">
        <is>
          <t>-</t>
        </is>
      </c>
      <c r="G114" s="25" t="inlineStr">
        <is>
          <t>u</t>
        </is>
      </c>
      <c r="H114" s="12" t="inlineStr">
        <is>
          <t>Recambio sólo si falla</t>
        </is>
      </c>
      <c r="I114" s="12" t="inlineStr">
        <is>
          <t>IRAM 3517-2:2020 9.4.11 (cada manguera vuelve a su extintor)</t>
        </is>
      </c>
    </row>
    <row r="115">
      <c r="A115" s="25" t="inlineStr">
        <is>
          <t>RK-AFFF50-A</t>
        </is>
      </c>
      <c r="B115" s="25" t="inlineStr">
        <is>
          <t>FL_MAT_AFFF_50l</t>
        </is>
      </c>
      <c r="C115" s="25" t="inlineStr">
        <is>
          <t>Extintor AFFF 50 l sobre ruedas</t>
        </is>
      </c>
      <c r="D115" s="12" t="inlineStr">
        <is>
          <t>A - Extintor descargado</t>
        </is>
      </c>
      <c r="E115" s="12" t="inlineStr">
        <is>
          <t>Agua + espumígeno AFFF 3 % (DEMSA 203 MN, IRAM 3515)</t>
        </is>
      </c>
      <c r="F115" s="25" t="n">
        <v>50</v>
      </c>
      <c r="G115" s="25" t="inlineStr">
        <is>
          <t>L</t>
        </is>
      </c>
      <c r="H115" s="12" t="inlineStr">
        <is>
          <t>Nuevo</t>
        </is>
      </c>
      <c r="I115" s="12" t="inlineStr">
        <is>
          <t>IRAM 3517-2:2020 9.9 tabla 6</t>
        </is>
      </c>
    </row>
    <row r="116">
      <c r="A116" s="25" t="inlineStr">
        <is>
          <t>RK-AFFF50-A</t>
        </is>
      </c>
      <c r="B116" s="25" t="inlineStr">
        <is>
          <t>FL_MAT_AFFF_50l</t>
        </is>
      </c>
      <c r="C116" s="25" t="inlineStr">
        <is>
          <t>Extintor AFFF 50 l sobre ruedas</t>
        </is>
      </c>
      <c r="D116" s="12" t="inlineStr">
        <is>
          <t>A - Extintor descargado</t>
        </is>
      </c>
      <c r="E116" s="12" t="inlineStr">
        <is>
          <t>Precinto numerado nuevo</t>
        </is>
      </c>
      <c r="F116" s="25" t="n">
        <v>1</v>
      </c>
      <c r="G116" s="25" t="inlineStr">
        <is>
          <t>u</t>
        </is>
      </c>
      <c r="H116" s="12" t="inlineStr">
        <is>
          <t>Nuevo</t>
        </is>
      </c>
      <c r="I116" s="12" t="inlineStr">
        <is>
          <t>IRAM 3517-2:2020 9.4.13</t>
        </is>
      </c>
    </row>
    <row r="117">
      <c r="A117" s="25" t="inlineStr">
        <is>
          <t>RK-AFFF50-A</t>
        </is>
      </c>
      <c r="B117" s="25" t="inlineStr">
        <is>
          <t>FL_MAT_AFFF_50l</t>
        </is>
      </c>
      <c r="C117" s="25" t="inlineStr">
        <is>
          <t>Extintor AFFF 50 l sobre ruedas</t>
        </is>
      </c>
      <c r="D117" s="12" t="inlineStr">
        <is>
          <t>A - Extintor descargado</t>
        </is>
      </c>
      <c r="E117" s="12" t="inlineStr">
        <is>
          <t>Marbete (anillo, color del año)</t>
        </is>
      </c>
      <c r="F117" s="25" t="n">
        <v>1</v>
      </c>
      <c r="G117" s="25" t="inlineStr">
        <is>
          <t>u</t>
        </is>
      </c>
      <c r="H117" s="12" t="inlineStr">
        <is>
          <t>Nuevo</t>
        </is>
      </c>
      <c r="I117" s="12" t="inlineStr">
        <is>
          <t>IRAM 3517-2:2020 9.4.14 · fig. 9 · tabla 4</t>
        </is>
      </c>
    </row>
    <row r="118">
      <c r="A118" s="25" t="inlineStr">
        <is>
          <t>RK-AFFF50-A</t>
        </is>
      </c>
      <c r="B118" s="25" t="inlineStr">
        <is>
          <t>FL_MAT_AFFF_50l</t>
        </is>
      </c>
      <c r="C118" s="25" t="inlineStr">
        <is>
          <t>Extintor AFFF 50 l sobre ruedas</t>
        </is>
      </c>
      <c r="D118" s="12" t="inlineStr">
        <is>
          <t>A - Extintor descargado</t>
        </is>
      </c>
      <c r="E118" s="12" t="inlineStr">
        <is>
          <t>Tarjeta / etiqueta de control</t>
        </is>
      </c>
      <c r="F118" s="25" t="n">
        <v>1</v>
      </c>
      <c r="G118" s="25" t="inlineStr">
        <is>
          <t>u</t>
        </is>
      </c>
      <c r="H118" s="12" t="inlineStr">
        <is>
          <t>Nuevo</t>
        </is>
      </c>
      <c r="I118" s="12" t="inlineStr">
        <is>
          <t>IRAM 3517-2:2020 8.3.3</t>
        </is>
      </c>
    </row>
    <row r="119">
      <c r="A119" s="25" t="inlineStr">
        <is>
          <t>RK-AFFF50-A</t>
        </is>
      </c>
      <c r="B119" s="25" t="inlineStr">
        <is>
          <t>FL_MAT_AFFF_50l</t>
        </is>
      </c>
      <c r="C119" s="25" t="inlineStr">
        <is>
          <t>Extintor AFFF 50 l sobre ruedas</t>
        </is>
      </c>
      <c r="D119" s="12" t="inlineStr">
        <is>
          <t>A - Extintor descargado</t>
        </is>
      </c>
      <c r="E119" s="12" t="inlineStr">
        <is>
          <t>Junta tórica de asiento del cuello</t>
        </is>
      </c>
      <c r="F119" s="25" t="n">
        <v>1</v>
      </c>
      <c r="G119" s="25" t="inlineStr">
        <is>
          <t>u</t>
        </is>
      </c>
      <c r="H119" s="12" t="inlineStr">
        <is>
          <t>Nuevo (R: cambio sistemático)</t>
        </is>
      </c>
      <c r="I119" s="12" t="inlineStr"/>
    </row>
    <row r="120">
      <c r="A120" s="25" t="inlineStr">
        <is>
          <t>RK-AFFF50-A</t>
        </is>
      </c>
      <c r="B120" s="25" t="inlineStr">
        <is>
          <t>FL_MAT_AFFF_50l</t>
        </is>
      </c>
      <c r="C120" s="25" t="inlineStr">
        <is>
          <t>Extintor AFFF 50 l sobre ruedas</t>
        </is>
      </c>
      <c r="D120" s="12" t="inlineStr">
        <is>
          <t>A - Extintor descargado</t>
        </is>
      </c>
      <c r="E120" s="12" t="inlineStr">
        <is>
          <t>Gas impulsor Aire comprimido</t>
        </is>
      </c>
      <c r="F120" s="25" t="n">
        <v>0.1265</v>
      </c>
      <c r="G120" s="25" t="inlineStr">
        <is>
          <t>kg</t>
        </is>
      </c>
      <c r="H120" s="12" t="inlineStr">
        <is>
          <t>Nuevo</t>
        </is>
      </c>
      <c r="I120" s="12" t="inlineStr">
        <is>
          <t>IRAM 3517-2:2020 9.4.9 tabla 2</t>
        </is>
      </c>
    </row>
    <row r="121">
      <c r="A121" s="25" t="inlineStr">
        <is>
          <t>RK-AFFF50-B</t>
        </is>
      </c>
      <c r="B121" s="25" t="inlineStr">
        <is>
          <t>FL_MAT_AFFF_50l</t>
        </is>
      </c>
      <c r="C121" s="25" t="inlineStr">
        <is>
          <t>Extintor AFFF 50 l sobre ruedas</t>
        </is>
      </c>
      <c r="D121" s="12" t="inlineStr">
        <is>
          <t>B - Mantenimiento (PH cada 2 años en inoxidables y AFFF)</t>
        </is>
      </c>
      <c r="E121" s="12" t="inlineStr">
        <is>
          <t>Agua + espumígeno AFFF 3 % (DEMSA 203 MN, IRAM 3515)</t>
        </is>
      </c>
      <c r="F121" s="25" t="n">
        <v>50</v>
      </c>
      <c r="G121" s="25" t="inlineStr">
        <is>
          <t>L</t>
        </is>
      </c>
      <c r="H121" s="12" t="inlineStr">
        <is>
          <t>Nuevo (R: la carga líquida no se recupera; confirmar vida útil del concentrado con el fabricante)</t>
        </is>
      </c>
      <c r="I121" s="12" t="inlineStr">
        <is>
          <t>IRAM 3517-2:2020 9.9</t>
        </is>
      </c>
    </row>
    <row r="122">
      <c r="A122" s="25" t="inlineStr">
        <is>
          <t>RK-AFFF50-B</t>
        </is>
      </c>
      <c r="B122" s="25" t="inlineStr">
        <is>
          <t>FL_MAT_AFFF_50l</t>
        </is>
      </c>
      <c r="C122" s="25" t="inlineStr">
        <is>
          <t>Extintor AFFF 50 l sobre ruedas</t>
        </is>
      </c>
      <c r="D122" s="12" t="inlineStr">
        <is>
          <t>B - Mantenimiento (PH cada 2 años en inoxidables y AFFF)</t>
        </is>
      </c>
      <c r="E122" s="12" t="inlineStr">
        <is>
          <t>Precinto numerado nuevo</t>
        </is>
      </c>
      <c r="F122" s="25" t="n">
        <v>1</v>
      </c>
      <c r="G122" s="25" t="inlineStr">
        <is>
          <t>u</t>
        </is>
      </c>
      <c r="H122" s="12" t="inlineStr">
        <is>
          <t>Nuevo</t>
        </is>
      </c>
      <c r="I122" s="12" t="inlineStr">
        <is>
          <t>IRAM 3517-2:2020 9.4.13</t>
        </is>
      </c>
    </row>
    <row r="123">
      <c r="A123" s="25" t="inlineStr">
        <is>
          <t>RK-AFFF50-B</t>
        </is>
      </c>
      <c r="B123" s="25" t="inlineStr">
        <is>
          <t>FL_MAT_AFFF_50l</t>
        </is>
      </c>
      <c r="C123" s="25" t="inlineStr">
        <is>
          <t>Extintor AFFF 50 l sobre ruedas</t>
        </is>
      </c>
      <c r="D123" s="12" t="inlineStr">
        <is>
          <t>B - Mantenimiento (PH cada 2 años en inoxidables y AFFF)</t>
        </is>
      </c>
      <c r="E123" s="12" t="inlineStr">
        <is>
          <t>Marbete (anillo, color del año)</t>
        </is>
      </c>
      <c r="F123" s="25" t="n">
        <v>1</v>
      </c>
      <c r="G123" s="25" t="inlineStr">
        <is>
          <t>u</t>
        </is>
      </c>
      <c r="H123" s="12" t="inlineStr">
        <is>
          <t>Nuevo</t>
        </is>
      </c>
      <c r="I123" s="12" t="inlineStr">
        <is>
          <t>IRAM 3517-2:2020 9.4.14 · fig. 9 · tabla 4</t>
        </is>
      </c>
    </row>
    <row r="124">
      <c r="A124" s="25" t="inlineStr">
        <is>
          <t>RK-AFFF50-B</t>
        </is>
      </c>
      <c r="B124" s="25" t="inlineStr">
        <is>
          <t>FL_MAT_AFFF_50l</t>
        </is>
      </c>
      <c r="C124" s="25" t="inlineStr">
        <is>
          <t>Extintor AFFF 50 l sobre ruedas</t>
        </is>
      </c>
      <c r="D124" s="12" t="inlineStr">
        <is>
          <t>B - Mantenimiento (PH cada 2 años en inoxidables y AFFF)</t>
        </is>
      </c>
      <c r="E124" s="12" t="inlineStr">
        <is>
          <t>Tarjeta / etiqueta de control</t>
        </is>
      </c>
      <c r="F124" s="25" t="n">
        <v>1</v>
      </c>
      <c r="G124" s="25" t="inlineStr">
        <is>
          <t>u</t>
        </is>
      </c>
      <c r="H124" s="12" t="inlineStr">
        <is>
          <t>Nuevo</t>
        </is>
      </c>
      <c r="I124" s="12" t="inlineStr">
        <is>
          <t>IRAM 3517-2:2020 8.3.3</t>
        </is>
      </c>
    </row>
    <row r="125">
      <c r="A125" s="25" t="inlineStr">
        <is>
          <t>RK-AFFF50-B</t>
        </is>
      </c>
      <c r="B125" s="25" t="inlineStr">
        <is>
          <t>FL_MAT_AFFF_50l</t>
        </is>
      </c>
      <c r="C125" s="25" t="inlineStr">
        <is>
          <t>Extintor AFFF 50 l sobre ruedas</t>
        </is>
      </c>
      <c r="D125" s="12" t="inlineStr">
        <is>
          <t>B - Mantenimiento (PH cada 2 años en inoxidables y AFFF)</t>
        </is>
      </c>
      <c r="E125" s="12" t="inlineStr">
        <is>
          <t>Junta tórica de asiento del cuello</t>
        </is>
      </c>
      <c r="F125" s="25" t="n">
        <v>1</v>
      </c>
      <c r="G125" s="25" t="inlineStr">
        <is>
          <t>u</t>
        </is>
      </c>
      <c r="H125" s="12" t="inlineStr">
        <is>
          <t>Nuevo (R: cambio sistemático)</t>
        </is>
      </c>
      <c r="I125" s="12" t="inlineStr"/>
    </row>
    <row r="126">
      <c r="A126" s="25" t="inlineStr">
        <is>
          <t>RK-AFFF50-B</t>
        </is>
      </c>
      <c r="B126" s="25" t="inlineStr">
        <is>
          <t>FL_MAT_AFFF_50l</t>
        </is>
      </c>
      <c r="C126" s="25" t="inlineStr">
        <is>
          <t>Extintor AFFF 50 l sobre ruedas</t>
        </is>
      </c>
      <c r="D126" s="12" t="inlineStr">
        <is>
          <t>B - Mantenimiento (PH cada 2 años en inoxidables y AFFF)</t>
        </is>
      </c>
      <c r="E126" s="12" t="inlineStr">
        <is>
          <t>Gas impulsor Aire comprimido</t>
        </is>
      </c>
      <c r="F126" s="25" t="n">
        <v>0.1265</v>
      </c>
      <c r="G126" s="25" t="inlineStr">
        <is>
          <t>kg</t>
        </is>
      </c>
      <c r="H126" s="12" t="inlineStr">
        <is>
          <t>Nuevo</t>
        </is>
      </c>
      <c r="I126" s="12" t="inlineStr">
        <is>
          <t>IRAM 3517-2:2020 9.4.9 tabla 2</t>
        </is>
      </c>
    </row>
    <row r="127">
      <c r="A127" s="25" t="inlineStr">
        <is>
          <t>RK-AFFF50-I</t>
        </is>
      </c>
      <c r="B127" s="25" t="inlineStr">
        <is>
          <t>FL_MAT_AFFF_50l</t>
        </is>
      </c>
      <c r="C127" s="25" t="inlineStr">
        <is>
          <t>Extintor AFFF 50 l sobre ruedas</t>
        </is>
      </c>
      <c r="D127" s="12" t="inlineStr">
        <is>
          <t>Según inspección (consumo estadístico a definir)</t>
        </is>
      </c>
      <c r="E127" s="12" t="inlineStr">
        <is>
          <t>Manómetro / manguera / tobera / kit de válvula</t>
        </is>
      </c>
      <c r="F127" s="25" t="inlineStr">
        <is>
          <t>-</t>
        </is>
      </c>
      <c r="G127" s="25" t="inlineStr">
        <is>
          <t>u</t>
        </is>
      </c>
      <c r="H127" s="12" t="inlineStr">
        <is>
          <t>Recambio sólo si falla</t>
        </is>
      </c>
      <c r="I127" s="12" t="inlineStr">
        <is>
          <t>IRAM 3517-2:2020 9.4.11 (cada manguera vuelve a su extintor)</t>
        </is>
      </c>
    </row>
    <row r="128">
      <c r="A128" s="25" t="inlineStr">
        <is>
          <t>RK-BC5-A</t>
        </is>
      </c>
      <c r="B128" s="25" t="inlineStr">
        <is>
          <t>FL_MAT_BC_5kg</t>
        </is>
      </c>
      <c r="C128" s="25" t="inlineStr">
        <is>
          <t>Extintor BC 5 kg</t>
        </is>
      </c>
      <c r="D128" s="12" t="inlineStr">
        <is>
          <t>A - Extintor descargado (uso o descarga parcial)</t>
        </is>
      </c>
      <c r="E128" s="12" t="inlineStr">
        <is>
          <t>Polvo químico seco BC (bicarbonato)</t>
        </is>
      </c>
      <c r="F128" s="25" t="n">
        <v>5</v>
      </c>
      <c r="G128" s="25" t="inlineStr">
        <is>
          <t>kg</t>
        </is>
      </c>
      <c r="H128" s="12" t="inlineStr">
        <is>
          <t>Nuevo 100 %</t>
        </is>
      </c>
      <c r="I128" s="12" t="inlineStr">
        <is>
          <t>IRAM 3517-2:2020 9.9.1.4: el polvo de un extintor accionado no se reutiliza</t>
        </is>
      </c>
    </row>
    <row r="129">
      <c r="A129" s="25" t="inlineStr">
        <is>
          <t>RK-BC5-A</t>
        </is>
      </c>
      <c r="B129" s="25" t="inlineStr">
        <is>
          <t>FL_MAT_BC_5kg</t>
        </is>
      </c>
      <c r="C129" s="25" t="inlineStr">
        <is>
          <t>Extintor BC 5 kg</t>
        </is>
      </c>
      <c r="D129" s="12" t="inlineStr">
        <is>
          <t>A - Extintor descargado (uso o descarga parcial)</t>
        </is>
      </c>
      <c r="E129" s="12" t="inlineStr">
        <is>
          <t>Precinto numerado nuevo</t>
        </is>
      </c>
      <c r="F129" s="25" t="n">
        <v>1</v>
      </c>
      <c r="G129" s="25" t="inlineStr">
        <is>
          <t>u</t>
        </is>
      </c>
      <c r="H129" s="12" t="inlineStr">
        <is>
          <t>Nuevo</t>
        </is>
      </c>
      <c r="I129" s="12" t="inlineStr">
        <is>
          <t>IRAM 3517-2:2020 9.4.13</t>
        </is>
      </c>
    </row>
    <row r="130">
      <c r="A130" s="25" t="inlineStr">
        <is>
          <t>RK-BC5-A</t>
        </is>
      </c>
      <c r="B130" s="25" t="inlineStr">
        <is>
          <t>FL_MAT_BC_5kg</t>
        </is>
      </c>
      <c r="C130" s="25" t="inlineStr">
        <is>
          <t>Extintor BC 5 kg</t>
        </is>
      </c>
      <c r="D130" s="12" t="inlineStr">
        <is>
          <t>A - Extintor descargado (uso o descarga parcial)</t>
        </is>
      </c>
      <c r="E130" s="12" t="inlineStr">
        <is>
          <t>Marbete (anillo, color del año)</t>
        </is>
      </c>
      <c r="F130" s="25" t="n">
        <v>1</v>
      </c>
      <c r="G130" s="25" t="inlineStr">
        <is>
          <t>u</t>
        </is>
      </c>
      <c r="H130" s="12" t="inlineStr">
        <is>
          <t>Nuevo</t>
        </is>
      </c>
      <c r="I130" s="12" t="inlineStr">
        <is>
          <t>IRAM 3517-2:2020 9.4.14 · fig. 9 · tabla 4</t>
        </is>
      </c>
    </row>
    <row r="131">
      <c r="A131" s="25" t="inlineStr">
        <is>
          <t>RK-BC5-A</t>
        </is>
      </c>
      <c r="B131" s="25" t="inlineStr">
        <is>
          <t>FL_MAT_BC_5kg</t>
        </is>
      </c>
      <c r="C131" s="25" t="inlineStr">
        <is>
          <t>Extintor BC 5 kg</t>
        </is>
      </c>
      <c r="D131" s="12" t="inlineStr">
        <is>
          <t>A - Extintor descargado (uso o descarga parcial)</t>
        </is>
      </c>
      <c r="E131" s="12" t="inlineStr">
        <is>
          <t>Tarjeta / etiqueta de control</t>
        </is>
      </c>
      <c r="F131" s="25" t="n">
        <v>1</v>
      </c>
      <c r="G131" s="25" t="inlineStr">
        <is>
          <t>u</t>
        </is>
      </c>
      <c r="H131" s="12" t="inlineStr">
        <is>
          <t>Nuevo</t>
        </is>
      </c>
      <c r="I131" s="12" t="inlineStr">
        <is>
          <t>IRAM 3517-2:2020 8.3.3</t>
        </is>
      </c>
    </row>
    <row r="132">
      <c r="A132" s="25" t="inlineStr">
        <is>
          <t>RK-BC5-A</t>
        </is>
      </c>
      <c r="B132" s="25" t="inlineStr">
        <is>
          <t>FL_MAT_BC_5kg</t>
        </is>
      </c>
      <c r="C132" s="25" t="inlineStr">
        <is>
          <t>Extintor BC 5 kg</t>
        </is>
      </c>
      <c r="D132" s="12" t="inlineStr">
        <is>
          <t>A - Extintor descargado (uso o descarga parcial)</t>
        </is>
      </c>
      <c r="E132" s="12" t="inlineStr">
        <is>
          <t>Junta tórica de asiento del cuello</t>
        </is>
      </c>
      <c r="F132" s="25" t="n">
        <v>1</v>
      </c>
      <c r="G132" s="25" t="inlineStr">
        <is>
          <t>u</t>
        </is>
      </c>
      <c r="H132" s="12" t="inlineStr">
        <is>
          <t>Nuevo (R: cambio sistemático)</t>
        </is>
      </c>
      <c r="I132" s="12" t="inlineStr"/>
    </row>
    <row r="133">
      <c r="A133" s="25" t="inlineStr">
        <is>
          <t>RK-BC5-A</t>
        </is>
      </c>
      <c r="B133" s="25" t="inlineStr">
        <is>
          <t>FL_MAT_BC_5kg</t>
        </is>
      </c>
      <c r="C133" s="25" t="inlineStr">
        <is>
          <t>Extintor BC 5 kg</t>
        </is>
      </c>
      <c r="D133" s="12" t="inlineStr">
        <is>
          <t>A - Extintor descargado (uso o descarga parcial)</t>
        </is>
      </c>
      <c r="E133" s="12" t="inlineStr">
        <is>
          <t>Gas impulsor N₂</t>
        </is>
      </c>
      <c r="F133" s="25" t="n">
        <v>0.0077</v>
      </c>
      <c r="G133" s="25" t="inlineStr">
        <is>
          <t>kg</t>
        </is>
      </c>
      <c r="H133" s="12" t="inlineStr">
        <is>
          <t>Nuevo</t>
        </is>
      </c>
      <c r="I133" s="12" t="inlineStr">
        <is>
          <t>IRAM 3517-2:2020 9.4.9 tabla 2</t>
        </is>
      </c>
    </row>
    <row r="134">
      <c r="A134" s="25" t="inlineStr">
        <is>
          <t>RK-BC5-B</t>
        </is>
      </c>
      <c r="B134" s="25" t="inlineStr">
        <is>
          <t>FL_MAT_BC_5kg</t>
        </is>
      </c>
      <c r="C134" s="25" t="inlineStr">
        <is>
          <t>Extintor BC 5 kg</t>
        </is>
      </c>
      <c r="D134" s="12" t="inlineStr">
        <is>
          <t>B - Mantenimiento con apertura sin descarga (control interior, PH)</t>
        </is>
      </c>
      <c r="E134" s="12" t="inlineStr">
        <is>
          <t>Polvo químico seco BC (bicarbonato) recuperado</t>
        </is>
      </c>
      <c r="F134" s="25" t="n">
        <v>4.85</v>
      </c>
      <c r="G134" s="25" t="inlineStr">
        <is>
          <t>kg</t>
        </is>
      </c>
      <c r="H134" s="12" t="inlineStr">
        <is>
          <t>Recuperado en sistema cerrado</t>
        </is>
      </c>
      <c r="I134" s="12" t="inlineStr">
        <is>
          <t>IRAM 3517-2:2020 4.4.1 y) sistema cerrado de recuperación con inspección; 9.9.3 control (puffer IRAM 3672, fusión IRAM 3569 en ABC)</t>
        </is>
      </c>
    </row>
    <row r="135">
      <c r="A135" s="25" t="inlineStr">
        <is>
          <t>RK-BC5-B</t>
        </is>
      </c>
      <c r="B135" s="25" t="inlineStr">
        <is>
          <t>FL_MAT_BC_5kg</t>
        </is>
      </c>
      <c r="C135" s="25" t="inlineStr">
        <is>
          <t>Extintor BC 5 kg</t>
        </is>
      </c>
      <c r="D135" s="12" t="inlineStr">
        <is>
          <t>B - Mantenimiento con apertura sin descarga (control interior, PH)</t>
        </is>
      </c>
      <c r="E135" s="12" t="inlineStr">
        <is>
          <t>Polvo químico seco BC (bicarbonato) de reposición de mermas</t>
        </is>
      </c>
      <c r="F135" s="25" t="n">
        <v>0.15</v>
      </c>
      <c r="G135" s="25" t="inlineStr">
        <is>
          <t>kg</t>
        </is>
      </c>
      <c r="H135" s="12" t="inlineStr">
        <is>
          <t>Nuevo (R: 3 % de merma)</t>
        </is>
      </c>
      <c r="I135" s="12" t="inlineStr">
        <is>
          <t>Mismo tipo y marca (prohibido mezclar ABC con BC, 9.9.1.6)</t>
        </is>
      </c>
    </row>
    <row r="136">
      <c r="A136" s="25" t="inlineStr">
        <is>
          <t>RK-BC5-B</t>
        </is>
      </c>
      <c r="B136" s="25" t="inlineStr">
        <is>
          <t>FL_MAT_BC_5kg</t>
        </is>
      </c>
      <c r="C136" s="25" t="inlineStr">
        <is>
          <t>Extintor BC 5 kg</t>
        </is>
      </c>
      <c r="D136" s="12" t="inlineStr">
        <is>
          <t>B - Mantenimiento con apertura sin descarga (control interior, PH)</t>
        </is>
      </c>
      <c r="E136" s="12" t="inlineStr">
        <is>
          <t>Precinto numerado nuevo</t>
        </is>
      </c>
      <c r="F136" s="25" t="n">
        <v>1</v>
      </c>
      <c r="G136" s="25" t="inlineStr">
        <is>
          <t>u</t>
        </is>
      </c>
      <c r="H136" s="12" t="inlineStr">
        <is>
          <t>Nuevo</t>
        </is>
      </c>
      <c r="I136" s="12" t="inlineStr">
        <is>
          <t>IRAM 3517-2:2020 9.4.13</t>
        </is>
      </c>
    </row>
    <row r="137">
      <c r="A137" s="25" t="inlineStr">
        <is>
          <t>RK-BC5-B</t>
        </is>
      </c>
      <c r="B137" s="25" t="inlineStr">
        <is>
          <t>FL_MAT_BC_5kg</t>
        </is>
      </c>
      <c r="C137" s="25" t="inlineStr">
        <is>
          <t>Extintor BC 5 kg</t>
        </is>
      </c>
      <c r="D137" s="12" t="inlineStr">
        <is>
          <t>B - Mantenimiento con apertura sin descarga (control interior, PH)</t>
        </is>
      </c>
      <c r="E137" s="12" t="inlineStr">
        <is>
          <t>Marbete (anillo, color del año)</t>
        </is>
      </c>
      <c r="F137" s="25" t="n">
        <v>1</v>
      </c>
      <c r="G137" s="25" t="inlineStr">
        <is>
          <t>u</t>
        </is>
      </c>
      <c r="H137" s="12" t="inlineStr">
        <is>
          <t>Nuevo</t>
        </is>
      </c>
      <c r="I137" s="12" t="inlineStr">
        <is>
          <t>IRAM 3517-2:2020 9.4.14 · fig. 9 · tabla 4</t>
        </is>
      </c>
    </row>
    <row r="138">
      <c r="A138" s="25" t="inlineStr">
        <is>
          <t>RK-BC5-B</t>
        </is>
      </c>
      <c r="B138" s="25" t="inlineStr">
        <is>
          <t>FL_MAT_BC_5kg</t>
        </is>
      </c>
      <c r="C138" s="25" t="inlineStr">
        <is>
          <t>Extintor BC 5 kg</t>
        </is>
      </c>
      <c r="D138" s="12" t="inlineStr">
        <is>
          <t>B - Mantenimiento con apertura sin descarga (control interior, PH)</t>
        </is>
      </c>
      <c r="E138" s="12" t="inlineStr">
        <is>
          <t>Tarjeta / etiqueta de control</t>
        </is>
      </c>
      <c r="F138" s="25" t="n">
        <v>1</v>
      </c>
      <c r="G138" s="25" t="inlineStr">
        <is>
          <t>u</t>
        </is>
      </c>
      <c r="H138" s="12" t="inlineStr">
        <is>
          <t>Nuevo</t>
        </is>
      </c>
      <c r="I138" s="12" t="inlineStr">
        <is>
          <t>IRAM 3517-2:2020 8.3.3</t>
        </is>
      </c>
    </row>
    <row r="139">
      <c r="A139" s="25" t="inlineStr">
        <is>
          <t>RK-BC5-B</t>
        </is>
      </c>
      <c r="B139" s="25" t="inlineStr">
        <is>
          <t>FL_MAT_BC_5kg</t>
        </is>
      </c>
      <c r="C139" s="25" t="inlineStr">
        <is>
          <t>Extintor BC 5 kg</t>
        </is>
      </c>
      <c r="D139" s="12" t="inlineStr">
        <is>
          <t>B - Mantenimiento con apertura sin descarga (control interior, PH)</t>
        </is>
      </c>
      <c r="E139" s="12" t="inlineStr">
        <is>
          <t>Junta tórica de asiento del cuello</t>
        </is>
      </c>
      <c r="F139" s="25" t="n">
        <v>1</v>
      </c>
      <c r="G139" s="25" t="inlineStr">
        <is>
          <t>u</t>
        </is>
      </c>
      <c r="H139" s="12" t="inlineStr">
        <is>
          <t>Nuevo (R: cambio sistemático)</t>
        </is>
      </c>
      <c r="I139" s="12" t="inlineStr"/>
    </row>
    <row r="140">
      <c r="A140" s="25" t="inlineStr">
        <is>
          <t>RK-BC5-B</t>
        </is>
      </c>
      <c r="B140" s="25" t="inlineStr">
        <is>
          <t>FL_MAT_BC_5kg</t>
        </is>
      </c>
      <c r="C140" s="25" t="inlineStr">
        <is>
          <t>Extintor BC 5 kg</t>
        </is>
      </c>
      <c r="D140" s="12" t="inlineStr">
        <is>
          <t>B - Mantenimiento con apertura sin descarga (control interior, PH)</t>
        </is>
      </c>
      <c r="E140" s="12" t="inlineStr">
        <is>
          <t>Gas impulsor N₂</t>
        </is>
      </c>
      <c r="F140" s="25" t="n">
        <v>0.0077</v>
      </c>
      <c r="G140" s="25" t="inlineStr">
        <is>
          <t>kg</t>
        </is>
      </c>
      <c r="H140" s="12" t="inlineStr">
        <is>
          <t>Nuevo</t>
        </is>
      </c>
      <c r="I140" s="12" t="inlineStr">
        <is>
          <t>IRAM 3517-2:2020 9.4.9 tabla 2</t>
        </is>
      </c>
    </row>
    <row r="141">
      <c r="A141" s="25" t="inlineStr">
        <is>
          <t>RK-BC5-C</t>
        </is>
      </c>
      <c r="B141" s="25" t="inlineStr">
        <is>
          <t>FL_MAT_BC_5kg</t>
        </is>
      </c>
      <c r="C141" s="25" t="inlineStr">
        <is>
          <t>Extintor BC 5 kg</t>
        </is>
      </c>
      <c r="D141" s="12" t="inlineStr">
        <is>
          <t>C - Cambio obligatorio de polvo (versión anterior de la IRAM 3569)</t>
        </is>
      </c>
      <c r="E141" s="12" t="inlineStr">
        <is>
          <t>Polvo químico seco BC (bicarbonato)</t>
        </is>
      </c>
      <c r="F141" s="25" t="n">
        <v>5</v>
      </c>
      <c r="G141" s="25" t="inlineStr">
        <is>
          <t>kg</t>
        </is>
      </c>
      <c r="H141" s="12" t="inlineStr">
        <is>
          <t>Nuevo 100 %; el viejo va a residuos (RC-IR)</t>
        </is>
      </c>
      <c r="I141" s="12" t="inlineStr">
        <is>
          <t>IRAM 3517-2:2020 9.9.4</t>
        </is>
      </c>
    </row>
    <row r="142">
      <c r="A142" s="25" t="inlineStr">
        <is>
          <t>RK-BC5-C</t>
        </is>
      </c>
      <c r="B142" s="25" t="inlineStr">
        <is>
          <t>FL_MAT_BC_5kg</t>
        </is>
      </c>
      <c r="C142" s="25" t="inlineStr">
        <is>
          <t>Extintor BC 5 kg</t>
        </is>
      </c>
      <c r="D142" s="12" t="inlineStr">
        <is>
          <t>C - Cambio obligatorio de polvo (versión anterior de la IRAM 3569)</t>
        </is>
      </c>
      <c r="E142" s="12" t="inlineStr">
        <is>
          <t>Precinto numerado nuevo</t>
        </is>
      </c>
      <c r="F142" s="25" t="n">
        <v>1</v>
      </c>
      <c r="G142" s="25" t="inlineStr">
        <is>
          <t>u</t>
        </is>
      </c>
      <c r="H142" s="12" t="inlineStr">
        <is>
          <t>Nuevo</t>
        </is>
      </c>
      <c r="I142" s="12" t="inlineStr">
        <is>
          <t>IRAM 3517-2:2020 9.4.13</t>
        </is>
      </c>
    </row>
    <row r="143">
      <c r="A143" s="25" t="inlineStr">
        <is>
          <t>RK-BC5-C</t>
        </is>
      </c>
      <c r="B143" s="25" t="inlineStr">
        <is>
          <t>FL_MAT_BC_5kg</t>
        </is>
      </c>
      <c r="C143" s="25" t="inlineStr">
        <is>
          <t>Extintor BC 5 kg</t>
        </is>
      </c>
      <c r="D143" s="12" t="inlineStr">
        <is>
          <t>C - Cambio obligatorio de polvo (versión anterior de la IRAM 3569)</t>
        </is>
      </c>
      <c r="E143" s="12" t="inlineStr">
        <is>
          <t>Marbete (anillo, color del año)</t>
        </is>
      </c>
      <c r="F143" s="25" t="n">
        <v>1</v>
      </c>
      <c r="G143" s="25" t="inlineStr">
        <is>
          <t>u</t>
        </is>
      </c>
      <c r="H143" s="12" t="inlineStr">
        <is>
          <t>Nuevo</t>
        </is>
      </c>
      <c r="I143" s="12" t="inlineStr">
        <is>
          <t>IRAM 3517-2:2020 9.4.14 · fig. 9 · tabla 4</t>
        </is>
      </c>
    </row>
    <row r="144">
      <c r="A144" s="25" t="inlineStr">
        <is>
          <t>RK-BC5-C</t>
        </is>
      </c>
      <c r="B144" s="25" t="inlineStr">
        <is>
          <t>FL_MAT_BC_5kg</t>
        </is>
      </c>
      <c r="C144" s="25" t="inlineStr">
        <is>
          <t>Extintor BC 5 kg</t>
        </is>
      </c>
      <c r="D144" s="12" t="inlineStr">
        <is>
          <t>C - Cambio obligatorio de polvo (versión anterior de la IRAM 3569)</t>
        </is>
      </c>
      <c r="E144" s="12" t="inlineStr">
        <is>
          <t>Tarjeta / etiqueta de control</t>
        </is>
      </c>
      <c r="F144" s="25" t="n">
        <v>1</v>
      </c>
      <c r="G144" s="25" t="inlineStr">
        <is>
          <t>u</t>
        </is>
      </c>
      <c r="H144" s="12" t="inlineStr">
        <is>
          <t>Nuevo</t>
        </is>
      </c>
      <c r="I144" s="12" t="inlineStr">
        <is>
          <t>IRAM 3517-2:2020 8.3.3</t>
        </is>
      </c>
    </row>
    <row r="145">
      <c r="A145" s="25" t="inlineStr">
        <is>
          <t>RK-BC5-C</t>
        </is>
      </c>
      <c r="B145" s="25" t="inlineStr">
        <is>
          <t>FL_MAT_BC_5kg</t>
        </is>
      </c>
      <c r="C145" s="25" t="inlineStr">
        <is>
          <t>Extintor BC 5 kg</t>
        </is>
      </c>
      <c r="D145" s="12" t="inlineStr">
        <is>
          <t>C - Cambio obligatorio de polvo (versión anterior de la IRAM 3569)</t>
        </is>
      </c>
      <c r="E145" s="12" t="inlineStr">
        <is>
          <t>Junta tórica de asiento del cuello</t>
        </is>
      </c>
      <c r="F145" s="25" t="n">
        <v>1</v>
      </c>
      <c r="G145" s="25" t="inlineStr">
        <is>
          <t>u</t>
        </is>
      </c>
      <c r="H145" s="12" t="inlineStr">
        <is>
          <t>Nuevo (R: cambio sistemático)</t>
        </is>
      </c>
      <c r="I145" s="12" t="inlineStr"/>
    </row>
    <row r="146">
      <c r="A146" s="25" t="inlineStr">
        <is>
          <t>RK-BC5-C</t>
        </is>
      </c>
      <c r="B146" s="25" t="inlineStr">
        <is>
          <t>FL_MAT_BC_5kg</t>
        </is>
      </c>
      <c r="C146" s="25" t="inlineStr">
        <is>
          <t>Extintor BC 5 kg</t>
        </is>
      </c>
      <c r="D146" s="12" t="inlineStr">
        <is>
          <t>C - Cambio obligatorio de polvo (versión anterior de la IRAM 3569)</t>
        </is>
      </c>
      <c r="E146" s="12" t="inlineStr">
        <is>
          <t>Gas impulsor N₂</t>
        </is>
      </c>
      <c r="F146" s="25" t="n">
        <v>0.0077</v>
      </c>
      <c r="G146" s="25" t="inlineStr">
        <is>
          <t>kg</t>
        </is>
      </c>
      <c r="H146" s="12" t="inlineStr">
        <is>
          <t>Nuevo</t>
        </is>
      </c>
      <c r="I146" s="12" t="inlineStr">
        <is>
          <t>IRAM 3517-2:2020 9.4.9 tabla 2</t>
        </is>
      </c>
    </row>
    <row r="147">
      <c r="A147" s="25" t="inlineStr">
        <is>
          <t>RK-BC5-I</t>
        </is>
      </c>
      <c r="B147" s="25" t="inlineStr">
        <is>
          <t>FL_MAT_BC_5kg</t>
        </is>
      </c>
      <c r="C147" s="25" t="inlineStr">
        <is>
          <t>Extintor BC 5 kg</t>
        </is>
      </c>
      <c r="D147" s="12" t="inlineStr">
        <is>
          <t>Según inspección (consumo estadístico a definir)</t>
        </is>
      </c>
      <c r="E147" s="12" t="inlineStr">
        <is>
          <t>Manómetro / manguera / tobera / kit de válvula</t>
        </is>
      </c>
      <c r="F147" s="25" t="inlineStr">
        <is>
          <t>-</t>
        </is>
      </c>
      <c r="G147" s="25" t="inlineStr">
        <is>
          <t>u</t>
        </is>
      </c>
      <c r="H147" s="12" t="inlineStr">
        <is>
          <t>Recambio sólo si falla</t>
        </is>
      </c>
      <c r="I147" s="12" t="inlineStr">
        <is>
          <t>IRAM 3517-2:2020 9.4.11 (cada manguera vuelve a su extintor)</t>
        </is>
      </c>
    </row>
    <row r="148">
      <c r="A148" s="25" t="inlineStr">
        <is>
          <t>RK-SALESK6-A</t>
        </is>
      </c>
      <c r="B148" s="25" t="inlineStr">
        <is>
          <t>FL_MAT_SALESK_6l</t>
        </is>
      </c>
      <c r="C148" s="25" t="inlineStr">
        <is>
          <t>Extintor Sales K 6 l</t>
        </is>
      </c>
      <c r="D148" s="12" t="inlineStr">
        <is>
          <t>A - Extintor descargado</t>
        </is>
      </c>
      <c r="E148" s="12" t="inlineStr">
        <is>
          <t>Acetato de potasio - DEMSA Kitchen (IRAM 3697)</t>
        </is>
      </c>
      <c r="F148" s="25" t="n">
        <v>6</v>
      </c>
      <c r="G148" s="25" t="inlineStr">
        <is>
          <t>L</t>
        </is>
      </c>
      <c r="H148" s="12" t="inlineStr">
        <is>
          <t>Nuevo</t>
        </is>
      </c>
      <c r="I148" s="12" t="inlineStr">
        <is>
          <t>IRAM 3517-2:2020 9.9 tabla 6</t>
        </is>
      </c>
    </row>
    <row r="149">
      <c r="A149" s="25" t="inlineStr">
        <is>
          <t>RK-SALESK6-A</t>
        </is>
      </c>
      <c r="B149" s="25" t="inlineStr">
        <is>
          <t>FL_MAT_SALESK_6l</t>
        </is>
      </c>
      <c r="C149" s="25" t="inlineStr">
        <is>
          <t>Extintor Sales K 6 l</t>
        </is>
      </c>
      <c r="D149" s="12" t="inlineStr">
        <is>
          <t>A - Extintor descargado</t>
        </is>
      </c>
      <c r="E149" s="12" t="inlineStr">
        <is>
          <t>Precinto numerado nuevo</t>
        </is>
      </c>
      <c r="F149" s="25" t="n">
        <v>1</v>
      </c>
      <c r="G149" s="25" t="inlineStr">
        <is>
          <t>u</t>
        </is>
      </c>
      <c r="H149" s="12" t="inlineStr">
        <is>
          <t>Nuevo</t>
        </is>
      </c>
      <c r="I149" s="12" t="inlineStr">
        <is>
          <t>IRAM 3517-2:2020 9.4.13</t>
        </is>
      </c>
    </row>
    <row r="150">
      <c r="A150" s="25" t="inlineStr">
        <is>
          <t>RK-SALESK6-A</t>
        </is>
      </c>
      <c r="B150" s="25" t="inlineStr">
        <is>
          <t>FL_MAT_SALESK_6l</t>
        </is>
      </c>
      <c r="C150" s="25" t="inlineStr">
        <is>
          <t>Extintor Sales K 6 l</t>
        </is>
      </c>
      <c r="D150" s="12" t="inlineStr">
        <is>
          <t>A - Extintor descargado</t>
        </is>
      </c>
      <c r="E150" s="12" t="inlineStr">
        <is>
          <t>Marbete (anillo, color del año)</t>
        </is>
      </c>
      <c r="F150" s="25" t="n">
        <v>1</v>
      </c>
      <c r="G150" s="25" t="inlineStr">
        <is>
          <t>u</t>
        </is>
      </c>
      <c r="H150" s="12" t="inlineStr">
        <is>
          <t>Nuevo</t>
        </is>
      </c>
      <c r="I150" s="12" t="inlineStr">
        <is>
          <t>IRAM 3517-2:2020 9.4.14 · fig. 9 · tabla 4</t>
        </is>
      </c>
    </row>
    <row r="151">
      <c r="A151" s="25" t="inlineStr">
        <is>
          <t>RK-SALESK6-A</t>
        </is>
      </c>
      <c r="B151" s="25" t="inlineStr">
        <is>
          <t>FL_MAT_SALESK_6l</t>
        </is>
      </c>
      <c r="C151" s="25" t="inlineStr">
        <is>
          <t>Extintor Sales K 6 l</t>
        </is>
      </c>
      <c r="D151" s="12" t="inlineStr">
        <is>
          <t>A - Extintor descargado</t>
        </is>
      </c>
      <c r="E151" s="12" t="inlineStr">
        <is>
          <t>Tarjeta / etiqueta de control</t>
        </is>
      </c>
      <c r="F151" s="25" t="n">
        <v>1</v>
      </c>
      <c r="G151" s="25" t="inlineStr">
        <is>
          <t>u</t>
        </is>
      </c>
      <c r="H151" s="12" t="inlineStr">
        <is>
          <t>Nuevo</t>
        </is>
      </c>
      <c r="I151" s="12" t="inlineStr">
        <is>
          <t>IRAM 3517-2:2020 8.3.3</t>
        </is>
      </c>
    </row>
    <row r="152">
      <c r="A152" s="25" t="inlineStr">
        <is>
          <t>RK-SALESK6-A</t>
        </is>
      </c>
      <c r="B152" s="25" t="inlineStr">
        <is>
          <t>FL_MAT_SALESK_6l</t>
        </is>
      </c>
      <c r="C152" s="25" t="inlineStr">
        <is>
          <t>Extintor Sales K 6 l</t>
        </is>
      </c>
      <c r="D152" s="12" t="inlineStr">
        <is>
          <t>A - Extintor descargado</t>
        </is>
      </c>
      <c r="E152" s="12" t="inlineStr">
        <is>
          <t>Junta tórica de asiento del cuello</t>
        </is>
      </c>
      <c r="F152" s="25" t="n">
        <v>1</v>
      </c>
      <c r="G152" s="25" t="inlineStr">
        <is>
          <t>u</t>
        </is>
      </c>
      <c r="H152" s="12" t="inlineStr">
        <is>
          <t>Nuevo (R: cambio sistemático)</t>
        </is>
      </c>
      <c r="I152" s="12" t="inlineStr"/>
    </row>
    <row r="153">
      <c r="A153" s="25" t="inlineStr">
        <is>
          <t>RK-SALESK6-A</t>
        </is>
      </c>
      <c r="B153" s="25" t="inlineStr">
        <is>
          <t>FL_MAT_SALESK_6l</t>
        </is>
      </c>
      <c r="C153" s="25" t="inlineStr">
        <is>
          <t>Extintor Sales K 6 l</t>
        </is>
      </c>
      <c r="D153" s="12" t="inlineStr">
        <is>
          <t>A - Extintor descargado</t>
        </is>
      </c>
      <c r="E153" s="12" t="inlineStr">
        <is>
          <t>Gas impulsor N₂</t>
        </is>
      </c>
      <c r="F153" s="25" t="n">
        <v>0.0306</v>
      </c>
      <c r="G153" s="25" t="inlineStr">
        <is>
          <t>kg</t>
        </is>
      </c>
      <c r="H153" s="12" t="inlineStr">
        <is>
          <t>Nuevo</t>
        </is>
      </c>
      <c r="I153" s="12" t="inlineStr">
        <is>
          <t>IRAM 3517-2:2020 9.4.9 tabla 2</t>
        </is>
      </c>
    </row>
    <row r="154">
      <c r="A154" s="25" t="inlineStr">
        <is>
          <t>RK-SALESK6-B</t>
        </is>
      </c>
      <c r="B154" s="25" t="inlineStr">
        <is>
          <t>FL_MAT_SALESK_6l</t>
        </is>
      </c>
      <c r="C154" s="25" t="inlineStr">
        <is>
          <t>Extintor Sales K 6 l</t>
        </is>
      </c>
      <c r="D154" s="12" t="inlineStr">
        <is>
          <t>B - Mantenimiento (PH cada 2 años en inoxidables y AFFF)</t>
        </is>
      </c>
      <c r="E154" s="12" t="inlineStr">
        <is>
          <t>Acetato de potasio - DEMSA Kitchen (IRAM 3697)</t>
        </is>
      </c>
      <c r="F154" s="25" t="n">
        <v>6</v>
      </c>
      <c r="G154" s="25" t="inlineStr">
        <is>
          <t>L</t>
        </is>
      </c>
      <c r="H154" s="12" t="inlineStr">
        <is>
          <t>Nuevo (R: la carga líquida no se recupera; confirmar vida útil del concentrado con el fabricante)</t>
        </is>
      </c>
      <c r="I154" s="12" t="inlineStr">
        <is>
          <t>IRAM 3517-2:2020 9.9</t>
        </is>
      </c>
    </row>
    <row r="155">
      <c r="A155" s="25" t="inlineStr">
        <is>
          <t>RK-SALESK6-B</t>
        </is>
      </c>
      <c r="B155" s="25" t="inlineStr">
        <is>
          <t>FL_MAT_SALESK_6l</t>
        </is>
      </c>
      <c r="C155" s="25" t="inlineStr">
        <is>
          <t>Extintor Sales K 6 l</t>
        </is>
      </c>
      <c r="D155" s="12" t="inlineStr">
        <is>
          <t>B - Mantenimiento (PH cada 2 años en inoxidables y AFFF)</t>
        </is>
      </c>
      <c r="E155" s="12" t="inlineStr">
        <is>
          <t>Precinto numerado nuevo</t>
        </is>
      </c>
      <c r="F155" s="25" t="n">
        <v>1</v>
      </c>
      <c r="G155" s="25" t="inlineStr">
        <is>
          <t>u</t>
        </is>
      </c>
      <c r="H155" s="12" t="inlineStr">
        <is>
          <t>Nuevo</t>
        </is>
      </c>
      <c r="I155" s="12" t="inlineStr">
        <is>
          <t>IRAM 3517-2:2020 9.4.13</t>
        </is>
      </c>
    </row>
    <row r="156">
      <c r="A156" s="25" t="inlineStr">
        <is>
          <t>RK-SALESK6-B</t>
        </is>
      </c>
      <c r="B156" s="25" t="inlineStr">
        <is>
          <t>FL_MAT_SALESK_6l</t>
        </is>
      </c>
      <c r="C156" s="25" t="inlineStr">
        <is>
          <t>Extintor Sales K 6 l</t>
        </is>
      </c>
      <c r="D156" s="12" t="inlineStr">
        <is>
          <t>B - Mantenimiento (PH cada 2 años en inoxidables y AFFF)</t>
        </is>
      </c>
      <c r="E156" s="12" t="inlineStr">
        <is>
          <t>Marbete (anillo, color del año)</t>
        </is>
      </c>
      <c r="F156" s="25" t="n">
        <v>1</v>
      </c>
      <c r="G156" s="25" t="inlineStr">
        <is>
          <t>u</t>
        </is>
      </c>
      <c r="H156" s="12" t="inlineStr">
        <is>
          <t>Nuevo</t>
        </is>
      </c>
      <c r="I156" s="12" t="inlineStr">
        <is>
          <t>IRAM 3517-2:2020 9.4.14 · fig. 9 · tabla 4</t>
        </is>
      </c>
    </row>
    <row r="157">
      <c r="A157" s="25" t="inlineStr">
        <is>
          <t>RK-SALESK6-B</t>
        </is>
      </c>
      <c r="B157" s="25" t="inlineStr">
        <is>
          <t>FL_MAT_SALESK_6l</t>
        </is>
      </c>
      <c r="C157" s="25" t="inlineStr">
        <is>
          <t>Extintor Sales K 6 l</t>
        </is>
      </c>
      <c r="D157" s="12" t="inlineStr">
        <is>
          <t>B - Mantenimiento (PH cada 2 años en inoxidables y AFFF)</t>
        </is>
      </c>
      <c r="E157" s="12" t="inlineStr">
        <is>
          <t>Tarjeta / etiqueta de control</t>
        </is>
      </c>
      <c r="F157" s="25" t="n">
        <v>1</v>
      </c>
      <c r="G157" s="25" t="inlineStr">
        <is>
          <t>u</t>
        </is>
      </c>
      <c r="H157" s="12" t="inlineStr">
        <is>
          <t>Nuevo</t>
        </is>
      </c>
      <c r="I157" s="12" t="inlineStr">
        <is>
          <t>IRAM 3517-2:2020 8.3.3</t>
        </is>
      </c>
    </row>
    <row r="158">
      <c r="A158" s="25" t="inlineStr">
        <is>
          <t>RK-SALESK6-B</t>
        </is>
      </c>
      <c r="B158" s="25" t="inlineStr">
        <is>
          <t>FL_MAT_SALESK_6l</t>
        </is>
      </c>
      <c r="C158" s="25" t="inlineStr">
        <is>
          <t>Extintor Sales K 6 l</t>
        </is>
      </c>
      <c r="D158" s="12" t="inlineStr">
        <is>
          <t>B - Mantenimiento (PH cada 2 años en inoxidables y AFFF)</t>
        </is>
      </c>
      <c r="E158" s="12" t="inlineStr">
        <is>
          <t>Junta tórica de asiento del cuello</t>
        </is>
      </c>
      <c r="F158" s="25" t="n">
        <v>1</v>
      </c>
      <c r="G158" s="25" t="inlineStr">
        <is>
          <t>u</t>
        </is>
      </c>
      <c r="H158" s="12" t="inlineStr">
        <is>
          <t>Nuevo (R: cambio sistemático)</t>
        </is>
      </c>
      <c r="I158" s="12" t="inlineStr"/>
    </row>
    <row r="159">
      <c r="A159" s="25" t="inlineStr">
        <is>
          <t>RK-SALESK6-B</t>
        </is>
      </c>
      <c r="B159" s="25" t="inlineStr">
        <is>
          <t>FL_MAT_SALESK_6l</t>
        </is>
      </c>
      <c r="C159" s="25" t="inlineStr">
        <is>
          <t>Extintor Sales K 6 l</t>
        </is>
      </c>
      <c r="D159" s="12" t="inlineStr">
        <is>
          <t>B - Mantenimiento (PH cada 2 años en inoxidables y AFFF)</t>
        </is>
      </c>
      <c r="E159" s="12" t="inlineStr">
        <is>
          <t>Gas impulsor N₂</t>
        </is>
      </c>
      <c r="F159" s="25" t="n">
        <v>0.0306</v>
      </c>
      <c r="G159" s="25" t="inlineStr">
        <is>
          <t>kg</t>
        </is>
      </c>
      <c r="H159" s="12" t="inlineStr">
        <is>
          <t>Nuevo</t>
        </is>
      </c>
      <c r="I159" s="12" t="inlineStr">
        <is>
          <t>IRAM 3517-2:2020 9.4.9 tabla 2</t>
        </is>
      </c>
    </row>
    <row r="160">
      <c r="A160" s="25" t="inlineStr">
        <is>
          <t>RK-SALESK6-I</t>
        </is>
      </c>
      <c r="B160" s="25" t="inlineStr">
        <is>
          <t>FL_MAT_SALESK_6l</t>
        </is>
      </c>
      <c r="C160" s="25" t="inlineStr">
        <is>
          <t>Extintor Sales K 6 l</t>
        </is>
      </c>
      <c r="D160" s="12" t="inlineStr">
        <is>
          <t>Según inspección (consumo estadístico a definir)</t>
        </is>
      </c>
      <c r="E160" s="12" t="inlineStr">
        <is>
          <t>Manómetro / manguera / tobera / kit de válvula</t>
        </is>
      </c>
      <c r="F160" s="25" t="inlineStr">
        <is>
          <t>-</t>
        </is>
      </c>
      <c r="G160" s="25" t="inlineStr">
        <is>
          <t>u</t>
        </is>
      </c>
      <c r="H160" s="12" t="inlineStr">
        <is>
          <t>Recambio sólo si falla</t>
        </is>
      </c>
      <c r="I160" s="12" t="inlineStr">
        <is>
          <t>IRAM 3517-2:2020 9.4.11 (cada manguera vuelve a su extintor)</t>
        </is>
      </c>
    </row>
    <row r="161">
      <c r="A161" s="25" t="inlineStr">
        <is>
          <t>RK-CO22-A</t>
        </is>
      </c>
      <c r="B161" s="25" t="inlineStr">
        <is>
          <t>FL_MAT_CO2_2kg</t>
        </is>
      </c>
      <c r="C161" s="25" t="inlineStr">
        <is>
          <t>Extintor CO₂ 2 kg</t>
        </is>
      </c>
      <c r="D161" s="12" t="inlineStr">
        <is>
          <t>A - Extintor descargado</t>
        </is>
      </c>
      <c r="E161" s="12" t="inlineStr">
        <is>
          <t>Dióxido de carbono (IRAM 41170)</t>
        </is>
      </c>
      <c r="F161" s="25" t="n">
        <v>2</v>
      </c>
      <c r="G161" s="25" t="inlineStr">
        <is>
          <t>kg</t>
        </is>
      </c>
      <c r="H161" s="12" t="inlineStr">
        <is>
          <t>Nuevo (trasvase de batería o tanque criogénico)</t>
        </is>
      </c>
      <c r="I161" s="12" t="inlineStr">
        <is>
          <t>IRAM 3517-2:2020 4.4.1 l) trasvasador; 9.9.1.11 calidad del CO₂</t>
        </is>
      </c>
    </row>
    <row r="162">
      <c r="A162" s="25" t="inlineStr">
        <is>
          <t>RK-CO22-A</t>
        </is>
      </c>
      <c r="B162" s="25" t="inlineStr">
        <is>
          <t>FL_MAT_CO2_2kg</t>
        </is>
      </c>
      <c r="C162" s="25" t="inlineStr">
        <is>
          <t>Extintor CO₂ 2 kg</t>
        </is>
      </c>
      <c r="D162" s="12" t="inlineStr">
        <is>
          <t>A - Extintor descargado</t>
        </is>
      </c>
      <c r="E162" s="12" t="inlineStr">
        <is>
          <t>Precinto numerado nuevo</t>
        </is>
      </c>
      <c r="F162" s="25" t="n">
        <v>1</v>
      </c>
      <c r="G162" s="25" t="inlineStr">
        <is>
          <t>u</t>
        </is>
      </c>
      <c r="H162" s="12" t="inlineStr">
        <is>
          <t>Nuevo</t>
        </is>
      </c>
      <c r="I162" s="12" t="inlineStr">
        <is>
          <t>IRAM 3517-2:2020 9.4.13</t>
        </is>
      </c>
    </row>
    <row r="163">
      <c r="A163" s="25" t="inlineStr">
        <is>
          <t>RK-CO22-A</t>
        </is>
      </c>
      <c r="B163" s="25" t="inlineStr">
        <is>
          <t>FL_MAT_CO2_2kg</t>
        </is>
      </c>
      <c r="C163" s="25" t="inlineStr">
        <is>
          <t>Extintor CO₂ 2 kg</t>
        </is>
      </c>
      <c r="D163" s="12" t="inlineStr">
        <is>
          <t>A - Extintor descargado</t>
        </is>
      </c>
      <c r="E163" s="12" t="inlineStr">
        <is>
          <t>Marbete (anillo, color del año)</t>
        </is>
      </c>
      <c r="F163" s="25" t="n">
        <v>1</v>
      </c>
      <c r="G163" s="25" t="inlineStr">
        <is>
          <t>u</t>
        </is>
      </c>
      <c r="H163" s="12" t="inlineStr">
        <is>
          <t>Nuevo</t>
        </is>
      </c>
      <c r="I163" s="12" t="inlineStr">
        <is>
          <t>IRAM 3517-2:2020 9.4.14 · fig. 9 · tabla 4</t>
        </is>
      </c>
    </row>
    <row r="164">
      <c r="A164" s="25" t="inlineStr">
        <is>
          <t>RK-CO22-A</t>
        </is>
      </c>
      <c r="B164" s="25" t="inlineStr">
        <is>
          <t>FL_MAT_CO2_2kg</t>
        </is>
      </c>
      <c r="C164" s="25" t="inlineStr">
        <is>
          <t>Extintor CO₂ 2 kg</t>
        </is>
      </c>
      <c r="D164" s="12" t="inlineStr">
        <is>
          <t>A - Extintor descargado</t>
        </is>
      </c>
      <c r="E164" s="12" t="inlineStr">
        <is>
          <t>Tarjeta / etiqueta de control</t>
        </is>
      </c>
      <c r="F164" s="25" t="n">
        <v>1</v>
      </c>
      <c r="G164" s="25" t="inlineStr">
        <is>
          <t>u</t>
        </is>
      </c>
      <c r="H164" s="12" t="inlineStr">
        <is>
          <t>Nuevo</t>
        </is>
      </c>
      <c r="I164" s="12" t="inlineStr">
        <is>
          <t>IRAM 3517-2:2020 8.3.3</t>
        </is>
      </c>
    </row>
    <row r="165">
      <c r="A165" s="25" t="inlineStr">
        <is>
          <t>RK-CO22-A</t>
        </is>
      </c>
      <c r="B165" s="25" t="inlineStr">
        <is>
          <t>FL_MAT_CO2_2kg</t>
        </is>
      </c>
      <c r="C165" s="25" t="inlineStr">
        <is>
          <t>Extintor CO₂ 2 kg</t>
        </is>
      </c>
      <c r="D165" s="12" t="inlineStr">
        <is>
          <t>A - Extintor descargado</t>
        </is>
      </c>
      <c r="E165" s="12" t="inlineStr">
        <is>
          <t>Junta tórica de asiento del cuello</t>
        </is>
      </c>
      <c r="F165" s="25" t="n">
        <v>1</v>
      </c>
      <c r="G165" s="25" t="inlineStr">
        <is>
          <t>u</t>
        </is>
      </c>
      <c r="H165" s="12" t="inlineStr">
        <is>
          <t>Nuevo (R: cambio sistemático)</t>
        </is>
      </c>
      <c r="I165" s="12" t="inlineStr"/>
    </row>
    <row r="166">
      <c r="A166" s="25" t="inlineStr">
        <is>
          <t>RK-CO22-B</t>
        </is>
      </c>
      <c r="B166" s="25" t="inlineStr">
        <is>
          <t>FL_MAT_CO2_2kg</t>
        </is>
      </c>
      <c r="C166" s="25" t="inlineStr">
        <is>
          <t>Extintor CO₂ 2 kg</t>
        </is>
      </c>
      <c r="D166" s="12" t="inlineStr">
        <is>
          <t>B - Mantenimiento con vaciado (PH cada 5 años)</t>
        </is>
      </c>
      <c r="E166" s="12" t="inlineStr">
        <is>
          <t>Dióxido de carbono (IRAM 41170) recuperado</t>
        </is>
      </c>
      <c r="F166" s="25" t="n">
        <v>2</v>
      </c>
      <c r="G166" s="25" t="inlineStr">
        <is>
          <t>kg</t>
        </is>
      </c>
      <c r="H166" s="12" t="inlineStr">
        <is>
          <t>Recuperación en circuito cerrado recomendada</t>
        </is>
      </c>
      <c r="I166" s="12" t="inlineStr">
        <is>
          <t>IRAM 3517-2:2020 9.4.18</t>
        </is>
      </c>
    </row>
    <row r="167">
      <c r="A167" s="25" t="inlineStr">
        <is>
          <t>RK-CO22-B</t>
        </is>
      </c>
      <c r="B167" s="25" t="inlineStr">
        <is>
          <t>FL_MAT_CO2_2kg</t>
        </is>
      </c>
      <c r="C167" s="25" t="inlineStr">
        <is>
          <t>Extintor CO₂ 2 kg</t>
        </is>
      </c>
      <c r="D167" s="12" t="inlineStr">
        <is>
          <t>B - Mantenimiento con vaciado (PH cada 5 años)</t>
        </is>
      </c>
      <c r="E167" s="12" t="inlineStr">
        <is>
          <t>Disco de seguridad</t>
        </is>
      </c>
      <c r="F167" s="25" t="n">
        <v>1</v>
      </c>
      <c r="G167" s="25" t="inlineStr">
        <is>
          <t>u</t>
        </is>
      </c>
      <c r="H167" s="12" t="inlineStr">
        <is>
          <t>Nuevo</t>
        </is>
      </c>
      <c r="I167" s="12" t="inlineStr">
        <is>
          <t>IRAM 3517-2:2020 9.4.17 dispositivos</t>
        </is>
      </c>
    </row>
    <row r="168">
      <c r="A168" s="25" t="inlineStr">
        <is>
          <t>RK-CO22-B</t>
        </is>
      </c>
      <c r="B168" s="25" t="inlineStr">
        <is>
          <t>FL_MAT_CO2_2kg</t>
        </is>
      </c>
      <c r="C168" s="25" t="inlineStr">
        <is>
          <t>Extintor CO₂ 2 kg</t>
        </is>
      </c>
      <c r="D168" s="12" t="inlineStr">
        <is>
          <t>B - Mantenimiento con vaciado (PH cada 5 años)</t>
        </is>
      </c>
      <c r="E168" s="12" t="inlineStr">
        <is>
          <t>Precinto numerado nuevo</t>
        </is>
      </c>
      <c r="F168" s="25" t="n">
        <v>1</v>
      </c>
      <c r="G168" s="25" t="inlineStr">
        <is>
          <t>u</t>
        </is>
      </c>
      <c r="H168" s="12" t="inlineStr">
        <is>
          <t>Nuevo</t>
        </is>
      </c>
      <c r="I168" s="12" t="inlineStr">
        <is>
          <t>IRAM 3517-2:2020 9.4.13</t>
        </is>
      </c>
    </row>
    <row r="169">
      <c r="A169" s="25" t="inlineStr">
        <is>
          <t>RK-CO22-B</t>
        </is>
      </c>
      <c r="B169" s="25" t="inlineStr">
        <is>
          <t>FL_MAT_CO2_2kg</t>
        </is>
      </c>
      <c r="C169" s="25" t="inlineStr">
        <is>
          <t>Extintor CO₂ 2 kg</t>
        </is>
      </c>
      <c r="D169" s="12" t="inlineStr">
        <is>
          <t>B - Mantenimiento con vaciado (PH cada 5 años)</t>
        </is>
      </c>
      <c r="E169" s="12" t="inlineStr">
        <is>
          <t>Marbete (anillo, color del año)</t>
        </is>
      </c>
      <c r="F169" s="25" t="n">
        <v>1</v>
      </c>
      <c r="G169" s="25" t="inlineStr">
        <is>
          <t>u</t>
        </is>
      </c>
      <c r="H169" s="12" t="inlineStr">
        <is>
          <t>Nuevo</t>
        </is>
      </c>
      <c r="I169" s="12" t="inlineStr">
        <is>
          <t>IRAM 3517-2:2020 9.4.14 · fig. 9 · tabla 4</t>
        </is>
      </c>
    </row>
    <row r="170">
      <c r="A170" s="25" t="inlineStr">
        <is>
          <t>RK-CO22-B</t>
        </is>
      </c>
      <c r="B170" s="25" t="inlineStr">
        <is>
          <t>FL_MAT_CO2_2kg</t>
        </is>
      </c>
      <c r="C170" s="25" t="inlineStr">
        <is>
          <t>Extintor CO₂ 2 kg</t>
        </is>
      </c>
      <c r="D170" s="12" t="inlineStr">
        <is>
          <t>B - Mantenimiento con vaciado (PH cada 5 años)</t>
        </is>
      </c>
      <c r="E170" s="12" t="inlineStr">
        <is>
          <t>Tarjeta / etiqueta de control</t>
        </is>
      </c>
      <c r="F170" s="25" t="n">
        <v>1</v>
      </c>
      <c r="G170" s="25" t="inlineStr">
        <is>
          <t>u</t>
        </is>
      </c>
      <c r="H170" s="12" t="inlineStr">
        <is>
          <t>Nuevo</t>
        </is>
      </c>
      <c r="I170" s="12" t="inlineStr">
        <is>
          <t>IRAM 3517-2:2020 8.3.3</t>
        </is>
      </c>
    </row>
    <row r="171">
      <c r="A171" s="25" t="inlineStr">
        <is>
          <t>RK-CO22-B</t>
        </is>
      </c>
      <c r="B171" s="25" t="inlineStr">
        <is>
          <t>FL_MAT_CO2_2kg</t>
        </is>
      </c>
      <c r="C171" s="25" t="inlineStr">
        <is>
          <t>Extintor CO₂ 2 kg</t>
        </is>
      </c>
      <c r="D171" s="12" t="inlineStr">
        <is>
          <t>B - Mantenimiento con vaciado (PH cada 5 años)</t>
        </is>
      </c>
      <c r="E171" s="12" t="inlineStr">
        <is>
          <t>Junta tórica de asiento del cuello</t>
        </is>
      </c>
      <c r="F171" s="25" t="n">
        <v>1</v>
      </c>
      <c r="G171" s="25" t="inlineStr">
        <is>
          <t>u</t>
        </is>
      </c>
      <c r="H171" s="12" t="inlineStr">
        <is>
          <t>Nuevo (R: cambio sistemático)</t>
        </is>
      </c>
      <c r="I171" s="12" t="inlineStr"/>
    </row>
    <row r="172">
      <c r="A172" s="25" t="inlineStr">
        <is>
          <t>RK-CO22-I</t>
        </is>
      </c>
      <c r="B172" s="25" t="inlineStr">
        <is>
          <t>FL_MAT_CO2_2kg</t>
        </is>
      </c>
      <c r="C172" s="25" t="inlineStr">
        <is>
          <t>Extintor CO₂ 2 kg</t>
        </is>
      </c>
      <c r="D172" s="12" t="inlineStr">
        <is>
          <t>Según inspección (consumo estadístico a definir)</t>
        </is>
      </c>
      <c r="E172" s="12" t="inlineStr">
        <is>
          <t>Manómetro / manguera / tobera / kit de válvula</t>
        </is>
      </c>
      <c r="F172" s="25" t="inlineStr">
        <is>
          <t>-</t>
        </is>
      </c>
      <c r="G172" s="25" t="inlineStr">
        <is>
          <t>u</t>
        </is>
      </c>
      <c r="H172" s="12" t="inlineStr">
        <is>
          <t>Recambio sólo si falla</t>
        </is>
      </c>
      <c r="I172" s="12" t="inlineStr">
        <is>
          <t>IRAM 3517-2:2020 9.4.11 (cada manguera vuelve a su extintor)</t>
        </is>
      </c>
    </row>
    <row r="173">
      <c r="A173" s="25" t="inlineStr">
        <is>
          <t>RK-CO25-A</t>
        </is>
      </c>
      <c r="B173" s="25" t="inlineStr">
        <is>
          <t>FL_MAT_CO2_5kg</t>
        </is>
      </c>
      <c r="C173" s="25" t="inlineStr">
        <is>
          <t>Extintor CO₂ 5 kg</t>
        </is>
      </c>
      <c r="D173" s="12" t="inlineStr">
        <is>
          <t>A - Extintor descargado</t>
        </is>
      </c>
      <c r="E173" s="12" t="inlineStr">
        <is>
          <t>Dióxido de carbono (IRAM 41170)</t>
        </is>
      </c>
      <c r="F173" s="25" t="n">
        <v>5</v>
      </c>
      <c r="G173" s="25" t="inlineStr">
        <is>
          <t>kg</t>
        </is>
      </c>
      <c r="H173" s="12" t="inlineStr">
        <is>
          <t>Nuevo (trasvase de batería o tanque criogénico)</t>
        </is>
      </c>
      <c r="I173" s="12" t="inlineStr">
        <is>
          <t>IRAM 3517-2:2020 4.4.1 l) trasvasador; 9.9.1.11 calidad del CO₂</t>
        </is>
      </c>
    </row>
    <row r="174">
      <c r="A174" s="25" t="inlineStr">
        <is>
          <t>RK-CO25-A</t>
        </is>
      </c>
      <c r="B174" s="25" t="inlineStr">
        <is>
          <t>FL_MAT_CO2_5kg</t>
        </is>
      </c>
      <c r="C174" s="25" t="inlineStr">
        <is>
          <t>Extintor CO₂ 5 kg</t>
        </is>
      </c>
      <c r="D174" s="12" t="inlineStr">
        <is>
          <t>A - Extintor descargado</t>
        </is>
      </c>
      <c r="E174" s="12" t="inlineStr">
        <is>
          <t>Precinto numerado nuevo</t>
        </is>
      </c>
      <c r="F174" s="25" t="n">
        <v>1</v>
      </c>
      <c r="G174" s="25" t="inlineStr">
        <is>
          <t>u</t>
        </is>
      </c>
      <c r="H174" s="12" t="inlineStr">
        <is>
          <t>Nuevo</t>
        </is>
      </c>
      <c r="I174" s="12" t="inlineStr">
        <is>
          <t>IRAM 3517-2:2020 9.4.13</t>
        </is>
      </c>
    </row>
    <row r="175">
      <c r="A175" s="25" t="inlineStr">
        <is>
          <t>RK-CO25-A</t>
        </is>
      </c>
      <c r="B175" s="25" t="inlineStr">
        <is>
          <t>FL_MAT_CO2_5kg</t>
        </is>
      </c>
      <c r="C175" s="25" t="inlineStr">
        <is>
          <t>Extintor CO₂ 5 kg</t>
        </is>
      </c>
      <c r="D175" s="12" t="inlineStr">
        <is>
          <t>A - Extintor descargado</t>
        </is>
      </c>
      <c r="E175" s="12" t="inlineStr">
        <is>
          <t>Marbete (anillo, color del año)</t>
        </is>
      </c>
      <c r="F175" s="25" t="n">
        <v>1</v>
      </c>
      <c r="G175" s="25" t="inlineStr">
        <is>
          <t>u</t>
        </is>
      </c>
      <c r="H175" s="12" t="inlineStr">
        <is>
          <t>Nuevo</t>
        </is>
      </c>
      <c r="I175" s="12" t="inlineStr">
        <is>
          <t>IRAM 3517-2:2020 9.4.14 · fig. 9 · tabla 4</t>
        </is>
      </c>
    </row>
    <row r="176">
      <c r="A176" s="25" t="inlineStr">
        <is>
          <t>RK-CO25-A</t>
        </is>
      </c>
      <c r="B176" s="25" t="inlineStr">
        <is>
          <t>FL_MAT_CO2_5kg</t>
        </is>
      </c>
      <c r="C176" s="25" t="inlineStr">
        <is>
          <t>Extintor CO₂ 5 kg</t>
        </is>
      </c>
      <c r="D176" s="12" t="inlineStr">
        <is>
          <t>A - Extintor descargado</t>
        </is>
      </c>
      <c r="E176" s="12" t="inlineStr">
        <is>
          <t>Tarjeta / etiqueta de control</t>
        </is>
      </c>
      <c r="F176" s="25" t="n">
        <v>1</v>
      </c>
      <c r="G176" s="25" t="inlineStr">
        <is>
          <t>u</t>
        </is>
      </c>
      <c r="H176" s="12" t="inlineStr">
        <is>
          <t>Nuevo</t>
        </is>
      </c>
      <c r="I176" s="12" t="inlineStr">
        <is>
          <t>IRAM 3517-2:2020 8.3.3</t>
        </is>
      </c>
    </row>
    <row r="177">
      <c r="A177" s="25" t="inlineStr">
        <is>
          <t>RK-CO25-A</t>
        </is>
      </c>
      <c r="B177" s="25" t="inlineStr">
        <is>
          <t>FL_MAT_CO2_5kg</t>
        </is>
      </c>
      <c r="C177" s="25" t="inlineStr">
        <is>
          <t>Extintor CO₂ 5 kg</t>
        </is>
      </c>
      <c r="D177" s="12" t="inlineStr">
        <is>
          <t>A - Extintor descargado</t>
        </is>
      </c>
      <c r="E177" s="12" t="inlineStr">
        <is>
          <t>Junta tórica de asiento del cuello</t>
        </is>
      </c>
      <c r="F177" s="25" t="n">
        <v>1</v>
      </c>
      <c r="G177" s="25" t="inlineStr">
        <is>
          <t>u</t>
        </is>
      </c>
      <c r="H177" s="12" t="inlineStr">
        <is>
          <t>Nuevo (R: cambio sistemático)</t>
        </is>
      </c>
      <c r="I177" s="12" t="inlineStr"/>
    </row>
    <row r="178">
      <c r="A178" s="25" t="inlineStr">
        <is>
          <t>RK-CO25-B</t>
        </is>
      </c>
      <c r="B178" s="25" t="inlineStr">
        <is>
          <t>FL_MAT_CO2_5kg</t>
        </is>
      </c>
      <c r="C178" s="25" t="inlineStr">
        <is>
          <t>Extintor CO₂ 5 kg</t>
        </is>
      </c>
      <c r="D178" s="12" t="inlineStr">
        <is>
          <t>B - Mantenimiento con vaciado (PH cada 5 años)</t>
        </is>
      </c>
      <c r="E178" s="12" t="inlineStr">
        <is>
          <t>Dióxido de carbono (IRAM 41170) recuperado</t>
        </is>
      </c>
      <c r="F178" s="25" t="n">
        <v>5</v>
      </c>
      <c r="G178" s="25" t="inlineStr">
        <is>
          <t>kg</t>
        </is>
      </c>
      <c r="H178" s="12" t="inlineStr">
        <is>
          <t>Recuperación en circuito cerrado recomendada</t>
        </is>
      </c>
      <c r="I178" s="12" t="inlineStr">
        <is>
          <t>IRAM 3517-2:2020 9.4.18</t>
        </is>
      </c>
    </row>
    <row r="179">
      <c r="A179" s="25" t="inlineStr">
        <is>
          <t>RK-CO25-B</t>
        </is>
      </c>
      <c r="B179" s="25" t="inlineStr">
        <is>
          <t>FL_MAT_CO2_5kg</t>
        </is>
      </c>
      <c r="C179" s="25" t="inlineStr">
        <is>
          <t>Extintor CO₂ 5 kg</t>
        </is>
      </c>
      <c r="D179" s="12" t="inlineStr">
        <is>
          <t>B - Mantenimiento con vaciado (PH cada 5 años)</t>
        </is>
      </c>
      <c r="E179" s="12" t="inlineStr">
        <is>
          <t>Disco de seguridad</t>
        </is>
      </c>
      <c r="F179" s="25" t="n">
        <v>1</v>
      </c>
      <c r="G179" s="25" t="inlineStr">
        <is>
          <t>u</t>
        </is>
      </c>
      <c r="H179" s="12" t="inlineStr">
        <is>
          <t>Nuevo</t>
        </is>
      </c>
      <c r="I179" s="12" t="inlineStr">
        <is>
          <t>IRAM 3517-2:2020 9.4.17 dispositivos</t>
        </is>
      </c>
    </row>
    <row r="180">
      <c r="A180" s="25" t="inlineStr">
        <is>
          <t>RK-CO25-B</t>
        </is>
      </c>
      <c r="B180" s="25" t="inlineStr">
        <is>
          <t>FL_MAT_CO2_5kg</t>
        </is>
      </c>
      <c r="C180" s="25" t="inlineStr">
        <is>
          <t>Extintor CO₂ 5 kg</t>
        </is>
      </c>
      <c r="D180" s="12" t="inlineStr">
        <is>
          <t>B - Mantenimiento con vaciado (PH cada 5 años)</t>
        </is>
      </c>
      <c r="E180" s="12" t="inlineStr">
        <is>
          <t>Precinto numerado nuevo</t>
        </is>
      </c>
      <c r="F180" s="25" t="n">
        <v>1</v>
      </c>
      <c r="G180" s="25" t="inlineStr">
        <is>
          <t>u</t>
        </is>
      </c>
      <c r="H180" s="12" t="inlineStr">
        <is>
          <t>Nuevo</t>
        </is>
      </c>
      <c r="I180" s="12" t="inlineStr">
        <is>
          <t>IRAM 3517-2:2020 9.4.13</t>
        </is>
      </c>
    </row>
    <row r="181">
      <c r="A181" s="25" t="inlineStr">
        <is>
          <t>RK-CO25-B</t>
        </is>
      </c>
      <c r="B181" s="25" t="inlineStr">
        <is>
          <t>FL_MAT_CO2_5kg</t>
        </is>
      </c>
      <c r="C181" s="25" t="inlineStr">
        <is>
          <t>Extintor CO₂ 5 kg</t>
        </is>
      </c>
      <c r="D181" s="12" t="inlineStr">
        <is>
          <t>B - Mantenimiento con vaciado (PH cada 5 años)</t>
        </is>
      </c>
      <c r="E181" s="12" t="inlineStr">
        <is>
          <t>Marbete (anillo, color del año)</t>
        </is>
      </c>
      <c r="F181" s="25" t="n">
        <v>1</v>
      </c>
      <c r="G181" s="25" t="inlineStr">
        <is>
          <t>u</t>
        </is>
      </c>
      <c r="H181" s="12" t="inlineStr">
        <is>
          <t>Nuevo</t>
        </is>
      </c>
      <c r="I181" s="12" t="inlineStr">
        <is>
          <t>IRAM 3517-2:2020 9.4.14 · fig. 9 · tabla 4</t>
        </is>
      </c>
    </row>
    <row r="182">
      <c r="A182" s="25" t="inlineStr">
        <is>
          <t>RK-CO25-B</t>
        </is>
      </c>
      <c r="B182" s="25" t="inlineStr">
        <is>
          <t>FL_MAT_CO2_5kg</t>
        </is>
      </c>
      <c r="C182" s="25" t="inlineStr">
        <is>
          <t>Extintor CO₂ 5 kg</t>
        </is>
      </c>
      <c r="D182" s="12" t="inlineStr">
        <is>
          <t>B - Mantenimiento con vaciado (PH cada 5 años)</t>
        </is>
      </c>
      <c r="E182" s="12" t="inlineStr">
        <is>
          <t>Tarjeta / etiqueta de control</t>
        </is>
      </c>
      <c r="F182" s="25" t="n">
        <v>1</v>
      </c>
      <c r="G182" s="25" t="inlineStr">
        <is>
          <t>u</t>
        </is>
      </c>
      <c r="H182" s="12" t="inlineStr">
        <is>
          <t>Nuevo</t>
        </is>
      </c>
      <c r="I182" s="12" t="inlineStr">
        <is>
          <t>IRAM 3517-2:2020 8.3.3</t>
        </is>
      </c>
    </row>
    <row r="183">
      <c r="A183" s="25" t="inlineStr">
        <is>
          <t>RK-CO25-B</t>
        </is>
      </c>
      <c r="B183" s="25" t="inlineStr">
        <is>
          <t>FL_MAT_CO2_5kg</t>
        </is>
      </c>
      <c r="C183" s="25" t="inlineStr">
        <is>
          <t>Extintor CO₂ 5 kg</t>
        </is>
      </c>
      <c r="D183" s="12" t="inlineStr">
        <is>
          <t>B - Mantenimiento con vaciado (PH cada 5 años)</t>
        </is>
      </c>
      <c r="E183" s="12" t="inlineStr">
        <is>
          <t>Junta tórica de asiento del cuello</t>
        </is>
      </c>
      <c r="F183" s="25" t="n">
        <v>1</v>
      </c>
      <c r="G183" s="25" t="inlineStr">
        <is>
          <t>u</t>
        </is>
      </c>
      <c r="H183" s="12" t="inlineStr">
        <is>
          <t>Nuevo (R: cambio sistemático)</t>
        </is>
      </c>
      <c r="I183" s="12" t="inlineStr"/>
    </row>
    <row r="184">
      <c r="A184" s="25" t="inlineStr">
        <is>
          <t>RK-CO25-I</t>
        </is>
      </c>
      <c r="B184" s="25" t="inlineStr">
        <is>
          <t>FL_MAT_CO2_5kg</t>
        </is>
      </c>
      <c r="C184" s="25" t="inlineStr">
        <is>
          <t>Extintor CO₂ 5 kg</t>
        </is>
      </c>
      <c r="D184" s="12" t="inlineStr">
        <is>
          <t>Según inspección (consumo estadístico a definir)</t>
        </is>
      </c>
      <c r="E184" s="12" t="inlineStr">
        <is>
          <t>Manómetro / manguera / tobera / kit de válvula</t>
        </is>
      </c>
      <c r="F184" s="25" t="inlineStr">
        <is>
          <t>-</t>
        </is>
      </c>
      <c r="G184" s="25" t="inlineStr">
        <is>
          <t>u</t>
        </is>
      </c>
      <c r="H184" s="12" t="inlineStr">
        <is>
          <t>Recambio sólo si falla</t>
        </is>
      </c>
      <c r="I184" s="12" t="inlineStr">
        <is>
          <t>IRAM 3517-2:2020 9.4.11 (cada manguera vuelve a su extintor)</t>
        </is>
      </c>
    </row>
    <row r="185">
      <c r="A185" s="25" t="inlineStr">
        <is>
          <t>RK-HCFCHFC5-A</t>
        </is>
      </c>
      <c r="B185" s="25" t="inlineStr">
        <is>
          <t>FL_MAT_HCFC-HFC_5kg</t>
        </is>
      </c>
      <c r="C185" s="25" t="inlineStr">
        <is>
          <t>Extintor HCFC/HFC 5 kg</t>
        </is>
      </c>
      <c r="D185" s="12" t="inlineStr">
        <is>
          <t>A - Extintor descargado</t>
        </is>
      </c>
      <c r="E185" s="12" t="inlineStr">
        <is>
          <t>HCFC 123 / HFC 236fa (agente limpio)</t>
        </is>
      </c>
      <c r="F185" s="25" t="n">
        <v>5</v>
      </c>
      <c r="G185" s="25" t="inlineStr">
        <is>
          <t>kg</t>
        </is>
      </c>
      <c r="H185" s="12" t="inlineStr">
        <is>
          <t>Nuevo o reciclado certificado</t>
        </is>
      </c>
      <c r="I185" s="12" t="inlineStr">
        <is>
          <t>IRAM 3517-2:2020 9.9 tabla 6 · IRAM 3526</t>
        </is>
      </c>
    </row>
    <row r="186">
      <c r="A186" s="25" t="inlineStr">
        <is>
          <t>RK-HCFCHFC5-A</t>
        </is>
      </c>
      <c r="B186" s="25" t="inlineStr">
        <is>
          <t>FL_MAT_HCFC-HFC_5kg</t>
        </is>
      </c>
      <c r="C186" s="25" t="inlineStr">
        <is>
          <t>Extintor HCFC/HFC 5 kg</t>
        </is>
      </c>
      <c r="D186" s="12" t="inlineStr">
        <is>
          <t>A - Extintor descargado</t>
        </is>
      </c>
      <c r="E186" s="12" t="inlineStr">
        <is>
          <t>Precinto numerado nuevo</t>
        </is>
      </c>
      <c r="F186" s="25" t="n">
        <v>1</v>
      </c>
      <c r="G186" s="25" t="inlineStr">
        <is>
          <t>u</t>
        </is>
      </c>
      <c r="H186" s="12" t="inlineStr">
        <is>
          <t>Nuevo</t>
        </is>
      </c>
      <c r="I186" s="12" t="inlineStr">
        <is>
          <t>IRAM 3517-2:2020 9.4.13</t>
        </is>
      </c>
    </row>
    <row r="187">
      <c r="A187" s="25" t="inlineStr">
        <is>
          <t>RK-HCFCHFC5-A</t>
        </is>
      </c>
      <c r="B187" s="25" t="inlineStr">
        <is>
          <t>FL_MAT_HCFC-HFC_5kg</t>
        </is>
      </c>
      <c r="C187" s="25" t="inlineStr">
        <is>
          <t>Extintor HCFC/HFC 5 kg</t>
        </is>
      </c>
      <c r="D187" s="12" t="inlineStr">
        <is>
          <t>A - Extintor descargado</t>
        </is>
      </c>
      <c r="E187" s="12" t="inlineStr">
        <is>
          <t>Marbete (anillo, color del año)</t>
        </is>
      </c>
      <c r="F187" s="25" t="n">
        <v>1</v>
      </c>
      <c r="G187" s="25" t="inlineStr">
        <is>
          <t>u</t>
        </is>
      </c>
      <c r="H187" s="12" t="inlineStr">
        <is>
          <t>Nuevo</t>
        </is>
      </c>
      <c r="I187" s="12" t="inlineStr">
        <is>
          <t>IRAM 3517-2:2020 9.4.14 · fig. 9 · tabla 4</t>
        </is>
      </c>
    </row>
    <row r="188">
      <c r="A188" s="25" t="inlineStr">
        <is>
          <t>RK-HCFCHFC5-A</t>
        </is>
      </c>
      <c r="B188" s="25" t="inlineStr">
        <is>
          <t>FL_MAT_HCFC-HFC_5kg</t>
        </is>
      </c>
      <c r="C188" s="25" t="inlineStr">
        <is>
          <t>Extintor HCFC/HFC 5 kg</t>
        </is>
      </c>
      <c r="D188" s="12" t="inlineStr">
        <is>
          <t>A - Extintor descargado</t>
        </is>
      </c>
      <c r="E188" s="12" t="inlineStr">
        <is>
          <t>Tarjeta / etiqueta de control</t>
        </is>
      </c>
      <c r="F188" s="25" t="n">
        <v>1</v>
      </c>
      <c r="G188" s="25" t="inlineStr">
        <is>
          <t>u</t>
        </is>
      </c>
      <c r="H188" s="12" t="inlineStr">
        <is>
          <t>Nuevo</t>
        </is>
      </c>
      <c r="I188" s="12" t="inlineStr">
        <is>
          <t>IRAM 3517-2:2020 8.3.3</t>
        </is>
      </c>
    </row>
    <row r="189">
      <c r="A189" s="25" t="inlineStr">
        <is>
          <t>RK-HCFCHFC5-A</t>
        </is>
      </c>
      <c r="B189" s="25" t="inlineStr">
        <is>
          <t>FL_MAT_HCFC-HFC_5kg</t>
        </is>
      </c>
      <c r="C189" s="25" t="inlineStr">
        <is>
          <t>Extintor HCFC/HFC 5 kg</t>
        </is>
      </c>
      <c r="D189" s="12" t="inlineStr">
        <is>
          <t>A - Extintor descargado</t>
        </is>
      </c>
      <c r="E189" s="12" t="inlineStr">
        <is>
          <t>Junta tórica de asiento del cuello</t>
        </is>
      </c>
      <c r="F189" s="25" t="n">
        <v>1</v>
      </c>
      <c r="G189" s="25" t="inlineStr">
        <is>
          <t>u</t>
        </is>
      </c>
      <c r="H189" s="12" t="inlineStr">
        <is>
          <t>Nuevo (R: cambio sistemático)</t>
        </is>
      </c>
      <c r="I189" s="12" t="inlineStr"/>
    </row>
    <row r="190">
      <c r="A190" s="25" t="inlineStr">
        <is>
          <t>RK-HCFCHFC5-A</t>
        </is>
      </c>
      <c r="B190" s="25" t="inlineStr">
        <is>
          <t>FL_MAT_HCFC-HFC_5kg</t>
        </is>
      </c>
      <c r="C190" s="25" t="inlineStr">
        <is>
          <t>Extintor HCFC/HFC 5 kg</t>
        </is>
      </c>
      <c r="D190" s="12" t="inlineStr">
        <is>
          <t>A - Extintor descargado</t>
        </is>
      </c>
      <c r="E190" s="12" t="inlineStr">
        <is>
          <t>Gas impulsor Argón</t>
        </is>
      </c>
      <c r="F190" s="25" t="n">
        <v>0.0388</v>
      </c>
      <c r="G190" s="25" t="inlineStr">
        <is>
          <t>kg</t>
        </is>
      </c>
      <c r="H190" s="12" t="inlineStr">
        <is>
          <t>Nuevo</t>
        </is>
      </c>
      <c r="I190" s="12" t="inlineStr">
        <is>
          <t>IRAM 3517-2:2020 9.4.9 tabla 2</t>
        </is>
      </c>
    </row>
    <row r="191">
      <c r="A191" s="25" t="inlineStr">
        <is>
          <t>RK-HCFCHFC5-B</t>
        </is>
      </c>
      <c r="B191" s="25" t="inlineStr">
        <is>
          <t>FL_MAT_HCFC-HFC_5kg</t>
        </is>
      </c>
      <c r="C191" s="25" t="inlineStr">
        <is>
          <t>Extintor HCFC/HFC 5 kg</t>
        </is>
      </c>
      <c r="D191" s="12" t="inlineStr">
        <is>
          <t>B - Mantenimiento con vaciado (control interior, PH)</t>
        </is>
      </c>
      <c r="E191" s="12" t="inlineStr">
        <is>
          <t>HCFC 123 / HFC 236fa (agente limpio) recuperado</t>
        </is>
      </c>
      <c r="F191" s="25" t="n">
        <v>4.9</v>
      </c>
      <c r="G191" s="25" t="inlineStr">
        <is>
          <t>kg</t>
        </is>
      </c>
      <c r="H191" s="12" t="inlineStr">
        <is>
          <t>Recuperado en circuito cerrado (no se ventea)</t>
        </is>
      </c>
      <c r="I191" s="12" t="inlineStr">
        <is>
          <t>IRAM 3517-2:2020 4.4.1 z) recuperación de gases limpios en sistema cerrado</t>
        </is>
      </c>
    </row>
    <row r="192">
      <c r="A192" s="25" t="inlineStr">
        <is>
          <t>RK-HCFCHFC5-B</t>
        </is>
      </c>
      <c r="B192" s="25" t="inlineStr">
        <is>
          <t>FL_MAT_HCFC-HFC_5kg</t>
        </is>
      </c>
      <c r="C192" s="25" t="inlineStr">
        <is>
          <t>Extintor HCFC/HFC 5 kg</t>
        </is>
      </c>
      <c r="D192" s="12" t="inlineStr">
        <is>
          <t>B - Mantenimiento con vaciado (control interior, PH)</t>
        </is>
      </c>
      <c r="E192" s="12" t="inlineStr">
        <is>
          <t>HCFC 123 / HFC 236fa (agente limpio) de reposición de pérdidas</t>
        </is>
      </c>
      <c r="F192" s="25" t="n">
        <v>0.1</v>
      </c>
      <c r="G192" s="25" t="inlineStr">
        <is>
          <t>kg</t>
        </is>
      </c>
      <c r="H192" s="12" t="inlineStr">
        <is>
          <t>Nuevo o reciclado (R: 2 %)</t>
        </is>
      </c>
      <c r="I192" s="12" t="inlineStr">
        <is>
          <t>El agente fuera de especificación va a regeneración o destrucción por gestor habilitado</t>
        </is>
      </c>
    </row>
    <row r="193">
      <c r="A193" s="25" t="inlineStr">
        <is>
          <t>RK-HCFCHFC5-B</t>
        </is>
      </c>
      <c r="B193" s="25" t="inlineStr">
        <is>
          <t>FL_MAT_HCFC-HFC_5kg</t>
        </is>
      </c>
      <c r="C193" s="25" t="inlineStr">
        <is>
          <t>Extintor HCFC/HFC 5 kg</t>
        </is>
      </c>
      <c r="D193" s="12" t="inlineStr">
        <is>
          <t>B - Mantenimiento con vaciado (control interior, PH)</t>
        </is>
      </c>
      <c r="E193" s="12" t="inlineStr">
        <is>
          <t>Precinto numerado nuevo</t>
        </is>
      </c>
      <c r="F193" s="25" t="n">
        <v>1</v>
      </c>
      <c r="G193" s="25" t="inlineStr">
        <is>
          <t>u</t>
        </is>
      </c>
      <c r="H193" s="12" t="inlineStr">
        <is>
          <t>Nuevo</t>
        </is>
      </c>
      <c r="I193" s="12" t="inlineStr">
        <is>
          <t>IRAM 3517-2:2020 9.4.13</t>
        </is>
      </c>
    </row>
    <row r="194">
      <c r="A194" s="25" t="inlineStr">
        <is>
          <t>RK-HCFCHFC5-B</t>
        </is>
      </c>
      <c r="B194" s="25" t="inlineStr">
        <is>
          <t>FL_MAT_HCFC-HFC_5kg</t>
        </is>
      </c>
      <c r="C194" s="25" t="inlineStr">
        <is>
          <t>Extintor HCFC/HFC 5 kg</t>
        </is>
      </c>
      <c r="D194" s="12" t="inlineStr">
        <is>
          <t>B - Mantenimiento con vaciado (control interior, PH)</t>
        </is>
      </c>
      <c r="E194" s="12" t="inlineStr">
        <is>
          <t>Marbete (anillo, color del año)</t>
        </is>
      </c>
      <c r="F194" s="25" t="n">
        <v>1</v>
      </c>
      <c r="G194" s="25" t="inlineStr">
        <is>
          <t>u</t>
        </is>
      </c>
      <c r="H194" s="12" t="inlineStr">
        <is>
          <t>Nuevo</t>
        </is>
      </c>
      <c r="I194" s="12" t="inlineStr">
        <is>
          <t>IRAM 3517-2:2020 9.4.14 · fig. 9 · tabla 4</t>
        </is>
      </c>
    </row>
    <row r="195">
      <c r="A195" s="25" t="inlineStr">
        <is>
          <t>RK-HCFCHFC5-B</t>
        </is>
      </c>
      <c r="B195" s="25" t="inlineStr">
        <is>
          <t>FL_MAT_HCFC-HFC_5kg</t>
        </is>
      </c>
      <c r="C195" s="25" t="inlineStr">
        <is>
          <t>Extintor HCFC/HFC 5 kg</t>
        </is>
      </c>
      <c r="D195" s="12" t="inlineStr">
        <is>
          <t>B - Mantenimiento con vaciado (control interior, PH)</t>
        </is>
      </c>
      <c r="E195" s="12" t="inlineStr">
        <is>
          <t>Tarjeta / etiqueta de control</t>
        </is>
      </c>
      <c r="F195" s="25" t="n">
        <v>1</v>
      </c>
      <c r="G195" s="25" t="inlineStr">
        <is>
          <t>u</t>
        </is>
      </c>
      <c r="H195" s="12" t="inlineStr">
        <is>
          <t>Nuevo</t>
        </is>
      </c>
      <c r="I195" s="12" t="inlineStr">
        <is>
          <t>IRAM 3517-2:2020 8.3.3</t>
        </is>
      </c>
    </row>
    <row r="196">
      <c r="A196" s="25" t="inlineStr">
        <is>
          <t>RK-HCFCHFC5-B</t>
        </is>
      </c>
      <c r="B196" s="25" t="inlineStr">
        <is>
          <t>FL_MAT_HCFC-HFC_5kg</t>
        </is>
      </c>
      <c r="C196" s="25" t="inlineStr">
        <is>
          <t>Extintor HCFC/HFC 5 kg</t>
        </is>
      </c>
      <c r="D196" s="12" t="inlineStr">
        <is>
          <t>B - Mantenimiento con vaciado (control interior, PH)</t>
        </is>
      </c>
      <c r="E196" s="12" t="inlineStr">
        <is>
          <t>Junta tórica de asiento del cuello</t>
        </is>
      </c>
      <c r="F196" s="25" t="n">
        <v>1</v>
      </c>
      <c r="G196" s="25" t="inlineStr">
        <is>
          <t>u</t>
        </is>
      </c>
      <c r="H196" s="12" t="inlineStr">
        <is>
          <t>Nuevo (R: cambio sistemático)</t>
        </is>
      </c>
      <c r="I196" s="12" t="inlineStr"/>
    </row>
    <row r="197">
      <c r="A197" s="25" t="inlineStr">
        <is>
          <t>RK-HCFCHFC5-B</t>
        </is>
      </c>
      <c r="B197" s="25" t="inlineStr">
        <is>
          <t>FL_MAT_HCFC-HFC_5kg</t>
        </is>
      </c>
      <c r="C197" s="25" t="inlineStr">
        <is>
          <t>Extintor HCFC/HFC 5 kg</t>
        </is>
      </c>
      <c r="D197" s="12" t="inlineStr">
        <is>
          <t>B - Mantenimiento con vaciado (control interior, PH)</t>
        </is>
      </c>
      <c r="E197" s="12" t="inlineStr">
        <is>
          <t>Gas impulsor Argón</t>
        </is>
      </c>
      <c r="F197" s="25" t="n">
        <v>0.0388</v>
      </c>
      <c r="G197" s="25" t="inlineStr">
        <is>
          <t>kg</t>
        </is>
      </c>
      <c r="H197" s="12" t="inlineStr">
        <is>
          <t>Nuevo</t>
        </is>
      </c>
      <c r="I197" s="12" t="inlineStr">
        <is>
          <t>IRAM 3517-2:2020 9.4.9 tabla 2</t>
        </is>
      </c>
    </row>
    <row r="198">
      <c r="A198" s="25" t="inlineStr">
        <is>
          <t>RK-HCFCHFC5-I</t>
        </is>
      </c>
      <c r="B198" s="25" t="inlineStr">
        <is>
          <t>FL_MAT_HCFC-HFC_5kg</t>
        </is>
      </c>
      <c r="C198" s="25" t="inlineStr">
        <is>
          <t>Extintor HCFC/HFC 5 kg</t>
        </is>
      </c>
      <c r="D198" s="12" t="inlineStr">
        <is>
          <t>Según inspección (consumo estadístico a definir)</t>
        </is>
      </c>
      <c r="E198" s="12" t="inlineStr">
        <is>
          <t>Manómetro / manguera / tobera / kit de válvula</t>
        </is>
      </c>
      <c r="F198" s="25" t="inlineStr">
        <is>
          <t>-</t>
        </is>
      </c>
      <c r="G198" s="25" t="inlineStr">
        <is>
          <t>u</t>
        </is>
      </c>
      <c r="H198" s="12" t="inlineStr">
        <is>
          <t>Recambio sólo si falla</t>
        </is>
      </c>
      <c r="I198" s="12" t="inlineStr">
        <is>
          <t>IRAM 3517-2:2020 9.4.11 (cada manguera vuelve a su extintor)</t>
        </is>
      </c>
    </row>
    <row r="199">
      <c r="A199" s="25" t="inlineStr">
        <is>
          <t>RK-CLASED9-A</t>
        </is>
      </c>
      <c r="B199" s="25" t="inlineStr">
        <is>
          <t>FL_MAT_CLASED_9l</t>
        </is>
      </c>
      <c r="C199" s="25" t="inlineStr">
        <is>
          <t>Extintor Clase D 9 l</t>
        </is>
      </c>
      <c r="D199" s="12" t="inlineStr">
        <is>
          <t>A - Extintor descargado (uso o descarga parcial)</t>
        </is>
      </c>
      <c r="E199" s="12" t="inlineStr">
        <is>
          <t>Polvo para metales combustibles clase D</t>
        </is>
      </c>
      <c r="F199" s="25" t="n">
        <v>9</v>
      </c>
      <c r="G199" s="25" t="inlineStr">
        <is>
          <t>kg</t>
        </is>
      </c>
      <c r="H199" s="12" t="inlineStr">
        <is>
          <t>Nuevo 100 %</t>
        </is>
      </c>
      <c r="I199" s="12" t="inlineStr">
        <is>
          <t>IRAM 3517-2:2020 9.9.1.4: el polvo de un extintor accionado no se reutiliza</t>
        </is>
      </c>
    </row>
    <row r="200">
      <c r="A200" s="25" t="inlineStr">
        <is>
          <t>RK-CLASED9-A</t>
        </is>
      </c>
      <c r="B200" s="25" t="inlineStr">
        <is>
          <t>FL_MAT_CLASED_9l</t>
        </is>
      </c>
      <c r="C200" s="25" t="inlineStr">
        <is>
          <t>Extintor Clase D 9 l</t>
        </is>
      </c>
      <c r="D200" s="12" t="inlineStr">
        <is>
          <t>A - Extintor descargado (uso o descarga parcial)</t>
        </is>
      </c>
      <c r="E200" s="12" t="inlineStr">
        <is>
          <t>Precinto numerado nuevo</t>
        </is>
      </c>
      <c r="F200" s="25" t="n">
        <v>1</v>
      </c>
      <c r="G200" s="25" t="inlineStr">
        <is>
          <t>u</t>
        </is>
      </c>
      <c r="H200" s="12" t="inlineStr">
        <is>
          <t>Nuevo</t>
        </is>
      </c>
      <c r="I200" s="12" t="inlineStr">
        <is>
          <t>IRAM 3517-2:2020 9.4.13</t>
        </is>
      </c>
    </row>
    <row r="201">
      <c r="A201" s="25" t="inlineStr">
        <is>
          <t>RK-CLASED9-A</t>
        </is>
      </c>
      <c r="B201" s="25" t="inlineStr">
        <is>
          <t>FL_MAT_CLASED_9l</t>
        </is>
      </c>
      <c r="C201" s="25" t="inlineStr">
        <is>
          <t>Extintor Clase D 9 l</t>
        </is>
      </c>
      <c r="D201" s="12" t="inlineStr">
        <is>
          <t>A - Extintor descargado (uso o descarga parcial)</t>
        </is>
      </c>
      <c r="E201" s="12" t="inlineStr">
        <is>
          <t>Marbete (anillo, color del año)</t>
        </is>
      </c>
      <c r="F201" s="25" t="n">
        <v>1</v>
      </c>
      <c r="G201" s="25" t="inlineStr">
        <is>
          <t>u</t>
        </is>
      </c>
      <c r="H201" s="12" t="inlineStr">
        <is>
          <t>Nuevo</t>
        </is>
      </c>
      <c r="I201" s="12" t="inlineStr">
        <is>
          <t>IRAM 3517-2:2020 9.4.14 · fig. 9 · tabla 4</t>
        </is>
      </c>
    </row>
    <row r="202">
      <c r="A202" s="25" t="inlineStr">
        <is>
          <t>RK-CLASED9-A</t>
        </is>
      </c>
      <c r="B202" s="25" t="inlineStr">
        <is>
          <t>FL_MAT_CLASED_9l</t>
        </is>
      </c>
      <c r="C202" s="25" t="inlineStr">
        <is>
          <t>Extintor Clase D 9 l</t>
        </is>
      </c>
      <c r="D202" s="12" t="inlineStr">
        <is>
          <t>A - Extintor descargado (uso o descarga parcial)</t>
        </is>
      </c>
      <c r="E202" s="12" t="inlineStr">
        <is>
          <t>Tarjeta / etiqueta de control</t>
        </is>
      </c>
      <c r="F202" s="25" t="n">
        <v>1</v>
      </c>
      <c r="G202" s="25" t="inlineStr">
        <is>
          <t>u</t>
        </is>
      </c>
      <c r="H202" s="12" t="inlineStr">
        <is>
          <t>Nuevo</t>
        </is>
      </c>
      <c r="I202" s="12" t="inlineStr">
        <is>
          <t>IRAM 3517-2:2020 8.3.3</t>
        </is>
      </c>
    </row>
    <row r="203">
      <c r="A203" s="25" t="inlineStr">
        <is>
          <t>RK-CLASED9-A</t>
        </is>
      </c>
      <c r="B203" s="25" t="inlineStr">
        <is>
          <t>FL_MAT_CLASED_9l</t>
        </is>
      </c>
      <c r="C203" s="25" t="inlineStr">
        <is>
          <t>Extintor Clase D 9 l</t>
        </is>
      </c>
      <c r="D203" s="12" t="inlineStr">
        <is>
          <t>A - Extintor descargado (uso o descarga parcial)</t>
        </is>
      </c>
      <c r="E203" s="12" t="inlineStr">
        <is>
          <t>Junta tórica de asiento del cuello</t>
        </is>
      </c>
      <c r="F203" s="25" t="n">
        <v>1</v>
      </c>
      <c r="G203" s="25" t="inlineStr">
        <is>
          <t>u</t>
        </is>
      </c>
      <c r="H203" s="12" t="inlineStr">
        <is>
          <t>Nuevo (R: cambio sistemático)</t>
        </is>
      </c>
      <c r="I203" s="12" t="inlineStr"/>
    </row>
    <row r="204">
      <c r="A204" s="25" t="inlineStr">
        <is>
          <t>RK-CLASED9-A</t>
        </is>
      </c>
      <c r="B204" s="25" t="inlineStr">
        <is>
          <t>FL_MAT_CLASED_9l</t>
        </is>
      </c>
      <c r="C204" s="25" t="inlineStr">
        <is>
          <t>Extintor Clase D 9 l</t>
        </is>
      </c>
      <c r="D204" s="12" t="inlineStr">
        <is>
          <t>A - Extintor descargado (uso o descarga parcial)</t>
        </is>
      </c>
      <c r="E204" s="12" t="inlineStr">
        <is>
          <t>Gas impulsor N₂</t>
        </is>
      </c>
      <c r="F204" s="25" t="n">
        <v>0.0604</v>
      </c>
      <c r="G204" s="25" t="inlineStr">
        <is>
          <t>kg</t>
        </is>
      </c>
      <c r="H204" s="12" t="inlineStr">
        <is>
          <t>Nuevo</t>
        </is>
      </c>
      <c r="I204" s="12" t="inlineStr">
        <is>
          <t>IRAM 3517-2:2020 9.4.9 tabla 2</t>
        </is>
      </c>
    </row>
    <row r="205">
      <c r="A205" s="25" t="inlineStr">
        <is>
          <t>RK-CLASED9-B</t>
        </is>
      </c>
      <c r="B205" s="25" t="inlineStr">
        <is>
          <t>FL_MAT_CLASED_9l</t>
        </is>
      </c>
      <c r="C205" s="25" t="inlineStr">
        <is>
          <t>Extintor Clase D 9 l</t>
        </is>
      </c>
      <c r="D205" s="12" t="inlineStr">
        <is>
          <t>B - Mantenimiento con apertura sin descarga (control interior, PH)</t>
        </is>
      </c>
      <c r="E205" s="12" t="inlineStr">
        <is>
          <t>Polvo para metales combustibles clase D recuperado</t>
        </is>
      </c>
      <c r="F205" s="25" t="n">
        <v>8.73</v>
      </c>
      <c r="G205" s="25" t="inlineStr">
        <is>
          <t>kg</t>
        </is>
      </c>
      <c r="H205" s="12" t="inlineStr">
        <is>
          <t>Recuperado en sistema cerrado</t>
        </is>
      </c>
      <c r="I205" s="12" t="inlineStr">
        <is>
          <t>IRAM 3517-2:2020 4.4.1 y) sistema cerrado de recuperación con inspección; 9.9.3 control (puffer IRAM 3672, fusión IRAM 3569 en ABC)</t>
        </is>
      </c>
    </row>
    <row r="206">
      <c r="A206" s="25" t="inlineStr">
        <is>
          <t>RK-CLASED9-B</t>
        </is>
      </c>
      <c r="B206" s="25" t="inlineStr">
        <is>
          <t>FL_MAT_CLASED_9l</t>
        </is>
      </c>
      <c r="C206" s="25" t="inlineStr">
        <is>
          <t>Extintor Clase D 9 l</t>
        </is>
      </c>
      <c r="D206" s="12" t="inlineStr">
        <is>
          <t>B - Mantenimiento con apertura sin descarga (control interior, PH)</t>
        </is>
      </c>
      <c r="E206" s="12" t="inlineStr">
        <is>
          <t>Polvo para metales combustibles clase D de reposición de mermas</t>
        </is>
      </c>
      <c r="F206" s="25" t="n">
        <v>0.27</v>
      </c>
      <c r="G206" s="25" t="inlineStr">
        <is>
          <t>kg</t>
        </is>
      </c>
      <c r="H206" s="12" t="inlineStr">
        <is>
          <t>Nuevo (R: 3 % de merma)</t>
        </is>
      </c>
      <c r="I206" s="12" t="inlineStr">
        <is>
          <t>Mismo tipo y marca (prohibido mezclar ABC con BC, 9.9.1.6)</t>
        </is>
      </c>
    </row>
    <row r="207">
      <c r="A207" s="25" t="inlineStr">
        <is>
          <t>RK-CLASED9-B</t>
        </is>
      </c>
      <c r="B207" s="25" t="inlineStr">
        <is>
          <t>FL_MAT_CLASED_9l</t>
        </is>
      </c>
      <c r="C207" s="25" t="inlineStr">
        <is>
          <t>Extintor Clase D 9 l</t>
        </is>
      </c>
      <c r="D207" s="12" t="inlineStr">
        <is>
          <t>B - Mantenimiento con apertura sin descarga (control interior, PH)</t>
        </is>
      </c>
      <c r="E207" s="12" t="inlineStr">
        <is>
          <t>Precinto numerado nuevo</t>
        </is>
      </c>
      <c r="F207" s="25" t="n">
        <v>1</v>
      </c>
      <c r="G207" s="25" t="inlineStr">
        <is>
          <t>u</t>
        </is>
      </c>
      <c r="H207" s="12" t="inlineStr">
        <is>
          <t>Nuevo</t>
        </is>
      </c>
      <c r="I207" s="12" t="inlineStr">
        <is>
          <t>IRAM 3517-2:2020 9.4.13</t>
        </is>
      </c>
    </row>
    <row r="208">
      <c r="A208" s="25" t="inlineStr">
        <is>
          <t>RK-CLASED9-B</t>
        </is>
      </c>
      <c r="B208" s="25" t="inlineStr">
        <is>
          <t>FL_MAT_CLASED_9l</t>
        </is>
      </c>
      <c r="C208" s="25" t="inlineStr">
        <is>
          <t>Extintor Clase D 9 l</t>
        </is>
      </c>
      <c r="D208" s="12" t="inlineStr">
        <is>
          <t>B - Mantenimiento con apertura sin descarga (control interior, PH)</t>
        </is>
      </c>
      <c r="E208" s="12" t="inlineStr">
        <is>
          <t>Marbete (anillo, color del año)</t>
        </is>
      </c>
      <c r="F208" s="25" t="n">
        <v>1</v>
      </c>
      <c r="G208" s="25" t="inlineStr">
        <is>
          <t>u</t>
        </is>
      </c>
      <c r="H208" s="12" t="inlineStr">
        <is>
          <t>Nuevo</t>
        </is>
      </c>
      <c r="I208" s="12" t="inlineStr">
        <is>
          <t>IRAM 3517-2:2020 9.4.14 · fig. 9 · tabla 4</t>
        </is>
      </c>
    </row>
    <row r="209">
      <c r="A209" s="25" t="inlineStr">
        <is>
          <t>RK-CLASED9-B</t>
        </is>
      </c>
      <c r="B209" s="25" t="inlineStr">
        <is>
          <t>FL_MAT_CLASED_9l</t>
        </is>
      </c>
      <c r="C209" s="25" t="inlineStr">
        <is>
          <t>Extintor Clase D 9 l</t>
        </is>
      </c>
      <c r="D209" s="12" t="inlineStr">
        <is>
          <t>B - Mantenimiento con apertura sin descarga (control interior, PH)</t>
        </is>
      </c>
      <c r="E209" s="12" t="inlineStr">
        <is>
          <t>Tarjeta / etiqueta de control</t>
        </is>
      </c>
      <c r="F209" s="25" t="n">
        <v>1</v>
      </c>
      <c r="G209" s="25" t="inlineStr">
        <is>
          <t>u</t>
        </is>
      </c>
      <c r="H209" s="12" t="inlineStr">
        <is>
          <t>Nuevo</t>
        </is>
      </c>
      <c r="I209" s="12" t="inlineStr">
        <is>
          <t>IRAM 3517-2:2020 8.3.3</t>
        </is>
      </c>
    </row>
    <row r="210">
      <c r="A210" s="25" t="inlineStr">
        <is>
          <t>RK-CLASED9-B</t>
        </is>
      </c>
      <c r="B210" s="25" t="inlineStr">
        <is>
          <t>FL_MAT_CLASED_9l</t>
        </is>
      </c>
      <c r="C210" s="25" t="inlineStr">
        <is>
          <t>Extintor Clase D 9 l</t>
        </is>
      </c>
      <c r="D210" s="12" t="inlineStr">
        <is>
          <t>B - Mantenimiento con apertura sin descarga (control interior, PH)</t>
        </is>
      </c>
      <c r="E210" s="12" t="inlineStr">
        <is>
          <t>Junta tórica de asiento del cuello</t>
        </is>
      </c>
      <c r="F210" s="25" t="n">
        <v>1</v>
      </c>
      <c r="G210" s="25" t="inlineStr">
        <is>
          <t>u</t>
        </is>
      </c>
      <c r="H210" s="12" t="inlineStr">
        <is>
          <t>Nuevo (R: cambio sistemático)</t>
        </is>
      </c>
      <c r="I210" s="12" t="inlineStr"/>
    </row>
    <row r="211">
      <c r="A211" s="25" t="inlineStr">
        <is>
          <t>RK-CLASED9-B</t>
        </is>
      </c>
      <c r="B211" s="25" t="inlineStr">
        <is>
          <t>FL_MAT_CLASED_9l</t>
        </is>
      </c>
      <c r="C211" s="25" t="inlineStr">
        <is>
          <t>Extintor Clase D 9 l</t>
        </is>
      </c>
      <c r="D211" s="12" t="inlineStr">
        <is>
          <t>B - Mantenimiento con apertura sin descarga (control interior, PH)</t>
        </is>
      </c>
      <c r="E211" s="12" t="inlineStr">
        <is>
          <t>Gas impulsor N₂</t>
        </is>
      </c>
      <c r="F211" s="25" t="n">
        <v>0.0604</v>
      </c>
      <c r="G211" s="25" t="inlineStr">
        <is>
          <t>kg</t>
        </is>
      </c>
      <c r="H211" s="12" t="inlineStr">
        <is>
          <t>Nuevo</t>
        </is>
      </c>
      <c r="I211" s="12" t="inlineStr">
        <is>
          <t>IRAM 3517-2:2020 9.4.9 tabla 2</t>
        </is>
      </c>
    </row>
    <row r="212">
      <c r="A212" s="25" t="inlineStr">
        <is>
          <t>RK-CLASED9-C</t>
        </is>
      </c>
      <c r="B212" s="25" t="inlineStr">
        <is>
          <t>FL_MAT_CLASED_9l</t>
        </is>
      </c>
      <c r="C212" s="25" t="inlineStr">
        <is>
          <t>Extintor Clase D 9 l</t>
        </is>
      </c>
      <c r="D212" s="12" t="inlineStr">
        <is>
          <t>C - Cambio obligatorio de polvo (versión anterior de la IRAM 3569)</t>
        </is>
      </c>
      <c r="E212" s="12" t="inlineStr">
        <is>
          <t>Polvo para metales combustibles clase D</t>
        </is>
      </c>
      <c r="F212" s="25" t="n">
        <v>9</v>
      </c>
      <c r="G212" s="25" t="inlineStr">
        <is>
          <t>kg</t>
        </is>
      </c>
      <c r="H212" s="12" t="inlineStr">
        <is>
          <t>Nuevo 100 %; el viejo va a residuos (RC-IR)</t>
        </is>
      </c>
      <c r="I212" s="12" t="inlineStr">
        <is>
          <t>IRAM 3517-2:2020 9.9.4</t>
        </is>
      </c>
    </row>
    <row r="213">
      <c r="A213" s="25" t="inlineStr">
        <is>
          <t>RK-CLASED9-C</t>
        </is>
      </c>
      <c r="B213" s="25" t="inlineStr">
        <is>
          <t>FL_MAT_CLASED_9l</t>
        </is>
      </c>
      <c r="C213" s="25" t="inlineStr">
        <is>
          <t>Extintor Clase D 9 l</t>
        </is>
      </c>
      <c r="D213" s="12" t="inlineStr">
        <is>
          <t>C - Cambio obligatorio de polvo (versión anterior de la IRAM 3569)</t>
        </is>
      </c>
      <c r="E213" s="12" t="inlineStr">
        <is>
          <t>Precinto numerado nuevo</t>
        </is>
      </c>
      <c r="F213" s="25" t="n">
        <v>1</v>
      </c>
      <c r="G213" s="25" t="inlineStr">
        <is>
          <t>u</t>
        </is>
      </c>
      <c r="H213" s="12" t="inlineStr">
        <is>
          <t>Nuevo</t>
        </is>
      </c>
      <c r="I213" s="12" t="inlineStr">
        <is>
          <t>IRAM 3517-2:2020 9.4.13</t>
        </is>
      </c>
    </row>
    <row r="214">
      <c r="A214" s="25" t="inlineStr">
        <is>
          <t>RK-CLASED9-C</t>
        </is>
      </c>
      <c r="B214" s="25" t="inlineStr">
        <is>
          <t>FL_MAT_CLASED_9l</t>
        </is>
      </c>
      <c r="C214" s="25" t="inlineStr">
        <is>
          <t>Extintor Clase D 9 l</t>
        </is>
      </c>
      <c r="D214" s="12" t="inlineStr">
        <is>
          <t>C - Cambio obligatorio de polvo (versión anterior de la IRAM 3569)</t>
        </is>
      </c>
      <c r="E214" s="12" t="inlineStr">
        <is>
          <t>Marbete (anillo, color del año)</t>
        </is>
      </c>
      <c r="F214" s="25" t="n">
        <v>1</v>
      </c>
      <c r="G214" s="25" t="inlineStr">
        <is>
          <t>u</t>
        </is>
      </c>
      <c r="H214" s="12" t="inlineStr">
        <is>
          <t>Nuevo</t>
        </is>
      </c>
      <c r="I214" s="12" t="inlineStr">
        <is>
          <t>IRAM 3517-2:2020 9.4.14 · fig. 9 · tabla 4</t>
        </is>
      </c>
    </row>
    <row r="215">
      <c r="A215" s="25" t="inlineStr">
        <is>
          <t>RK-CLASED9-C</t>
        </is>
      </c>
      <c r="B215" s="25" t="inlineStr">
        <is>
          <t>FL_MAT_CLASED_9l</t>
        </is>
      </c>
      <c r="C215" s="25" t="inlineStr">
        <is>
          <t>Extintor Clase D 9 l</t>
        </is>
      </c>
      <c r="D215" s="12" t="inlineStr">
        <is>
          <t>C - Cambio obligatorio de polvo (versión anterior de la IRAM 3569)</t>
        </is>
      </c>
      <c r="E215" s="12" t="inlineStr">
        <is>
          <t>Tarjeta / etiqueta de control</t>
        </is>
      </c>
      <c r="F215" s="25" t="n">
        <v>1</v>
      </c>
      <c r="G215" s="25" t="inlineStr">
        <is>
          <t>u</t>
        </is>
      </c>
      <c r="H215" s="12" t="inlineStr">
        <is>
          <t>Nuevo</t>
        </is>
      </c>
      <c r="I215" s="12" t="inlineStr">
        <is>
          <t>IRAM 3517-2:2020 8.3.3</t>
        </is>
      </c>
    </row>
    <row r="216">
      <c r="A216" s="25" t="inlineStr">
        <is>
          <t>RK-CLASED9-C</t>
        </is>
      </c>
      <c r="B216" s="25" t="inlineStr">
        <is>
          <t>FL_MAT_CLASED_9l</t>
        </is>
      </c>
      <c r="C216" s="25" t="inlineStr">
        <is>
          <t>Extintor Clase D 9 l</t>
        </is>
      </c>
      <c r="D216" s="12" t="inlineStr">
        <is>
          <t>C - Cambio obligatorio de polvo (versión anterior de la IRAM 3569)</t>
        </is>
      </c>
      <c r="E216" s="12" t="inlineStr">
        <is>
          <t>Junta tórica de asiento del cuello</t>
        </is>
      </c>
      <c r="F216" s="25" t="n">
        <v>1</v>
      </c>
      <c r="G216" s="25" t="inlineStr">
        <is>
          <t>u</t>
        </is>
      </c>
      <c r="H216" s="12" t="inlineStr">
        <is>
          <t>Nuevo (R: cambio sistemático)</t>
        </is>
      </c>
      <c r="I216" s="12" t="inlineStr"/>
    </row>
    <row r="217">
      <c r="A217" s="25" t="inlineStr">
        <is>
          <t>RK-CLASED9-C</t>
        </is>
      </c>
      <c r="B217" s="25" t="inlineStr">
        <is>
          <t>FL_MAT_CLASED_9l</t>
        </is>
      </c>
      <c r="C217" s="25" t="inlineStr">
        <is>
          <t>Extintor Clase D 9 l</t>
        </is>
      </c>
      <c r="D217" s="12" t="inlineStr">
        <is>
          <t>C - Cambio obligatorio de polvo (versión anterior de la IRAM 3569)</t>
        </is>
      </c>
      <c r="E217" s="12" t="inlineStr">
        <is>
          <t>Gas impulsor N₂</t>
        </is>
      </c>
      <c r="F217" s="25" t="n">
        <v>0.0604</v>
      </c>
      <c r="G217" s="25" t="inlineStr">
        <is>
          <t>kg</t>
        </is>
      </c>
      <c r="H217" s="12" t="inlineStr">
        <is>
          <t>Nuevo</t>
        </is>
      </c>
      <c r="I217" s="12" t="inlineStr">
        <is>
          <t>IRAM 3517-2:2020 9.4.9 tabla 2</t>
        </is>
      </c>
    </row>
    <row r="218">
      <c r="A218" s="25" t="inlineStr">
        <is>
          <t>RK-CLASED9-I</t>
        </is>
      </c>
      <c r="B218" s="25" t="inlineStr">
        <is>
          <t>FL_MAT_CLASED_9l</t>
        </is>
      </c>
      <c r="C218" s="25" t="inlineStr">
        <is>
          <t>Extintor Clase D 9 l</t>
        </is>
      </c>
      <c r="D218" s="12" t="inlineStr">
        <is>
          <t>Según inspección (consumo estadístico a definir)</t>
        </is>
      </c>
      <c r="E218" s="12" t="inlineStr">
        <is>
          <t>Manómetro / manguera / tobera / kit de válvula</t>
        </is>
      </c>
      <c r="F218" s="25" t="inlineStr">
        <is>
          <t>-</t>
        </is>
      </c>
      <c r="G218" s="25" t="inlineStr">
        <is>
          <t>u</t>
        </is>
      </c>
      <c r="H218" s="12" t="inlineStr">
        <is>
          <t>Recambio sólo si falla</t>
        </is>
      </c>
      <c r="I218" s="12" t="inlineStr">
        <is>
          <t>IRAM 3517-2:2020 9.4.11 (cada manguera vuelve a su extintor)</t>
        </is>
      </c>
    </row>
    <row r="219">
      <c r="A219" s="25" t="inlineStr">
        <is>
          <t>RK-ABC25-A</t>
        </is>
      </c>
      <c r="B219" s="25" t="inlineStr">
        <is>
          <t>FL_MAT_ABC_25kg</t>
        </is>
      </c>
      <c r="C219" s="25" t="inlineStr">
        <is>
          <t>Extintor ABC 25 kg sobre ruedas</t>
        </is>
      </c>
      <c r="D219" s="12" t="inlineStr">
        <is>
          <t>A - Extintor descargado (uso o descarga parcial)</t>
        </is>
      </c>
      <c r="E219" s="12" t="inlineStr">
        <is>
          <t>Polvo químico seco ABC (fosfato monoamónico)</t>
        </is>
      </c>
      <c r="F219" s="25" t="n">
        <v>25</v>
      </c>
      <c r="G219" s="25" t="inlineStr">
        <is>
          <t>kg</t>
        </is>
      </c>
      <c r="H219" s="12" t="inlineStr">
        <is>
          <t>Nuevo 100 %</t>
        </is>
      </c>
      <c r="I219" s="12" t="inlineStr">
        <is>
          <t>IRAM 3517-2:2020 9.9.1.4: el polvo de un extintor accionado no se reutiliza</t>
        </is>
      </c>
    </row>
    <row r="220">
      <c r="A220" s="25" t="inlineStr">
        <is>
          <t>RK-ABC25-A</t>
        </is>
      </c>
      <c r="B220" s="25" t="inlineStr">
        <is>
          <t>FL_MAT_ABC_25kg</t>
        </is>
      </c>
      <c r="C220" s="25" t="inlineStr">
        <is>
          <t>Extintor ABC 25 kg sobre ruedas</t>
        </is>
      </c>
      <c r="D220" s="12" t="inlineStr">
        <is>
          <t>A - Extintor descargado (uso o descarga parcial)</t>
        </is>
      </c>
      <c r="E220" s="12" t="inlineStr">
        <is>
          <t>Precinto numerado nuevo</t>
        </is>
      </c>
      <c r="F220" s="25" t="n">
        <v>1</v>
      </c>
      <c r="G220" s="25" t="inlineStr">
        <is>
          <t>u</t>
        </is>
      </c>
      <c r="H220" s="12" t="inlineStr">
        <is>
          <t>Nuevo</t>
        </is>
      </c>
      <c r="I220" s="12" t="inlineStr">
        <is>
          <t>IRAM 3517-2:2020 9.4.13</t>
        </is>
      </c>
    </row>
    <row r="221">
      <c r="A221" s="25" t="inlineStr">
        <is>
          <t>RK-ABC25-A</t>
        </is>
      </c>
      <c r="B221" s="25" t="inlineStr">
        <is>
          <t>FL_MAT_ABC_25kg</t>
        </is>
      </c>
      <c r="C221" s="25" t="inlineStr">
        <is>
          <t>Extintor ABC 25 kg sobre ruedas</t>
        </is>
      </c>
      <c r="D221" s="12" t="inlineStr">
        <is>
          <t>A - Extintor descargado (uso o descarga parcial)</t>
        </is>
      </c>
      <c r="E221" s="12" t="inlineStr">
        <is>
          <t>Marbete (anillo, color del año)</t>
        </is>
      </c>
      <c r="F221" s="25" t="n">
        <v>1</v>
      </c>
      <c r="G221" s="25" t="inlineStr">
        <is>
          <t>u</t>
        </is>
      </c>
      <c r="H221" s="12" t="inlineStr">
        <is>
          <t>Nuevo</t>
        </is>
      </c>
      <c r="I221" s="12" t="inlineStr">
        <is>
          <t>IRAM 3517-2:2020 9.4.14 · fig. 9 · tabla 4</t>
        </is>
      </c>
    </row>
    <row r="222">
      <c r="A222" s="25" t="inlineStr">
        <is>
          <t>RK-ABC25-A</t>
        </is>
      </c>
      <c r="B222" s="25" t="inlineStr">
        <is>
          <t>FL_MAT_ABC_25kg</t>
        </is>
      </c>
      <c r="C222" s="25" t="inlineStr">
        <is>
          <t>Extintor ABC 25 kg sobre ruedas</t>
        </is>
      </c>
      <c r="D222" s="12" t="inlineStr">
        <is>
          <t>A - Extintor descargado (uso o descarga parcial)</t>
        </is>
      </c>
      <c r="E222" s="12" t="inlineStr">
        <is>
          <t>Tarjeta / etiqueta de control</t>
        </is>
      </c>
      <c r="F222" s="25" t="n">
        <v>1</v>
      </c>
      <c r="G222" s="25" t="inlineStr">
        <is>
          <t>u</t>
        </is>
      </c>
      <c r="H222" s="12" t="inlineStr">
        <is>
          <t>Nuevo</t>
        </is>
      </c>
      <c r="I222" s="12" t="inlineStr">
        <is>
          <t>IRAM 3517-2:2020 8.3.3</t>
        </is>
      </c>
    </row>
    <row r="223">
      <c r="A223" s="25" t="inlineStr">
        <is>
          <t>RK-ABC25-A</t>
        </is>
      </c>
      <c r="B223" s="25" t="inlineStr">
        <is>
          <t>FL_MAT_ABC_25kg</t>
        </is>
      </c>
      <c r="C223" s="25" t="inlineStr">
        <is>
          <t>Extintor ABC 25 kg sobre ruedas</t>
        </is>
      </c>
      <c r="D223" s="12" t="inlineStr">
        <is>
          <t>A - Extintor descargado (uso o descarga parcial)</t>
        </is>
      </c>
      <c r="E223" s="12" t="inlineStr">
        <is>
          <t>Junta tórica de asiento del cuello</t>
        </is>
      </c>
      <c r="F223" s="25" t="n">
        <v>1</v>
      </c>
      <c r="G223" s="25" t="inlineStr">
        <is>
          <t>u</t>
        </is>
      </c>
      <c r="H223" s="12" t="inlineStr">
        <is>
          <t>Nuevo (R: cambio sistemático)</t>
        </is>
      </c>
      <c r="I223" s="12" t="inlineStr"/>
    </row>
    <row r="224">
      <c r="A224" s="25" t="inlineStr">
        <is>
          <t>RK-ABC25-A</t>
        </is>
      </c>
      <c r="B224" s="25" t="inlineStr">
        <is>
          <t>FL_MAT_ABC_25kg</t>
        </is>
      </c>
      <c r="C224" s="25" t="inlineStr">
        <is>
          <t>Extintor ABC 25 kg sobre ruedas</t>
        </is>
      </c>
      <c r="D224" s="12" t="inlineStr">
        <is>
          <t>A - Extintor descargado (uso o descarga parcial)</t>
        </is>
      </c>
      <c r="E224" s="12" t="inlineStr">
        <is>
          <t>Gas impulsor N₂</t>
        </is>
      </c>
      <c r="F224" s="25" t="n">
        <v>0.1142</v>
      </c>
      <c r="G224" s="25" t="inlineStr">
        <is>
          <t>kg</t>
        </is>
      </c>
      <c r="H224" s="12" t="inlineStr">
        <is>
          <t>Nuevo</t>
        </is>
      </c>
      <c r="I224" s="12" t="inlineStr">
        <is>
          <t>IRAM 3517-2:2020 9.4.9 tabla 2</t>
        </is>
      </c>
    </row>
    <row r="225">
      <c r="A225" s="25" t="inlineStr">
        <is>
          <t>RK-ABC25-B</t>
        </is>
      </c>
      <c r="B225" s="25" t="inlineStr">
        <is>
          <t>FL_MAT_ABC_25kg</t>
        </is>
      </c>
      <c r="C225" s="25" t="inlineStr">
        <is>
          <t>Extintor ABC 25 kg sobre ruedas</t>
        </is>
      </c>
      <c r="D225" s="12" t="inlineStr">
        <is>
          <t>B - Mantenimiento con apertura sin descarga (control interior, PH)</t>
        </is>
      </c>
      <c r="E225" s="12" t="inlineStr">
        <is>
          <t>Polvo químico seco ABC (fosfato monoamónico) recuperado</t>
        </is>
      </c>
      <c r="F225" s="25" t="n">
        <v>24.25</v>
      </c>
      <c r="G225" s="25" t="inlineStr">
        <is>
          <t>kg</t>
        </is>
      </c>
      <c r="H225" s="12" t="inlineStr">
        <is>
          <t>Recuperado en sistema cerrado</t>
        </is>
      </c>
      <c r="I225" s="12" t="inlineStr">
        <is>
          <t>IRAM 3517-2:2020 4.4.1 y) sistema cerrado de recuperación con inspección; 9.9.3 control (puffer IRAM 3672, fusión IRAM 3569 en ABC)</t>
        </is>
      </c>
    </row>
    <row r="226">
      <c r="A226" s="25" t="inlineStr">
        <is>
          <t>RK-ABC25-B</t>
        </is>
      </c>
      <c r="B226" s="25" t="inlineStr">
        <is>
          <t>FL_MAT_ABC_25kg</t>
        </is>
      </c>
      <c r="C226" s="25" t="inlineStr">
        <is>
          <t>Extintor ABC 25 kg sobre ruedas</t>
        </is>
      </c>
      <c r="D226" s="12" t="inlineStr">
        <is>
          <t>B - Mantenimiento con apertura sin descarga (control interior, PH)</t>
        </is>
      </c>
      <c r="E226" s="12" t="inlineStr">
        <is>
          <t>Polvo químico seco ABC (fosfato monoamónico) de reposición de mermas</t>
        </is>
      </c>
      <c r="F226" s="25" t="n">
        <v>0.75</v>
      </c>
      <c r="G226" s="25" t="inlineStr">
        <is>
          <t>kg</t>
        </is>
      </c>
      <c r="H226" s="12" t="inlineStr">
        <is>
          <t>Nuevo (R: 3 % de merma)</t>
        </is>
      </c>
      <c r="I226" s="12" t="inlineStr">
        <is>
          <t>Mismo tipo y marca (prohibido mezclar ABC con BC, 9.9.1.6)</t>
        </is>
      </c>
    </row>
    <row r="227">
      <c r="A227" s="25" t="inlineStr">
        <is>
          <t>RK-ABC25-B</t>
        </is>
      </c>
      <c r="B227" s="25" t="inlineStr">
        <is>
          <t>FL_MAT_ABC_25kg</t>
        </is>
      </c>
      <c r="C227" s="25" t="inlineStr">
        <is>
          <t>Extintor ABC 25 kg sobre ruedas</t>
        </is>
      </c>
      <c r="D227" s="12" t="inlineStr">
        <is>
          <t>B - Mantenimiento con apertura sin descarga (control interior, PH)</t>
        </is>
      </c>
      <c r="E227" s="12" t="inlineStr">
        <is>
          <t>Precinto numerado nuevo</t>
        </is>
      </c>
      <c r="F227" s="25" t="n">
        <v>1</v>
      </c>
      <c r="G227" s="25" t="inlineStr">
        <is>
          <t>u</t>
        </is>
      </c>
      <c r="H227" s="12" t="inlineStr">
        <is>
          <t>Nuevo</t>
        </is>
      </c>
      <c r="I227" s="12" t="inlineStr">
        <is>
          <t>IRAM 3517-2:2020 9.4.13</t>
        </is>
      </c>
    </row>
    <row r="228">
      <c r="A228" s="25" t="inlineStr">
        <is>
          <t>RK-ABC25-B</t>
        </is>
      </c>
      <c r="B228" s="25" t="inlineStr">
        <is>
          <t>FL_MAT_ABC_25kg</t>
        </is>
      </c>
      <c r="C228" s="25" t="inlineStr">
        <is>
          <t>Extintor ABC 25 kg sobre ruedas</t>
        </is>
      </c>
      <c r="D228" s="12" t="inlineStr">
        <is>
          <t>B - Mantenimiento con apertura sin descarga (control interior, PH)</t>
        </is>
      </c>
      <c r="E228" s="12" t="inlineStr">
        <is>
          <t>Marbete (anillo, color del año)</t>
        </is>
      </c>
      <c r="F228" s="25" t="n">
        <v>1</v>
      </c>
      <c r="G228" s="25" t="inlineStr">
        <is>
          <t>u</t>
        </is>
      </c>
      <c r="H228" s="12" t="inlineStr">
        <is>
          <t>Nuevo</t>
        </is>
      </c>
      <c r="I228" s="12" t="inlineStr">
        <is>
          <t>IRAM 3517-2:2020 9.4.14 · fig. 9 · tabla 4</t>
        </is>
      </c>
    </row>
    <row r="229">
      <c r="A229" s="25" t="inlineStr">
        <is>
          <t>RK-ABC25-B</t>
        </is>
      </c>
      <c r="B229" s="25" t="inlineStr">
        <is>
          <t>FL_MAT_ABC_25kg</t>
        </is>
      </c>
      <c r="C229" s="25" t="inlineStr">
        <is>
          <t>Extintor ABC 25 kg sobre ruedas</t>
        </is>
      </c>
      <c r="D229" s="12" t="inlineStr">
        <is>
          <t>B - Mantenimiento con apertura sin descarga (control interior, PH)</t>
        </is>
      </c>
      <c r="E229" s="12" t="inlineStr">
        <is>
          <t>Tarjeta / etiqueta de control</t>
        </is>
      </c>
      <c r="F229" s="25" t="n">
        <v>1</v>
      </c>
      <c r="G229" s="25" t="inlineStr">
        <is>
          <t>u</t>
        </is>
      </c>
      <c r="H229" s="12" t="inlineStr">
        <is>
          <t>Nuevo</t>
        </is>
      </c>
      <c r="I229" s="12" t="inlineStr">
        <is>
          <t>IRAM 3517-2:2020 8.3.3</t>
        </is>
      </c>
    </row>
    <row r="230">
      <c r="A230" s="25" t="inlineStr">
        <is>
          <t>RK-ABC25-B</t>
        </is>
      </c>
      <c r="B230" s="25" t="inlineStr">
        <is>
          <t>FL_MAT_ABC_25kg</t>
        </is>
      </c>
      <c r="C230" s="25" t="inlineStr">
        <is>
          <t>Extintor ABC 25 kg sobre ruedas</t>
        </is>
      </c>
      <c r="D230" s="12" t="inlineStr">
        <is>
          <t>B - Mantenimiento con apertura sin descarga (control interior, PH)</t>
        </is>
      </c>
      <c r="E230" s="12" t="inlineStr">
        <is>
          <t>Junta tórica de asiento del cuello</t>
        </is>
      </c>
      <c r="F230" s="25" t="n">
        <v>1</v>
      </c>
      <c r="G230" s="25" t="inlineStr">
        <is>
          <t>u</t>
        </is>
      </c>
      <c r="H230" s="12" t="inlineStr">
        <is>
          <t>Nuevo (R: cambio sistemático)</t>
        </is>
      </c>
      <c r="I230" s="12" t="inlineStr"/>
    </row>
    <row r="231">
      <c r="A231" s="25" t="inlineStr">
        <is>
          <t>RK-ABC25-B</t>
        </is>
      </c>
      <c r="B231" s="25" t="inlineStr">
        <is>
          <t>FL_MAT_ABC_25kg</t>
        </is>
      </c>
      <c r="C231" s="25" t="inlineStr">
        <is>
          <t>Extintor ABC 25 kg sobre ruedas</t>
        </is>
      </c>
      <c r="D231" s="12" t="inlineStr">
        <is>
          <t>B - Mantenimiento con apertura sin descarga (control interior, PH)</t>
        </is>
      </c>
      <c r="E231" s="12" t="inlineStr">
        <is>
          <t>Gas impulsor N₂</t>
        </is>
      </c>
      <c r="F231" s="25" t="n">
        <v>0.1142</v>
      </c>
      <c r="G231" s="25" t="inlineStr">
        <is>
          <t>kg</t>
        </is>
      </c>
      <c r="H231" s="12" t="inlineStr">
        <is>
          <t>Nuevo</t>
        </is>
      </c>
      <c r="I231" s="12" t="inlineStr">
        <is>
          <t>IRAM 3517-2:2020 9.4.9 tabla 2</t>
        </is>
      </c>
    </row>
    <row r="232">
      <c r="A232" s="25" t="inlineStr">
        <is>
          <t>RK-ABC25-C</t>
        </is>
      </c>
      <c r="B232" s="25" t="inlineStr">
        <is>
          <t>FL_MAT_ABC_25kg</t>
        </is>
      </c>
      <c r="C232" s="25" t="inlineStr">
        <is>
          <t>Extintor ABC 25 kg sobre ruedas</t>
        </is>
      </c>
      <c r="D232" s="12" t="inlineStr">
        <is>
          <t>C - Cambio obligatorio de polvo (versión anterior de la IRAM 3569)</t>
        </is>
      </c>
      <c r="E232" s="12" t="inlineStr">
        <is>
          <t>Polvo químico seco ABC (fosfato monoamónico)</t>
        </is>
      </c>
      <c r="F232" s="25" t="n">
        <v>25</v>
      </c>
      <c r="G232" s="25" t="inlineStr">
        <is>
          <t>kg</t>
        </is>
      </c>
      <c r="H232" s="12" t="inlineStr">
        <is>
          <t>Nuevo 100 %; el viejo va a residuos (RC-IR)</t>
        </is>
      </c>
      <c r="I232" s="12" t="inlineStr">
        <is>
          <t>IRAM 3517-2:2020 9.9.4</t>
        </is>
      </c>
    </row>
    <row r="233">
      <c r="A233" s="25" t="inlineStr">
        <is>
          <t>RK-ABC25-C</t>
        </is>
      </c>
      <c r="B233" s="25" t="inlineStr">
        <is>
          <t>FL_MAT_ABC_25kg</t>
        </is>
      </c>
      <c r="C233" s="25" t="inlineStr">
        <is>
          <t>Extintor ABC 25 kg sobre ruedas</t>
        </is>
      </c>
      <c r="D233" s="12" t="inlineStr">
        <is>
          <t>C - Cambio obligatorio de polvo (versión anterior de la IRAM 3569)</t>
        </is>
      </c>
      <c r="E233" s="12" t="inlineStr">
        <is>
          <t>Precinto numerado nuevo</t>
        </is>
      </c>
      <c r="F233" s="25" t="n">
        <v>1</v>
      </c>
      <c r="G233" s="25" t="inlineStr">
        <is>
          <t>u</t>
        </is>
      </c>
      <c r="H233" s="12" t="inlineStr">
        <is>
          <t>Nuevo</t>
        </is>
      </c>
      <c r="I233" s="12" t="inlineStr">
        <is>
          <t>IRAM 3517-2:2020 9.4.13</t>
        </is>
      </c>
    </row>
    <row r="234">
      <c r="A234" s="25" t="inlineStr">
        <is>
          <t>RK-ABC25-C</t>
        </is>
      </c>
      <c r="B234" s="25" t="inlineStr">
        <is>
          <t>FL_MAT_ABC_25kg</t>
        </is>
      </c>
      <c r="C234" s="25" t="inlineStr">
        <is>
          <t>Extintor ABC 25 kg sobre ruedas</t>
        </is>
      </c>
      <c r="D234" s="12" t="inlineStr">
        <is>
          <t>C - Cambio obligatorio de polvo (versión anterior de la IRAM 3569)</t>
        </is>
      </c>
      <c r="E234" s="12" t="inlineStr">
        <is>
          <t>Marbete (anillo, color del año)</t>
        </is>
      </c>
      <c r="F234" s="25" t="n">
        <v>1</v>
      </c>
      <c r="G234" s="25" t="inlineStr">
        <is>
          <t>u</t>
        </is>
      </c>
      <c r="H234" s="12" t="inlineStr">
        <is>
          <t>Nuevo</t>
        </is>
      </c>
      <c r="I234" s="12" t="inlineStr">
        <is>
          <t>IRAM 3517-2:2020 9.4.14 · fig. 9 · tabla 4</t>
        </is>
      </c>
    </row>
    <row r="235">
      <c r="A235" s="25" t="inlineStr">
        <is>
          <t>RK-ABC25-C</t>
        </is>
      </c>
      <c r="B235" s="25" t="inlineStr">
        <is>
          <t>FL_MAT_ABC_25kg</t>
        </is>
      </c>
      <c r="C235" s="25" t="inlineStr">
        <is>
          <t>Extintor ABC 25 kg sobre ruedas</t>
        </is>
      </c>
      <c r="D235" s="12" t="inlineStr">
        <is>
          <t>C - Cambio obligatorio de polvo (versión anterior de la IRAM 3569)</t>
        </is>
      </c>
      <c r="E235" s="12" t="inlineStr">
        <is>
          <t>Tarjeta / etiqueta de control</t>
        </is>
      </c>
      <c r="F235" s="25" t="n">
        <v>1</v>
      </c>
      <c r="G235" s="25" t="inlineStr">
        <is>
          <t>u</t>
        </is>
      </c>
      <c r="H235" s="12" t="inlineStr">
        <is>
          <t>Nuevo</t>
        </is>
      </c>
      <c r="I235" s="12" t="inlineStr">
        <is>
          <t>IRAM 3517-2:2020 8.3.3</t>
        </is>
      </c>
    </row>
    <row r="236">
      <c r="A236" s="25" t="inlineStr">
        <is>
          <t>RK-ABC25-C</t>
        </is>
      </c>
      <c r="B236" s="25" t="inlineStr">
        <is>
          <t>FL_MAT_ABC_25kg</t>
        </is>
      </c>
      <c r="C236" s="25" t="inlineStr">
        <is>
          <t>Extintor ABC 25 kg sobre ruedas</t>
        </is>
      </c>
      <c r="D236" s="12" t="inlineStr">
        <is>
          <t>C - Cambio obligatorio de polvo (versión anterior de la IRAM 3569)</t>
        </is>
      </c>
      <c r="E236" s="12" t="inlineStr">
        <is>
          <t>Junta tórica de asiento del cuello</t>
        </is>
      </c>
      <c r="F236" s="25" t="n">
        <v>1</v>
      </c>
      <c r="G236" s="25" t="inlineStr">
        <is>
          <t>u</t>
        </is>
      </c>
      <c r="H236" s="12" t="inlineStr">
        <is>
          <t>Nuevo (R: cambio sistemático)</t>
        </is>
      </c>
      <c r="I236" s="12" t="inlineStr"/>
    </row>
    <row r="237">
      <c r="A237" s="25" t="inlineStr">
        <is>
          <t>RK-ABC25-C</t>
        </is>
      </c>
      <c r="B237" s="25" t="inlineStr">
        <is>
          <t>FL_MAT_ABC_25kg</t>
        </is>
      </c>
      <c r="C237" s="25" t="inlineStr">
        <is>
          <t>Extintor ABC 25 kg sobre ruedas</t>
        </is>
      </c>
      <c r="D237" s="12" t="inlineStr">
        <is>
          <t>C - Cambio obligatorio de polvo (versión anterior de la IRAM 3569)</t>
        </is>
      </c>
      <c r="E237" s="12" t="inlineStr">
        <is>
          <t>Gas impulsor N₂</t>
        </is>
      </c>
      <c r="F237" s="25" t="n">
        <v>0.1142</v>
      </c>
      <c r="G237" s="25" t="inlineStr">
        <is>
          <t>kg</t>
        </is>
      </c>
      <c r="H237" s="12" t="inlineStr">
        <is>
          <t>Nuevo</t>
        </is>
      </c>
      <c r="I237" s="12" t="inlineStr">
        <is>
          <t>IRAM 3517-2:2020 9.4.9 tabla 2</t>
        </is>
      </c>
    </row>
    <row r="238">
      <c r="A238" s="25" t="inlineStr">
        <is>
          <t>RK-ABC25-I</t>
        </is>
      </c>
      <c r="B238" s="25" t="inlineStr">
        <is>
          <t>FL_MAT_ABC_25kg</t>
        </is>
      </c>
      <c r="C238" s="25" t="inlineStr">
        <is>
          <t>Extintor ABC 25 kg sobre ruedas</t>
        </is>
      </c>
      <c r="D238" s="12" t="inlineStr">
        <is>
          <t>Según inspección (consumo estadístico a definir)</t>
        </is>
      </c>
      <c r="E238" s="12" t="inlineStr">
        <is>
          <t>Manómetro / manguera / tobera / kit de válvula</t>
        </is>
      </c>
      <c r="F238" s="25" t="inlineStr">
        <is>
          <t>-</t>
        </is>
      </c>
      <c r="G238" s="25" t="inlineStr">
        <is>
          <t>u</t>
        </is>
      </c>
      <c r="H238" s="12" t="inlineStr">
        <is>
          <t>Recambio sólo si falla</t>
        </is>
      </c>
      <c r="I238" s="12" t="inlineStr">
        <is>
          <t>IRAM 3517-2:2020 9.4.11 (cada manguera vuelve a su extintor)</t>
        </is>
      </c>
    </row>
    <row r="239">
      <c r="A239" s="25" t="inlineStr">
        <is>
          <t>RK-ABC50-A</t>
        </is>
      </c>
      <c r="B239" s="25" t="inlineStr">
        <is>
          <t>FL_MAT_ABC_50kg</t>
        </is>
      </c>
      <c r="C239" s="25" t="inlineStr">
        <is>
          <t>Extintor ABC 50 kg sobre ruedas</t>
        </is>
      </c>
      <c r="D239" s="12" t="inlineStr">
        <is>
          <t>A - Extintor descargado (uso o descarga parcial)</t>
        </is>
      </c>
      <c r="E239" s="12" t="inlineStr">
        <is>
          <t>Polvo químico seco ABC (fosfato monoamónico)</t>
        </is>
      </c>
      <c r="F239" s="25" t="n">
        <v>50</v>
      </c>
      <c r="G239" s="25" t="inlineStr">
        <is>
          <t>kg</t>
        </is>
      </c>
      <c r="H239" s="12" t="inlineStr">
        <is>
          <t>Nuevo 100 %</t>
        </is>
      </c>
      <c r="I239" s="12" t="inlineStr">
        <is>
          <t>IRAM 3517-2:2020 9.9.1.4: el polvo de un extintor accionado no se reutiliza</t>
        </is>
      </c>
    </row>
    <row r="240">
      <c r="A240" s="25" t="inlineStr">
        <is>
          <t>RK-ABC50-A</t>
        </is>
      </c>
      <c r="B240" s="25" t="inlineStr">
        <is>
          <t>FL_MAT_ABC_50kg</t>
        </is>
      </c>
      <c r="C240" s="25" t="inlineStr">
        <is>
          <t>Extintor ABC 50 kg sobre ruedas</t>
        </is>
      </c>
      <c r="D240" s="12" t="inlineStr">
        <is>
          <t>A - Extintor descargado (uso o descarga parcial)</t>
        </is>
      </c>
      <c r="E240" s="12" t="inlineStr">
        <is>
          <t>Precinto numerado nuevo</t>
        </is>
      </c>
      <c r="F240" s="25" t="n">
        <v>1</v>
      </c>
      <c r="G240" s="25" t="inlineStr">
        <is>
          <t>u</t>
        </is>
      </c>
      <c r="H240" s="12" t="inlineStr">
        <is>
          <t>Nuevo</t>
        </is>
      </c>
      <c r="I240" s="12" t="inlineStr">
        <is>
          <t>IRAM 3517-2:2020 9.4.13</t>
        </is>
      </c>
    </row>
    <row r="241">
      <c r="A241" s="25" t="inlineStr">
        <is>
          <t>RK-ABC50-A</t>
        </is>
      </c>
      <c r="B241" s="25" t="inlineStr">
        <is>
          <t>FL_MAT_ABC_50kg</t>
        </is>
      </c>
      <c r="C241" s="25" t="inlineStr">
        <is>
          <t>Extintor ABC 50 kg sobre ruedas</t>
        </is>
      </c>
      <c r="D241" s="12" t="inlineStr">
        <is>
          <t>A - Extintor descargado (uso o descarga parcial)</t>
        </is>
      </c>
      <c r="E241" s="12" t="inlineStr">
        <is>
          <t>Marbete (anillo, color del año)</t>
        </is>
      </c>
      <c r="F241" s="25" t="n">
        <v>1</v>
      </c>
      <c r="G241" s="25" t="inlineStr">
        <is>
          <t>u</t>
        </is>
      </c>
      <c r="H241" s="12" t="inlineStr">
        <is>
          <t>Nuevo</t>
        </is>
      </c>
      <c r="I241" s="12" t="inlineStr">
        <is>
          <t>IRAM 3517-2:2020 9.4.14 · fig. 9 · tabla 4</t>
        </is>
      </c>
    </row>
    <row r="242">
      <c r="A242" s="25" t="inlineStr">
        <is>
          <t>RK-ABC50-A</t>
        </is>
      </c>
      <c r="B242" s="25" t="inlineStr">
        <is>
          <t>FL_MAT_ABC_50kg</t>
        </is>
      </c>
      <c r="C242" s="25" t="inlineStr">
        <is>
          <t>Extintor ABC 50 kg sobre ruedas</t>
        </is>
      </c>
      <c r="D242" s="12" t="inlineStr">
        <is>
          <t>A - Extintor descargado (uso o descarga parcial)</t>
        </is>
      </c>
      <c r="E242" s="12" t="inlineStr">
        <is>
          <t>Tarjeta / etiqueta de control</t>
        </is>
      </c>
      <c r="F242" s="25" t="n">
        <v>1</v>
      </c>
      <c r="G242" s="25" t="inlineStr">
        <is>
          <t>u</t>
        </is>
      </c>
      <c r="H242" s="12" t="inlineStr">
        <is>
          <t>Nuevo</t>
        </is>
      </c>
      <c r="I242" s="12" t="inlineStr">
        <is>
          <t>IRAM 3517-2:2020 8.3.3</t>
        </is>
      </c>
    </row>
    <row r="243">
      <c r="A243" s="25" t="inlineStr">
        <is>
          <t>RK-ABC50-A</t>
        </is>
      </c>
      <c r="B243" s="25" t="inlineStr">
        <is>
          <t>FL_MAT_ABC_50kg</t>
        </is>
      </c>
      <c r="C243" s="25" t="inlineStr">
        <is>
          <t>Extintor ABC 50 kg sobre ruedas</t>
        </is>
      </c>
      <c r="D243" s="12" t="inlineStr">
        <is>
          <t>A - Extintor descargado (uso o descarga parcial)</t>
        </is>
      </c>
      <c r="E243" s="12" t="inlineStr">
        <is>
          <t>Junta tórica de asiento del cuello</t>
        </is>
      </c>
      <c r="F243" s="25" t="n">
        <v>1</v>
      </c>
      <c r="G243" s="25" t="inlineStr">
        <is>
          <t>u</t>
        </is>
      </c>
      <c r="H243" s="12" t="inlineStr">
        <is>
          <t>Nuevo (R: cambio sistemático)</t>
        </is>
      </c>
      <c r="I243" s="12" t="inlineStr"/>
    </row>
    <row r="244">
      <c r="A244" s="25" t="inlineStr">
        <is>
          <t>RK-ABC50-A</t>
        </is>
      </c>
      <c r="B244" s="25" t="inlineStr">
        <is>
          <t>FL_MAT_ABC_50kg</t>
        </is>
      </c>
      <c r="C244" s="25" t="inlineStr">
        <is>
          <t>Extintor ABC 50 kg sobre ruedas</t>
        </is>
      </c>
      <c r="D244" s="12" t="inlineStr">
        <is>
          <t>A - Extintor descargado (uso o descarga parcial)</t>
        </is>
      </c>
      <c r="E244" s="12" t="inlineStr">
        <is>
          <t>Gas impulsor N₂</t>
        </is>
      </c>
      <c r="F244" s="25" t="n">
        <v>0.1077</v>
      </c>
      <c r="G244" s="25" t="inlineStr">
        <is>
          <t>kg</t>
        </is>
      </c>
      <c r="H244" s="12" t="inlineStr">
        <is>
          <t>Nuevo</t>
        </is>
      </c>
      <c r="I244" s="12" t="inlineStr">
        <is>
          <t>IRAM 3517-2:2020 9.4.9 tabla 2</t>
        </is>
      </c>
    </row>
    <row r="245">
      <c r="A245" s="25" t="inlineStr">
        <is>
          <t>RK-ABC50-B</t>
        </is>
      </c>
      <c r="B245" s="25" t="inlineStr">
        <is>
          <t>FL_MAT_ABC_50kg</t>
        </is>
      </c>
      <c r="C245" s="25" t="inlineStr">
        <is>
          <t>Extintor ABC 50 kg sobre ruedas</t>
        </is>
      </c>
      <c r="D245" s="12" t="inlineStr">
        <is>
          <t>B - Mantenimiento con apertura sin descarga (control interior, PH)</t>
        </is>
      </c>
      <c r="E245" s="12" t="inlineStr">
        <is>
          <t>Polvo químico seco ABC (fosfato monoamónico) recuperado</t>
        </is>
      </c>
      <c r="F245" s="25" t="n">
        <v>48.5</v>
      </c>
      <c r="G245" s="25" t="inlineStr">
        <is>
          <t>kg</t>
        </is>
      </c>
      <c r="H245" s="12" t="inlineStr">
        <is>
          <t>Recuperado en sistema cerrado</t>
        </is>
      </c>
      <c r="I245" s="12" t="inlineStr">
        <is>
          <t>IRAM 3517-2:2020 4.4.1 y) sistema cerrado de recuperación con inspección; 9.9.3 control (puffer IRAM 3672, fusión IRAM 3569 en ABC)</t>
        </is>
      </c>
    </row>
    <row r="246">
      <c r="A246" s="25" t="inlineStr">
        <is>
          <t>RK-ABC50-B</t>
        </is>
      </c>
      <c r="B246" s="25" t="inlineStr">
        <is>
          <t>FL_MAT_ABC_50kg</t>
        </is>
      </c>
      <c r="C246" s="25" t="inlineStr">
        <is>
          <t>Extintor ABC 50 kg sobre ruedas</t>
        </is>
      </c>
      <c r="D246" s="12" t="inlineStr">
        <is>
          <t>B - Mantenimiento con apertura sin descarga (control interior, PH)</t>
        </is>
      </c>
      <c r="E246" s="12" t="inlineStr">
        <is>
          <t>Polvo químico seco ABC (fosfato monoamónico) de reposición de mermas</t>
        </is>
      </c>
      <c r="F246" s="25" t="n">
        <v>1.5</v>
      </c>
      <c r="G246" s="25" t="inlineStr">
        <is>
          <t>kg</t>
        </is>
      </c>
      <c r="H246" s="12" t="inlineStr">
        <is>
          <t>Nuevo (R: 3 % de merma)</t>
        </is>
      </c>
      <c r="I246" s="12" t="inlineStr">
        <is>
          <t>Mismo tipo y marca (prohibido mezclar ABC con BC, 9.9.1.6)</t>
        </is>
      </c>
    </row>
    <row r="247">
      <c r="A247" s="25" t="inlineStr">
        <is>
          <t>RK-ABC50-B</t>
        </is>
      </c>
      <c r="B247" s="25" t="inlineStr">
        <is>
          <t>FL_MAT_ABC_50kg</t>
        </is>
      </c>
      <c r="C247" s="25" t="inlineStr">
        <is>
          <t>Extintor ABC 50 kg sobre ruedas</t>
        </is>
      </c>
      <c r="D247" s="12" t="inlineStr">
        <is>
          <t>B - Mantenimiento con apertura sin descarga (control interior, PH)</t>
        </is>
      </c>
      <c r="E247" s="12" t="inlineStr">
        <is>
          <t>Precinto numerado nuevo</t>
        </is>
      </c>
      <c r="F247" s="25" t="n">
        <v>1</v>
      </c>
      <c r="G247" s="25" t="inlineStr">
        <is>
          <t>u</t>
        </is>
      </c>
      <c r="H247" s="12" t="inlineStr">
        <is>
          <t>Nuevo</t>
        </is>
      </c>
      <c r="I247" s="12" t="inlineStr">
        <is>
          <t>IRAM 3517-2:2020 9.4.13</t>
        </is>
      </c>
    </row>
    <row r="248">
      <c r="A248" s="25" t="inlineStr">
        <is>
          <t>RK-ABC50-B</t>
        </is>
      </c>
      <c r="B248" s="25" t="inlineStr">
        <is>
          <t>FL_MAT_ABC_50kg</t>
        </is>
      </c>
      <c r="C248" s="25" t="inlineStr">
        <is>
          <t>Extintor ABC 50 kg sobre ruedas</t>
        </is>
      </c>
      <c r="D248" s="12" t="inlineStr">
        <is>
          <t>B - Mantenimiento con apertura sin descarga (control interior, PH)</t>
        </is>
      </c>
      <c r="E248" s="12" t="inlineStr">
        <is>
          <t>Marbete (anillo, color del año)</t>
        </is>
      </c>
      <c r="F248" s="25" t="n">
        <v>1</v>
      </c>
      <c r="G248" s="25" t="inlineStr">
        <is>
          <t>u</t>
        </is>
      </c>
      <c r="H248" s="12" t="inlineStr">
        <is>
          <t>Nuevo</t>
        </is>
      </c>
      <c r="I248" s="12" t="inlineStr">
        <is>
          <t>IRAM 3517-2:2020 9.4.14 · fig. 9 · tabla 4</t>
        </is>
      </c>
    </row>
    <row r="249">
      <c r="A249" s="25" t="inlineStr">
        <is>
          <t>RK-ABC50-B</t>
        </is>
      </c>
      <c r="B249" s="25" t="inlineStr">
        <is>
          <t>FL_MAT_ABC_50kg</t>
        </is>
      </c>
      <c r="C249" s="25" t="inlineStr">
        <is>
          <t>Extintor ABC 50 kg sobre ruedas</t>
        </is>
      </c>
      <c r="D249" s="12" t="inlineStr">
        <is>
          <t>B - Mantenimiento con apertura sin descarga (control interior, PH)</t>
        </is>
      </c>
      <c r="E249" s="12" t="inlineStr">
        <is>
          <t>Tarjeta / etiqueta de control</t>
        </is>
      </c>
      <c r="F249" s="25" t="n">
        <v>1</v>
      </c>
      <c r="G249" s="25" t="inlineStr">
        <is>
          <t>u</t>
        </is>
      </c>
      <c r="H249" s="12" t="inlineStr">
        <is>
          <t>Nuevo</t>
        </is>
      </c>
      <c r="I249" s="12" t="inlineStr">
        <is>
          <t>IRAM 3517-2:2020 8.3.3</t>
        </is>
      </c>
    </row>
    <row r="250">
      <c r="A250" s="25" t="inlineStr">
        <is>
          <t>RK-ABC50-B</t>
        </is>
      </c>
      <c r="B250" s="25" t="inlineStr">
        <is>
          <t>FL_MAT_ABC_50kg</t>
        </is>
      </c>
      <c r="C250" s="25" t="inlineStr">
        <is>
          <t>Extintor ABC 50 kg sobre ruedas</t>
        </is>
      </c>
      <c r="D250" s="12" t="inlineStr">
        <is>
          <t>B - Mantenimiento con apertura sin descarga (control interior, PH)</t>
        </is>
      </c>
      <c r="E250" s="12" t="inlineStr">
        <is>
          <t>Junta tórica de asiento del cuello</t>
        </is>
      </c>
      <c r="F250" s="25" t="n">
        <v>1</v>
      </c>
      <c r="G250" s="25" t="inlineStr">
        <is>
          <t>u</t>
        </is>
      </c>
      <c r="H250" s="12" t="inlineStr">
        <is>
          <t>Nuevo (R: cambio sistemático)</t>
        </is>
      </c>
      <c r="I250" s="12" t="inlineStr"/>
    </row>
    <row r="251">
      <c r="A251" s="25" t="inlineStr">
        <is>
          <t>RK-ABC50-B</t>
        </is>
      </c>
      <c r="B251" s="25" t="inlineStr">
        <is>
          <t>FL_MAT_ABC_50kg</t>
        </is>
      </c>
      <c r="C251" s="25" t="inlineStr">
        <is>
          <t>Extintor ABC 50 kg sobre ruedas</t>
        </is>
      </c>
      <c r="D251" s="12" t="inlineStr">
        <is>
          <t>B - Mantenimiento con apertura sin descarga (control interior, PH)</t>
        </is>
      </c>
      <c r="E251" s="12" t="inlineStr">
        <is>
          <t>Gas impulsor N₂</t>
        </is>
      </c>
      <c r="F251" s="25" t="n">
        <v>0.1077</v>
      </c>
      <c r="G251" s="25" t="inlineStr">
        <is>
          <t>kg</t>
        </is>
      </c>
      <c r="H251" s="12" t="inlineStr">
        <is>
          <t>Nuevo</t>
        </is>
      </c>
      <c r="I251" s="12" t="inlineStr">
        <is>
          <t>IRAM 3517-2:2020 9.4.9 tabla 2</t>
        </is>
      </c>
    </row>
    <row r="252">
      <c r="A252" s="25" t="inlineStr">
        <is>
          <t>RK-ABC50-C</t>
        </is>
      </c>
      <c r="B252" s="25" t="inlineStr">
        <is>
          <t>FL_MAT_ABC_50kg</t>
        </is>
      </c>
      <c r="C252" s="25" t="inlineStr">
        <is>
          <t>Extintor ABC 50 kg sobre ruedas</t>
        </is>
      </c>
      <c r="D252" s="12" t="inlineStr">
        <is>
          <t>C - Cambio obligatorio de polvo (versión anterior de la IRAM 3569)</t>
        </is>
      </c>
      <c r="E252" s="12" t="inlineStr">
        <is>
          <t>Polvo químico seco ABC (fosfato monoamónico)</t>
        </is>
      </c>
      <c r="F252" s="25" t="n">
        <v>50</v>
      </c>
      <c r="G252" s="25" t="inlineStr">
        <is>
          <t>kg</t>
        </is>
      </c>
      <c r="H252" s="12" t="inlineStr">
        <is>
          <t>Nuevo 100 %; el viejo va a residuos (RC-IR)</t>
        </is>
      </c>
      <c r="I252" s="12" t="inlineStr">
        <is>
          <t>IRAM 3517-2:2020 9.9.4</t>
        </is>
      </c>
    </row>
    <row r="253">
      <c r="A253" s="25" t="inlineStr">
        <is>
          <t>RK-ABC50-C</t>
        </is>
      </c>
      <c r="B253" s="25" t="inlineStr">
        <is>
          <t>FL_MAT_ABC_50kg</t>
        </is>
      </c>
      <c r="C253" s="25" t="inlineStr">
        <is>
          <t>Extintor ABC 50 kg sobre ruedas</t>
        </is>
      </c>
      <c r="D253" s="12" t="inlineStr">
        <is>
          <t>C - Cambio obligatorio de polvo (versión anterior de la IRAM 3569)</t>
        </is>
      </c>
      <c r="E253" s="12" t="inlineStr">
        <is>
          <t>Precinto numerado nuevo</t>
        </is>
      </c>
      <c r="F253" s="25" t="n">
        <v>1</v>
      </c>
      <c r="G253" s="25" t="inlineStr">
        <is>
          <t>u</t>
        </is>
      </c>
      <c r="H253" s="12" t="inlineStr">
        <is>
          <t>Nuevo</t>
        </is>
      </c>
      <c r="I253" s="12" t="inlineStr">
        <is>
          <t>IRAM 3517-2:2020 9.4.13</t>
        </is>
      </c>
    </row>
    <row r="254">
      <c r="A254" s="25" t="inlineStr">
        <is>
          <t>RK-ABC50-C</t>
        </is>
      </c>
      <c r="B254" s="25" t="inlineStr">
        <is>
          <t>FL_MAT_ABC_50kg</t>
        </is>
      </c>
      <c r="C254" s="25" t="inlineStr">
        <is>
          <t>Extintor ABC 50 kg sobre ruedas</t>
        </is>
      </c>
      <c r="D254" s="12" t="inlineStr">
        <is>
          <t>C - Cambio obligatorio de polvo (versión anterior de la IRAM 3569)</t>
        </is>
      </c>
      <c r="E254" s="12" t="inlineStr">
        <is>
          <t>Marbete (anillo, color del año)</t>
        </is>
      </c>
      <c r="F254" s="25" t="n">
        <v>1</v>
      </c>
      <c r="G254" s="25" t="inlineStr">
        <is>
          <t>u</t>
        </is>
      </c>
      <c r="H254" s="12" t="inlineStr">
        <is>
          <t>Nuevo</t>
        </is>
      </c>
      <c r="I254" s="12" t="inlineStr">
        <is>
          <t>IRAM 3517-2:2020 9.4.14 · fig. 9 · tabla 4</t>
        </is>
      </c>
    </row>
    <row r="255">
      <c r="A255" s="25" t="inlineStr">
        <is>
          <t>RK-ABC50-C</t>
        </is>
      </c>
      <c r="B255" s="25" t="inlineStr">
        <is>
          <t>FL_MAT_ABC_50kg</t>
        </is>
      </c>
      <c r="C255" s="25" t="inlineStr">
        <is>
          <t>Extintor ABC 50 kg sobre ruedas</t>
        </is>
      </c>
      <c r="D255" s="12" t="inlineStr">
        <is>
          <t>C - Cambio obligatorio de polvo (versión anterior de la IRAM 3569)</t>
        </is>
      </c>
      <c r="E255" s="12" t="inlineStr">
        <is>
          <t>Tarjeta / etiqueta de control</t>
        </is>
      </c>
      <c r="F255" s="25" t="n">
        <v>1</v>
      </c>
      <c r="G255" s="25" t="inlineStr">
        <is>
          <t>u</t>
        </is>
      </c>
      <c r="H255" s="12" t="inlineStr">
        <is>
          <t>Nuevo</t>
        </is>
      </c>
      <c r="I255" s="12" t="inlineStr">
        <is>
          <t>IRAM 3517-2:2020 8.3.3</t>
        </is>
      </c>
    </row>
    <row r="256">
      <c r="A256" s="25" t="inlineStr">
        <is>
          <t>RK-ABC50-C</t>
        </is>
      </c>
      <c r="B256" s="25" t="inlineStr">
        <is>
          <t>FL_MAT_ABC_50kg</t>
        </is>
      </c>
      <c r="C256" s="25" t="inlineStr">
        <is>
          <t>Extintor ABC 50 kg sobre ruedas</t>
        </is>
      </c>
      <c r="D256" s="12" t="inlineStr">
        <is>
          <t>C - Cambio obligatorio de polvo (versión anterior de la IRAM 3569)</t>
        </is>
      </c>
      <c r="E256" s="12" t="inlineStr">
        <is>
          <t>Junta tórica de asiento del cuello</t>
        </is>
      </c>
      <c r="F256" s="25" t="n">
        <v>1</v>
      </c>
      <c r="G256" s="25" t="inlineStr">
        <is>
          <t>u</t>
        </is>
      </c>
      <c r="H256" s="12" t="inlineStr">
        <is>
          <t>Nuevo (R: cambio sistemático)</t>
        </is>
      </c>
      <c r="I256" s="12" t="inlineStr"/>
    </row>
    <row r="257">
      <c r="A257" s="25" t="inlineStr">
        <is>
          <t>RK-ABC50-C</t>
        </is>
      </c>
      <c r="B257" s="25" t="inlineStr">
        <is>
          <t>FL_MAT_ABC_50kg</t>
        </is>
      </c>
      <c r="C257" s="25" t="inlineStr">
        <is>
          <t>Extintor ABC 50 kg sobre ruedas</t>
        </is>
      </c>
      <c r="D257" s="12" t="inlineStr">
        <is>
          <t>C - Cambio obligatorio de polvo (versión anterior de la IRAM 3569)</t>
        </is>
      </c>
      <c r="E257" s="12" t="inlineStr">
        <is>
          <t>Gas impulsor N₂</t>
        </is>
      </c>
      <c r="F257" s="25" t="n">
        <v>0.1077</v>
      </c>
      <c r="G257" s="25" t="inlineStr">
        <is>
          <t>kg</t>
        </is>
      </c>
      <c r="H257" s="12" t="inlineStr">
        <is>
          <t>Nuevo</t>
        </is>
      </c>
      <c r="I257" s="12" t="inlineStr">
        <is>
          <t>IRAM 3517-2:2020 9.4.9 tabla 2</t>
        </is>
      </c>
    </row>
    <row r="258">
      <c r="A258" s="25" t="inlineStr">
        <is>
          <t>RK-ABC50-I</t>
        </is>
      </c>
      <c r="B258" s="25" t="inlineStr">
        <is>
          <t>FL_MAT_ABC_50kg</t>
        </is>
      </c>
      <c r="C258" s="25" t="inlineStr">
        <is>
          <t>Extintor ABC 50 kg sobre ruedas</t>
        </is>
      </c>
      <c r="D258" s="12" t="inlineStr">
        <is>
          <t>Según inspección (consumo estadístico a definir)</t>
        </is>
      </c>
      <c r="E258" s="12" t="inlineStr">
        <is>
          <t>Manómetro / manguera / tobera / kit de válvula</t>
        </is>
      </c>
      <c r="F258" s="25" t="inlineStr">
        <is>
          <t>-</t>
        </is>
      </c>
      <c r="G258" s="25" t="inlineStr">
        <is>
          <t>u</t>
        </is>
      </c>
      <c r="H258" s="12" t="inlineStr">
        <is>
          <t>Recambio sólo si falla</t>
        </is>
      </c>
      <c r="I258" s="12" t="inlineStr">
        <is>
          <t>IRAM 3517-2:2020 9.4.11 (cada manguera vuelve a su extintor)</t>
        </is>
      </c>
    </row>
    <row r="259">
      <c r="A259" s="25" t="inlineStr">
        <is>
          <t>RK-ABC70-A</t>
        </is>
      </c>
      <c r="B259" s="25" t="inlineStr">
        <is>
          <t>FL_MAT_ABC_70kg</t>
        </is>
      </c>
      <c r="C259" s="25" t="inlineStr">
        <is>
          <t>Extintor ABC 70 kg sobre ruedas</t>
        </is>
      </c>
      <c r="D259" s="12" t="inlineStr">
        <is>
          <t>A - Extintor descargado (uso o descarga parcial)</t>
        </is>
      </c>
      <c r="E259" s="12" t="inlineStr">
        <is>
          <t>Polvo químico seco ABC (fosfato monoamónico)</t>
        </is>
      </c>
      <c r="F259" s="25" t="n">
        <v>70</v>
      </c>
      <c r="G259" s="25" t="inlineStr">
        <is>
          <t>kg</t>
        </is>
      </c>
      <c r="H259" s="12" t="inlineStr">
        <is>
          <t>Nuevo 100 %</t>
        </is>
      </c>
      <c r="I259" s="12" t="inlineStr">
        <is>
          <t>IRAM 3517-2:2020 9.9.1.4: el polvo de un extintor accionado no se reutiliza</t>
        </is>
      </c>
    </row>
    <row r="260">
      <c r="A260" s="25" t="inlineStr">
        <is>
          <t>RK-ABC70-A</t>
        </is>
      </c>
      <c r="B260" s="25" t="inlineStr">
        <is>
          <t>FL_MAT_ABC_70kg</t>
        </is>
      </c>
      <c r="C260" s="25" t="inlineStr">
        <is>
          <t>Extintor ABC 70 kg sobre ruedas</t>
        </is>
      </c>
      <c r="D260" s="12" t="inlineStr">
        <is>
          <t>A - Extintor descargado (uso o descarga parcial)</t>
        </is>
      </c>
      <c r="E260" s="12" t="inlineStr">
        <is>
          <t>Precinto numerado nuevo</t>
        </is>
      </c>
      <c r="F260" s="25" t="n">
        <v>1</v>
      </c>
      <c r="G260" s="25" t="inlineStr">
        <is>
          <t>u</t>
        </is>
      </c>
      <c r="H260" s="12" t="inlineStr">
        <is>
          <t>Nuevo</t>
        </is>
      </c>
      <c r="I260" s="12" t="inlineStr">
        <is>
          <t>IRAM 3517-2:2020 9.4.13</t>
        </is>
      </c>
    </row>
    <row r="261">
      <c r="A261" s="25" t="inlineStr">
        <is>
          <t>RK-ABC70-A</t>
        </is>
      </c>
      <c r="B261" s="25" t="inlineStr">
        <is>
          <t>FL_MAT_ABC_70kg</t>
        </is>
      </c>
      <c r="C261" s="25" t="inlineStr">
        <is>
          <t>Extintor ABC 70 kg sobre ruedas</t>
        </is>
      </c>
      <c r="D261" s="12" t="inlineStr">
        <is>
          <t>A - Extintor descargado (uso o descarga parcial)</t>
        </is>
      </c>
      <c r="E261" s="12" t="inlineStr">
        <is>
          <t>Marbete (anillo, color del año)</t>
        </is>
      </c>
      <c r="F261" s="25" t="n">
        <v>1</v>
      </c>
      <c r="G261" s="25" t="inlineStr">
        <is>
          <t>u</t>
        </is>
      </c>
      <c r="H261" s="12" t="inlineStr">
        <is>
          <t>Nuevo</t>
        </is>
      </c>
      <c r="I261" s="12" t="inlineStr">
        <is>
          <t>IRAM 3517-2:2020 9.4.14 · fig. 9 · tabla 4</t>
        </is>
      </c>
    </row>
    <row r="262">
      <c r="A262" s="25" t="inlineStr">
        <is>
          <t>RK-ABC70-A</t>
        </is>
      </c>
      <c r="B262" s="25" t="inlineStr">
        <is>
          <t>FL_MAT_ABC_70kg</t>
        </is>
      </c>
      <c r="C262" s="25" t="inlineStr">
        <is>
          <t>Extintor ABC 70 kg sobre ruedas</t>
        </is>
      </c>
      <c r="D262" s="12" t="inlineStr">
        <is>
          <t>A - Extintor descargado (uso o descarga parcial)</t>
        </is>
      </c>
      <c r="E262" s="12" t="inlineStr">
        <is>
          <t>Tarjeta / etiqueta de control</t>
        </is>
      </c>
      <c r="F262" s="25" t="n">
        <v>1</v>
      </c>
      <c r="G262" s="25" t="inlineStr">
        <is>
          <t>u</t>
        </is>
      </c>
      <c r="H262" s="12" t="inlineStr">
        <is>
          <t>Nuevo</t>
        </is>
      </c>
      <c r="I262" s="12" t="inlineStr">
        <is>
          <t>IRAM 3517-2:2020 8.3.3</t>
        </is>
      </c>
    </row>
    <row r="263">
      <c r="A263" s="25" t="inlineStr">
        <is>
          <t>RK-ABC70-A</t>
        </is>
      </c>
      <c r="B263" s="25" t="inlineStr">
        <is>
          <t>FL_MAT_ABC_70kg</t>
        </is>
      </c>
      <c r="C263" s="25" t="inlineStr">
        <is>
          <t>Extintor ABC 70 kg sobre ruedas</t>
        </is>
      </c>
      <c r="D263" s="12" t="inlineStr">
        <is>
          <t>A - Extintor descargado (uso o descarga parcial)</t>
        </is>
      </c>
      <c r="E263" s="12" t="inlineStr">
        <is>
          <t>Junta tórica de asiento del cuello</t>
        </is>
      </c>
      <c r="F263" s="25" t="n">
        <v>1</v>
      </c>
      <c r="G263" s="25" t="inlineStr">
        <is>
          <t>u</t>
        </is>
      </c>
      <c r="H263" s="12" t="inlineStr">
        <is>
          <t>Nuevo (R: cambio sistemático)</t>
        </is>
      </c>
      <c r="I263" s="12" t="inlineStr"/>
    </row>
    <row r="264">
      <c r="A264" s="25" t="inlineStr">
        <is>
          <t>RK-ABC70-A</t>
        </is>
      </c>
      <c r="B264" s="25" t="inlineStr">
        <is>
          <t>FL_MAT_ABC_70kg</t>
        </is>
      </c>
      <c r="C264" s="25" t="inlineStr">
        <is>
          <t>Extintor ABC 70 kg sobre ruedas</t>
        </is>
      </c>
      <c r="D264" s="12" t="inlineStr">
        <is>
          <t>A - Extintor descargado (uso o descarga parcial)</t>
        </is>
      </c>
      <c r="E264" s="12" t="inlineStr">
        <is>
          <t>Gas impulsor N₂</t>
        </is>
      </c>
      <c r="F264" s="25" t="n">
        <v>0.1418</v>
      </c>
      <c r="G264" s="25" t="inlineStr">
        <is>
          <t>kg</t>
        </is>
      </c>
      <c r="H264" s="12" t="inlineStr">
        <is>
          <t>Nuevo</t>
        </is>
      </c>
      <c r="I264" s="12" t="inlineStr">
        <is>
          <t>IRAM 3517-2:2020 9.4.9 tabla 2</t>
        </is>
      </c>
    </row>
    <row r="265">
      <c r="A265" s="25" t="inlineStr">
        <is>
          <t>RK-ABC70-B</t>
        </is>
      </c>
      <c r="B265" s="25" t="inlineStr">
        <is>
          <t>FL_MAT_ABC_70kg</t>
        </is>
      </c>
      <c r="C265" s="25" t="inlineStr">
        <is>
          <t>Extintor ABC 70 kg sobre ruedas</t>
        </is>
      </c>
      <c r="D265" s="12" t="inlineStr">
        <is>
          <t>B - Mantenimiento con apertura sin descarga (control interior, PH)</t>
        </is>
      </c>
      <c r="E265" s="12" t="inlineStr">
        <is>
          <t>Polvo químico seco ABC (fosfato monoamónico) recuperado</t>
        </is>
      </c>
      <c r="F265" s="25" t="n">
        <v>67.90000000000001</v>
      </c>
      <c r="G265" s="25" t="inlineStr">
        <is>
          <t>kg</t>
        </is>
      </c>
      <c r="H265" s="12" t="inlineStr">
        <is>
          <t>Recuperado en sistema cerrado</t>
        </is>
      </c>
      <c r="I265" s="12" t="inlineStr">
        <is>
          <t>IRAM 3517-2:2020 4.4.1 y) sistema cerrado de recuperación con inspección; 9.9.3 control (puffer IRAM 3672, fusión IRAM 3569 en ABC)</t>
        </is>
      </c>
    </row>
    <row r="266">
      <c r="A266" s="25" t="inlineStr">
        <is>
          <t>RK-ABC70-B</t>
        </is>
      </c>
      <c r="B266" s="25" t="inlineStr">
        <is>
          <t>FL_MAT_ABC_70kg</t>
        </is>
      </c>
      <c r="C266" s="25" t="inlineStr">
        <is>
          <t>Extintor ABC 70 kg sobre ruedas</t>
        </is>
      </c>
      <c r="D266" s="12" t="inlineStr">
        <is>
          <t>B - Mantenimiento con apertura sin descarga (control interior, PH)</t>
        </is>
      </c>
      <c r="E266" s="12" t="inlineStr">
        <is>
          <t>Polvo químico seco ABC (fosfato monoamónico) de reposición de mermas</t>
        </is>
      </c>
      <c r="F266" s="25" t="n">
        <v>2.1</v>
      </c>
      <c r="G266" s="25" t="inlineStr">
        <is>
          <t>kg</t>
        </is>
      </c>
      <c r="H266" s="12" t="inlineStr">
        <is>
          <t>Nuevo (R: 3 % de merma)</t>
        </is>
      </c>
      <c r="I266" s="12" t="inlineStr">
        <is>
          <t>Mismo tipo y marca (prohibido mezclar ABC con BC, 9.9.1.6)</t>
        </is>
      </c>
    </row>
    <row r="267">
      <c r="A267" s="25" t="inlineStr">
        <is>
          <t>RK-ABC70-B</t>
        </is>
      </c>
      <c r="B267" s="25" t="inlineStr">
        <is>
          <t>FL_MAT_ABC_70kg</t>
        </is>
      </c>
      <c r="C267" s="25" t="inlineStr">
        <is>
          <t>Extintor ABC 70 kg sobre ruedas</t>
        </is>
      </c>
      <c r="D267" s="12" t="inlineStr">
        <is>
          <t>B - Mantenimiento con apertura sin descarga (control interior, PH)</t>
        </is>
      </c>
      <c r="E267" s="12" t="inlineStr">
        <is>
          <t>Precinto numerado nuevo</t>
        </is>
      </c>
      <c r="F267" s="25" t="n">
        <v>1</v>
      </c>
      <c r="G267" s="25" t="inlineStr">
        <is>
          <t>u</t>
        </is>
      </c>
      <c r="H267" s="12" t="inlineStr">
        <is>
          <t>Nuevo</t>
        </is>
      </c>
      <c r="I267" s="12" t="inlineStr">
        <is>
          <t>IRAM 3517-2:2020 9.4.13</t>
        </is>
      </c>
    </row>
    <row r="268">
      <c r="A268" s="25" t="inlineStr">
        <is>
          <t>RK-ABC70-B</t>
        </is>
      </c>
      <c r="B268" s="25" t="inlineStr">
        <is>
          <t>FL_MAT_ABC_70kg</t>
        </is>
      </c>
      <c r="C268" s="25" t="inlineStr">
        <is>
          <t>Extintor ABC 70 kg sobre ruedas</t>
        </is>
      </c>
      <c r="D268" s="12" t="inlineStr">
        <is>
          <t>B - Mantenimiento con apertura sin descarga (control interior, PH)</t>
        </is>
      </c>
      <c r="E268" s="12" t="inlineStr">
        <is>
          <t>Marbete (anillo, color del año)</t>
        </is>
      </c>
      <c r="F268" s="25" t="n">
        <v>1</v>
      </c>
      <c r="G268" s="25" t="inlineStr">
        <is>
          <t>u</t>
        </is>
      </c>
      <c r="H268" s="12" t="inlineStr">
        <is>
          <t>Nuevo</t>
        </is>
      </c>
      <c r="I268" s="12" t="inlineStr">
        <is>
          <t>IRAM 3517-2:2020 9.4.14 · fig. 9 · tabla 4</t>
        </is>
      </c>
    </row>
    <row r="269">
      <c r="A269" s="25" t="inlineStr">
        <is>
          <t>RK-ABC70-B</t>
        </is>
      </c>
      <c r="B269" s="25" t="inlineStr">
        <is>
          <t>FL_MAT_ABC_70kg</t>
        </is>
      </c>
      <c r="C269" s="25" t="inlineStr">
        <is>
          <t>Extintor ABC 70 kg sobre ruedas</t>
        </is>
      </c>
      <c r="D269" s="12" t="inlineStr">
        <is>
          <t>B - Mantenimiento con apertura sin descarga (control interior, PH)</t>
        </is>
      </c>
      <c r="E269" s="12" t="inlineStr">
        <is>
          <t>Tarjeta / etiqueta de control</t>
        </is>
      </c>
      <c r="F269" s="25" t="n">
        <v>1</v>
      </c>
      <c r="G269" s="25" t="inlineStr">
        <is>
          <t>u</t>
        </is>
      </c>
      <c r="H269" s="12" t="inlineStr">
        <is>
          <t>Nuevo</t>
        </is>
      </c>
      <c r="I269" s="12" t="inlineStr">
        <is>
          <t>IRAM 3517-2:2020 8.3.3</t>
        </is>
      </c>
    </row>
    <row r="270">
      <c r="A270" s="25" t="inlineStr">
        <is>
          <t>RK-ABC70-B</t>
        </is>
      </c>
      <c r="B270" s="25" t="inlineStr">
        <is>
          <t>FL_MAT_ABC_70kg</t>
        </is>
      </c>
      <c r="C270" s="25" t="inlineStr">
        <is>
          <t>Extintor ABC 70 kg sobre ruedas</t>
        </is>
      </c>
      <c r="D270" s="12" t="inlineStr">
        <is>
          <t>B - Mantenimiento con apertura sin descarga (control interior, PH)</t>
        </is>
      </c>
      <c r="E270" s="12" t="inlineStr">
        <is>
          <t>Junta tórica de asiento del cuello</t>
        </is>
      </c>
      <c r="F270" s="25" t="n">
        <v>1</v>
      </c>
      <c r="G270" s="25" t="inlineStr">
        <is>
          <t>u</t>
        </is>
      </c>
      <c r="H270" s="12" t="inlineStr">
        <is>
          <t>Nuevo (R: cambio sistemático)</t>
        </is>
      </c>
      <c r="I270" s="12" t="inlineStr"/>
    </row>
    <row r="271">
      <c r="A271" s="25" t="inlineStr">
        <is>
          <t>RK-ABC70-B</t>
        </is>
      </c>
      <c r="B271" s="25" t="inlineStr">
        <is>
          <t>FL_MAT_ABC_70kg</t>
        </is>
      </c>
      <c r="C271" s="25" t="inlineStr">
        <is>
          <t>Extintor ABC 70 kg sobre ruedas</t>
        </is>
      </c>
      <c r="D271" s="12" t="inlineStr">
        <is>
          <t>B - Mantenimiento con apertura sin descarga (control interior, PH)</t>
        </is>
      </c>
      <c r="E271" s="12" t="inlineStr">
        <is>
          <t>Gas impulsor N₂</t>
        </is>
      </c>
      <c r="F271" s="25" t="n">
        <v>0.1418</v>
      </c>
      <c r="G271" s="25" t="inlineStr">
        <is>
          <t>kg</t>
        </is>
      </c>
      <c r="H271" s="12" t="inlineStr">
        <is>
          <t>Nuevo</t>
        </is>
      </c>
      <c r="I271" s="12" t="inlineStr">
        <is>
          <t>IRAM 3517-2:2020 9.4.9 tabla 2</t>
        </is>
      </c>
    </row>
    <row r="272">
      <c r="A272" s="25" t="inlineStr">
        <is>
          <t>RK-ABC70-C</t>
        </is>
      </c>
      <c r="B272" s="25" t="inlineStr">
        <is>
          <t>FL_MAT_ABC_70kg</t>
        </is>
      </c>
      <c r="C272" s="25" t="inlineStr">
        <is>
          <t>Extintor ABC 70 kg sobre ruedas</t>
        </is>
      </c>
      <c r="D272" s="12" t="inlineStr">
        <is>
          <t>C - Cambio obligatorio de polvo (versión anterior de la IRAM 3569)</t>
        </is>
      </c>
      <c r="E272" s="12" t="inlineStr">
        <is>
          <t>Polvo químico seco ABC (fosfato monoamónico)</t>
        </is>
      </c>
      <c r="F272" s="25" t="n">
        <v>70</v>
      </c>
      <c r="G272" s="25" t="inlineStr">
        <is>
          <t>kg</t>
        </is>
      </c>
      <c r="H272" s="12" t="inlineStr">
        <is>
          <t>Nuevo 100 %; el viejo va a residuos (RC-IR)</t>
        </is>
      </c>
      <c r="I272" s="12" t="inlineStr">
        <is>
          <t>IRAM 3517-2:2020 9.9.4</t>
        </is>
      </c>
    </row>
    <row r="273">
      <c r="A273" s="25" t="inlineStr">
        <is>
          <t>RK-ABC70-C</t>
        </is>
      </c>
      <c r="B273" s="25" t="inlineStr">
        <is>
          <t>FL_MAT_ABC_70kg</t>
        </is>
      </c>
      <c r="C273" s="25" t="inlineStr">
        <is>
          <t>Extintor ABC 70 kg sobre ruedas</t>
        </is>
      </c>
      <c r="D273" s="12" t="inlineStr">
        <is>
          <t>C - Cambio obligatorio de polvo (versión anterior de la IRAM 3569)</t>
        </is>
      </c>
      <c r="E273" s="12" t="inlineStr">
        <is>
          <t>Precinto numerado nuevo</t>
        </is>
      </c>
      <c r="F273" s="25" t="n">
        <v>1</v>
      </c>
      <c r="G273" s="25" t="inlineStr">
        <is>
          <t>u</t>
        </is>
      </c>
      <c r="H273" s="12" t="inlineStr">
        <is>
          <t>Nuevo</t>
        </is>
      </c>
      <c r="I273" s="12" t="inlineStr">
        <is>
          <t>IRAM 3517-2:2020 9.4.13</t>
        </is>
      </c>
    </row>
    <row r="274">
      <c r="A274" s="25" t="inlineStr">
        <is>
          <t>RK-ABC70-C</t>
        </is>
      </c>
      <c r="B274" s="25" t="inlineStr">
        <is>
          <t>FL_MAT_ABC_70kg</t>
        </is>
      </c>
      <c r="C274" s="25" t="inlineStr">
        <is>
          <t>Extintor ABC 70 kg sobre ruedas</t>
        </is>
      </c>
      <c r="D274" s="12" t="inlineStr">
        <is>
          <t>C - Cambio obligatorio de polvo (versión anterior de la IRAM 3569)</t>
        </is>
      </c>
      <c r="E274" s="12" t="inlineStr">
        <is>
          <t>Marbete (anillo, color del año)</t>
        </is>
      </c>
      <c r="F274" s="25" t="n">
        <v>1</v>
      </c>
      <c r="G274" s="25" t="inlineStr">
        <is>
          <t>u</t>
        </is>
      </c>
      <c r="H274" s="12" t="inlineStr">
        <is>
          <t>Nuevo</t>
        </is>
      </c>
      <c r="I274" s="12" t="inlineStr">
        <is>
          <t>IRAM 3517-2:2020 9.4.14 · fig. 9 · tabla 4</t>
        </is>
      </c>
    </row>
    <row r="275">
      <c r="A275" s="25" t="inlineStr">
        <is>
          <t>RK-ABC70-C</t>
        </is>
      </c>
      <c r="B275" s="25" t="inlineStr">
        <is>
          <t>FL_MAT_ABC_70kg</t>
        </is>
      </c>
      <c r="C275" s="25" t="inlineStr">
        <is>
          <t>Extintor ABC 70 kg sobre ruedas</t>
        </is>
      </c>
      <c r="D275" s="12" t="inlineStr">
        <is>
          <t>C - Cambio obligatorio de polvo (versión anterior de la IRAM 3569)</t>
        </is>
      </c>
      <c r="E275" s="12" t="inlineStr">
        <is>
          <t>Tarjeta / etiqueta de control</t>
        </is>
      </c>
      <c r="F275" s="25" t="n">
        <v>1</v>
      </c>
      <c r="G275" s="25" t="inlineStr">
        <is>
          <t>u</t>
        </is>
      </c>
      <c r="H275" s="12" t="inlineStr">
        <is>
          <t>Nuevo</t>
        </is>
      </c>
      <c r="I275" s="12" t="inlineStr">
        <is>
          <t>IRAM 3517-2:2020 8.3.3</t>
        </is>
      </c>
    </row>
    <row r="276">
      <c r="A276" s="25" t="inlineStr">
        <is>
          <t>RK-ABC70-C</t>
        </is>
      </c>
      <c r="B276" s="25" t="inlineStr">
        <is>
          <t>FL_MAT_ABC_70kg</t>
        </is>
      </c>
      <c r="C276" s="25" t="inlineStr">
        <is>
          <t>Extintor ABC 70 kg sobre ruedas</t>
        </is>
      </c>
      <c r="D276" s="12" t="inlineStr">
        <is>
          <t>C - Cambio obligatorio de polvo (versión anterior de la IRAM 3569)</t>
        </is>
      </c>
      <c r="E276" s="12" t="inlineStr">
        <is>
          <t>Junta tórica de asiento del cuello</t>
        </is>
      </c>
      <c r="F276" s="25" t="n">
        <v>1</v>
      </c>
      <c r="G276" s="25" t="inlineStr">
        <is>
          <t>u</t>
        </is>
      </c>
      <c r="H276" s="12" t="inlineStr">
        <is>
          <t>Nuevo (R: cambio sistemático)</t>
        </is>
      </c>
      <c r="I276" s="12" t="inlineStr"/>
    </row>
    <row r="277">
      <c r="A277" s="25" t="inlineStr">
        <is>
          <t>RK-ABC70-C</t>
        </is>
      </c>
      <c r="B277" s="25" t="inlineStr">
        <is>
          <t>FL_MAT_ABC_70kg</t>
        </is>
      </c>
      <c r="C277" s="25" t="inlineStr">
        <is>
          <t>Extintor ABC 70 kg sobre ruedas</t>
        </is>
      </c>
      <c r="D277" s="12" t="inlineStr">
        <is>
          <t>C - Cambio obligatorio de polvo (versión anterior de la IRAM 3569)</t>
        </is>
      </c>
      <c r="E277" s="12" t="inlineStr">
        <is>
          <t>Gas impulsor N₂</t>
        </is>
      </c>
      <c r="F277" s="25" t="n">
        <v>0.1418</v>
      </c>
      <c r="G277" s="25" t="inlineStr">
        <is>
          <t>kg</t>
        </is>
      </c>
      <c r="H277" s="12" t="inlineStr">
        <is>
          <t>Nuevo</t>
        </is>
      </c>
      <c r="I277" s="12" t="inlineStr">
        <is>
          <t>IRAM 3517-2:2020 9.4.9 tabla 2</t>
        </is>
      </c>
    </row>
    <row r="278">
      <c r="A278" s="25" t="inlineStr">
        <is>
          <t>RK-ABC70-I</t>
        </is>
      </c>
      <c r="B278" s="25" t="inlineStr">
        <is>
          <t>FL_MAT_ABC_70kg</t>
        </is>
      </c>
      <c r="C278" s="25" t="inlineStr">
        <is>
          <t>Extintor ABC 70 kg sobre ruedas</t>
        </is>
      </c>
      <c r="D278" s="12" t="inlineStr">
        <is>
          <t>Según inspección (consumo estadístico a definir)</t>
        </is>
      </c>
      <c r="E278" s="12" t="inlineStr">
        <is>
          <t>Manómetro / manguera / tobera / kit de válvula</t>
        </is>
      </c>
      <c r="F278" s="25" t="inlineStr">
        <is>
          <t>-</t>
        </is>
      </c>
      <c r="G278" s="25" t="inlineStr">
        <is>
          <t>u</t>
        </is>
      </c>
      <c r="H278" s="12" t="inlineStr">
        <is>
          <t>Recambio sólo si falla</t>
        </is>
      </c>
      <c r="I278" s="12" t="inlineStr">
        <is>
          <t>IRAM 3517-2:2020 9.4.11 (cada manguera vuelve a su extintor)</t>
        </is>
      </c>
    </row>
    <row r="279">
      <c r="A279" s="25" t="inlineStr">
        <is>
          <t>RK-ABC100-A</t>
        </is>
      </c>
      <c r="B279" s="25" t="inlineStr">
        <is>
          <t>FL_MAT_ABC_100kg</t>
        </is>
      </c>
      <c r="C279" s="25" t="inlineStr">
        <is>
          <t>Extintor ABC 100 kg sobre ruedas</t>
        </is>
      </c>
      <c r="D279" s="12" t="inlineStr">
        <is>
          <t>A - Extintor descargado (uso o descarga parcial)</t>
        </is>
      </c>
      <c r="E279" s="12" t="inlineStr">
        <is>
          <t>Polvo químico seco ABC (fosfato monoamónico)</t>
        </is>
      </c>
      <c r="F279" s="25" t="n">
        <v>100</v>
      </c>
      <c r="G279" s="25" t="inlineStr">
        <is>
          <t>kg</t>
        </is>
      </c>
      <c r="H279" s="12" t="inlineStr">
        <is>
          <t>Nuevo 100 %</t>
        </is>
      </c>
      <c r="I279" s="12" t="inlineStr">
        <is>
          <t>IRAM 3517-2:2020 9.9.1.4: el polvo de un extintor accionado no se reutiliza</t>
        </is>
      </c>
    </row>
    <row r="280">
      <c r="A280" s="25" t="inlineStr">
        <is>
          <t>RK-ABC100-A</t>
        </is>
      </c>
      <c r="B280" s="25" t="inlineStr">
        <is>
          <t>FL_MAT_ABC_100kg</t>
        </is>
      </c>
      <c r="C280" s="25" t="inlineStr">
        <is>
          <t>Extintor ABC 100 kg sobre ruedas</t>
        </is>
      </c>
      <c r="D280" s="12" t="inlineStr">
        <is>
          <t>A - Extintor descargado (uso o descarga parcial)</t>
        </is>
      </c>
      <c r="E280" s="12" t="inlineStr">
        <is>
          <t>Precinto numerado nuevo</t>
        </is>
      </c>
      <c r="F280" s="25" t="n">
        <v>1</v>
      </c>
      <c r="G280" s="25" t="inlineStr">
        <is>
          <t>u</t>
        </is>
      </c>
      <c r="H280" s="12" t="inlineStr">
        <is>
          <t>Nuevo</t>
        </is>
      </c>
      <c r="I280" s="12" t="inlineStr">
        <is>
          <t>IRAM 3517-2:2020 9.4.13</t>
        </is>
      </c>
    </row>
    <row r="281">
      <c r="A281" s="25" t="inlineStr">
        <is>
          <t>RK-ABC100-A</t>
        </is>
      </c>
      <c r="B281" s="25" t="inlineStr">
        <is>
          <t>FL_MAT_ABC_100kg</t>
        </is>
      </c>
      <c r="C281" s="25" t="inlineStr">
        <is>
          <t>Extintor ABC 100 kg sobre ruedas</t>
        </is>
      </c>
      <c r="D281" s="12" t="inlineStr">
        <is>
          <t>A - Extintor descargado (uso o descarga parcial)</t>
        </is>
      </c>
      <c r="E281" s="12" t="inlineStr">
        <is>
          <t>Marbete (anillo, color del año)</t>
        </is>
      </c>
      <c r="F281" s="25" t="n">
        <v>1</v>
      </c>
      <c r="G281" s="25" t="inlineStr">
        <is>
          <t>u</t>
        </is>
      </c>
      <c r="H281" s="12" t="inlineStr">
        <is>
          <t>Nuevo</t>
        </is>
      </c>
      <c r="I281" s="12" t="inlineStr">
        <is>
          <t>IRAM 3517-2:2020 9.4.14 · fig. 9 · tabla 4</t>
        </is>
      </c>
    </row>
    <row r="282">
      <c r="A282" s="25" t="inlineStr">
        <is>
          <t>RK-ABC100-A</t>
        </is>
      </c>
      <c r="B282" s="25" t="inlineStr">
        <is>
          <t>FL_MAT_ABC_100kg</t>
        </is>
      </c>
      <c r="C282" s="25" t="inlineStr">
        <is>
          <t>Extintor ABC 100 kg sobre ruedas</t>
        </is>
      </c>
      <c r="D282" s="12" t="inlineStr">
        <is>
          <t>A - Extintor descargado (uso o descarga parcial)</t>
        </is>
      </c>
      <c r="E282" s="12" t="inlineStr">
        <is>
          <t>Tarjeta / etiqueta de control</t>
        </is>
      </c>
      <c r="F282" s="25" t="n">
        <v>1</v>
      </c>
      <c r="G282" s="25" t="inlineStr">
        <is>
          <t>u</t>
        </is>
      </c>
      <c r="H282" s="12" t="inlineStr">
        <is>
          <t>Nuevo</t>
        </is>
      </c>
      <c r="I282" s="12" t="inlineStr">
        <is>
          <t>IRAM 3517-2:2020 8.3.3</t>
        </is>
      </c>
    </row>
    <row r="283">
      <c r="A283" s="25" t="inlineStr">
        <is>
          <t>RK-ABC100-A</t>
        </is>
      </c>
      <c r="B283" s="25" t="inlineStr">
        <is>
          <t>FL_MAT_ABC_100kg</t>
        </is>
      </c>
      <c r="C283" s="25" t="inlineStr">
        <is>
          <t>Extintor ABC 100 kg sobre ruedas</t>
        </is>
      </c>
      <c r="D283" s="12" t="inlineStr">
        <is>
          <t>A - Extintor descargado (uso o descarga parcial)</t>
        </is>
      </c>
      <c r="E283" s="12" t="inlineStr">
        <is>
          <t>Junta tórica de asiento del cuello</t>
        </is>
      </c>
      <c r="F283" s="25" t="n">
        <v>1</v>
      </c>
      <c r="G283" s="25" t="inlineStr">
        <is>
          <t>u</t>
        </is>
      </c>
      <c r="H283" s="12" t="inlineStr">
        <is>
          <t>Nuevo (R: cambio sistemático)</t>
        </is>
      </c>
      <c r="I283" s="12" t="inlineStr"/>
    </row>
    <row r="284">
      <c r="A284" s="25" t="inlineStr">
        <is>
          <t>RK-ABC100-A</t>
        </is>
      </c>
      <c r="B284" s="25" t="inlineStr">
        <is>
          <t>FL_MAT_ABC_100kg</t>
        </is>
      </c>
      <c r="C284" s="25" t="inlineStr">
        <is>
          <t>Extintor ABC 100 kg sobre ruedas</t>
        </is>
      </c>
      <c r="D284" s="12" t="inlineStr">
        <is>
          <t>A - Extintor descargado (uso o descarga parcial)</t>
        </is>
      </c>
      <c r="E284" s="12" t="inlineStr">
        <is>
          <t>Gas impulsor N₂</t>
        </is>
      </c>
      <c r="F284" s="25" t="n">
        <v>0.205</v>
      </c>
      <c r="G284" s="25" t="inlineStr">
        <is>
          <t>kg</t>
        </is>
      </c>
      <c r="H284" s="12" t="inlineStr">
        <is>
          <t>Nuevo</t>
        </is>
      </c>
      <c r="I284" s="12" t="inlineStr">
        <is>
          <t>IRAM 3517-2:2020 9.4.9 tabla 2</t>
        </is>
      </c>
    </row>
    <row r="285">
      <c r="A285" s="25" t="inlineStr">
        <is>
          <t>RK-ABC100-B</t>
        </is>
      </c>
      <c r="B285" s="25" t="inlineStr">
        <is>
          <t>FL_MAT_ABC_100kg</t>
        </is>
      </c>
      <c r="C285" s="25" t="inlineStr">
        <is>
          <t>Extintor ABC 100 kg sobre ruedas</t>
        </is>
      </c>
      <c r="D285" s="12" t="inlineStr">
        <is>
          <t>B - Mantenimiento con apertura sin descarga (control interior, PH)</t>
        </is>
      </c>
      <c r="E285" s="12" t="inlineStr">
        <is>
          <t>Polvo químico seco ABC (fosfato monoamónico) recuperado</t>
        </is>
      </c>
      <c r="F285" s="25" t="n">
        <v>97</v>
      </c>
      <c r="G285" s="25" t="inlineStr">
        <is>
          <t>kg</t>
        </is>
      </c>
      <c r="H285" s="12" t="inlineStr">
        <is>
          <t>Recuperado en sistema cerrado</t>
        </is>
      </c>
      <c r="I285" s="12" t="inlineStr">
        <is>
          <t>IRAM 3517-2:2020 4.4.1 y) sistema cerrado de recuperación con inspección; 9.9.3 control (puffer IRAM 3672, fusión IRAM 3569 en ABC)</t>
        </is>
      </c>
    </row>
    <row r="286">
      <c r="A286" s="25" t="inlineStr">
        <is>
          <t>RK-ABC100-B</t>
        </is>
      </c>
      <c r="B286" s="25" t="inlineStr">
        <is>
          <t>FL_MAT_ABC_100kg</t>
        </is>
      </c>
      <c r="C286" s="25" t="inlineStr">
        <is>
          <t>Extintor ABC 100 kg sobre ruedas</t>
        </is>
      </c>
      <c r="D286" s="12" t="inlineStr">
        <is>
          <t>B - Mantenimiento con apertura sin descarga (control interior, PH)</t>
        </is>
      </c>
      <c r="E286" s="12" t="inlineStr">
        <is>
          <t>Polvo químico seco ABC (fosfato monoamónico) de reposición de mermas</t>
        </is>
      </c>
      <c r="F286" s="25" t="n">
        <v>3</v>
      </c>
      <c r="G286" s="25" t="inlineStr">
        <is>
          <t>kg</t>
        </is>
      </c>
      <c r="H286" s="12" t="inlineStr">
        <is>
          <t>Nuevo (R: 3 % de merma)</t>
        </is>
      </c>
      <c r="I286" s="12" t="inlineStr">
        <is>
          <t>Mismo tipo y marca (prohibido mezclar ABC con BC, 9.9.1.6)</t>
        </is>
      </c>
    </row>
    <row r="287">
      <c r="A287" s="25" t="inlineStr">
        <is>
          <t>RK-ABC100-B</t>
        </is>
      </c>
      <c r="B287" s="25" t="inlineStr">
        <is>
          <t>FL_MAT_ABC_100kg</t>
        </is>
      </c>
      <c r="C287" s="25" t="inlineStr">
        <is>
          <t>Extintor ABC 100 kg sobre ruedas</t>
        </is>
      </c>
      <c r="D287" s="12" t="inlineStr">
        <is>
          <t>B - Mantenimiento con apertura sin descarga (control interior, PH)</t>
        </is>
      </c>
      <c r="E287" s="12" t="inlineStr">
        <is>
          <t>Precinto numerado nuevo</t>
        </is>
      </c>
      <c r="F287" s="25" t="n">
        <v>1</v>
      </c>
      <c r="G287" s="25" t="inlineStr">
        <is>
          <t>u</t>
        </is>
      </c>
      <c r="H287" s="12" t="inlineStr">
        <is>
          <t>Nuevo</t>
        </is>
      </c>
      <c r="I287" s="12" t="inlineStr">
        <is>
          <t>IRAM 3517-2:2020 9.4.13</t>
        </is>
      </c>
    </row>
    <row r="288">
      <c r="A288" s="25" t="inlineStr">
        <is>
          <t>RK-ABC100-B</t>
        </is>
      </c>
      <c r="B288" s="25" t="inlineStr">
        <is>
          <t>FL_MAT_ABC_100kg</t>
        </is>
      </c>
      <c r="C288" s="25" t="inlineStr">
        <is>
          <t>Extintor ABC 100 kg sobre ruedas</t>
        </is>
      </c>
      <c r="D288" s="12" t="inlineStr">
        <is>
          <t>B - Mantenimiento con apertura sin descarga (control interior, PH)</t>
        </is>
      </c>
      <c r="E288" s="12" t="inlineStr">
        <is>
          <t>Marbete (anillo, color del año)</t>
        </is>
      </c>
      <c r="F288" s="25" t="n">
        <v>1</v>
      </c>
      <c r="G288" s="25" t="inlineStr">
        <is>
          <t>u</t>
        </is>
      </c>
      <c r="H288" s="12" t="inlineStr">
        <is>
          <t>Nuevo</t>
        </is>
      </c>
      <c r="I288" s="12" t="inlineStr">
        <is>
          <t>IRAM 3517-2:2020 9.4.14 · fig. 9 · tabla 4</t>
        </is>
      </c>
    </row>
    <row r="289">
      <c r="A289" s="25" t="inlineStr">
        <is>
          <t>RK-ABC100-B</t>
        </is>
      </c>
      <c r="B289" s="25" t="inlineStr">
        <is>
          <t>FL_MAT_ABC_100kg</t>
        </is>
      </c>
      <c r="C289" s="25" t="inlineStr">
        <is>
          <t>Extintor ABC 100 kg sobre ruedas</t>
        </is>
      </c>
      <c r="D289" s="12" t="inlineStr">
        <is>
          <t>B - Mantenimiento con apertura sin descarga (control interior, PH)</t>
        </is>
      </c>
      <c r="E289" s="12" t="inlineStr">
        <is>
          <t>Tarjeta / etiqueta de control</t>
        </is>
      </c>
      <c r="F289" s="25" t="n">
        <v>1</v>
      </c>
      <c r="G289" s="25" t="inlineStr">
        <is>
          <t>u</t>
        </is>
      </c>
      <c r="H289" s="12" t="inlineStr">
        <is>
          <t>Nuevo</t>
        </is>
      </c>
      <c r="I289" s="12" t="inlineStr">
        <is>
          <t>IRAM 3517-2:2020 8.3.3</t>
        </is>
      </c>
    </row>
    <row r="290">
      <c r="A290" s="25" t="inlineStr">
        <is>
          <t>RK-ABC100-B</t>
        </is>
      </c>
      <c r="B290" s="25" t="inlineStr">
        <is>
          <t>FL_MAT_ABC_100kg</t>
        </is>
      </c>
      <c r="C290" s="25" t="inlineStr">
        <is>
          <t>Extintor ABC 100 kg sobre ruedas</t>
        </is>
      </c>
      <c r="D290" s="12" t="inlineStr">
        <is>
          <t>B - Mantenimiento con apertura sin descarga (control interior, PH)</t>
        </is>
      </c>
      <c r="E290" s="12" t="inlineStr">
        <is>
          <t>Junta tórica de asiento del cuello</t>
        </is>
      </c>
      <c r="F290" s="25" t="n">
        <v>1</v>
      </c>
      <c r="G290" s="25" t="inlineStr">
        <is>
          <t>u</t>
        </is>
      </c>
      <c r="H290" s="12" t="inlineStr">
        <is>
          <t>Nuevo (R: cambio sistemático)</t>
        </is>
      </c>
      <c r="I290" s="12" t="inlineStr"/>
    </row>
    <row r="291">
      <c r="A291" s="25" t="inlineStr">
        <is>
          <t>RK-ABC100-B</t>
        </is>
      </c>
      <c r="B291" s="25" t="inlineStr">
        <is>
          <t>FL_MAT_ABC_100kg</t>
        </is>
      </c>
      <c r="C291" s="25" t="inlineStr">
        <is>
          <t>Extintor ABC 100 kg sobre ruedas</t>
        </is>
      </c>
      <c r="D291" s="12" t="inlineStr">
        <is>
          <t>B - Mantenimiento con apertura sin descarga (control interior, PH)</t>
        </is>
      </c>
      <c r="E291" s="12" t="inlineStr">
        <is>
          <t>Gas impulsor N₂</t>
        </is>
      </c>
      <c r="F291" s="25" t="n">
        <v>0.205</v>
      </c>
      <c r="G291" s="25" t="inlineStr">
        <is>
          <t>kg</t>
        </is>
      </c>
      <c r="H291" s="12" t="inlineStr">
        <is>
          <t>Nuevo</t>
        </is>
      </c>
      <c r="I291" s="12" t="inlineStr">
        <is>
          <t>IRAM 3517-2:2020 9.4.9 tabla 2</t>
        </is>
      </c>
    </row>
    <row r="292">
      <c r="A292" s="25" t="inlineStr">
        <is>
          <t>RK-ABC100-C</t>
        </is>
      </c>
      <c r="B292" s="25" t="inlineStr">
        <is>
          <t>FL_MAT_ABC_100kg</t>
        </is>
      </c>
      <c r="C292" s="25" t="inlineStr">
        <is>
          <t>Extintor ABC 100 kg sobre ruedas</t>
        </is>
      </c>
      <c r="D292" s="12" t="inlineStr">
        <is>
          <t>C - Cambio obligatorio de polvo (versión anterior de la IRAM 3569)</t>
        </is>
      </c>
      <c r="E292" s="12" t="inlineStr">
        <is>
          <t>Polvo químico seco ABC (fosfato monoamónico)</t>
        </is>
      </c>
      <c r="F292" s="25" t="n">
        <v>100</v>
      </c>
      <c r="G292" s="25" t="inlineStr">
        <is>
          <t>kg</t>
        </is>
      </c>
      <c r="H292" s="12" t="inlineStr">
        <is>
          <t>Nuevo 100 %; el viejo va a residuos (RC-IR)</t>
        </is>
      </c>
      <c r="I292" s="12" t="inlineStr">
        <is>
          <t>IRAM 3517-2:2020 9.9.4</t>
        </is>
      </c>
    </row>
    <row r="293">
      <c r="A293" s="25" t="inlineStr">
        <is>
          <t>RK-ABC100-C</t>
        </is>
      </c>
      <c r="B293" s="25" t="inlineStr">
        <is>
          <t>FL_MAT_ABC_100kg</t>
        </is>
      </c>
      <c r="C293" s="25" t="inlineStr">
        <is>
          <t>Extintor ABC 100 kg sobre ruedas</t>
        </is>
      </c>
      <c r="D293" s="12" t="inlineStr">
        <is>
          <t>C - Cambio obligatorio de polvo (versión anterior de la IRAM 3569)</t>
        </is>
      </c>
      <c r="E293" s="12" t="inlineStr">
        <is>
          <t>Precinto numerado nuevo</t>
        </is>
      </c>
      <c r="F293" s="25" t="n">
        <v>1</v>
      </c>
      <c r="G293" s="25" t="inlineStr">
        <is>
          <t>u</t>
        </is>
      </c>
      <c r="H293" s="12" t="inlineStr">
        <is>
          <t>Nuevo</t>
        </is>
      </c>
      <c r="I293" s="12" t="inlineStr">
        <is>
          <t>IRAM 3517-2:2020 9.4.13</t>
        </is>
      </c>
    </row>
    <row r="294">
      <c r="A294" s="25" t="inlineStr">
        <is>
          <t>RK-ABC100-C</t>
        </is>
      </c>
      <c r="B294" s="25" t="inlineStr">
        <is>
          <t>FL_MAT_ABC_100kg</t>
        </is>
      </c>
      <c r="C294" s="25" t="inlineStr">
        <is>
          <t>Extintor ABC 100 kg sobre ruedas</t>
        </is>
      </c>
      <c r="D294" s="12" t="inlineStr">
        <is>
          <t>C - Cambio obligatorio de polvo (versión anterior de la IRAM 3569)</t>
        </is>
      </c>
      <c r="E294" s="12" t="inlineStr">
        <is>
          <t>Marbete (anillo, color del año)</t>
        </is>
      </c>
      <c r="F294" s="25" t="n">
        <v>1</v>
      </c>
      <c r="G294" s="25" t="inlineStr">
        <is>
          <t>u</t>
        </is>
      </c>
      <c r="H294" s="12" t="inlineStr">
        <is>
          <t>Nuevo</t>
        </is>
      </c>
      <c r="I294" s="12" t="inlineStr">
        <is>
          <t>IRAM 3517-2:2020 9.4.14 · fig. 9 · tabla 4</t>
        </is>
      </c>
    </row>
    <row r="295">
      <c r="A295" s="25" t="inlineStr">
        <is>
          <t>RK-ABC100-C</t>
        </is>
      </c>
      <c r="B295" s="25" t="inlineStr">
        <is>
          <t>FL_MAT_ABC_100kg</t>
        </is>
      </c>
      <c r="C295" s="25" t="inlineStr">
        <is>
          <t>Extintor ABC 100 kg sobre ruedas</t>
        </is>
      </c>
      <c r="D295" s="12" t="inlineStr">
        <is>
          <t>C - Cambio obligatorio de polvo (versión anterior de la IRAM 3569)</t>
        </is>
      </c>
      <c r="E295" s="12" t="inlineStr">
        <is>
          <t>Tarjeta / etiqueta de control</t>
        </is>
      </c>
      <c r="F295" s="25" t="n">
        <v>1</v>
      </c>
      <c r="G295" s="25" t="inlineStr">
        <is>
          <t>u</t>
        </is>
      </c>
      <c r="H295" s="12" t="inlineStr">
        <is>
          <t>Nuevo</t>
        </is>
      </c>
      <c r="I295" s="12" t="inlineStr">
        <is>
          <t>IRAM 3517-2:2020 8.3.3</t>
        </is>
      </c>
    </row>
    <row r="296">
      <c r="A296" s="25" t="inlineStr">
        <is>
          <t>RK-ABC100-C</t>
        </is>
      </c>
      <c r="B296" s="25" t="inlineStr">
        <is>
          <t>FL_MAT_ABC_100kg</t>
        </is>
      </c>
      <c r="C296" s="25" t="inlineStr">
        <is>
          <t>Extintor ABC 100 kg sobre ruedas</t>
        </is>
      </c>
      <c r="D296" s="12" t="inlineStr">
        <is>
          <t>C - Cambio obligatorio de polvo (versión anterior de la IRAM 3569)</t>
        </is>
      </c>
      <c r="E296" s="12" t="inlineStr">
        <is>
          <t>Junta tórica de asiento del cuello</t>
        </is>
      </c>
      <c r="F296" s="25" t="n">
        <v>1</v>
      </c>
      <c r="G296" s="25" t="inlineStr">
        <is>
          <t>u</t>
        </is>
      </c>
      <c r="H296" s="12" t="inlineStr">
        <is>
          <t>Nuevo (R: cambio sistemático)</t>
        </is>
      </c>
      <c r="I296" s="12" t="inlineStr"/>
    </row>
    <row r="297">
      <c r="A297" s="25" t="inlineStr">
        <is>
          <t>RK-ABC100-C</t>
        </is>
      </c>
      <c r="B297" s="25" t="inlineStr">
        <is>
          <t>FL_MAT_ABC_100kg</t>
        </is>
      </c>
      <c r="C297" s="25" t="inlineStr">
        <is>
          <t>Extintor ABC 100 kg sobre ruedas</t>
        </is>
      </c>
      <c r="D297" s="12" t="inlineStr">
        <is>
          <t>C - Cambio obligatorio de polvo (versión anterior de la IRAM 3569)</t>
        </is>
      </c>
      <c r="E297" s="12" t="inlineStr">
        <is>
          <t>Gas impulsor N₂</t>
        </is>
      </c>
      <c r="F297" s="25" t="n">
        <v>0.205</v>
      </c>
      <c r="G297" s="25" t="inlineStr">
        <is>
          <t>kg</t>
        </is>
      </c>
      <c r="H297" s="12" t="inlineStr">
        <is>
          <t>Nuevo</t>
        </is>
      </c>
      <c r="I297" s="12" t="inlineStr">
        <is>
          <t>IRAM 3517-2:2020 9.4.9 tabla 2</t>
        </is>
      </c>
    </row>
    <row r="298">
      <c r="A298" s="25" t="inlineStr">
        <is>
          <t>RK-ABC100-I</t>
        </is>
      </c>
      <c r="B298" s="25" t="inlineStr">
        <is>
          <t>FL_MAT_ABC_100kg</t>
        </is>
      </c>
      <c r="C298" s="25" t="inlineStr">
        <is>
          <t>Extintor ABC 100 kg sobre ruedas</t>
        </is>
      </c>
      <c r="D298" s="12" t="inlineStr">
        <is>
          <t>Según inspección (consumo estadístico a definir)</t>
        </is>
      </c>
      <c r="E298" s="12" t="inlineStr">
        <is>
          <t>Manómetro / manguera / tobera / kit de válvula</t>
        </is>
      </c>
      <c r="F298" s="25" t="inlineStr">
        <is>
          <t>-</t>
        </is>
      </c>
      <c r="G298" s="25" t="inlineStr">
        <is>
          <t>u</t>
        </is>
      </c>
      <c r="H298" s="12" t="inlineStr">
        <is>
          <t>Recambio sólo si falla</t>
        </is>
      </c>
      <c r="I298" s="12" t="inlineStr">
        <is>
          <t>IRAM 3517-2:2020 9.4.11 (cada manguera vuelve a su extintor)</t>
        </is>
      </c>
    </row>
  </sheetData>
  <autoFilter ref="A8:I298"/>
  <mergeCells count="5">
    <mergeCell ref="A2:I2"/>
    <mergeCell ref="A5:I5"/>
    <mergeCell ref="A3:I3"/>
    <mergeCell ref="A6:I6"/>
    <mergeCell ref="A4:I4"/>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S34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8"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1" t="inlineStr">
        <is>
          <t>Explosión de materia prima e insumos por unidad de producto terminado (suma de niveles 2 y 3 de cada BOM; piezas compradas de válvula/descarga/carro al final)</t>
        </is>
      </c>
    </row>
    <row r="3">
      <c r="A3" s="4" t="inlineStr">
        <is>
          <t>Material / insumo</t>
        </is>
      </c>
      <c r="B3" s="4" t="inlineStr">
        <is>
          <t>UM</t>
        </is>
      </c>
      <c r="C3" s="4" t="inlineStr">
        <is>
          <t>ABC_1kg</t>
        </is>
      </c>
      <c r="D3" s="4" t="inlineStr">
        <is>
          <t>ABC_2.5kg</t>
        </is>
      </c>
      <c r="E3" s="4" t="inlineStr">
        <is>
          <t>ABC_5kg</t>
        </is>
      </c>
      <c r="F3" s="4" t="inlineStr">
        <is>
          <t>ABC_10kg</t>
        </is>
      </c>
      <c r="G3" s="4" t="inlineStr">
        <is>
          <t>AGUA_10l</t>
        </is>
      </c>
      <c r="H3" s="4" t="inlineStr">
        <is>
          <t>AFFF_10l</t>
        </is>
      </c>
      <c r="I3" s="4" t="inlineStr">
        <is>
          <t>AFFF_50l</t>
        </is>
      </c>
      <c r="J3" s="4" t="inlineStr">
        <is>
          <t>BC_5kg</t>
        </is>
      </c>
      <c r="K3" s="4" t="inlineStr">
        <is>
          <t>SALESK_6l</t>
        </is>
      </c>
      <c r="L3" s="4" t="inlineStr">
        <is>
          <t>CO2_2kg</t>
        </is>
      </c>
      <c r="M3" s="4" t="inlineStr">
        <is>
          <t>CO2_5kg</t>
        </is>
      </c>
      <c r="N3" s="4" t="inlineStr">
        <is>
          <t>HCFC-HFC_5kg</t>
        </is>
      </c>
      <c r="O3" s="4" t="inlineStr">
        <is>
          <t>CLASED_9l</t>
        </is>
      </c>
      <c r="P3" s="4" t="inlineStr">
        <is>
          <t>ABC_25kg</t>
        </is>
      </c>
      <c r="Q3" s="4" t="inlineStr">
        <is>
          <t>ABC_50kg</t>
        </is>
      </c>
      <c r="R3" s="4" t="inlineStr">
        <is>
          <t>ABC_70kg</t>
        </is>
      </c>
      <c r="S3" s="4" t="inlineStr">
        <is>
          <t>ABC_100kg</t>
        </is>
      </c>
    </row>
    <row r="4">
      <c r="A4" t="inlineStr">
        <is>
          <t>Caño de pesca (sifón) (ABC_100kg)</t>
        </is>
      </c>
      <c r="B4" t="inlineStr">
        <is>
          <t>u</t>
        </is>
      </c>
      <c r="S4" t="n">
        <v>1</v>
      </c>
    </row>
    <row r="5">
      <c r="A5" t="inlineStr">
        <is>
          <t>Caño de pesca (sifón) (ABC_10kg)</t>
        </is>
      </c>
      <c r="B5" t="inlineStr">
        <is>
          <t>u</t>
        </is>
      </c>
      <c r="F5" t="n">
        <v>1</v>
      </c>
    </row>
    <row r="6">
      <c r="A6" t="inlineStr">
        <is>
          <t>Caño de pesca (sifón) (ABC_1kg)</t>
        </is>
      </c>
      <c r="B6" t="inlineStr">
        <is>
          <t>u</t>
        </is>
      </c>
      <c r="C6" t="n">
        <v>1</v>
      </c>
    </row>
    <row r="7">
      <c r="A7" t="inlineStr">
        <is>
          <t>Caño de pesca (sifón) (ABC_2.5kg)</t>
        </is>
      </c>
      <c r="B7" t="inlineStr">
        <is>
          <t>u</t>
        </is>
      </c>
      <c r="D7" t="n">
        <v>1</v>
      </c>
    </row>
    <row r="8">
      <c r="A8" t="inlineStr">
        <is>
          <t>Caño de pesca (sifón) (ABC_25kg)</t>
        </is>
      </c>
      <c r="B8" t="inlineStr">
        <is>
          <t>u</t>
        </is>
      </c>
      <c r="P8" t="n">
        <v>1</v>
      </c>
    </row>
    <row r="9">
      <c r="A9" t="inlineStr">
        <is>
          <t>Caño de pesca (sifón) (ABC_50kg)</t>
        </is>
      </c>
      <c r="B9" t="inlineStr">
        <is>
          <t>u</t>
        </is>
      </c>
      <c r="Q9" t="n">
        <v>1</v>
      </c>
    </row>
    <row r="10">
      <c r="A10" t="inlineStr">
        <is>
          <t>Caño de pesca (sifón) (ABC_5kg)</t>
        </is>
      </c>
      <c r="B10" t="inlineStr">
        <is>
          <t>u</t>
        </is>
      </c>
      <c r="E10" t="n">
        <v>1</v>
      </c>
    </row>
    <row r="11">
      <c r="A11" t="inlineStr">
        <is>
          <t>Caño de pesca (sifón) (ABC_70kg)</t>
        </is>
      </c>
      <c r="B11" t="inlineStr">
        <is>
          <t>u</t>
        </is>
      </c>
      <c r="R11" t="n">
        <v>1</v>
      </c>
    </row>
    <row r="12">
      <c r="A12" t="inlineStr">
        <is>
          <t>Caño de pesca (sifón) (AFFF_10l)</t>
        </is>
      </c>
      <c r="B12" t="inlineStr">
        <is>
          <t>u</t>
        </is>
      </c>
      <c r="H12" t="n">
        <v>1</v>
      </c>
    </row>
    <row r="13">
      <c r="A13" t="inlineStr">
        <is>
          <t>Caño de pesca (sifón) (AFFF_50l)</t>
        </is>
      </c>
      <c r="B13" t="inlineStr">
        <is>
          <t>u</t>
        </is>
      </c>
      <c r="I13" t="n">
        <v>1</v>
      </c>
    </row>
    <row r="14">
      <c r="A14" t="inlineStr">
        <is>
          <t>Caño de pesca (sifón) (AGUA_10l)</t>
        </is>
      </c>
      <c r="B14" t="inlineStr">
        <is>
          <t>u</t>
        </is>
      </c>
      <c r="G14" t="n">
        <v>1</v>
      </c>
    </row>
    <row r="15">
      <c r="A15" t="inlineStr">
        <is>
          <t>Caño de pesca (sifón) (BC_5kg)</t>
        </is>
      </c>
      <c r="B15" t="inlineStr">
        <is>
          <t>u</t>
        </is>
      </c>
      <c r="J15" t="n">
        <v>1</v>
      </c>
    </row>
    <row r="16">
      <c r="A16" t="inlineStr">
        <is>
          <t>Caño de pesca (sifón) (CLASED_9l)</t>
        </is>
      </c>
      <c r="B16" t="inlineStr">
        <is>
          <t>u</t>
        </is>
      </c>
      <c r="O16" t="n">
        <v>1</v>
      </c>
    </row>
    <row r="17">
      <c r="A17" t="inlineStr">
        <is>
          <t>Caño de pesca (sifón) (CO2_2kg)</t>
        </is>
      </c>
      <c r="B17" t="inlineStr">
        <is>
          <t>u</t>
        </is>
      </c>
      <c r="L17" t="n">
        <v>1</v>
      </c>
    </row>
    <row r="18">
      <c r="A18" t="inlineStr">
        <is>
          <t>Caño de pesca (sifón) (CO2_5kg)</t>
        </is>
      </c>
      <c r="B18" t="inlineStr">
        <is>
          <t>u</t>
        </is>
      </c>
      <c r="M18" t="n">
        <v>1</v>
      </c>
    </row>
    <row r="19">
      <c r="A19" t="inlineStr">
        <is>
          <t>Caño de pesca (sifón) (HCFC-HFC_5kg)</t>
        </is>
      </c>
      <c r="B19" t="inlineStr">
        <is>
          <t>u</t>
        </is>
      </c>
      <c r="N19" t="n">
        <v>1</v>
      </c>
    </row>
    <row r="20">
      <c r="A20" t="inlineStr">
        <is>
          <t>Caño de pesca (sifón) (SALESK_6l)</t>
        </is>
      </c>
      <c r="B20" t="inlineStr">
        <is>
          <t>u</t>
        </is>
      </c>
      <c r="K20" t="n">
        <v>1</v>
      </c>
    </row>
    <row r="21">
      <c r="A21" t="inlineStr">
        <is>
          <t>Caño Ø76,2 × 1,25</t>
        </is>
      </c>
      <c r="B21" t="inlineStr">
        <is>
          <t>barra 6 m</t>
        </is>
      </c>
      <c r="C21" t="n">
        <v>0.0435</v>
      </c>
    </row>
    <row r="22">
      <c r="A22" t="inlineStr">
        <is>
          <t>Chapa LAC 1500 × 3000 e=3,2</t>
        </is>
      </c>
      <c r="B22" t="inlineStr">
        <is>
          <t>kg</t>
        </is>
      </c>
      <c r="P22" t="n">
        <v>12.558</v>
      </c>
      <c r="Q22" t="n">
        <v>18.845</v>
      </c>
    </row>
    <row r="23">
      <c r="A23" t="inlineStr">
        <is>
          <t>Chapa LAC 1500 × 3000 e=4,75</t>
        </is>
      </c>
      <c r="B23" t="inlineStr">
        <is>
          <t>kg</t>
        </is>
      </c>
      <c r="R23" t="n">
        <v>41.925</v>
      </c>
      <c r="S23" t="n">
        <v>55.947</v>
      </c>
    </row>
    <row r="24">
      <c r="A24" t="inlineStr">
        <is>
          <t>Chapa LAF 1000 × 2000 e=1,6</t>
        </is>
      </c>
      <c r="B24" t="inlineStr">
        <is>
          <t>kg</t>
        </is>
      </c>
      <c r="E24" t="n">
        <v>2.092</v>
      </c>
      <c r="J24" t="n">
        <v>2.092</v>
      </c>
    </row>
    <row r="25">
      <c r="A25" t="inlineStr">
        <is>
          <t>Chapa LAF 1220 × 2440 e=1,25</t>
        </is>
      </c>
      <c r="B25" t="inlineStr">
        <is>
          <t>kg</t>
        </is>
      </c>
      <c r="D25" t="n">
        <v>1.082</v>
      </c>
    </row>
    <row r="26">
      <c r="A26" t="inlineStr">
        <is>
          <t>Chapa LAF 1500 × 3000 e=2</t>
        </is>
      </c>
      <c r="B26" t="inlineStr">
        <is>
          <t>kg</t>
        </is>
      </c>
      <c r="F26" t="n">
        <v>4.71</v>
      </c>
    </row>
    <row r="27">
      <c r="A27" t="inlineStr">
        <is>
          <t>Cuello roscado rosca M22x1,5</t>
        </is>
      </c>
      <c r="B27" t="inlineStr">
        <is>
          <t>u</t>
        </is>
      </c>
      <c r="C27" t="n">
        <v>1</v>
      </c>
    </row>
    <row r="28">
      <c r="A28" t="inlineStr">
        <is>
          <t>Cuello roscado rosca M30x1,5</t>
        </is>
      </c>
      <c r="B28" t="inlineStr">
        <is>
          <t>u</t>
        </is>
      </c>
      <c r="D28" t="n">
        <v>1</v>
      </c>
      <c r="E28" t="n">
        <v>1</v>
      </c>
      <c r="F28" t="n">
        <v>1</v>
      </c>
      <c r="J28" t="n">
        <v>1</v>
      </c>
      <c r="O28" t="n">
        <v>1</v>
      </c>
      <c r="P28" t="n">
        <v>1</v>
      </c>
    </row>
    <row r="29">
      <c r="A29" t="inlineStr">
        <is>
          <t>Cuello roscado rosca RBSP 2 1/2"-11 h</t>
        </is>
      </c>
      <c r="B29" t="inlineStr">
        <is>
          <t>u</t>
        </is>
      </c>
      <c r="Q29" t="n">
        <v>1</v>
      </c>
      <c r="R29" t="n">
        <v>1</v>
      </c>
      <c r="S29" t="n">
        <v>1</v>
      </c>
    </row>
    <row r="30">
      <c r="A30" t="inlineStr">
        <is>
          <t>Fleje e=0,9 × 106</t>
        </is>
      </c>
      <c r="B30" t="inlineStr">
        <is>
          <t>m</t>
        </is>
      </c>
      <c r="C30" t="n">
        <v>0.103</v>
      </c>
    </row>
    <row r="31">
      <c r="A31" t="inlineStr">
        <is>
          <t>Fleje e=0,9 × 114</t>
        </is>
      </c>
      <c r="B31" t="inlineStr">
        <is>
          <t>m</t>
        </is>
      </c>
      <c r="C31" t="n">
        <v>0.111</v>
      </c>
    </row>
    <row r="32">
      <c r="A32" t="inlineStr">
        <is>
          <t>Fleje e=1,25 × 200</t>
        </is>
      </c>
      <c r="B32" t="inlineStr">
        <is>
          <t>m</t>
        </is>
      </c>
      <c r="D32" t="n">
        <v>0.333</v>
      </c>
    </row>
    <row r="33">
      <c r="A33" t="inlineStr">
        <is>
          <t>Fleje e=1,6 × 200</t>
        </is>
      </c>
      <c r="B33" t="inlineStr">
        <is>
          <t>m</t>
        </is>
      </c>
      <c r="E33" t="n">
        <v>0.18</v>
      </c>
      <c r="J33" t="n">
        <v>0.18</v>
      </c>
    </row>
    <row r="34">
      <c r="A34" t="inlineStr">
        <is>
          <t>Fleje e=1,6 × 250</t>
        </is>
      </c>
      <c r="B34" t="inlineStr">
        <is>
          <t>m</t>
        </is>
      </c>
      <c r="E34" t="n">
        <v>0.224</v>
      </c>
      <c r="J34" t="n">
        <v>0.224</v>
      </c>
    </row>
    <row r="35">
      <c r="A35" t="inlineStr">
        <is>
          <t>Fleje e=2 × 249</t>
        </is>
      </c>
      <c r="B35" t="inlineStr">
        <is>
          <t>m</t>
        </is>
      </c>
      <c r="F35" t="n">
        <v>0.208</v>
      </c>
    </row>
    <row r="36">
      <c r="A36" t="inlineStr">
        <is>
          <t>Fleje e=2 × 300</t>
        </is>
      </c>
      <c r="B36" t="inlineStr">
        <is>
          <t>m</t>
        </is>
      </c>
      <c r="F36" t="n">
        <v>0.261</v>
      </c>
    </row>
    <row r="37">
      <c r="A37" t="inlineStr">
        <is>
          <t>Agua</t>
        </is>
      </c>
      <c r="B37" t="inlineStr">
        <is>
          <t>L</t>
        </is>
      </c>
      <c r="G37" t="n">
        <v>10</v>
      </c>
    </row>
    <row r="38">
      <c r="A38" t="inlineStr">
        <is>
          <t>Aporte de soldadura: Alambre MAG ER70S-6 Ø0,9/1,2</t>
        </is>
      </c>
      <c r="B38" t="inlineStr">
        <is>
          <t>kg</t>
        </is>
      </c>
      <c r="C38" t="n">
        <v>0.0215</v>
      </c>
      <c r="D38" t="n">
        <v>0.0303</v>
      </c>
      <c r="E38" t="n">
        <v>0.0571</v>
      </c>
      <c r="F38" t="n">
        <v>0.1019</v>
      </c>
      <c r="I38" t="n">
        <v>0.433</v>
      </c>
      <c r="J38" t="n">
        <v>0.0571</v>
      </c>
      <c r="N38" t="n">
        <v>0.0571</v>
      </c>
      <c r="O38" t="n">
        <v>0.1019</v>
      </c>
      <c r="P38" t="n">
        <v>0.3484</v>
      </c>
      <c r="Q38" t="n">
        <v>0.433</v>
      </c>
      <c r="R38" t="n">
        <v>0.4746</v>
      </c>
      <c r="S38" t="n">
        <v>0.5256999999999999</v>
      </c>
    </row>
    <row r="39">
      <c r="A39" t="inlineStr">
        <is>
          <t>Aporte de soldadura: Varilla TIG ER308L Ø1,6</t>
        </is>
      </c>
      <c r="B39" t="inlineStr">
        <is>
          <t>kg</t>
        </is>
      </c>
      <c r="G39" t="n">
        <v>0.0413</v>
      </c>
      <c r="H39" t="n">
        <v>0.0413</v>
      </c>
      <c r="K39" t="n">
        <v>0.0385</v>
      </c>
    </row>
    <row r="40">
      <c r="A40" t="inlineStr">
        <is>
          <t>Caja de cartón corrugado doble 260 × 214 × 675 interior</t>
        </is>
      </c>
      <c r="B40" t="inlineStr">
        <is>
          <t>u</t>
        </is>
      </c>
      <c r="F40" t="n">
        <v>1</v>
      </c>
      <c r="O40" t="n">
        <v>1</v>
      </c>
    </row>
    <row r="41">
      <c r="A41" t="inlineStr">
        <is>
          <t>Caja de cartón corrugado doble 270 × 223 × 670 interior</t>
        </is>
      </c>
      <c r="B41" t="inlineStr">
        <is>
          <t>u</t>
        </is>
      </c>
      <c r="G41" t="n">
        <v>1</v>
      </c>
      <c r="H41" t="n">
        <v>1</v>
      </c>
    </row>
    <row r="42">
      <c r="A42" t="inlineStr">
        <is>
          <t>Caja de cartón corrugado doble 284 × 144 × 540 interior</t>
        </is>
      </c>
      <c r="B42" t="inlineStr">
        <is>
          <t>u</t>
        </is>
      </c>
      <c r="L42" t="n">
        <v>1</v>
      </c>
    </row>
    <row r="43">
      <c r="A43" t="inlineStr">
        <is>
          <t>Caja de cartón corrugado doble 300 × 223 × 490 interior</t>
        </is>
      </c>
      <c r="B43" t="inlineStr">
        <is>
          <t>u</t>
        </is>
      </c>
      <c r="K43" t="n">
        <v>1</v>
      </c>
    </row>
    <row r="44">
      <c r="A44" t="inlineStr">
        <is>
          <t>Caja de cartón corrugado doble 340 × 173 × 810 interior</t>
        </is>
      </c>
      <c r="B44" t="inlineStr">
        <is>
          <t>u</t>
        </is>
      </c>
      <c r="M44" t="n">
        <v>1</v>
      </c>
    </row>
    <row r="45">
      <c r="A45" t="inlineStr">
        <is>
          <t>Caja de cartón corrugado simple 122 × 107 × 360 interior</t>
        </is>
      </c>
      <c r="B45" t="inlineStr">
        <is>
          <t>u</t>
        </is>
      </c>
      <c r="C45" t="n">
        <v>1</v>
      </c>
    </row>
    <row r="46">
      <c r="A46" t="inlineStr">
        <is>
          <t>Caja de cartón corrugado simple 250 × 157 × 435 interior</t>
        </is>
      </c>
      <c r="B46" t="inlineStr">
        <is>
          <t>u</t>
        </is>
      </c>
      <c r="D46" t="n">
        <v>1</v>
      </c>
    </row>
    <row r="47">
      <c r="A47" t="inlineStr">
        <is>
          <t>Caja de cartón corrugado simple 255 × 186 × 500 interior</t>
        </is>
      </c>
      <c r="B47" t="inlineStr">
        <is>
          <t>u</t>
        </is>
      </c>
      <c r="E47" t="n">
        <v>1</v>
      </c>
      <c r="J47" t="n">
        <v>1</v>
      </c>
      <c r="N47" t="n">
        <v>1</v>
      </c>
    </row>
    <row r="48">
      <c r="A48" t="inlineStr">
        <is>
          <t>Esquineros y funda de polietileno a medida</t>
        </is>
      </c>
      <c r="B48" t="inlineStr">
        <is>
          <t>jgo</t>
        </is>
      </c>
      <c r="I48" t="n">
        <v>1</v>
      </c>
      <c r="P48" t="n">
        <v>1</v>
      </c>
      <c r="Q48" t="n">
        <v>1</v>
      </c>
      <c r="R48" t="n">
        <v>1</v>
      </c>
      <c r="S48" t="n">
        <v>1</v>
      </c>
    </row>
    <row r="49">
      <c r="A49" t="inlineStr">
        <is>
          <t>Gas de protección: Arcal 21 (Ar + 18 % CO₂)</t>
        </is>
      </c>
      <c r="B49" t="inlineStr">
        <is>
          <t>L</t>
        </is>
      </c>
      <c r="C49" t="n">
        <v>9.699999999999999</v>
      </c>
      <c r="D49" t="n">
        <v>13.6</v>
      </c>
      <c r="E49" t="n">
        <v>25.7</v>
      </c>
      <c r="F49" t="n">
        <v>45.8</v>
      </c>
      <c r="I49" t="n">
        <v>194.9</v>
      </c>
      <c r="J49" t="n">
        <v>25.7</v>
      </c>
      <c r="N49" t="n">
        <v>25.7</v>
      </c>
      <c r="O49" t="n">
        <v>45.8</v>
      </c>
      <c r="P49" t="n">
        <v>156.8</v>
      </c>
      <c r="Q49" t="n">
        <v>194.9</v>
      </c>
      <c r="R49" t="n">
        <v>213.6</v>
      </c>
      <c r="S49" t="n">
        <v>236.6</v>
      </c>
    </row>
    <row r="50">
      <c r="A50" t="inlineStr">
        <is>
          <t>Gas de protección: Argón</t>
        </is>
      </c>
      <c r="B50" t="inlineStr">
        <is>
          <t>L</t>
        </is>
      </c>
      <c r="G50" t="n">
        <v>31</v>
      </c>
      <c r="H50" t="n">
        <v>31</v>
      </c>
      <c r="K50" t="n">
        <v>28.8</v>
      </c>
    </row>
    <row r="51">
      <c r="A51" t="inlineStr">
        <is>
          <t>Gas impulsor: Aire comprimido</t>
        </is>
      </c>
      <c r="B51" t="inlineStr">
        <is>
          <t>kg</t>
        </is>
      </c>
      <c r="G51" t="n">
        <v>0.0427</v>
      </c>
      <c r="H51" t="n">
        <v>0.0427</v>
      </c>
      <c r="I51" t="n">
        <v>0.1265</v>
      </c>
    </row>
    <row r="52">
      <c r="A52" t="inlineStr">
        <is>
          <t>Gas impulsor: Argón</t>
        </is>
      </c>
      <c r="B52" t="inlineStr">
        <is>
          <t>kg</t>
        </is>
      </c>
      <c r="N52" t="n">
        <v>0.0388</v>
      </c>
    </row>
    <row r="53">
      <c r="A53" t="inlineStr">
        <is>
          <t>Gas impulsor: N₂</t>
        </is>
      </c>
      <c r="B53" t="inlineStr">
        <is>
          <t>kg</t>
        </is>
      </c>
      <c r="C53" t="n">
        <v>0.0012</v>
      </c>
      <c r="D53" t="n">
        <v>0.0125</v>
      </c>
      <c r="E53" t="n">
        <v>0.0077</v>
      </c>
      <c r="F53" t="n">
        <v>0.024</v>
      </c>
      <c r="J53" t="n">
        <v>0.0077</v>
      </c>
      <c r="K53" t="n">
        <v>0.0306</v>
      </c>
      <c r="O53" t="n">
        <v>0.0604</v>
      </c>
      <c r="P53" t="n">
        <v>0.1142</v>
      </c>
      <c r="Q53" t="n">
        <v>0.1077</v>
      </c>
      <c r="R53" t="n">
        <v>0.1418</v>
      </c>
      <c r="S53" t="n">
        <v>0.205</v>
      </c>
    </row>
    <row r="54">
      <c r="A54" t="inlineStr">
        <is>
          <t>HCFC 123 / HFC 236fa - HCFC-123 (Mezcla B) &gt; 93 %</t>
        </is>
      </c>
      <c r="B54" t="inlineStr">
        <is>
          <t>kg</t>
        </is>
      </c>
      <c r="N54" t="n">
        <v>5</v>
      </c>
    </row>
    <row r="55">
      <c r="A55" t="inlineStr">
        <is>
          <t>Pintura en polvo poliéster rojo</t>
        </is>
      </c>
      <c r="B55" t="inlineStr">
        <is>
          <t>kg</t>
        </is>
      </c>
      <c r="C55" t="n">
        <v>0.013</v>
      </c>
      <c r="D55" t="n">
        <v>0.024</v>
      </c>
      <c r="E55" t="n">
        <v>0.037</v>
      </c>
      <c r="F55" t="n">
        <v>0.063</v>
      </c>
      <c r="I55" t="n">
        <v>0.143</v>
      </c>
      <c r="J55" t="n">
        <v>0.037</v>
      </c>
      <c r="N55" t="n">
        <v>0.037</v>
      </c>
      <c r="O55" t="n">
        <v>0.063</v>
      </c>
      <c r="P55" t="n">
        <v>0.097</v>
      </c>
      <c r="Q55" t="n">
        <v>0.143</v>
      </c>
      <c r="R55" t="n">
        <v>0.187</v>
      </c>
      <c r="S55" t="n">
        <v>0.239</v>
      </c>
    </row>
    <row r="56">
      <c r="A56" t="inlineStr">
        <is>
          <t>Acetato de potasio - DEMSA Kitchen - Acetato de potasio (DEMSA Kitchen, 1,300 g/ml, pH 8,5)</t>
        </is>
      </c>
      <c r="B56" t="inlineStr">
        <is>
          <t>L</t>
        </is>
      </c>
      <c r="K56" t="n">
        <v>6.09</v>
      </c>
    </row>
    <row r="57">
      <c r="A57" t="inlineStr">
        <is>
          <t>Agua potable (premezcla)</t>
        </is>
      </c>
      <c r="B57" t="inlineStr">
        <is>
          <t>L</t>
        </is>
      </c>
      <c r="H57" t="n">
        <v>9.699999999999999</v>
      </c>
      <c r="I57" t="n">
        <v>48.5</v>
      </c>
    </row>
    <row r="58">
      <c r="A58" t="inlineStr">
        <is>
          <t>Apoyo delantero (ABC_100kg)</t>
        </is>
      </c>
      <c r="B58" t="inlineStr">
        <is>
          <t>u</t>
        </is>
      </c>
      <c r="S58" t="n">
        <v>1</v>
      </c>
    </row>
    <row r="59">
      <c r="A59" t="inlineStr">
        <is>
          <t>Apoyo delantero (ABC_25kg)</t>
        </is>
      </c>
      <c r="B59" t="inlineStr">
        <is>
          <t>u</t>
        </is>
      </c>
      <c r="P59" t="n">
        <v>1</v>
      </c>
    </row>
    <row r="60">
      <c r="A60" t="inlineStr">
        <is>
          <t>Apoyo delantero (ABC_50kg)</t>
        </is>
      </c>
      <c r="B60" t="inlineStr">
        <is>
          <t>u</t>
        </is>
      </c>
      <c r="Q60" t="n">
        <v>1</v>
      </c>
    </row>
    <row r="61">
      <c r="A61" t="inlineStr">
        <is>
          <t>Apoyo delantero (ABC_70kg)</t>
        </is>
      </c>
      <c r="B61" t="inlineStr">
        <is>
          <t>u</t>
        </is>
      </c>
      <c r="R61" t="n">
        <v>1</v>
      </c>
    </row>
    <row r="62">
      <c r="A62" t="inlineStr">
        <is>
          <t>Apoyo delantero (AFFF_50l)</t>
        </is>
      </c>
      <c r="B62" t="inlineStr">
        <is>
          <t>u</t>
        </is>
      </c>
      <c r="I62" t="n">
        <v>1</v>
      </c>
    </row>
    <row r="63">
      <c r="A63" t="inlineStr">
        <is>
          <t>Bastidor (ABC_100kg)</t>
        </is>
      </c>
      <c r="B63" t="inlineStr">
        <is>
          <t>u</t>
        </is>
      </c>
      <c r="S63" t="n">
        <v>1</v>
      </c>
    </row>
    <row r="64">
      <c r="A64" t="inlineStr">
        <is>
          <t>Bastidor (ABC_25kg)</t>
        </is>
      </c>
      <c r="B64" t="inlineStr">
        <is>
          <t>u</t>
        </is>
      </c>
      <c r="P64" t="n">
        <v>1</v>
      </c>
    </row>
    <row r="65">
      <c r="A65" t="inlineStr">
        <is>
          <t>Bastidor (ABC_50kg)</t>
        </is>
      </c>
      <c r="B65" t="inlineStr">
        <is>
          <t>u</t>
        </is>
      </c>
      <c r="Q65" t="n">
        <v>1</v>
      </c>
    </row>
    <row r="66">
      <c r="A66" t="inlineStr">
        <is>
          <t>Bastidor (ABC_70kg)</t>
        </is>
      </c>
      <c r="B66" t="inlineStr">
        <is>
          <t>u</t>
        </is>
      </c>
      <c r="R66" t="n">
        <v>1</v>
      </c>
    </row>
    <row r="67">
      <c r="A67" t="inlineStr">
        <is>
          <t>Bastidor (AFFF_50l)</t>
        </is>
      </c>
      <c r="B67" t="inlineStr">
        <is>
          <t>u</t>
        </is>
      </c>
      <c r="I67" t="n">
        <v>1</v>
      </c>
    </row>
    <row r="68">
      <c r="A68" t="inlineStr">
        <is>
          <t>Brazo giratorio (CO2_2kg)</t>
        </is>
      </c>
      <c r="B68" t="inlineStr">
        <is>
          <t>u</t>
        </is>
      </c>
      <c r="L68" t="n">
        <v>1</v>
      </c>
    </row>
    <row r="69">
      <c r="A69" t="inlineStr">
        <is>
          <t>Collarín de válvula (ABC_100kg)</t>
        </is>
      </c>
      <c r="B69" t="inlineStr">
        <is>
          <t>u</t>
        </is>
      </c>
      <c r="S69" t="n">
        <v>1</v>
      </c>
    </row>
    <row r="70">
      <c r="A70" t="inlineStr">
        <is>
          <t>Collarín de válvula (ABC_10kg)</t>
        </is>
      </c>
      <c r="B70" t="inlineStr">
        <is>
          <t>u</t>
        </is>
      </c>
      <c r="F70" t="n">
        <v>1</v>
      </c>
    </row>
    <row r="71">
      <c r="A71" t="inlineStr">
        <is>
          <t>Collarín de válvula (ABC_1kg)</t>
        </is>
      </c>
      <c r="B71" t="inlineStr">
        <is>
          <t>u</t>
        </is>
      </c>
      <c r="C71" t="n">
        <v>1</v>
      </c>
    </row>
    <row r="72">
      <c r="A72" t="inlineStr">
        <is>
          <t>Collarín de válvula (ABC_2.5kg)</t>
        </is>
      </c>
      <c r="B72" t="inlineStr">
        <is>
          <t>u</t>
        </is>
      </c>
      <c r="D72" t="n">
        <v>1</v>
      </c>
    </row>
    <row r="73">
      <c r="A73" t="inlineStr">
        <is>
          <t>Collarín de válvula (ABC_25kg)</t>
        </is>
      </c>
      <c r="B73" t="inlineStr">
        <is>
          <t>u</t>
        </is>
      </c>
      <c r="P73" t="n">
        <v>1</v>
      </c>
    </row>
    <row r="74">
      <c r="A74" t="inlineStr">
        <is>
          <t>Collarín de válvula (ABC_50kg)</t>
        </is>
      </c>
      <c r="B74" t="inlineStr">
        <is>
          <t>u</t>
        </is>
      </c>
      <c r="Q74" t="n">
        <v>1</v>
      </c>
    </row>
    <row r="75">
      <c r="A75" t="inlineStr">
        <is>
          <t>Collarín de válvula (ABC_5kg)</t>
        </is>
      </c>
      <c r="B75" t="inlineStr">
        <is>
          <t>u</t>
        </is>
      </c>
      <c r="E75" t="n">
        <v>1</v>
      </c>
    </row>
    <row r="76">
      <c r="A76" t="inlineStr">
        <is>
          <t>Collarín de válvula (ABC_70kg)</t>
        </is>
      </c>
      <c r="B76" t="inlineStr">
        <is>
          <t>u</t>
        </is>
      </c>
      <c r="R76" t="n">
        <v>1</v>
      </c>
    </row>
    <row r="77">
      <c r="A77" t="inlineStr">
        <is>
          <t>Collarín de válvula (AFFF_10l)</t>
        </is>
      </c>
      <c r="B77" t="inlineStr">
        <is>
          <t>u</t>
        </is>
      </c>
      <c r="H77" t="n">
        <v>1</v>
      </c>
    </row>
    <row r="78">
      <c r="A78" t="inlineStr">
        <is>
          <t>Collarín de válvula (AFFF_50l)</t>
        </is>
      </c>
      <c r="B78" t="inlineStr">
        <is>
          <t>u</t>
        </is>
      </c>
      <c r="I78" t="n">
        <v>1</v>
      </c>
    </row>
    <row r="79">
      <c r="A79" t="inlineStr">
        <is>
          <t>Collarín de válvula (AGUA_10l)</t>
        </is>
      </c>
      <c r="B79" t="inlineStr">
        <is>
          <t>u</t>
        </is>
      </c>
      <c r="G79" t="n">
        <v>1</v>
      </c>
    </row>
    <row r="80">
      <c r="A80" t="inlineStr">
        <is>
          <t>Collarín de válvula (BC_5kg)</t>
        </is>
      </c>
      <c r="B80" t="inlineStr">
        <is>
          <t>u</t>
        </is>
      </c>
      <c r="J80" t="n">
        <v>1</v>
      </c>
    </row>
    <row r="81">
      <c r="A81" t="inlineStr">
        <is>
          <t>Collarín de válvula (CLASED_9l)</t>
        </is>
      </c>
      <c r="B81" t="inlineStr">
        <is>
          <t>u</t>
        </is>
      </c>
      <c r="O81" t="n">
        <v>1</v>
      </c>
    </row>
    <row r="82">
      <c r="A82" t="inlineStr">
        <is>
          <t>Collarín de válvula (CO2_2kg)</t>
        </is>
      </c>
      <c r="B82" t="inlineStr">
        <is>
          <t>u</t>
        </is>
      </c>
      <c r="L82" t="n">
        <v>1</v>
      </c>
    </row>
    <row r="83">
      <c r="A83" t="inlineStr">
        <is>
          <t>Collarín de válvula (CO2_5kg)</t>
        </is>
      </c>
      <c r="B83" t="inlineStr">
        <is>
          <t>u</t>
        </is>
      </c>
      <c r="M83" t="n">
        <v>1</v>
      </c>
    </row>
    <row r="84">
      <c r="A84" t="inlineStr">
        <is>
          <t>Collarín de válvula (HCFC-HFC_5kg)</t>
        </is>
      </c>
      <c r="B84" t="inlineStr">
        <is>
          <t>u</t>
        </is>
      </c>
      <c r="N84" t="n">
        <v>1</v>
      </c>
    </row>
    <row r="85">
      <c r="A85" t="inlineStr">
        <is>
          <t>Collarín de válvula (SALESK_6l)</t>
        </is>
      </c>
      <c r="B85" t="inlineStr">
        <is>
          <t>u</t>
        </is>
      </c>
      <c r="K85" t="n">
        <v>1</v>
      </c>
    </row>
    <row r="86">
      <c r="A86" t="inlineStr">
        <is>
          <t>Concentrado espumígeno AFFF 3 % (IRAM 3515)</t>
        </is>
      </c>
      <c r="B86" t="inlineStr">
        <is>
          <t>L</t>
        </is>
      </c>
      <c r="H86" t="n">
        <v>0.3</v>
      </c>
      <c r="I86" t="n">
        <v>1.5</v>
      </c>
    </row>
    <row r="87">
      <c r="A87" t="inlineStr">
        <is>
          <t>Cuerpo de válvula (ABC_100kg)</t>
        </is>
      </c>
      <c r="B87" t="inlineStr">
        <is>
          <t>u</t>
        </is>
      </c>
      <c r="S87" t="n">
        <v>1</v>
      </c>
    </row>
    <row r="88">
      <c r="A88" t="inlineStr">
        <is>
          <t>Cuerpo de válvula (ABC_10kg)</t>
        </is>
      </c>
      <c r="B88" t="inlineStr">
        <is>
          <t>u</t>
        </is>
      </c>
      <c r="F88" t="n">
        <v>1</v>
      </c>
    </row>
    <row r="89">
      <c r="A89" t="inlineStr">
        <is>
          <t>Cuerpo de válvula (ABC_1kg)</t>
        </is>
      </c>
      <c r="B89" t="inlineStr">
        <is>
          <t>u</t>
        </is>
      </c>
      <c r="C89" t="n">
        <v>1</v>
      </c>
    </row>
    <row r="90">
      <c r="A90" t="inlineStr">
        <is>
          <t>Cuerpo de válvula (ABC_2.5kg)</t>
        </is>
      </c>
      <c r="B90" t="inlineStr">
        <is>
          <t>u</t>
        </is>
      </c>
      <c r="D90" t="n">
        <v>1</v>
      </c>
    </row>
    <row r="91">
      <c r="A91" t="inlineStr">
        <is>
          <t>Cuerpo de válvula (ABC_25kg)</t>
        </is>
      </c>
      <c r="B91" t="inlineStr">
        <is>
          <t>u</t>
        </is>
      </c>
      <c r="P91" t="n">
        <v>1</v>
      </c>
    </row>
    <row r="92">
      <c r="A92" t="inlineStr">
        <is>
          <t>Cuerpo de válvula (ABC_50kg)</t>
        </is>
      </c>
      <c r="B92" t="inlineStr">
        <is>
          <t>u</t>
        </is>
      </c>
      <c r="Q92" t="n">
        <v>1</v>
      </c>
    </row>
    <row r="93">
      <c r="A93" t="inlineStr">
        <is>
          <t>Cuerpo de válvula (ABC_5kg)</t>
        </is>
      </c>
      <c r="B93" t="inlineStr">
        <is>
          <t>u</t>
        </is>
      </c>
      <c r="E93" t="n">
        <v>1</v>
      </c>
    </row>
    <row r="94">
      <c r="A94" t="inlineStr">
        <is>
          <t>Cuerpo de válvula (ABC_70kg)</t>
        </is>
      </c>
      <c r="B94" t="inlineStr">
        <is>
          <t>u</t>
        </is>
      </c>
      <c r="R94" t="n">
        <v>1</v>
      </c>
    </row>
    <row r="95">
      <c r="A95" t="inlineStr">
        <is>
          <t>Cuerpo de válvula (AFFF_10l)</t>
        </is>
      </c>
      <c r="B95" t="inlineStr">
        <is>
          <t>u</t>
        </is>
      </c>
      <c r="H95" t="n">
        <v>1</v>
      </c>
    </row>
    <row r="96">
      <c r="A96" t="inlineStr">
        <is>
          <t>Cuerpo de válvula (AFFF_50l)</t>
        </is>
      </c>
      <c r="B96" t="inlineStr">
        <is>
          <t>u</t>
        </is>
      </c>
      <c r="I96" t="n">
        <v>1</v>
      </c>
    </row>
    <row r="97">
      <c r="A97" t="inlineStr">
        <is>
          <t>Cuerpo de válvula (AGUA_10l)</t>
        </is>
      </c>
      <c r="B97" t="inlineStr">
        <is>
          <t>u</t>
        </is>
      </c>
      <c r="G97" t="n">
        <v>1</v>
      </c>
    </row>
    <row r="98">
      <c r="A98" t="inlineStr">
        <is>
          <t>Cuerpo de válvula (BC_5kg)</t>
        </is>
      </c>
      <c r="B98" t="inlineStr">
        <is>
          <t>u</t>
        </is>
      </c>
      <c r="J98" t="n">
        <v>1</v>
      </c>
    </row>
    <row r="99">
      <c r="A99" t="inlineStr">
        <is>
          <t>Cuerpo de válvula (CLASED_9l)</t>
        </is>
      </c>
      <c r="B99" t="inlineStr">
        <is>
          <t>u</t>
        </is>
      </c>
      <c r="O99" t="n">
        <v>1</v>
      </c>
    </row>
    <row r="100">
      <c r="A100" t="inlineStr">
        <is>
          <t>Cuerpo de válvula (CO2_2kg)</t>
        </is>
      </c>
      <c r="B100" t="inlineStr">
        <is>
          <t>u</t>
        </is>
      </c>
      <c r="L100" t="n">
        <v>1</v>
      </c>
    </row>
    <row r="101">
      <c r="A101" t="inlineStr">
        <is>
          <t>Cuerpo de válvula (CO2_5kg)</t>
        </is>
      </c>
      <c r="B101" t="inlineStr">
        <is>
          <t>u</t>
        </is>
      </c>
      <c r="M101" t="n">
        <v>1</v>
      </c>
    </row>
    <row r="102">
      <c r="A102" t="inlineStr">
        <is>
          <t>Cuerpo de válvula (HCFC-HFC_5kg)</t>
        </is>
      </c>
      <c r="B102" t="inlineStr">
        <is>
          <t>u</t>
        </is>
      </c>
      <c r="N102" t="n">
        <v>1</v>
      </c>
    </row>
    <row r="103">
      <c r="A103" t="inlineStr">
        <is>
          <t>Cuerpo de válvula (SALESK_6l)</t>
        </is>
      </c>
      <c r="B103" t="inlineStr">
        <is>
          <t>u</t>
        </is>
      </c>
      <c r="K103" t="n">
        <v>1</v>
      </c>
    </row>
    <row r="104">
      <c r="A104" t="inlineStr">
        <is>
          <t>Difusor (bocina) (CO2_2kg)</t>
        </is>
      </c>
      <c r="B104" t="inlineStr">
        <is>
          <t>u</t>
        </is>
      </c>
      <c r="L104" t="n">
        <v>1</v>
      </c>
    </row>
    <row r="105">
      <c r="A105" t="inlineStr">
        <is>
          <t>Difusor (bocina) (CO2_5kg)</t>
        </is>
      </c>
      <c r="B105" t="inlineStr">
        <is>
          <t>u</t>
        </is>
      </c>
      <c r="M105" t="n">
        <v>1</v>
      </c>
    </row>
    <row r="106">
      <c r="A106" t="inlineStr">
        <is>
          <t>Disco de seguridad (CO2_2kg)</t>
        </is>
      </c>
      <c r="B106" t="inlineStr">
        <is>
          <t>u</t>
        </is>
      </c>
      <c r="L106" t="n">
        <v>1</v>
      </c>
    </row>
    <row r="107">
      <c r="A107" t="inlineStr">
        <is>
          <t>Disco de seguridad (CO2_5kg)</t>
        </is>
      </c>
      <c r="B107" t="inlineStr">
        <is>
          <t>u</t>
        </is>
      </c>
      <c r="M107" t="n">
        <v>1</v>
      </c>
    </row>
    <row r="108">
      <c r="A108" t="inlineStr">
        <is>
          <t>Dióxido de carbono (IRAM 41170)</t>
        </is>
      </c>
      <c r="B108" t="inlineStr">
        <is>
          <t>kg</t>
        </is>
      </c>
      <c r="L108" t="n">
        <v>2</v>
      </c>
      <c r="M108" t="n">
        <v>5</v>
      </c>
    </row>
    <row r="109">
      <c r="A109" t="inlineStr">
        <is>
          <t>Eje de palanca (ABC_100kg)</t>
        </is>
      </c>
      <c r="B109" t="inlineStr">
        <is>
          <t>u</t>
        </is>
      </c>
      <c r="S109" t="n">
        <v>1</v>
      </c>
    </row>
    <row r="110">
      <c r="A110" t="inlineStr">
        <is>
          <t>Eje de palanca (ABC_10kg)</t>
        </is>
      </c>
      <c r="B110" t="inlineStr">
        <is>
          <t>u</t>
        </is>
      </c>
      <c r="F110" t="n">
        <v>1</v>
      </c>
    </row>
    <row r="111">
      <c r="A111" t="inlineStr">
        <is>
          <t>Eje de palanca (ABC_1kg)</t>
        </is>
      </c>
      <c r="B111" t="inlineStr">
        <is>
          <t>u</t>
        </is>
      </c>
      <c r="C111" t="n">
        <v>1</v>
      </c>
    </row>
    <row r="112">
      <c r="A112" t="inlineStr">
        <is>
          <t>Eje de palanca (ABC_2.5kg)</t>
        </is>
      </c>
      <c r="B112" t="inlineStr">
        <is>
          <t>u</t>
        </is>
      </c>
      <c r="D112" t="n">
        <v>1</v>
      </c>
    </row>
    <row r="113">
      <c r="A113" t="inlineStr">
        <is>
          <t>Eje de palanca (ABC_25kg)</t>
        </is>
      </c>
      <c r="B113" t="inlineStr">
        <is>
          <t>u</t>
        </is>
      </c>
      <c r="P113" t="n">
        <v>1</v>
      </c>
    </row>
    <row r="114">
      <c r="A114" t="inlineStr">
        <is>
          <t>Eje de palanca (ABC_50kg)</t>
        </is>
      </c>
      <c r="B114" t="inlineStr">
        <is>
          <t>u</t>
        </is>
      </c>
      <c r="Q114" t="n">
        <v>1</v>
      </c>
    </row>
    <row r="115">
      <c r="A115" t="inlineStr">
        <is>
          <t>Eje de palanca (ABC_5kg)</t>
        </is>
      </c>
      <c r="B115" t="inlineStr">
        <is>
          <t>u</t>
        </is>
      </c>
      <c r="E115" t="n">
        <v>1</v>
      </c>
    </row>
    <row r="116">
      <c r="A116" t="inlineStr">
        <is>
          <t>Eje de palanca (ABC_70kg)</t>
        </is>
      </c>
      <c r="B116" t="inlineStr">
        <is>
          <t>u</t>
        </is>
      </c>
      <c r="R116" t="n">
        <v>1</v>
      </c>
    </row>
    <row r="117">
      <c r="A117" t="inlineStr">
        <is>
          <t>Eje de palanca (AFFF_10l)</t>
        </is>
      </c>
      <c r="B117" t="inlineStr">
        <is>
          <t>u</t>
        </is>
      </c>
      <c r="H117" t="n">
        <v>1</v>
      </c>
    </row>
    <row r="118">
      <c r="A118" t="inlineStr">
        <is>
          <t>Eje de palanca (AFFF_50l)</t>
        </is>
      </c>
      <c r="B118" t="inlineStr">
        <is>
          <t>u</t>
        </is>
      </c>
      <c r="I118" t="n">
        <v>1</v>
      </c>
    </row>
    <row r="119">
      <c r="A119" t="inlineStr">
        <is>
          <t>Eje de palanca (AGUA_10l)</t>
        </is>
      </c>
      <c r="B119" t="inlineStr">
        <is>
          <t>u</t>
        </is>
      </c>
      <c r="G119" t="n">
        <v>1</v>
      </c>
    </row>
    <row r="120">
      <c r="A120" t="inlineStr">
        <is>
          <t>Eje de palanca (BC_5kg)</t>
        </is>
      </c>
      <c r="B120" t="inlineStr">
        <is>
          <t>u</t>
        </is>
      </c>
      <c r="J120" t="n">
        <v>1</v>
      </c>
    </row>
    <row r="121">
      <c r="A121" t="inlineStr">
        <is>
          <t>Eje de palanca (CLASED_9l)</t>
        </is>
      </c>
      <c r="B121" t="inlineStr">
        <is>
          <t>u</t>
        </is>
      </c>
      <c r="O121" t="n">
        <v>1</v>
      </c>
    </row>
    <row r="122">
      <c r="A122" t="inlineStr">
        <is>
          <t>Eje de palanca (CO2_2kg)</t>
        </is>
      </c>
      <c r="B122" t="inlineStr">
        <is>
          <t>u</t>
        </is>
      </c>
      <c r="L122" t="n">
        <v>1</v>
      </c>
    </row>
    <row r="123">
      <c r="A123" t="inlineStr">
        <is>
          <t>Eje de palanca (CO2_5kg)</t>
        </is>
      </c>
      <c r="B123" t="inlineStr">
        <is>
          <t>u</t>
        </is>
      </c>
      <c r="M123" t="n">
        <v>1</v>
      </c>
    </row>
    <row r="124">
      <c r="A124" t="inlineStr">
        <is>
          <t>Eje de palanca (HCFC-HFC_5kg)</t>
        </is>
      </c>
      <c r="B124" t="inlineStr">
        <is>
          <t>u</t>
        </is>
      </c>
      <c r="N124" t="n">
        <v>1</v>
      </c>
    </row>
    <row r="125">
      <c r="A125" t="inlineStr">
        <is>
          <t>Eje de palanca (SALESK_6l)</t>
        </is>
      </c>
      <c r="B125" t="inlineStr">
        <is>
          <t>u</t>
        </is>
      </c>
      <c r="K125" t="n">
        <v>1</v>
      </c>
    </row>
    <row r="126">
      <c r="A126" t="inlineStr">
        <is>
          <t>Eje de ruedas (ABC_100kg)</t>
        </is>
      </c>
      <c r="B126" t="inlineStr">
        <is>
          <t>u</t>
        </is>
      </c>
      <c r="S126" t="n">
        <v>1</v>
      </c>
    </row>
    <row r="127">
      <c r="A127" t="inlineStr">
        <is>
          <t>Eje de ruedas (ABC_25kg)</t>
        </is>
      </c>
      <c r="B127" t="inlineStr">
        <is>
          <t>u</t>
        </is>
      </c>
      <c r="P127" t="n">
        <v>1</v>
      </c>
    </row>
    <row r="128">
      <c r="A128" t="inlineStr">
        <is>
          <t>Eje de ruedas (ABC_50kg)</t>
        </is>
      </c>
      <c r="B128" t="inlineStr">
        <is>
          <t>u</t>
        </is>
      </c>
      <c r="Q128" t="n">
        <v>1</v>
      </c>
    </row>
    <row r="129">
      <c r="A129" t="inlineStr">
        <is>
          <t>Eje de ruedas (ABC_70kg)</t>
        </is>
      </c>
      <c r="B129" t="inlineStr">
        <is>
          <t>u</t>
        </is>
      </c>
      <c r="R129" t="n">
        <v>1</v>
      </c>
    </row>
    <row r="130">
      <c r="A130" t="inlineStr">
        <is>
          <t>Eje de ruedas (AFFF_50l)</t>
        </is>
      </c>
      <c r="B130" t="inlineStr">
        <is>
          <t>u</t>
        </is>
      </c>
      <c r="I130" t="n">
        <v>1</v>
      </c>
    </row>
    <row r="131">
      <c r="A131" t="inlineStr">
        <is>
          <t>Empuñadura (CLASED_9l)</t>
        </is>
      </c>
      <c r="B131" t="inlineStr">
        <is>
          <t>u</t>
        </is>
      </c>
      <c r="O131" t="n">
        <v>1</v>
      </c>
    </row>
    <row r="132">
      <c r="A132" t="inlineStr">
        <is>
          <t>Empuñadura (CO2_2kg)</t>
        </is>
      </c>
      <c r="B132" t="inlineStr">
        <is>
          <t>u</t>
        </is>
      </c>
      <c r="L132" t="n">
        <v>1</v>
      </c>
    </row>
    <row r="133">
      <c r="A133" t="inlineStr">
        <is>
          <t>Empuñadura (CO2_5kg)</t>
        </is>
      </c>
      <c r="B133" t="inlineStr">
        <is>
          <t>u</t>
        </is>
      </c>
      <c r="M133" t="n">
        <v>1</v>
      </c>
    </row>
    <row r="134">
      <c r="A134" t="inlineStr">
        <is>
          <t>Espiga roscada (ABC_100kg)</t>
        </is>
      </c>
      <c r="B134" t="inlineStr">
        <is>
          <t>u</t>
        </is>
      </c>
      <c r="S134" t="n">
        <v>1</v>
      </c>
    </row>
    <row r="135">
      <c r="A135" t="inlineStr">
        <is>
          <t>Espiga roscada (ABC_10kg)</t>
        </is>
      </c>
      <c r="B135" t="inlineStr">
        <is>
          <t>u</t>
        </is>
      </c>
      <c r="F135" t="n">
        <v>1</v>
      </c>
    </row>
    <row r="136">
      <c r="A136" t="inlineStr">
        <is>
          <t>Espiga roscada (ABC_1kg)</t>
        </is>
      </c>
      <c r="B136" t="inlineStr">
        <is>
          <t>u</t>
        </is>
      </c>
      <c r="C136" t="n">
        <v>1</v>
      </c>
    </row>
    <row r="137">
      <c r="A137" t="inlineStr">
        <is>
          <t>Espiga roscada (ABC_2.5kg)</t>
        </is>
      </c>
      <c r="B137" t="inlineStr">
        <is>
          <t>u</t>
        </is>
      </c>
      <c r="D137" t="n">
        <v>1</v>
      </c>
    </row>
    <row r="138">
      <c r="A138" t="inlineStr">
        <is>
          <t>Espiga roscada (ABC_25kg)</t>
        </is>
      </c>
      <c r="B138" t="inlineStr">
        <is>
          <t>u</t>
        </is>
      </c>
      <c r="P138" t="n">
        <v>1</v>
      </c>
    </row>
    <row r="139">
      <c r="A139" t="inlineStr">
        <is>
          <t>Espiga roscada (ABC_50kg)</t>
        </is>
      </c>
      <c r="B139" t="inlineStr">
        <is>
          <t>u</t>
        </is>
      </c>
      <c r="Q139" t="n">
        <v>1</v>
      </c>
    </row>
    <row r="140">
      <c r="A140" t="inlineStr">
        <is>
          <t>Espiga roscada (ABC_5kg)</t>
        </is>
      </c>
      <c r="B140" t="inlineStr">
        <is>
          <t>u</t>
        </is>
      </c>
      <c r="E140" t="n">
        <v>1</v>
      </c>
    </row>
    <row r="141">
      <c r="A141" t="inlineStr">
        <is>
          <t>Espiga roscada (ABC_70kg)</t>
        </is>
      </c>
      <c r="B141" t="inlineStr">
        <is>
          <t>u</t>
        </is>
      </c>
      <c r="R141" t="n">
        <v>1</v>
      </c>
    </row>
    <row r="142">
      <c r="A142" t="inlineStr">
        <is>
          <t>Espiga roscada (AFFF_10l)</t>
        </is>
      </c>
      <c r="B142" t="inlineStr">
        <is>
          <t>u</t>
        </is>
      </c>
      <c r="H142" t="n">
        <v>1</v>
      </c>
    </row>
    <row r="143">
      <c r="A143" t="inlineStr">
        <is>
          <t>Espiga roscada (AFFF_50l)</t>
        </is>
      </c>
      <c r="B143" t="inlineStr">
        <is>
          <t>u</t>
        </is>
      </c>
      <c r="I143" t="n">
        <v>1</v>
      </c>
    </row>
    <row r="144">
      <c r="A144" t="inlineStr">
        <is>
          <t>Espiga roscada (AGUA_10l)</t>
        </is>
      </c>
      <c r="B144" t="inlineStr">
        <is>
          <t>u</t>
        </is>
      </c>
      <c r="G144" t="n">
        <v>1</v>
      </c>
    </row>
    <row r="145">
      <c r="A145" t="inlineStr">
        <is>
          <t>Espiga roscada (BC_5kg)</t>
        </is>
      </c>
      <c r="B145" t="inlineStr">
        <is>
          <t>u</t>
        </is>
      </c>
      <c r="J145" t="n">
        <v>1</v>
      </c>
    </row>
    <row r="146">
      <c r="A146" t="inlineStr">
        <is>
          <t>Espiga roscada (CLASED_9l)</t>
        </is>
      </c>
      <c r="B146" t="inlineStr">
        <is>
          <t>u</t>
        </is>
      </c>
      <c r="O146" t="n">
        <v>1</v>
      </c>
    </row>
    <row r="147">
      <c r="A147" t="inlineStr">
        <is>
          <t>Espiga roscada (CO2_2kg)</t>
        </is>
      </c>
      <c r="B147" t="inlineStr">
        <is>
          <t>u</t>
        </is>
      </c>
      <c r="L147" t="n">
        <v>1</v>
      </c>
    </row>
    <row r="148">
      <c r="A148" t="inlineStr">
        <is>
          <t>Espiga roscada (CO2_5kg)</t>
        </is>
      </c>
      <c r="B148" t="inlineStr">
        <is>
          <t>u</t>
        </is>
      </c>
      <c r="M148" t="n">
        <v>1</v>
      </c>
    </row>
    <row r="149">
      <c r="A149" t="inlineStr">
        <is>
          <t>Espiga roscada (HCFC-HFC_5kg)</t>
        </is>
      </c>
      <c r="B149" t="inlineStr">
        <is>
          <t>u</t>
        </is>
      </c>
      <c r="N149" t="n">
        <v>1</v>
      </c>
    </row>
    <row r="150">
      <c r="A150" t="inlineStr">
        <is>
          <t>Espiga roscada (SALESK_6l)</t>
        </is>
      </c>
      <c r="B150" t="inlineStr">
        <is>
          <t>u</t>
        </is>
      </c>
      <c r="K150" t="n">
        <v>1</v>
      </c>
    </row>
    <row r="151">
      <c r="A151" t="inlineStr">
        <is>
          <t>Film stretch (fracción del pallet)</t>
        </is>
      </c>
      <c r="B151" t="inlineStr">
        <is>
          <t>kg</t>
        </is>
      </c>
      <c r="C151" t="n">
        <v>0.001</v>
      </c>
      <c r="D151" t="n">
        <v>0.0042</v>
      </c>
      <c r="E151" t="n">
        <v>0.008699999999999999</v>
      </c>
      <c r="F151" t="n">
        <v>0.0109</v>
      </c>
      <c r="G151" t="n">
        <v>0.0109</v>
      </c>
      <c r="H151" t="n">
        <v>0.0109</v>
      </c>
      <c r="I151" t="n">
        <v>0.175</v>
      </c>
      <c r="J151" t="n">
        <v>0.008699999999999999</v>
      </c>
      <c r="K151" t="n">
        <v>0.0117</v>
      </c>
      <c r="L151" t="n">
        <v>0.0073</v>
      </c>
      <c r="M151" t="n">
        <v>0.0233</v>
      </c>
      <c r="N151" t="n">
        <v>0.008699999999999999</v>
      </c>
      <c r="O151" t="n">
        <v>0.0109</v>
      </c>
      <c r="P151" t="n">
        <v>0.175</v>
      </c>
      <c r="Q151" t="n">
        <v>0.175</v>
      </c>
      <c r="R151" t="n">
        <v>0.175</v>
      </c>
      <c r="S151" t="n">
        <v>0.35</v>
      </c>
    </row>
    <row r="152">
      <c r="A152" t="inlineStr">
        <is>
          <t>Granalla de acero (consumo)</t>
        </is>
      </c>
      <c r="B152" t="inlineStr">
        <is>
          <t>kg</t>
        </is>
      </c>
      <c r="C152" t="n">
        <v>0.006</v>
      </c>
      <c r="D152" t="n">
        <v>0.01</v>
      </c>
      <c r="E152" t="n">
        <v>0.016</v>
      </c>
      <c r="F152" t="n">
        <v>0.027</v>
      </c>
      <c r="I152" t="n">
        <v>0.062</v>
      </c>
      <c r="J152" t="n">
        <v>0.016</v>
      </c>
      <c r="N152" t="n">
        <v>0.016</v>
      </c>
      <c r="O152" t="n">
        <v>0.027</v>
      </c>
      <c r="P152" t="n">
        <v>0.042</v>
      </c>
      <c r="Q152" t="n">
        <v>0.062</v>
      </c>
      <c r="R152" t="n">
        <v>0.081</v>
      </c>
      <c r="S152" t="n">
        <v>0.103</v>
      </c>
    </row>
    <row r="153">
      <c r="A153" t="inlineStr">
        <is>
          <t>Junta tórica de asiento (ABC_100kg)</t>
        </is>
      </c>
      <c r="B153" t="inlineStr">
        <is>
          <t>u</t>
        </is>
      </c>
      <c r="S153" t="n">
        <v>1</v>
      </c>
    </row>
    <row r="154">
      <c r="A154" t="inlineStr">
        <is>
          <t>Junta tórica de asiento (ABC_10kg)</t>
        </is>
      </c>
      <c r="B154" t="inlineStr">
        <is>
          <t>u</t>
        </is>
      </c>
      <c r="F154" t="n">
        <v>1</v>
      </c>
    </row>
    <row r="155">
      <c r="A155" t="inlineStr">
        <is>
          <t>Junta tórica de asiento (ABC_1kg)</t>
        </is>
      </c>
      <c r="B155" t="inlineStr">
        <is>
          <t>u</t>
        </is>
      </c>
      <c r="C155" t="n">
        <v>1</v>
      </c>
    </row>
    <row r="156">
      <c r="A156" t="inlineStr">
        <is>
          <t>Junta tórica de asiento (ABC_2.5kg)</t>
        </is>
      </c>
      <c r="B156" t="inlineStr">
        <is>
          <t>u</t>
        </is>
      </c>
      <c r="D156" t="n">
        <v>1</v>
      </c>
    </row>
    <row r="157">
      <c r="A157" t="inlineStr">
        <is>
          <t>Junta tórica de asiento (ABC_25kg)</t>
        </is>
      </c>
      <c r="B157" t="inlineStr">
        <is>
          <t>u</t>
        </is>
      </c>
      <c r="P157" t="n">
        <v>1</v>
      </c>
    </row>
    <row r="158">
      <c r="A158" t="inlineStr">
        <is>
          <t>Junta tórica de asiento (ABC_50kg)</t>
        </is>
      </c>
      <c r="B158" t="inlineStr">
        <is>
          <t>u</t>
        </is>
      </c>
      <c r="Q158" t="n">
        <v>1</v>
      </c>
    </row>
    <row r="159">
      <c r="A159" t="inlineStr">
        <is>
          <t>Junta tórica de asiento (ABC_5kg)</t>
        </is>
      </c>
      <c r="B159" t="inlineStr">
        <is>
          <t>u</t>
        </is>
      </c>
      <c r="E159" t="n">
        <v>1</v>
      </c>
    </row>
    <row r="160">
      <c r="A160" t="inlineStr">
        <is>
          <t>Junta tórica de asiento (ABC_70kg)</t>
        </is>
      </c>
      <c r="B160" t="inlineStr">
        <is>
          <t>u</t>
        </is>
      </c>
      <c r="R160" t="n">
        <v>1</v>
      </c>
    </row>
    <row r="161">
      <c r="A161" t="inlineStr">
        <is>
          <t>Junta tórica de asiento (AFFF_10l)</t>
        </is>
      </c>
      <c r="B161" t="inlineStr">
        <is>
          <t>u</t>
        </is>
      </c>
      <c r="H161" t="n">
        <v>1</v>
      </c>
    </row>
    <row r="162">
      <c r="A162" t="inlineStr">
        <is>
          <t>Junta tórica de asiento (AFFF_50l)</t>
        </is>
      </c>
      <c r="B162" t="inlineStr">
        <is>
          <t>u</t>
        </is>
      </c>
      <c r="I162" t="n">
        <v>1</v>
      </c>
    </row>
    <row r="163">
      <c r="A163" t="inlineStr">
        <is>
          <t>Junta tórica de asiento (AGUA_10l)</t>
        </is>
      </c>
      <c r="B163" t="inlineStr">
        <is>
          <t>u</t>
        </is>
      </c>
      <c r="G163" t="n">
        <v>1</v>
      </c>
    </row>
    <row r="164">
      <c r="A164" t="inlineStr">
        <is>
          <t>Junta tórica de asiento (BC_5kg)</t>
        </is>
      </c>
      <c r="B164" t="inlineStr">
        <is>
          <t>u</t>
        </is>
      </c>
      <c r="J164" t="n">
        <v>1</v>
      </c>
    </row>
    <row r="165">
      <c r="A165" t="inlineStr">
        <is>
          <t>Junta tórica de asiento (CLASED_9l)</t>
        </is>
      </c>
      <c r="B165" t="inlineStr">
        <is>
          <t>u</t>
        </is>
      </c>
      <c r="O165" t="n">
        <v>1</v>
      </c>
    </row>
    <row r="166">
      <c r="A166" t="inlineStr">
        <is>
          <t>Junta tórica de asiento (CO2_2kg)</t>
        </is>
      </c>
      <c r="B166" t="inlineStr">
        <is>
          <t>u</t>
        </is>
      </c>
      <c r="L166" t="n">
        <v>1</v>
      </c>
    </row>
    <row r="167">
      <c r="A167" t="inlineStr">
        <is>
          <t>Junta tórica de asiento (CO2_5kg)</t>
        </is>
      </c>
      <c r="B167" t="inlineStr">
        <is>
          <t>u</t>
        </is>
      </c>
      <c r="M167" t="n">
        <v>1</v>
      </c>
    </row>
    <row r="168">
      <c r="A168" t="inlineStr">
        <is>
          <t>Junta tórica de asiento (HCFC-HFC_5kg)</t>
        </is>
      </c>
      <c r="B168" t="inlineStr">
        <is>
          <t>u</t>
        </is>
      </c>
      <c r="N168" t="n">
        <v>1</v>
      </c>
    </row>
    <row r="169">
      <c r="A169" t="inlineStr">
        <is>
          <t>Junta tórica de asiento (SALESK_6l)</t>
        </is>
      </c>
      <c r="B169" t="inlineStr">
        <is>
          <t>u</t>
        </is>
      </c>
      <c r="K169" t="n">
        <v>1</v>
      </c>
    </row>
    <row r="170">
      <c r="A170" t="inlineStr">
        <is>
          <t>Junta tórica del vástago ()</t>
        </is>
      </c>
      <c r="B170" t="inlineStr">
        <is>
          <t>u</t>
        </is>
      </c>
      <c r="C170" t="n">
        <v>1</v>
      </c>
      <c r="D170" t="n">
        <v>1</v>
      </c>
      <c r="E170" t="n">
        <v>1</v>
      </c>
      <c r="F170" t="n">
        <v>1</v>
      </c>
      <c r="G170" t="n">
        <v>1</v>
      </c>
      <c r="H170" t="n">
        <v>1</v>
      </c>
      <c r="I170" t="n">
        <v>1</v>
      </c>
      <c r="J170" t="n">
        <v>1</v>
      </c>
      <c r="K170" t="n">
        <v>1</v>
      </c>
      <c r="L170" t="n">
        <v>1</v>
      </c>
      <c r="M170" t="n">
        <v>1</v>
      </c>
      <c r="N170" t="n">
        <v>1</v>
      </c>
      <c r="O170" t="n">
        <v>1</v>
      </c>
      <c r="P170" t="n">
        <v>1</v>
      </c>
      <c r="Q170" t="n">
        <v>1</v>
      </c>
      <c r="R170" t="n">
        <v>1</v>
      </c>
      <c r="S170" t="n">
        <v>1</v>
      </c>
    </row>
    <row r="171">
      <c r="A171" t="inlineStr">
        <is>
          <t>Lanza aplicadora clase K (SALESK_6l)</t>
        </is>
      </c>
      <c r="B171" t="inlineStr">
        <is>
          <t>u</t>
        </is>
      </c>
      <c r="K171" t="n">
        <v>1</v>
      </c>
    </row>
    <row r="172">
      <c r="A172" t="inlineStr">
        <is>
          <t>Lanza aplicadora flujo suave (CLASED_9l)</t>
        </is>
      </c>
      <c r="B172" t="inlineStr">
        <is>
          <t>u</t>
        </is>
      </c>
      <c r="O172" t="n">
        <v>1</v>
      </c>
    </row>
    <row r="173">
      <c r="A173" t="inlineStr">
        <is>
          <t>Lanza espumígena (AFFF_10l)</t>
        </is>
      </c>
      <c r="B173" t="inlineStr">
        <is>
          <t>u</t>
        </is>
      </c>
      <c r="H173" t="n">
        <v>1</v>
      </c>
    </row>
    <row r="174">
      <c r="A174" t="inlineStr">
        <is>
          <t>Lanza espumígena (AFFF_50l)</t>
        </is>
      </c>
      <c r="B174" t="inlineStr">
        <is>
          <t>u</t>
        </is>
      </c>
      <c r="I174" t="n">
        <v>1</v>
      </c>
    </row>
    <row r="175">
      <c r="A175" t="inlineStr">
        <is>
          <t>Llanta con cubo (ABC_100kg)</t>
        </is>
      </c>
      <c r="B175" t="inlineStr">
        <is>
          <t>u</t>
        </is>
      </c>
      <c r="S175" t="n">
        <v>2</v>
      </c>
    </row>
    <row r="176">
      <c r="A176" t="inlineStr">
        <is>
          <t>Llanta con cubo (ABC_25kg)</t>
        </is>
      </c>
      <c r="B176" t="inlineStr">
        <is>
          <t>u</t>
        </is>
      </c>
      <c r="P176" t="n">
        <v>2</v>
      </c>
    </row>
    <row r="177">
      <c r="A177" t="inlineStr">
        <is>
          <t>Llanta con cubo (ABC_50kg)</t>
        </is>
      </c>
      <c r="B177" t="inlineStr">
        <is>
          <t>u</t>
        </is>
      </c>
      <c r="Q177" t="n">
        <v>2</v>
      </c>
    </row>
    <row r="178">
      <c r="A178" t="inlineStr">
        <is>
          <t>Llanta con cubo (ABC_70kg)</t>
        </is>
      </c>
      <c r="B178" t="inlineStr">
        <is>
          <t>u</t>
        </is>
      </c>
      <c r="R178" t="n">
        <v>2</v>
      </c>
    </row>
    <row r="179">
      <c r="A179" t="inlineStr">
        <is>
          <t>Llanta con cubo (AFFF_50l)</t>
        </is>
      </c>
      <c r="B179" t="inlineStr">
        <is>
          <t>u</t>
        </is>
      </c>
      <c r="I179" t="n">
        <v>2</v>
      </c>
    </row>
    <row r="180">
      <c r="A180" t="inlineStr">
        <is>
          <t>Manguera (ABC_100kg)</t>
        </is>
      </c>
      <c r="B180" t="inlineStr">
        <is>
          <t>u</t>
        </is>
      </c>
      <c r="S180" t="n">
        <v>1</v>
      </c>
    </row>
    <row r="181">
      <c r="A181" t="inlineStr">
        <is>
          <t>Manguera (ABC_10kg)</t>
        </is>
      </c>
      <c r="B181" t="inlineStr">
        <is>
          <t>u</t>
        </is>
      </c>
      <c r="F181" t="n">
        <v>1</v>
      </c>
    </row>
    <row r="182">
      <c r="A182" t="inlineStr">
        <is>
          <t>Manguera (ABC_2.5kg)</t>
        </is>
      </c>
      <c r="B182" t="inlineStr">
        <is>
          <t>u</t>
        </is>
      </c>
      <c r="D182" t="n">
        <v>1</v>
      </c>
    </row>
    <row r="183">
      <c r="A183" t="inlineStr">
        <is>
          <t>Manguera (ABC_25kg)</t>
        </is>
      </c>
      <c r="B183" t="inlineStr">
        <is>
          <t>u</t>
        </is>
      </c>
      <c r="P183" t="n">
        <v>1</v>
      </c>
    </row>
    <row r="184">
      <c r="A184" t="inlineStr">
        <is>
          <t>Manguera (ABC_50kg)</t>
        </is>
      </c>
      <c r="B184" t="inlineStr">
        <is>
          <t>u</t>
        </is>
      </c>
      <c r="Q184" t="n">
        <v>1</v>
      </c>
    </row>
    <row r="185">
      <c r="A185" t="inlineStr">
        <is>
          <t>Manguera (ABC_5kg)</t>
        </is>
      </c>
      <c r="B185" t="inlineStr">
        <is>
          <t>u</t>
        </is>
      </c>
      <c r="E185" t="n">
        <v>1</v>
      </c>
    </row>
    <row r="186">
      <c r="A186" t="inlineStr">
        <is>
          <t>Manguera (ABC_70kg)</t>
        </is>
      </c>
      <c r="B186" t="inlineStr">
        <is>
          <t>u</t>
        </is>
      </c>
      <c r="R186" t="n">
        <v>1</v>
      </c>
    </row>
    <row r="187">
      <c r="A187" t="inlineStr">
        <is>
          <t>Manguera (AFFF_10l)</t>
        </is>
      </c>
      <c r="B187" t="inlineStr">
        <is>
          <t>u</t>
        </is>
      </c>
      <c r="H187" t="n">
        <v>1</v>
      </c>
    </row>
    <row r="188">
      <c r="A188" t="inlineStr">
        <is>
          <t>Manguera (AFFF_50l)</t>
        </is>
      </c>
      <c r="B188" t="inlineStr">
        <is>
          <t>u</t>
        </is>
      </c>
      <c r="I188" t="n">
        <v>1</v>
      </c>
    </row>
    <row r="189">
      <c r="A189" t="inlineStr">
        <is>
          <t>Manguera (AGUA_10l)</t>
        </is>
      </c>
      <c r="B189" t="inlineStr">
        <is>
          <t>u</t>
        </is>
      </c>
      <c r="G189" t="n">
        <v>1</v>
      </c>
    </row>
    <row r="190">
      <c r="A190" t="inlineStr">
        <is>
          <t>Manguera (BC_5kg)</t>
        </is>
      </c>
      <c r="B190" t="inlineStr">
        <is>
          <t>u</t>
        </is>
      </c>
      <c r="J190" t="n">
        <v>1</v>
      </c>
    </row>
    <row r="191">
      <c r="A191" t="inlineStr">
        <is>
          <t>Manguera (CLASED_9l)</t>
        </is>
      </c>
      <c r="B191" t="inlineStr">
        <is>
          <t>u</t>
        </is>
      </c>
      <c r="O191" t="n">
        <v>1</v>
      </c>
    </row>
    <row r="192">
      <c r="A192" t="inlineStr">
        <is>
          <t>Manguera (CO2_5kg)</t>
        </is>
      </c>
      <c r="B192" t="inlineStr">
        <is>
          <t>u</t>
        </is>
      </c>
      <c r="M192" t="n">
        <v>1</v>
      </c>
    </row>
    <row r="193">
      <c r="A193" t="inlineStr">
        <is>
          <t>Manguera (HCFC-HFC_5kg)</t>
        </is>
      </c>
      <c r="B193" t="inlineStr">
        <is>
          <t>u</t>
        </is>
      </c>
      <c r="N193" t="n">
        <v>1</v>
      </c>
    </row>
    <row r="194">
      <c r="A194" t="inlineStr">
        <is>
          <t>Manguera (SALESK_6l)</t>
        </is>
      </c>
      <c r="B194" t="inlineStr">
        <is>
          <t>u</t>
        </is>
      </c>
      <c r="K194" t="n">
        <v>1</v>
      </c>
    </row>
    <row r="195">
      <c r="A195" t="inlineStr">
        <is>
          <t>Manguera (tramo enrollado) (ABC_100kg)</t>
        </is>
      </c>
      <c r="B195" t="inlineStr">
        <is>
          <t>u</t>
        </is>
      </c>
      <c r="S195" t="n">
        <v>1</v>
      </c>
    </row>
    <row r="196">
      <c r="A196" t="inlineStr">
        <is>
          <t>Manguera (tramo enrollado) (ABC_25kg)</t>
        </is>
      </c>
      <c r="B196" t="inlineStr">
        <is>
          <t>u</t>
        </is>
      </c>
      <c r="P196" t="n">
        <v>1</v>
      </c>
    </row>
    <row r="197">
      <c r="A197" t="inlineStr">
        <is>
          <t>Manguera (tramo enrollado) (ABC_50kg)</t>
        </is>
      </c>
      <c r="B197" t="inlineStr">
        <is>
          <t>u</t>
        </is>
      </c>
      <c r="Q197" t="n">
        <v>1</v>
      </c>
    </row>
    <row r="198">
      <c r="A198" t="inlineStr">
        <is>
          <t>Manguera (tramo enrollado) (ABC_70kg)</t>
        </is>
      </c>
      <c r="B198" t="inlineStr">
        <is>
          <t>u</t>
        </is>
      </c>
      <c r="R198" t="n">
        <v>1</v>
      </c>
    </row>
    <row r="199">
      <c r="A199" t="inlineStr">
        <is>
          <t>Manguera (tramo enrollado) (AFFF_50l)</t>
        </is>
      </c>
      <c r="B199" t="inlineStr">
        <is>
          <t>u</t>
        </is>
      </c>
      <c r="I199" t="n">
        <v>1</v>
      </c>
    </row>
    <row r="200">
      <c r="A200" t="inlineStr">
        <is>
          <t>Manija de accionamiento (ABC_100kg)</t>
        </is>
      </c>
      <c r="B200" t="inlineStr">
        <is>
          <t>u</t>
        </is>
      </c>
      <c r="S200" t="n">
        <v>1</v>
      </c>
    </row>
    <row r="201">
      <c r="A201" t="inlineStr">
        <is>
          <t>Manija de accionamiento (ABC_10kg)</t>
        </is>
      </c>
      <c r="B201" t="inlineStr">
        <is>
          <t>u</t>
        </is>
      </c>
      <c r="F201" t="n">
        <v>1</v>
      </c>
    </row>
    <row r="202">
      <c r="A202" t="inlineStr">
        <is>
          <t>Manija de accionamiento (ABC_1kg)</t>
        </is>
      </c>
      <c r="B202" t="inlineStr">
        <is>
          <t>u</t>
        </is>
      </c>
      <c r="C202" t="n">
        <v>1</v>
      </c>
    </row>
    <row r="203">
      <c r="A203" t="inlineStr">
        <is>
          <t>Manija de accionamiento (ABC_2.5kg)</t>
        </is>
      </c>
      <c r="B203" t="inlineStr">
        <is>
          <t>u</t>
        </is>
      </c>
      <c r="D203" t="n">
        <v>1</v>
      </c>
    </row>
    <row r="204">
      <c r="A204" t="inlineStr">
        <is>
          <t>Manija de accionamiento (ABC_25kg)</t>
        </is>
      </c>
      <c r="B204" t="inlineStr">
        <is>
          <t>u</t>
        </is>
      </c>
      <c r="P204" t="n">
        <v>1</v>
      </c>
    </row>
    <row r="205">
      <c r="A205" t="inlineStr">
        <is>
          <t>Manija de accionamiento (ABC_50kg)</t>
        </is>
      </c>
      <c r="B205" t="inlineStr">
        <is>
          <t>u</t>
        </is>
      </c>
      <c r="Q205" t="n">
        <v>1</v>
      </c>
    </row>
    <row r="206">
      <c r="A206" t="inlineStr">
        <is>
          <t>Manija de accionamiento (ABC_5kg)</t>
        </is>
      </c>
      <c r="B206" t="inlineStr">
        <is>
          <t>u</t>
        </is>
      </c>
      <c r="E206" t="n">
        <v>1</v>
      </c>
    </row>
    <row r="207">
      <c r="A207" t="inlineStr">
        <is>
          <t>Manija de accionamiento (ABC_70kg)</t>
        </is>
      </c>
      <c r="B207" t="inlineStr">
        <is>
          <t>u</t>
        </is>
      </c>
      <c r="R207" t="n">
        <v>1</v>
      </c>
    </row>
    <row r="208">
      <c r="A208" t="inlineStr">
        <is>
          <t>Manija de accionamiento (AFFF_10l)</t>
        </is>
      </c>
      <c r="B208" t="inlineStr">
        <is>
          <t>u</t>
        </is>
      </c>
      <c r="H208" t="n">
        <v>1</v>
      </c>
    </row>
    <row r="209">
      <c r="A209" t="inlineStr">
        <is>
          <t>Manija de accionamiento (AFFF_50l)</t>
        </is>
      </c>
      <c r="B209" t="inlineStr">
        <is>
          <t>u</t>
        </is>
      </c>
      <c r="I209" t="n">
        <v>1</v>
      </c>
    </row>
    <row r="210">
      <c r="A210" t="inlineStr">
        <is>
          <t>Manija de accionamiento (AGUA_10l)</t>
        </is>
      </c>
      <c r="B210" t="inlineStr">
        <is>
          <t>u</t>
        </is>
      </c>
      <c r="G210" t="n">
        <v>1</v>
      </c>
    </row>
    <row r="211">
      <c r="A211" t="inlineStr">
        <is>
          <t>Manija de accionamiento (BC_5kg)</t>
        </is>
      </c>
      <c r="B211" t="inlineStr">
        <is>
          <t>u</t>
        </is>
      </c>
      <c r="J211" t="n">
        <v>1</v>
      </c>
    </row>
    <row r="212">
      <c r="A212" t="inlineStr">
        <is>
          <t>Manija de accionamiento (CLASED_9l)</t>
        </is>
      </c>
      <c r="B212" t="inlineStr">
        <is>
          <t>u</t>
        </is>
      </c>
      <c r="O212" t="n">
        <v>1</v>
      </c>
    </row>
    <row r="213">
      <c r="A213" t="inlineStr">
        <is>
          <t>Manija de accionamiento (CO2_2kg)</t>
        </is>
      </c>
      <c r="B213" t="inlineStr">
        <is>
          <t>u</t>
        </is>
      </c>
      <c r="L213" t="n">
        <v>1</v>
      </c>
    </row>
    <row r="214">
      <c r="A214" t="inlineStr">
        <is>
          <t>Manija de accionamiento (CO2_5kg)</t>
        </is>
      </c>
      <c r="B214" t="inlineStr">
        <is>
          <t>u</t>
        </is>
      </c>
      <c r="M214" t="n">
        <v>1</v>
      </c>
    </row>
    <row r="215">
      <c r="A215" t="inlineStr">
        <is>
          <t>Manija de accionamiento (HCFC-HFC_5kg)</t>
        </is>
      </c>
      <c r="B215" t="inlineStr">
        <is>
          <t>u</t>
        </is>
      </c>
      <c r="N215" t="n">
        <v>1</v>
      </c>
    </row>
    <row r="216">
      <c r="A216" t="inlineStr">
        <is>
          <t>Manija de accionamiento (SALESK_6l)</t>
        </is>
      </c>
      <c r="B216" t="inlineStr">
        <is>
          <t>u</t>
        </is>
      </c>
      <c r="K216" t="n">
        <v>1</v>
      </c>
    </row>
    <row r="217">
      <c r="A217" t="inlineStr">
        <is>
          <t>Manija de transporte (ABC_100kg)</t>
        </is>
      </c>
      <c r="B217" t="inlineStr">
        <is>
          <t>u</t>
        </is>
      </c>
      <c r="S217" t="n">
        <v>1</v>
      </c>
    </row>
    <row r="218">
      <c r="A218" t="inlineStr">
        <is>
          <t>Manija de transporte (ABC_10kg)</t>
        </is>
      </c>
      <c r="B218" t="inlineStr">
        <is>
          <t>u</t>
        </is>
      </c>
      <c r="F218" t="n">
        <v>1</v>
      </c>
    </row>
    <row r="219">
      <c r="A219" t="inlineStr">
        <is>
          <t>Manija de transporte (ABC_1kg)</t>
        </is>
      </c>
      <c r="B219" t="inlineStr">
        <is>
          <t>u</t>
        </is>
      </c>
      <c r="C219" t="n">
        <v>1</v>
      </c>
    </row>
    <row r="220">
      <c r="A220" t="inlineStr">
        <is>
          <t>Manija de transporte (ABC_2.5kg)</t>
        </is>
      </c>
      <c r="B220" t="inlineStr">
        <is>
          <t>u</t>
        </is>
      </c>
      <c r="D220" t="n">
        <v>1</v>
      </c>
    </row>
    <row r="221">
      <c r="A221" t="inlineStr">
        <is>
          <t>Manija de transporte (ABC_25kg)</t>
        </is>
      </c>
      <c r="B221" t="inlineStr">
        <is>
          <t>u</t>
        </is>
      </c>
      <c r="P221" t="n">
        <v>1</v>
      </c>
    </row>
    <row r="222">
      <c r="A222" t="inlineStr">
        <is>
          <t>Manija de transporte (ABC_50kg)</t>
        </is>
      </c>
      <c r="B222" t="inlineStr">
        <is>
          <t>u</t>
        </is>
      </c>
      <c r="Q222" t="n">
        <v>1</v>
      </c>
    </row>
    <row r="223">
      <c r="A223" t="inlineStr">
        <is>
          <t>Manija de transporte (ABC_5kg)</t>
        </is>
      </c>
      <c r="B223" t="inlineStr">
        <is>
          <t>u</t>
        </is>
      </c>
      <c r="E223" t="n">
        <v>1</v>
      </c>
    </row>
    <row r="224">
      <c r="A224" t="inlineStr">
        <is>
          <t>Manija de transporte (ABC_70kg)</t>
        </is>
      </c>
      <c r="B224" t="inlineStr">
        <is>
          <t>u</t>
        </is>
      </c>
      <c r="R224" t="n">
        <v>1</v>
      </c>
    </row>
    <row r="225">
      <c r="A225" t="inlineStr">
        <is>
          <t>Manija de transporte (AFFF_10l)</t>
        </is>
      </c>
      <c r="B225" t="inlineStr">
        <is>
          <t>u</t>
        </is>
      </c>
      <c r="H225" t="n">
        <v>1</v>
      </c>
    </row>
    <row r="226">
      <c r="A226" t="inlineStr">
        <is>
          <t>Manija de transporte (AFFF_50l)</t>
        </is>
      </c>
      <c r="B226" t="inlineStr">
        <is>
          <t>u</t>
        </is>
      </c>
      <c r="I226" t="n">
        <v>1</v>
      </c>
    </row>
    <row r="227">
      <c r="A227" t="inlineStr">
        <is>
          <t>Manija de transporte (AGUA_10l)</t>
        </is>
      </c>
      <c r="B227" t="inlineStr">
        <is>
          <t>u</t>
        </is>
      </c>
      <c r="G227" t="n">
        <v>1</v>
      </c>
    </row>
    <row r="228">
      <c r="A228" t="inlineStr">
        <is>
          <t>Manija de transporte (BC_5kg)</t>
        </is>
      </c>
      <c r="B228" t="inlineStr">
        <is>
          <t>u</t>
        </is>
      </c>
      <c r="J228" t="n">
        <v>1</v>
      </c>
    </row>
    <row r="229">
      <c r="A229" t="inlineStr">
        <is>
          <t>Manija de transporte (CLASED_9l)</t>
        </is>
      </c>
      <c r="B229" t="inlineStr">
        <is>
          <t>u</t>
        </is>
      </c>
      <c r="O229" t="n">
        <v>1</v>
      </c>
    </row>
    <row r="230">
      <c r="A230" t="inlineStr">
        <is>
          <t>Manija de transporte (CO2_2kg)</t>
        </is>
      </c>
      <c r="B230" t="inlineStr">
        <is>
          <t>u</t>
        </is>
      </c>
      <c r="L230" t="n">
        <v>1</v>
      </c>
    </row>
    <row r="231">
      <c r="A231" t="inlineStr">
        <is>
          <t>Manija de transporte (CO2_5kg)</t>
        </is>
      </c>
      <c r="B231" t="inlineStr">
        <is>
          <t>u</t>
        </is>
      </c>
      <c r="M231" t="n">
        <v>1</v>
      </c>
    </row>
    <row r="232">
      <c r="A232" t="inlineStr">
        <is>
          <t>Manija de transporte (HCFC-HFC_5kg)</t>
        </is>
      </c>
      <c r="B232" t="inlineStr">
        <is>
          <t>u</t>
        </is>
      </c>
      <c r="N232" t="n">
        <v>1</v>
      </c>
    </row>
    <row r="233">
      <c r="A233" t="inlineStr">
        <is>
          <t>Manija de transporte (SALESK_6l)</t>
        </is>
      </c>
      <c r="B233" t="inlineStr">
        <is>
          <t>u</t>
        </is>
      </c>
      <c r="K233" t="n">
        <v>1</v>
      </c>
    </row>
    <row r="234">
      <c r="A234" t="inlineStr">
        <is>
          <t>Manómetro (ABC_100kg)</t>
        </is>
      </c>
      <c r="B234" t="inlineStr">
        <is>
          <t>u</t>
        </is>
      </c>
      <c r="S234" t="n">
        <v>1</v>
      </c>
    </row>
    <row r="235">
      <c r="A235" t="inlineStr">
        <is>
          <t>Manómetro (ABC_10kg)</t>
        </is>
      </c>
      <c r="B235" t="inlineStr">
        <is>
          <t>u</t>
        </is>
      </c>
      <c r="F235" t="n">
        <v>1</v>
      </c>
    </row>
    <row r="236">
      <c r="A236" t="inlineStr">
        <is>
          <t>Manómetro (ABC_1kg)</t>
        </is>
      </c>
      <c r="B236" t="inlineStr">
        <is>
          <t>u</t>
        </is>
      </c>
      <c r="C236" t="n">
        <v>1</v>
      </c>
    </row>
    <row r="237">
      <c r="A237" t="inlineStr">
        <is>
          <t>Manómetro (ABC_2.5kg)</t>
        </is>
      </c>
      <c r="B237" t="inlineStr">
        <is>
          <t>u</t>
        </is>
      </c>
      <c r="D237" t="n">
        <v>1</v>
      </c>
    </row>
    <row r="238">
      <c r="A238" t="inlineStr">
        <is>
          <t>Manómetro (ABC_25kg)</t>
        </is>
      </c>
      <c r="B238" t="inlineStr">
        <is>
          <t>u</t>
        </is>
      </c>
      <c r="P238" t="n">
        <v>1</v>
      </c>
    </row>
    <row r="239">
      <c r="A239" t="inlineStr">
        <is>
          <t>Manómetro (ABC_50kg)</t>
        </is>
      </c>
      <c r="B239" t="inlineStr">
        <is>
          <t>u</t>
        </is>
      </c>
      <c r="Q239" t="n">
        <v>1</v>
      </c>
    </row>
    <row r="240">
      <c r="A240" t="inlineStr">
        <is>
          <t>Manómetro (ABC_5kg)</t>
        </is>
      </c>
      <c r="B240" t="inlineStr">
        <is>
          <t>u</t>
        </is>
      </c>
      <c r="E240" t="n">
        <v>1</v>
      </c>
    </row>
    <row r="241">
      <c r="A241" t="inlineStr">
        <is>
          <t>Manómetro (ABC_70kg)</t>
        </is>
      </c>
      <c r="B241" t="inlineStr">
        <is>
          <t>u</t>
        </is>
      </c>
      <c r="R241" t="n">
        <v>1</v>
      </c>
    </row>
    <row r="242">
      <c r="A242" t="inlineStr">
        <is>
          <t>Manómetro (AFFF_10l)</t>
        </is>
      </c>
      <c r="B242" t="inlineStr">
        <is>
          <t>u</t>
        </is>
      </c>
      <c r="H242" t="n">
        <v>1</v>
      </c>
    </row>
    <row r="243">
      <c r="A243" t="inlineStr">
        <is>
          <t>Manómetro (AFFF_50l)</t>
        </is>
      </c>
      <c r="B243" t="inlineStr">
        <is>
          <t>u</t>
        </is>
      </c>
      <c r="I243" t="n">
        <v>1</v>
      </c>
    </row>
    <row r="244">
      <c r="A244" t="inlineStr">
        <is>
          <t>Manómetro (AGUA_10l)</t>
        </is>
      </c>
      <c r="B244" t="inlineStr">
        <is>
          <t>u</t>
        </is>
      </c>
      <c r="G244" t="n">
        <v>1</v>
      </c>
    </row>
    <row r="245">
      <c r="A245" t="inlineStr">
        <is>
          <t>Manómetro (BC_5kg)</t>
        </is>
      </c>
      <c r="B245" t="inlineStr">
        <is>
          <t>u</t>
        </is>
      </c>
      <c r="J245" t="n">
        <v>1</v>
      </c>
    </row>
    <row r="246">
      <c r="A246" t="inlineStr">
        <is>
          <t>Manómetro (CLASED_9l)</t>
        </is>
      </c>
      <c r="B246" t="inlineStr">
        <is>
          <t>u</t>
        </is>
      </c>
      <c r="O246" t="n">
        <v>1</v>
      </c>
    </row>
    <row r="247">
      <c r="A247" t="inlineStr">
        <is>
          <t>Manómetro (HCFC-HFC_5kg)</t>
        </is>
      </c>
      <c r="B247" t="inlineStr">
        <is>
          <t>u</t>
        </is>
      </c>
      <c r="N247" t="n">
        <v>1</v>
      </c>
    </row>
    <row r="248">
      <c r="A248" t="inlineStr">
        <is>
          <t>Manómetro (SALESK_6l)</t>
        </is>
      </c>
      <c r="B248" t="inlineStr">
        <is>
          <t>u</t>
        </is>
      </c>
      <c r="K248" t="n">
        <v>1</v>
      </c>
    </row>
    <row r="249">
      <c r="A249" t="inlineStr">
        <is>
          <t>Neumático macizo (ABC_100kg)</t>
        </is>
      </c>
      <c r="B249" t="inlineStr">
        <is>
          <t>u</t>
        </is>
      </c>
      <c r="S249" t="n">
        <v>2</v>
      </c>
    </row>
    <row r="250">
      <c r="A250" t="inlineStr">
        <is>
          <t>Neumático macizo (ABC_25kg)</t>
        </is>
      </c>
      <c r="B250" t="inlineStr">
        <is>
          <t>u</t>
        </is>
      </c>
      <c r="P250" t="n">
        <v>2</v>
      </c>
    </row>
    <row r="251">
      <c r="A251" t="inlineStr">
        <is>
          <t>Neumático macizo (ABC_50kg)</t>
        </is>
      </c>
      <c r="B251" t="inlineStr">
        <is>
          <t>u</t>
        </is>
      </c>
      <c r="Q251" t="n">
        <v>2</v>
      </c>
    </row>
    <row r="252">
      <c r="A252" t="inlineStr">
        <is>
          <t>Neumático macizo (ABC_70kg)</t>
        </is>
      </c>
      <c r="B252" t="inlineStr">
        <is>
          <t>u</t>
        </is>
      </c>
      <c r="R252" t="n">
        <v>2</v>
      </c>
    </row>
    <row r="253">
      <c r="A253" t="inlineStr">
        <is>
          <t>Neumático macizo (AFFF_50l)</t>
        </is>
      </c>
      <c r="B253" t="inlineStr">
        <is>
          <t>u</t>
        </is>
      </c>
      <c r="I253" t="n">
        <v>2</v>
      </c>
    </row>
    <row r="254">
      <c r="A254" t="inlineStr">
        <is>
          <t>Pallet 1200 × 1000 (fracción)</t>
        </is>
      </c>
      <c r="B254" t="inlineStr">
        <is>
          <t>u</t>
        </is>
      </c>
      <c r="C254" t="n">
        <v>0.0028</v>
      </c>
      <c r="D254" t="n">
        <v>0.0119</v>
      </c>
      <c r="E254" t="n">
        <v>0.025</v>
      </c>
      <c r="F254" t="n">
        <v>0.0312</v>
      </c>
      <c r="G254" t="n">
        <v>0.0312</v>
      </c>
      <c r="H254" t="n">
        <v>0.0312</v>
      </c>
      <c r="I254" t="n">
        <v>0.5</v>
      </c>
      <c r="J254" t="n">
        <v>0.025</v>
      </c>
      <c r="K254" t="n">
        <v>0.0333</v>
      </c>
      <c r="L254" t="n">
        <v>0.0208</v>
      </c>
      <c r="M254" t="n">
        <v>0.0667</v>
      </c>
      <c r="N254" t="n">
        <v>0.025</v>
      </c>
      <c r="O254" t="n">
        <v>0.0312</v>
      </c>
      <c r="P254" t="n">
        <v>0.5</v>
      </c>
      <c r="Q254" t="n">
        <v>0.5</v>
      </c>
      <c r="R254" t="n">
        <v>0.5</v>
      </c>
      <c r="S254" t="n">
        <v>1</v>
      </c>
    </row>
    <row r="255">
      <c r="A255" t="inlineStr">
        <is>
          <t>Pasador de seguridad (ABC_100kg)</t>
        </is>
      </c>
      <c r="B255" t="inlineStr">
        <is>
          <t>u</t>
        </is>
      </c>
      <c r="S255" t="n">
        <v>1</v>
      </c>
    </row>
    <row r="256">
      <c r="A256" t="inlineStr">
        <is>
          <t>Pasador de seguridad (ABC_10kg)</t>
        </is>
      </c>
      <c r="B256" t="inlineStr">
        <is>
          <t>u</t>
        </is>
      </c>
      <c r="F256" t="n">
        <v>1</v>
      </c>
    </row>
    <row r="257">
      <c r="A257" t="inlineStr">
        <is>
          <t>Pasador de seguridad (ABC_1kg)</t>
        </is>
      </c>
      <c r="B257" t="inlineStr">
        <is>
          <t>u</t>
        </is>
      </c>
      <c r="C257" t="n">
        <v>1</v>
      </c>
    </row>
    <row r="258">
      <c r="A258" t="inlineStr">
        <is>
          <t>Pasador de seguridad (ABC_2.5kg)</t>
        </is>
      </c>
      <c r="B258" t="inlineStr">
        <is>
          <t>u</t>
        </is>
      </c>
      <c r="D258" t="n">
        <v>1</v>
      </c>
    </row>
    <row r="259">
      <c r="A259" t="inlineStr">
        <is>
          <t>Pasador de seguridad (ABC_25kg)</t>
        </is>
      </c>
      <c r="B259" t="inlineStr">
        <is>
          <t>u</t>
        </is>
      </c>
      <c r="P259" t="n">
        <v>1</v>
      </c>
    </row>
    <row r="260">
      <c r="A260" t="inlineStr">
        <is>
          <t>Pasador de seguridad (ABC_50kg)</t>
        </is>
      </c>
      <c r="B260" t="inlineStr">
        <is>
          <t>u</t>
        </is>
      </c>
      <c r="Q260" t="n">
        <v>1</v>
      </c>
    </row>
    <row r="261">
      <c r="A261" t="inlineStr">
        <is>
          <t>Pasador de seguridad (ABC_5kg)</t>
        </is>
      </c>
      <c r="B261" t="inlineStr">
        <is>
          <t>u</t>
        </is>
      </c>
      <c r="E261" t="n">
        <v>1</v>
      </c>
    </row>
    <row r="262">
      <c r="A262" t="inlineStr">
        <is>
          <t>Pasador de seguridad (ABC_70kg)</t>
        </is>
      </c>
      <c r="B262" t="inlineStr">
        <is>
          <t>u</t>
        </is>
      </c>
      <c r="R262" t="n">
        <v>1</v>
      </c>
    </row>
    <row r="263">
      <c r="A263" t="inlineStr">
        <is>
          <t>Pasador de seguridad (AFFF_10l)</t>
        </is>
      </c>
      <c r="B263" t="inlineStr">
        <is>
          <t>u</t>
        </is>
      </c>
      <c r="H263" t="n">
        <v>1</v>
      </c>
    </row>
    <row r="264">
      <c r="A264" t="inlineStr">
        <is>
          <t>Pasador de seguridad (AFFF_50l)</t>
        </is>
      </c>
      <c r="B264" t="inlineStr">
        <is>
          <t>u</t>
        </is>
      </c>
      <c r="I264" t="n">
        <v>1</v>
      </c>
    </row>
    <row r="265">
      <c r="A265" t="inlineStr">
        <is>
          <t>Pasador de seguridad (AGUA_10l)</t>
        </is>
      </c>
      <c r="B265" t="inlineStr">
        <is>
          <t>u</t>
        </is>
      </c>
      <c r="G265" t="n">
        <v>1</v>
      </c>
    </row>
    <row r="266">
      <c r="A266" t="inlineStr">
        <is>
          <t>Pasador de seguridad (BC_5kg)</t>
        </is>
      </c>
      <c r="B266" t="inlineStr">
        <is>
          <t>u</t>
        </is>
      </c>
      <c r="J266" t="n">
        <v>1</v>
      </c>
    </row>
    <row r="267">
      <c r="A267" t="inlineStr">
        <is>
          <t>Pasador de seguridad (CLASED_9l)</t>
        </is>
      </c>
      <c r="B267" t="inlineStr">
        <is>
          <t>u</t>
        </is>
      </c>
      <c r="O267" t="n">
        <v>1</v>
      </c>
    </row>
    <row r="268">
      <c r="A268" t="inlineStr">
        <is>
          <t>Pasador de seguridad (CO2_2kg)</t>
        </is>
      </c>
      <c r="B268" t="inlineStr">
        <is>
          <t>u</t>
        </is>
      </c>
      <c r="L268" t="n">
        <v>1</v>
      </c>
    </row>
    <row r="269">
      <c r="A269" t="inlineStr">
        <is>
          <t>Pasador de seguridad (CO2_5kg)</t>
        </is>
      </c>
      <c r="B269" t="inlineStr">
        <is>
          <t>u</t>
        </is>
      </c>
      <c r="M269" t="n">
        <v>1</v>
      </c>
    </row>
    <row r="270">
      <c r="A270" t="inlineStr">
        <is>
          <t>Pasador de seguridad (HCFC-HFC_5kg)</t>
        </is>
      </c>
      <c r="B270" t="inlineStr">
        <is>
          <t>u</t>
        </is>
      </c>
      <c r="N270" t="n">
        <v>1</v>
      </c>
    </row>
    <row r="271">
      <c r="A271" t="inlineStr">
        <is>
          <t>Pasador de seguridad (SALESK_6l)</t>
        </is>
      </c>
      <c r="B271" t="inlineStr">
        <is>
          <t>u</t>
        </is>
      </c>
      <c r="K271" t="n">
        <v>1</v>
      </c>
    </row>
    <row r="272">
      <c r="A272" t="inlineStr">
        <is>
          <t>Pintura en polvo poliéster rojo (recipiente)</t>
        </is>
      </c>
      <c r="B272" t="inlineStr">
        <is>
          <t>kg</t>
        </is>
      </c>
      <c r="L272" t="n">
        <v>0.025</v>
      </c>
      <c r="M272" t="n">
        <v>0.052</v>
      </c>
    </row>
    <row r="273">
      <c r="A273" t="inlineStr">
        <is>
          <t>Polvo para metales combustibles clase D - Clase D (NaCl &gt; 90 %)</t>
        </is>
      </c>
      <c r="B273" t="inlineStr">
        <is>
          <t>kg</t>
        </is>
      </c>
      <c r="O273" t="n">
        <v>9.15</v>
      </c>
    </row>
    <row r="274">
      <c r="A274" t="inlineStr">
        <is>
          <t>Polvo químico seco ABC 60 (Sello IRAM 3569, DEMSA)</t>
        </is>
      </c>
      <c r="B274" t="inlineStr">
        <is>
          <t>kg</t>
        </is>
      </c>
      <c r="C274" t="n">
        <v>1.05</v>
      </c>
      <c r="D274" t="n">
        <v>2.55</v>
      </c>
      <c r="E274" t="n">
        <v>5.15</v>
      </c>
      <c r="F274" t="n">
        <v>10.15</v>
      </c>
    </row>
    <row r="275">
      <c r="A275" t="inlineStr">
        <is>
          <t>Polvo químico seco ABC 90 (Sello IRAM 3569, DEMSA)</t>
        </is>
      </c>
      <c r="B275" t="inlineStr">
        <is>
          <t>kg</t>
        </is>
      </c>
      <c r="P275" t="n">
        <v>25</v>
      </c>
      <c r="Q275" t="n">
        <v>50</v>
      </c>
      <c r="R275" t="n">
        <v>70</v>
      </c>
      <c r="S275" t="n">
        <v>100</v>
      </c>
    </row>
    <row r="276">
      <c r="A276" t="inlineStr">
        <is>
          <t>Polvo químico seco BC - BC sódico (NaHCO₃ ≥ 85,5 %)</t>
        </is>
      </c>
      <c r="B276" t="inlineStr">
        <is>
          <t>kg</t>
        </is>
      </c>
      <c r="J276" t="n">
        <v>5.15</v>
      </c>
    </row>
    <row r="277">
      <c r="A277" t="inlineStr">
        <is>
          <t>Racor de manguera (ABC_100kg)</t>
        </is>
      </c>
      <c r="B277" t="inlineStr">
        <is>
          <t>u</t>
        </is>
      </c>
      <c r="S277" t="n">
        <v>1</v>
      </c>
    </row>
    <row r="278">
      <c r="A278" t="inlineStr">
        <is>
          <t>Racor de manguera (ABC_10kg)</t>
        </is>
      </c>
      <c r="B278" t="inlineStr">
        <is>
          <t>u</t>
        </is>
      </c>
      <c r="F278" t="n">
        <v>1</v>
      </c>
    </row>
    <row r="279">
      <c r="A279" t="inlineStr">
        <is>
          <t>Racor de manguera (ABC_2.5kg)</t>
        </is>
      </c>
      <c r="B279" t="inlineStr">
        <is>
          <t>u</t>
        </is>
      </c>
      <c r="D279" t="n">
        <v>1</v>
      </c>
    </row>
    <row r="280">
      <c r="A280" t="inlineStr">
        <is>
          <t>Racor de manguera (ABC_25kg)</t>
        </is>
      </c>
      <c r="B280" t="inlineStr">
        <is>
          <t>u</t>
        </is>
      </c>
      <c r="P280" t="n">
        <v>1</v>
      </c>
    </row>
    <row r="281">
      <c r="A281" t="inlineStr">
        <is>
          <t>Racor de manguera (ABC_50kg)</t>
        </is>
      </c>
      <c r="B281" t="inlineStr">
        <is>
          <t>u</t>
        </is>
      </c>
      <c r="Q281" t="n">
        <v>1</v>
      </c>
    </row>
    <row r="282">
      <c r="A282" t="inlineStr">
        <is>
          <t>Racor de manguera (ABC_5kg)</t>
        </is>
      </c>
      <c r="B282" t="inlineStr">
        <is>
          <t>u</t>
        </is>
      </c>
      <c r="E282" t="n">
        <v>1</v>
      </c>
    </row>
    <row r="283">
      <c r="A283" t="inlineStr">
        <is>
          <t>Racor de manguera (ABC_70kg)</t>
        </is>
      </c>
      <c r="B283" t="inlineStr">
        <is>
          <t>u</t>
        </is>
      </c>
      <c r="R283" t="n">
        <v>1</v>
      </c>
    </row>
    <row r="284">
      <c r="A284" t="inlineStr">
        <is>
          <t>Racor de manguera (AFFF_10l)</t>
        </is>
      </c>
      <c r="B284" t="inlineStr">
        <is>
          <t>u</t>
        </is>
      </c>
      <c r="H284" t="n">
        <v>1</v>
      </c>
    </row>
    <row r="285">
      <c r="A285" t="inlineStr">
        <is>
          <t>Racor de manguera (AFFF_50l)</t>
        </is>
      </c>
      <c r="B285" t="inlineStr">
        <is>
          <t>u</t>
        </is>
      </c>
      <c r="I285" t="n">
        <v>1</v>
      </c>
    </row>
    <row r="286">
      <c r="A286" t="inlineStr">
        <is>
          <t>Racor de manguera (AGUA_10l)</t>
        </is>
      </c>
      <c r="B286" t="inlineStr">
        <is>
          <t>u</t>
        </is>
      </c>
      <c r="G286" t="n">
        <v>1</v>
      </c>
    </row>
    <row r="287">
      <c r="A287" t="inlineStr">
        <is>
          <t>Racor de manguera (BC_5kg)</t>
        </is>
      </c>
      <c r="B287" t="inlineStr">
        <is>
          <t>u</t>
        </is>
      </c>
      <c r="J287" t="n">
        <v>1</v>
      </c>
    </row>
    <row r="288">
      <c r="A288" t="inlineStr">
        <is>
          <t>Racor de manguera (CLASED_9l)</t>
        </is>
      </c>
      <c r="B288" t="inlineStr">
        <is>
          <t>u</t>
        </is>
      </c>
      <c r="O288" t="n">
        <v>1</v>
      </c>
    </row>
    <row r="289">
      <c r="A289" t="inlineStr">
        <is>
          <t>Racor de manguera (CO2_5kg)</t>
        </is>
      </c>
      <c r="B289" t="inlineStr">
        <is>
          <t>u</t>
        </is>
      </c>
      <c r="M289" t="n">
        <v>1</v>
      </c>
    </row>
    <row r="290">
      <c r="A290" t="inlineStr">
        <is>
          <t>Racor de manguera (HCFC-HFC_5kg)</t>
        </is>
      </c>
      <c r="B290" t="inlineStr">
        <is>
          <t>u</t>
        </is>
      </c>
      <c r="N290" t="n">
        <v>1</v>
      </c>
    </row>
    <row r="291">
      <c r="A291" t="inlineStr">
        <is>
          <t>Racor de manguera (SALESK_6l)</t>
        </is>
      </c>
      <c r="B291" t="inlineStr">
        <is>
          <t>u</t>
        </is>
      </c>
      <c r="K291" t="n">
        <v>1</v>
      </c>
    </row>
    <row r="292">
      <c r="A292" t="inlineStr">
        <is>
          <t>Resorte de retorno del vástago ()</t>
        </is>
      </c>
      <c r="B292" t="inlineStr">
        <is>
          <t>u</t>
        </is>
      </c>
      <c r="C292" t="n">
        <v>1</v>
      </c>
      <c r="D292" t="n">
        <v>1</v>
      </c>
      <c r="E292" t="n">
        <v>1</v>
      </c>
      <c r="F292" t="n">
        <v>1</v>
      </c>
      <c r="G292" t="n">
        <v>1</v>
      </c>
      <c r="H292" t="n">
        <v>1</v>
      </c>
      <c r="I292" t="n">
        <v>1</v>
      </c>
      <c r="J292" t="n">
        <v>1</v>
      </c>
      <c r="K292" t="n">
        <v>1</v>
      </c>
      <c r="N292" t="n">
        <v>1</v>
      </c>
      <c r="O292" t="n">
        <v>1</v>
      </c>
      <c r="P292" t="n">
        <v>1</v>
      </c>
      <c r="Q292" t="n">
        <v>1</v>
      </c>
      <c r="R292" t="n">
        <v>1</v>
      </c>
      <c r="S292" t="n">
        <v>1</v>
      </c>
    </row>
    <row r="293">
      <c r="A293" t="inlineStr">
        <is>
          <t>Soporte de manguera (ABC_100kg)</t>
        </is>
      </c>
      <c r="B293" t="inlineStr">
        <is>
          <t>u</t>
        </is>
      </c>
      <c r="S293" t="n">
        <v>1</v>
      </c>
    </row>
    <row r="294">
      <c r="A294" t="inlineStr">
        <is>
          <t>Soporte de manguera (ABC_25kg)</t>
        </is>
      </c>
      <c r="B294" t="inlineStr">
        <is>
          <t>u</t>
        </is>
      </c>
      <c r="P294" t="n">
        <v>1</v>
      </c>
    </row>
    <row r="295">
      <c r="A295" t="inlineStr">
        <is>
          <t>Soporte de manguera (ABC_50kg)</t>
        </is>
      </c>
      <c r="B295" t="inlineStr">
        <is>
          <t>u</t>
        </is>
      </c>
      <c r="Q295" t="n">
        <v>1</v>
      </c>
    </row>
    <row r="296">
      <c r="A296" t="inlineStr">
        <is>
          <t>Soporte de manguera (ABC_70kg)</t>
        </is>
      </c>
      <c r="B296" t="inlineStr">
        <is>
          <t>u</t>
        </is>
      </c>
      <c r="R296" t="n">
        <v>1</v>
      </c>
    </row>
    <row r="297">
      <c r="A297" t="inlineStr">
        <is>
          <t>Soporte de manguera (AFFF_50l)</t>
        </is>
      </c>
      <c r="B297" t="inlineStr">
        <is>
          <t>u</t>
        </is>
      </c>
      <c r="I297" t="n">
        <v>1</v>
      </c>
    </row>
    <row r="298">
      <c r="A298" t="inlineStr">
        <is>
          <t>Suncho portatobera (ABC_10kg)</t>
        </is>
      </c>
      <c r="B298" t="inlineStr">
        <is>
          <t>u</t>
        </is>
      </c>
      <c r="F298" t="n">
        <v>1</v>
      </c>
    </row>
    <row r="299">
      <c r="A299" t="inlineStr">
        <is>
          <t>Suncho portatobera (ABC_2.5kg)</t>
        </is>
      </c>
      <c r="B299" t="inlineStr">
        <is>
          <t>u</t>
        </is>
      </c>
      <c r="D299" t="n">
        <v>1</v>
      </c>
    </row>
    <row r="300">
      <c r="A300" t="inlineStr">
        <is>
          <t>Suncho portatobera (ABC_5kg)</t>
        </is>
      </c>
      <c r="B300" t="inlineStr">
        <is>
          <t>u</t>
        </is>
      </c>
      <c r="E300" t="n">
        <v>1</v>
      </c>
    </row>
    <row r="301">
      <c r="A301" t="inlineStr">
        <is>
          <t>Suncho portatobera (AFFF_10l)</t>
        </is>
      </c>
      <c r="B301" t="inlineStr">
        <is>
          <t>u</t>
        </is>
      </c>
      <c r="H301" t="n">
        <v>1</v>
      </c>
    </row>
    <row r="302">
      <c r="A302" t="inlineStr">
        <is>
          <t>Suncho portatobera (AGUA_10l)</t>
        </is>
      </c>
      <c r="B302" t="inlineStr">
        <is>
          <t>u</t>
        </is>
      </c>
      <c r="G302" t="n">
        <v>1</v>
      </c>
    </row>
    <row r="303">
      <c r="A303" t="inlineStr">
        <is>
          <t>Suncho portatobera (BC_5kg)</t>
        </is>
      </c>
      <c r="B303" t="inlineStr">
        <is>
          <t>u</t>
        </is>
      </c>
      <c r="J303" t="n">
        <v>1</v>
      </c>
    </row>
    <row r="304">
      <c r="A304" t="inlineStr">
        <is>
          <t>Suncho portatobera (CLASED_9l)</t>
        </is>
      </c>
      <c r="B304" t="inlineStr">
        <is>
          <t>u</t>
        </is>
      </c>
      <c r="O304" t="n">
        <v>1</v>
      </c>
    </row>
    <row r="305">
      <c r="A305" t="inlineStr">
        <is>
          <t>Suncho portatobera (HCFC-HFC_5kg)</t>
        </is>
      </c>
      <c r="B305" t="inlineStr">
        <is>
          <t>u</t>
        </is>
      </c>
      <c r="N305" t="n">
        <v>1</v>
      </c>
    </row>
    <row r="306">
      <c r="A306" t="inlineStr">
        <is>
          <t>Suncho portatobera (SALESK_6l)</t>
        </is>
      </c>
      <c r="B306" t="inlineStr">
        <is>
          <t>u</t>
        </is>
      </c>
      <c r="K306" t="n">
        <v>1</v>
      </c>
    </row>
    <row r="307">
      <c r="A307" t="inlineStr">
        <is>
          <t>Suncho soporte de difusor (CO2_5kg)</t>
        </is>
      </c>
      <c r="B307" t="inlineStr">
        <is>
          <t>u</t>
        </is>
      </c>
      <c r="M307" t="n">
        <v>1</v>
      </c>
    </row>
    <row r="308">
      <c r="A308" t="inlineStr">
        <is>
          <t>Sunchos de fijación (ABC_100kg)</t>
        </is>
      </c>
      <c r="B308" t="inlineStr">
        <is>
          <t>u</t>
        </is>
      </c>
      <c r="S308" t="n">
        <v>1</v>
      </c>
    </row>
    <row r="309">
      <c r="A309" t="inlineStr">
        <is>
          <t>Sunchos de fijación (ABC_25kg)</t>
        </is>
      </c>
      <c r="B309" t="inlineStr">
        <is>
          <t>u</t>
        </is>
      </c>
      <c r="P309" t="n">
        <v>1</v>
      </c>
    </row>
    <row r="310">
      <c r="A310" t="inlineStr">
        <is>
          <t>Sunchos de fijación (ABC_50kg)</t>
        </is>
      </c>
      <c r="B310" t="inlineStr">
        <is>
          <t>u</t>
        </is>
      </c>
      <c r="Q310" t="n">
        <v>1</v>
      </c>
    </row>
    <row r="311">
      <c r="A311" t="inlineStr">
        <is>
          <t>Sunchos de fijación (ABC_70kg)</t>
        </is>
      </c>
      <c r="B311" t="inlineStr">
        <is>
          <t>u</t>
        </is>
      </c>
      <c r="R311" t="n">
        <v>1</v>
      </c>
    </row>
    <row r="312">
      <c r="A312" t="inlineStr">
        <is>
          <t>Sunchos de fijación (AFFF_50l)</t>
        </is>
      </c>
      <c r="B312" t="inlineStr">
        <is>
          <t>u</t>
        </is>
      </c>
      <c r="I312" t="n">
        <v>1</v>
      </c>
    </row>
    <row r="313">
      <c r="A313" t="inlineStr">
        <is>
          <t>Tarjeta oficial de vigencia (CABA)</t>
        </is>
      </c>
      <c r="B313" t="inlineStr">
        <is>
          <t>u</t>
        </is>
      </c>
      <c r="C313" t="n">
        <v>1</v>
      </c>
      <c r="D313" t="n">
        <v>1</v>
      </c>
      <c r="E313" t="n">
        <v>1</v>
      </c>
      <c r="F313" t="n">
        <v>1</v>
      </c>
      <c r="G313" t="n">
        <v>1</v>
      </c>
      <c r="H313" t="n">
        <v>1</v>
      </c>
      <c r="I313" t="n">
        <v>1</v>
      </c>
      <c r="J313" t="n">
        <v>1</v>
      </c>
      <c r="K313" t="n">
        <v>1</v>
      </c>
      <c r="L313" t="n">
        <v>1</v>
      </c>
      <c r="M313" t="n">
        <v>1</v>
      </c>
      <c r="N313" t="n">
        <v>1</v>
      </c>
      <c r="O313" t="n">
        <v>1</v>
      </c>
      <c r="P313" t="n">
        <v>1</v>
      </c>
      <c r="Q313" t="n">
        <v>1</v>
      </c>
      <c r="R313" t="n">
        <v>1</v>
      </c>
      <c r="S313" t="n">
        <v>1</v>
      </c>
    </row>
    <row r="314">
      <c r="A314" t="inlineStr">
        <is>
          <t>Tobera (ABC_1kg)</t>
        </is>
      </c>
      <c r="B314" t="inlineStr">
        <is>
          <t>u</t>
        </is>
      </c>
      <c r="C314" t="n">
        <v>1</v>
      </c>
    </row>
    <row r="315">
      <c r="A315" t="inlineStr">
        <is>
          <t>Tobera campana (ABC_100kg)</t>
        </is>
      </c>
      <c r="B315" t="inlineStr">
        <is>
          <t>u</t>
        </is>
      </c>
      <c r="S315" t="n">
        <v>1</v>
      </c>
    </row>
    <row r="316">
      <c r="A316" t="inlineStr">
        <is>
          <t>Tobera campana (ABC_25kg)</t>
        </is>
      </c>
      <c r="B316" t="inlineStr">
        <is>
          <t>u</t>
        </is>
      </c>
      <c r="P316" t="n">
        <v>1</v>
      </c>
    </row>
    <row r="317">
      <c r="A317" t="inlineStr">
        <is>
          <t>Tobera campana (ABC_50kg)</t>
        </is>
      </c>
      <c r="B317" t="inlineStr">
        <is>
          <t>u</t>
        </is>
      </c>
      <c r="Q317" t="n">
        <v>1</v>
      </c>
    </row>
    <row r="318">
      <c r="A318" t="inlineStr">
        <is>
          <t>Tobera campana (ABC_70kg)</t>
        </is>
      </c>
      <c r="B318" t="inlineStr">
        <is>
          <t>u</t>
        </is>
      </c>
      <c r="R318" t="n">
        <v>1</v>
      </c>
    </row>
    <row r="319">
      <c r="A319" t="inlineStr">
        <is>
          <t>Tobera con portatobera (ABC_10kg)</t>
        </is>
      </c>
      <c r="B319" t="inlineStr">
        <is>
          <t>u</t>
        </is>
      </c>
      <c r="F319" t="n">
        <v>1</v>
      </c>
    </row>
    <row r="320">
      <c r="A320" t="inlineStr">
        <is>
          <t>Tobera con portatobera (ABC_2.5kg)</t>
        </is>
      </c>
      <c r="B320" t="inlineStr">
        <is>
          <t>u</t>
        </is>
      </c>
      <c r="D320" t="n">
        <v>1</v>
      </c>
    </row>
    <row r="321">
      <c r="A321" t="inlineStr">
        <is>
          <t>Tobera con portatobera (ABC_5kg)</t>
        </is>
      </c>
      <c r="B321" t="inlineStr">
        <is>
          <t>u</t>
        </is>
      </c>
      <c r="E321" t="n">
        <v>1</v>
      </c>
    </row>
    <row r="322">
      <c r="A322" t="inlineStr">
        <is>
          <t>Tobera con portatobera (BC_5kg)</t>
        </is>
      </c>
      <c r="B322" t="inlineStr">
        <is>
          <t>u</t>
        </is>
      </c>
      <c r="J322" t="n">
        <v>1</v>
      </c>
    </row>
    <row r="323">
      <c r="A323" t="inlineStr">
        <is>
          <t>Tobera con portatobera (HCFC-HFC_5kg)</t>
        </is>
      </c>
      <c r="B323" t="inlineStr">
        <is>
          <t>u</t>
        </is>
      </c>
      <c r="N323" t="n">
        <v>1</v>
      </c>
    </row>
    <row r="324">
      <c r="A324" t="inlineStr">
        <is>
          <t>Tobera de chorro pleno (AGUA_10l)</t>
        </is>
      </c>
      <c r="B324" t="inlineStr">
        <is>
          <t>u</t>
        </is>
      </c>
      <c r="G324" t="n">
        <v>1</v>
      </c>
    </row>
    <row r="325">
      <c r="A325" t="inlineStr">
        <is>
          <t>Válvula esférica (ABC_100kg)</t>
        </is>
      </c>
      <c r="B325" t="inlineStr">
        <is>
          <t>u</t>
        </is>
      </c>
      <c r="S325" t="n">
        <v>1</v>
      </c>
    </row>
    <row r="326">
      <c r="A326" t="inlineStr">
        <is>
          <t>Válvula esférica (ABC_25kg)</t>
        </is>
      </c>
      <c r="B326" t="inlineStr">
        <is>
          <t>u</t>
        </is>
      </c>
      <c r="P326" t="n">
        <v>1</v>
      </c>
    </row>
    <row r="327">
      <c r="A327" t="inlineStr">
        <is>
          <t>Válvula esférica (ABC_50kg)</t>
        </is>
      </c>
      <c r="B327" t="inlineStr">
        <is>
          <t>u</t>
        </is>
      </c>
      <c r="Q327" t="n">
        <v>1</v>
      </c>
    </row>
    <row r="328">
      <c r="A328" t="inlineStr">
        <is>
          <t>Válvula esférica (ABC_70kg)</t>
        </is>
      </c>
      <c r="B328" t="inlineStr">
        <is>
          <t>u</t>
        </is>
      </c>
      <c r="R328" t="n">
        <v>1</v>
      </c>
    </row>
    <row r="329">
      <c r="A329" t="inlineStr">
        <is>
          <t>Válvula esférica (AFFF_50l)</t>
        </is>
      </c>
      <c r="B329" t="inlineStr">
        <is>
          <t>u</t>
        </is>
      </c>
      <c r="I329" t="n">
        <v>1</v>
      </c>
    </row>
    <row r="330">
      <c r="A330" t="inlineStr">
        <is>
          <t>Vástago (ABC_100kg)</t>
        </is>
      </c>
      <c r="B330" t="inlineStr">
        <is>
          <t>u</t>
        </is>
      </c>
      <c r="S330" t="n">
        <v>1</v>
      </c>
    </row>
    <row r="331">
      <c r="A331" t="inlineStr">
        <is>
          <t>Vástago (ABC_10kg)</t>
        </is>
      </c>
      <c r="B331" t="inlineStr">
        <is>
          <t>u</t>
        </is>
      </c>
      <c r="F331" t="n">
        <v>1</v>
      </c>
    </row>
    <row r="332">
      <c r="A332" t="inlineStr">
        <is>
          <t>Vástago (ABC_1kg)</t>
        </is>
      </c>
      <c r="B332" t="inlineStr">
        <is>
          <t>u</t>
        </is>
      </c>
      <c r="C332" t="n">
        <v>1</v>
      </c>
    </row>
    <row r="333">
      <c r="A333" t="inlineStr">
        <is>
          <t>Vástago (ABC_2.5kg)</t>
        </is>
      </c>
      <c r="B333" t="inlineStr">
        <is>
          <t>u</t>
        </is>
      </c>
      <c r="D333" t="n">
        <v>1</v>
      </c>
    </row>
    <row r="334">
      <c r="A334" t="inlineStr">
        <is>
          <t>Vástago (ABC_25kg)</t>
        </is>
      </c>
      <c r="B334" t="inlineStr">
        <is>
          <t>u</t>
        </is>
      </c>
      <c r="P334" t="n">
        <v>1</v>
      </c>
    </row>
    <row r="335">
      <c r="A335" t="inlineStr">
        <is>
          <t>Vástago (ABC_50kg)</t>
        </is>
      </c>
      <c r="B335" t="inlineStr">
        <is>
          <t>u</t>
        </is>
      </c>
      <c r="Q335" t="n">
        <v>1</v>
      </c>
    </row>
    <row r="336">
      <c r="A336" t="inlineStr">
        <is>
          <t>Vástago (ABC_5kg)</t>
        </is>
      </c>
      <c r="B336" t="inlineStr">
        <is>
          <t>u</t>
        </is>
      </c>
      <c r="E336" t="n">
        <v>1</v>
      </c>
    </row>
    <row r="337">
      <c r="A337" t="inlineStr">
        <is>
          <t>Vástago (ABC_70kg)</t>
        </is>
      </c>
      <c r="B337" t="inlineStr">
        <is>
          <t>u</t>
        </is>
      </c>
      <c r="R337" t="n">
        <v>1</v>
      </c>
    </row>
    <row r="338">
      <c r="A338" t="inlineStr">
        <is>
          <t>Vástago (AFFF_10l)</t>
        </is>
      </c>
      <c r="B338" t="inlineStr">
        <is>
          <t>u</t>
        </is>
      </c>
      <c r="H338" t="n">
        <v>1</v>
      </c>
    </row>
    <row r="339">
      <c r="A339" t="inlineStr">
        <is>
          <t>Vástago (AFFF_50l)</t>
        </is>
      </c>
      <c r="B339" t="inlineStr">
        <is>
          <t>u</t>
        </is>
      </c>
      <c r="I339" t="n">
        <v>1</v>
      </c>
    </row>
    <row r="340">
      <c r="A340" t="inlineStr">
        <is>
          <t>Vástago (AGUA_10l)</t>
        </is>
      </c>
      <c r="B340" t="inlineStr">
        <is>
          <t>u</t>
        </is>
      </c>
      <c r="G340" t="n">
        <v>1</v>
      </c>
    </row>
    <row r="341">
      <c r="A341" t="inlineStr">
        <is>
          <t>Vástago (BC_5kg)</t>
        </is>
      </c>
      <c r="B341" t="inlineStr">
        <is>
          <t>u</t>
        </is>
      </c>
      <c r="J341" t="n">
        <v>1</v>
      </c>
    </row>
    <row r="342">
      <c r="A342" t="inlineStr">
        <is>
          <t>Vástago (CLASED_9l)</t>
        </is>
      </c>
      <c r="B342" t="inlineStr">
        <is>
          <t>u</t>
        </is>
      </c>
      <c r="O342" t="n">
        <v>1</v>
      </c>
    </row>
    <row r="343">
      <c r="A343" t="inlineStr">
        <is>
          <t>Vástago (CO2_2kg)</t>
        </is>
      </c>
      <c r="B343" t="inlineStr">
        <is>
          <t>u</t>
        </is>
      </c>
      <c r="L343" t="n">
        <v>1</v>
      </c>
    </row>
    <row r="344">
      <c r="A344" t="inlineStr">
        <is>
          <t>Vástago (CO2_5kg)</t>
        </is>
      </c>
      <c r="B344" t="inlineStr">
        <is>
          <t>u</t>
        </is>
      </c>
      <c r="M344" t="n">
        <v>1</v>
      </c>
    </row>
    <row r="345">
      <c r="A345" t="inlineStr">
        <is>
          <t>Vástago (HCFC-HFC_5kg)</t>
        </is>
      </c>
      <c r="B345" t="inlineStr">
        <is>
          <t>u</t>
        </is>
      </c>
      <c r="N345" t="n">
        <v>1</v>
      </c>
    </row>
    <row r="346">
      <c r="A346" t="inlineStr">
        <is>
          <t>Vástago (SALESK_6l)</t>
        </is>
      </c>
      <c r="B346" t="inlineStr">
        <is>
          <t>u</t>
        </is>
      </c>
      <c r="K346" t="n">
        <v>1</v>
      </c>
    </row>
  </sheetData>
  <autoFilter ref="A3:S346"/>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4" customWidth="1" min="1" max="1"/>
    <col width="40" customWidth="1" min="2" max="2"/>
    <col width="50" customWidth="1" min="3" max="3"/>
    <col width="60" customWidth="1" min="4" max="4"/>
    <col width="40" customWidth="1" min="5" max="5"/>
  </cols>
  <sheetData>
    <row r="1">
      <c r="A1" s="32" t="inlineStr">
        <is>
          <t>Plano de despiece</t>
        </is>
      </c>
      <c r="B1" s="32" t="inlineStr">
        <is>
          <t>Producto</t>
        </is>
      </c>
      <c r="C1" s="32" t="inlineStr">
        <is>
          <t>Subconjuntos</t>
        </is>
      </c>
      <c r="D1" s="32" t="inlineStr">
        <is>
          <t>Globos (códigos BOM)</t>
        </is>
      </c>
      <c r="E1" s="32" t="inlineStr">
        <is>
          <t>Archivo</t>
        </is>
      </c>
    </row>
    <row r="2">
      <c r="A2" s="3" t="inlineStr">
        <is>
          <t>FL_DES_ABC_1kg</t>
        </is>
      </c>
      <c r="B2" s="3" t="inlineStr">
        <is>
          <t>Extintor ABC 1 kg</t>
        </is>
      </c>
      <c r="C2" s="3" t="inlineStr">
        <is>
          <t>FL_REC_ABC_1kg Recipiente (cilindro), S2 Conjunto de válvula, S3 Dispositivo de descarga</t>
        </is>
      </c>
      <c r="D2" s="3" t="inlineStr">
        <is>
          <t>01, 02, 03, 04, C1, C2, C3, C4, 05, 06, 07, 08, 09, 10, 11, 12, 13, 14, 19, V2, V3, 15</t>
        </is>
      </c>
      <c r="E2" s="3" t="inlineStr">
        <is>
          <t>salida/despiece/FL_DES_ABC_1kg.pdf</t>
        </is>
      </c>
    </row>
    <row r="3">
      <c r="A3" s="3" t="inlineStr">
        <is>
          <t>FL_DES_ABC_2.5kg</t>
        </is>
      </c>
      <c r="B3" s="3" t="inlineStr">
        <is>
          <t>Extintor ABC 2,5 kg</t>
        </is>
      </c>
      <c r="C3" s="3" t="inlineStr">
        <is>
          <t>FL_REC_ABC_2.5kg Recipiente (cilindro), S2 Conjunto de válvula, S3 Dispositivo de descarga</t>
        </is>
      </c>
      <c r="D3" s="3" t="inlineStr">
        <is>
          <t>01, 02, 03, 04, C1, C2, C3, C4, 05, 06, 07, 08, 09, 10, 11, 12, 13, 14, 22, V2, V3, 15, 16, 17, 18</t>
        </is>
      </c>
      <c r="E3" s="3" t="inlineStr">
        <is>
          <t>salida/despiece/FL_DES_ABC_2.5kg.pdf</t>
        </is>
      </c>
    </row>
    <row r="4">
      <c r="A4" s="3" t="inlineStr">
        <is>
          <t>FL_DES_ABC_5kg</t>
        </is>
      </c>
      <c r="B4" s="3" t="inlineStr">
        <is>
          <t>Extintor ABC 5 kg</t>
        </is>
      </c>
      <c r="C4" s="3" t="inlineStr">
        <is>
          <t>FL_REC_ABC_5kg Recipiente (cilindro), S2 Conjunto de válvula, S3 Dispositivo de descarga</t>
        </is>
      </c>
      <c r="D4" s="3" t="inlineStr">
        <is>
          <t>01, 02, 03, 04, C1, C2, C3, C4, 05, 06, 07, 08, 09, 10, 11, 12, 13, 14, 22, V2, V3, 15, 16, 17, 18</t>
        </is>
      </c>
      <c r="E4" s="3" t="inlineStr">
        <is>
          <t>salida/despiece/FL_DES_ABC_5kg.pdf</t>
        </is>
      </c>
    </row>
    <row r="5">
      <c r="A5" s="3" t="inlineStr">
        <is>
          <t>FL_DES_ABC_10kg</t>
        </is>
      </c>
      <c r="B5" s="3" t="inlineStr">
        <is>
          <t>Extintor ABC 10 kg</t>
        </is>
      </c>
      <c r="C5" s="3" t="inlineStr">
        <is>
          <t>FL_REC_ABC_10kg Recipiente (cilindro), S2 Conjunto de válvula, S3 Dispositivo de descarga</t>
        </is>
      </c>
      <c r="D5" s="3" t="inlineStr">
        <is>
          <t>01, 02, 03, 04, C1, C2, C3, C4, 05, 06, 07, 08, 09, 10, 11, 12, 13, 14, 22, V2, V3, 15, 16, 17, 18</t>
        </is>
      </c>
      <c r="E5" s="3" t="inlineStr">
        <is>
          <t>salida/despiece/FL_DES_ABC_10kg.pdf</t>
        </is>
      </c>
    </row>
    <row r="6">
      <c r="A6" s="3" t="inlineStr">
        <is>
          <t>FL_DES_AGUA_10l</t>
        </is>
      </c>
      <c r="B6" s="3" t="inlineStr">
        <is>
          <t>Extintor Agua 10 l</t>
        </is>
      </c>
      <c r="C6" s="3" t="inlineStr">
        <is>
          <t>S1 Recipiente (cilindro), S2 Conjunto de válvula, S3 Dispositivo de descarga</t>
        </is>
      </c>
      <c r="D6" s="3" t="inlineStr">
        <is>
          <t>01, 02, 03, 04, C1, C2, 05, 06, 07, 08, 09, 10, 11, 12, 13, 14, 22, V2, V3, 15, 16, 17, 18</t>
        </is>
      </c>
      <c r="E6" s="3" t="inlineStr">
        <is>
          <t>salida/despiece/FL_DES_AGUA_10l.pdf</t>
        </is>
      </c>
    </row>
    <row r="7">
      <c r="A7" s="3" t="inlineStr">
        <is>
          <t>FL_DES_AFFF_10l</t>
        </is>
      </c>
      <c r="B7" s="3" t="inlineStr">
        <is>
          <t>Extintor AFFF 10 l</t>
        </is>
      </c>
      <c r="C7" s="3" t="inlineStr">
        <is>
          <t>S1 Recipiente (cilindro), S2 Conjunto de válvula, S3 Dispositivo de descarga</t>
        </is>
      </c>
      <c r="D7" s="3" t="inlineStr">
        <is>
          <t>01, 02, 03, 04, C1, C2, 05, 06, 07, 08, 09, 10, 11, 12, 13, 14, 22, V2, V3, 15, 16, 17, 18</t>
        </is>
      </c>
      <c r="E7" s="3" t="inlineStr">
        <is>
          <t>salida/despiece/FL_DES_AFFF_10l.pdf</t>
        </is>
      </c>
    </row>
    <row r="8">
      <c r="A8" s="3" t="inlineStr">
        <is>
          <t>FL_DES_AFFF_50l</t>
        </is>
      </c>
      <c r="B8" s="3" t="inlineStr">
        <is>
          <t>Extintor AFFF 50 l sobre ruedas</t>
        </is>
      </c>
      <c r="C8" s="3" t="inlineStr">
        <is>
          <t>S1 Recipiente (cilindro), S2 Conjunto de válvula, S3 Dispositivo de descarga, S4 Carro (bastidor y ruedas)</t>
        </is>
      </c>
      <c r="D8" s="3" t="inlineStr">
        <is>
          <t>01, 02, 03, 04, C1, C2, C3, C4, 11, 12, 13, 14, 15, 16, 17, 18, 19, 20, 30, V2, V3, 21, 22, 23, 24, 25, 26, 05, 06, 07, 08, 09, 10</t>
        </is>
      </c>
      <c r="E8" s="3" t="inlineStr">
        <is>
          <t>salida/despiece/FL_DES_AFFF_50l.pdf</t>
        </is>
      </c>
    </row>
    <row r="9">
      <c r="A9" s="3" t="inlineStr">
        <is>
          <t>FL_DES_BC_5kg</t>
        </is>
      </c>
      <c r="B9" s="3" t="inlineStr">
        <is>
          <t>Extintor BC 5 kg</t>
        </is>
      </c>
      <c r="C9" s="3" t="inlineStr">
        <is>
          <t>S1 Recipiente (cilindro), S2 Conjunto de válvula, S3 Dispositivo de descarga</t>
        </is>
      </c>
      <c r="D9" s="3" t="inlineStr">
        <is>
          <t>01, 02, 03, 04, C1, C2, C3, C4, 05, 06, 07, 08, 09, 10, 11, 12, 13, 14, 22, V2, V3, 15, 16, 17, 18</t>
        </is>
      </c>
      <c r="E9" s="3" t="inlineStr">
        <is>
          <t>salida/despiece/FL_DES_BC_5kg.pdf</t>
        </is>
      </c>
    </row>
    <row r="10">
      <c r="A10" s="3" t="inlineStr">
        <is>
          <t>FL_DES_SALESK_6l</t>
        </is>
      </c>
      <c r="B10" s="3" t="inlineStr">
        <is>
          <t>Extintor Sales K 6 l</t>
        </is>
      </c>
      <c r="C10" s="3" t="inlineStr">
        <is>
          <t>S1 Recipiente (cilindro), S2 Conjunto de válvula, S3 Dispositivo de descarga</t>
        </is>
      </c>
      <c r="D10" s="3" t="inlineStr">
        <is>
          <t>01, 02, 03, 04, C1, C2, 05, 06, 07, 08, 09, 10, 11, 12, 13, 14, 22, V2, V3, 15, 16, 17, 18</t>
        </is>
      </c>
      <c r="E10" s="3" t="inlineStr">
        <is>
          <t>salida/despiece/FL_DES_SALESK_6l.pdf</t>
        </is>
      </c>
    </row>
    <row r="11">
      <c r="A11" s="3" t="inlineStr">
        <is>
          <t>FL_DES_CO2_2kg</t>
        </is>
      </c>
      <c r="B11" s="3" t="inlineStr">
        <is>
          <t>Extintor CO₂ 2 kg</t>
        </is>
      </c>
      <c r="C11" s="3" t="inlineStr">
        <is>
          <t>S1 Recipiente (cilindro), S2 Conjunto de válvula, S3 Dispositivo de descarga</t>
        </is>
      </c>
      <c r="D11" s="3" t="inlineStr">
        <is>
          <t>01, 12, C3, 02, 03, 04, 05, 06, 07, 08, 09, 10, 11, 19, V3, 13, 14, 15</t>
        </is>
      </c>
      <c r="E11" s="3" t="inlineStr">
        <is>
          <t>salida/despiece/FL_DES_CO2_2kg.pdf</t>
        </is>
      </c>
    </row>
    <row r="12">
      <c r="A12" s="3" t="inlineStr">
        <is>
          <t>FL_DES_CO2_5kg</t>
        </is>
      </c>
      <c r="B12" s="3" t="inlineStr">
        <is>
          <t>Extintor CO₂ 5 kg</t>
        </is>
      </c>
      <c r="C12" s="3" t="inlineStr">
        <is>
          <t>S1 Recipiente (cilindro), S2 Conjunto de válvula, S3 Dispositivo de descarga</t>
        </is>
      </c>
      <c r="D12" s="3" t="inlineStr">
        <is>
          <t>01, 12, C3, 02, 03, 04, 05, 06, 07, 08, 09, 10, 11, 21, V3, 13, 14, 15, 16, 17</t>
        </is>
      </c>
      <c r="E12" s="3" t="inlineStr">
        <is>
          <t>salida/despiece/FL_DES_CO2_5kg.pdf</t>
        </is>
      </c>
    </row>
    <row r="13">
      <c r="A13" s="3" t="inlineStr">
        <is>
          <t>FL_DES_HCFC-HFC_5kg</t>
        </is>
      </c>
      <c r="B13" s="3" t="inlineStr">
        <is>
          <t>Extintor HCFC/HFC 5 kg</t>
        </is>
      </c>
      <c r="C13" s="3" t="inlineStr">
        <is>
          <t>S1 Recipiente (cilindro), S2 Conjunto de válvula, S3 Dispositivo de descarga</t>
        </is>
      </c>
      <c r="D13" s="3" t="inlineStr">
        <is>
          <t>01, 02, 03, 04, C1, C2, C3, C4, 05, 06, 07, 08, 09, 10, 11, 12, 13, 14, 22, V2, V3, 15, 16, 17, 18</t>
        </is>
      </c>
      <c r="E13" s="3" t="inlineStr">
        <is>
          <t>salida/despiece/FL_DES_HCFC-HFC_5kg.pdf</t>
        </is>
      </c>
    </row>
    <row r="14">
      <c r="A14" s="3" t="inlineStr">
        <is>
          <t>FL_DES_CLASED_9l</t>
        </is>
      </c>
      <c r="B14" s="3" t="inlineStr">
        <is>
          <t>Extintor Clase D 9 l</t>
        </is>
      </c>
      <c r="C14" s="3" t="inlineStr">
        <is>
          <t>S1 Recipiente (cilindro), S2 Conjunto de válvula, S3 Dispositivo de descarga</t>
        </is>
      </c>
      <c r="D14" s="3" t="inlineStr">
        <is>
          <t>01, 02, 03, 04, C1, C2, C3, C4, 05, 06, 07, 08, 09, 10, 11, 12, 13, 14, 23, V2, V3, 15, 16, 17, 18, 19</t>
        </is>
      </c>
      <c r="E14" s="3" t="inlineStr">
        <is>
          <t>salida/despiece/FL_DES_CLASED_9l.pdf</t>
        </is>
      </c>
    </row>
    <row r="15">
      <c r="A15" s="3" t="inlineStr">
        <is>
          <t>FL_DES_ABC_25kg</t>
        </is>
      </c>
      <c r="B15" s="3" t="inlineStr">
        <is>
          <t>Extintor ABC 25 kg sobre ruedas</t>
        </is>
      </c>
      <c r="C15" s="3" t="inlineStr">
        <is>
          <t>FL_REC_ABC_25kg Recipiente (cilindro), S2 Conjunto de válvula, S3 Dispositivo de descarga, S4 Carro (bastidor y ruedas)</t>
        </is>
      </c>
      <c r="D15" s="3" t="inlineStr">
        <is>
          <t>01, 02, 03, 04, C1, C2, C3, C4, 11, 12, 13, 14, 15, 16, 17, 18, 19, 20, 30, V2, V3, 21, 22, 23, 24, 25, 26, 05, 06, 07, 08, 09, 10</t>
        </is>
      </c>
      <c r="E15" s="3" t="inlineStr">
        <is>
          <t>salida/despiece/FL_DES_ABC_25kg.pdf</t>
        </is>
      </c>
    </row>
    <row r="16">
      <c r="A16" s="3" t="inlineStr">
        <is>
          <t>FL_DES_ABC_50kg</t>
        </is>
      </c>
      <c r="B16" s="3" t="inlineStr">
        <is>
          <t>Extintor ABC 50 kg sobre ruedas</t>
        </is>
      </c>
      <c r="C16" s="3" t="inlineStr">
        <is>
          <t>FL_REC_ABC_50kg Recipiente (cilindro), S2 Conjunto de válvula, S3 Dispositivo de descarga, S4 Carro (bastidor y ruedas)</t>
        </is>
      </c>
      <c r="D16" s="3" t="inlineStr">
        <is>
          <t>01, 02, 03, 04, C1, C2, C3, C4, 11, 12, 13, 14, 15, 16, 17, 18, 19, 20, 30, V2, V3, 21, 22, 23, 24, 25, 26, 05, 06, 07, 08, 09, 10</t>
        </is>
      </c>
      <c r="E16" s="3" t="inlineStr">
        <is>
          <t>salida/despiece/FL_DES_ABC_50kg.pdf</t>
        </is>
      </c>
    </row>
    <row r="17">
      <c r="A17" s="3" t="inlineStr">
        <is>
          <t>FL_DES_ABC_70kg</t>
        </is>
      </c>
      <c r="B17" s="3" t="inlineStr">
        <is>
          <t>Extintor ABC 70 kg sobre ruedas</t>
        </is>
      </c>
      <c r="C17" s="3" t="inlineStr">
        <is>
          <t>FL_REC_ABC_70kg Recipiente (cilindro), S2 Conjunto de válvula, S3 Dispositivo de descarga, S4 Carro (bastidor y ruedas)</t>
        </is>
      </c>
      <c r="D17" s="3" t="inlineStr">
        <is>
          <t>01, 02, 03, 04, C1, C2, C3, C4, 11, 12, 13, 14, 15, 16, 17, 18, 19, 20, 30, V2, V3, 21, 22, 23, 24, 25, 26, 05, 06, 07, 08, 09, 10</t>
        </is>
      </c>
      <c r="E17" s="3" t="inlineStr">
        <is>
          <t>salida/despiece/FL_DES_ABC_70kg.pdf</t>
        </is>
      </c>
    </row>
    <row r="18">
      <c r="A18" s="3" t="inlineStr">
        <is>
          <t>FL_DES_ABC_100kg</t>
        </is>
      </c>
      <c r="B18" s="3" t="inlineStr">
        <is>
          <t>Extintor ABC 100 kg sobre ruedas</t>
        </is>
      </c>
      <c r="C18" s="3" t="inlineStr">
        <is>
          <t>FL_REC_ABC_100kg Recipiente (cilindro), S2 Conjunto de válvula, S3 Dispositivo de descarga, S4 Carro (bastidor y ruedas)</t>
        </is>
      </c>
      <c r="D18" s="3" t="inlineStr">
        <is>
          <t>01, 02, 03, 04, C1, C2, C3, C4, 11, 12, 13, 14, 15, 16, 17, 18, 19, 20, 30, V2, V3, 21, 22, 23, 24, 25, 26, 05, 06, 07, 08, 09, 10</t>
        </is>
      </c>
      <c r="E18" s="3" t="inlineStr">
        <is>
          <t>salida/despiece/FL_DES_ABC_100kg.pdf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2026-10-06T00:02:11Z</dcterms:created>
  <dcterms:modified xmlns:dcterms="http://purl.org/dc/terms/" xmlns:xsi="http://www.w3.org/2001/XMLSchema-instance" xsi:type="dcterms:W3CDTF">2026-10-06T00:03:00Z</dcterms:modified>
</cp:coreProperties>
</file>