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Indice" sheetId="1" state="visible" r:id="rId1"/>
    <sheet xmlns:r="http://schemas.openxmlformats.org/officeDocument/2006/relationships" name="02_Decisiones" sheetId="2" state="visible" r:id="rId2"/>
    <sheet xmlns:r="http://schemas.openxmlformats.org/officeDocument/2006/relationships" name="03_Resumen_Productos" sheetId="3" state="visible" r:id="rId3"/>
    <sheet xmlns:r="http://schemas.openxmlformats.org/officeDocument/2006/relationships" name="04_BOM_Matafuegos" sheetId="4" state="visible" r:id="rId4"/>
    <sheet xmlns:r="http://schemas.openxmlformats.org/officeDocument/2006/relationships" name="05_BOM_Cilindros" sheetId="5" state="visible" r:id="rId5"/>
    <sheet xmlns:r="http://schemas.openxmlformats.org/officeDocument/2006/relationships" name="06_BOM_Sustitutos" sheetId="6" state="visible" r:id="rId6"/>
    <sheet xmlns:r="http://schemas.openxmlformats.org/officeDocument/2006/relationships" name="07_BOM_Recargas" sheetId="7" state="visible" r:id="rId7"/>
    <sheet xmlns:r="http://schemas.openxmlformats.org/officeDocument/2006/relationships" name="08_Quimica_Agentes" sheetId="8" state="visible" r:id="rId8"/>
    <sheet xmlns:r="http://schemas.openxmlformats.org/officeDocument/2006/relationships" name="09_Carga_N2" sheetId="9" state="visible" r:id="rId9"/>
    <sheet xmlns:r="http://schemas.openxmlformats.org/officeDocument/2006/relationships" name="10_Proveedores" sheetId="10" state="visible" r:id="rId10"/>
    <sheet xmlns:r="http://schemas.openxmlformats.org/officeDocument/2006/relationships" name="11_Validacion_MP" sheetId="11" state="visible" r:id="rId11"/>
    <sheet xmlns:r="http://schemas.openxmlformats.org/officeDocument/2006/relationships" name="12_Maestro_Consolidado_MP" sheetId="12" state="visible" r:id="rId12"/>
    <sheet xmlns:r="http://schemas.openxmlformats.org/officeDocument/2006/relationships" name="13_Fuentes" sheetId="13" state="visible" r:id="rId13"/>
    <sheet xmlns:r="http://schemas.openxmlformats.org/officeDocument/2006/relationships" name="14_Comparacion_Mercado" sheetId="14" state="visible" r:id="rId14"/>
    <sheet xmlns:r="http://schemas.openxmlformats.org/officeDocument/2006/relationships" name="15_Indice_Planos" sheetId="15" state="visible" r:id="rId15"/>
    <sheet xmlns:r="http://schemas.openxmlformats.org/officeDocument/2006/relationships" name="BOM_FL_MAT_ABC_1kg" sheetId="16" state="visible" r:id="rId16"/>
    <sheet xmlns:r="http://schemas.openxmlformats.org/officeDocument/2006/relationships" name="BOM_FL_MAT_ABC_2.5kg" sheetId="17" state="visible" r:id="rId17"/>
    <sheet xmlns:r="http://schemas.openxmlformats.org/officeDocument/2006/relationships" name="BOM_FL_MAT_ABC_5kg" sheetId="18" state="visible" r:id="rId18"/>
    <sheet xmlns:r="http://schemas.openxmlformats.org/officeDocument/2006/relationships" name="BOM_FL_MAT_ABC_10kg" sheetId="19" state="visible" r:id="rId19"/>
    <sheet xmlns:r="http://schemas.openxmlformats.org/officeDocument/2006/relationships" name="BOM_FL_MAT_AGUA_10l" sheetId="20" state="visible" r:id="rId20"/>
    <sheet xmlns:r="http://schemas.openxmlformats.org/officeDocument/2006/relationships" name="BOM_FL_MAT_AFFF_10l" sheetId="21" state="visible" r:id="rId21"/>
    <sheet xmlns:r="http://schemas.openxmlformats.org/officeDocument/2006/relationships" name="BOM_FL_MAT_AFFF_50l" sheetId="22" state="visible" r:id="rId22"/>
    <sheet xmlns:r="http://schemas.openxmlformats.org/officeDocument/2006/relationships" name="BOM_FL_MAT_BC_5kg" sheetId="23" state="visible" r:id="rId23"/>
    <sheet xmlns:r="http://schemas.openxmlformats.org/officeDocument/2006/relationships" name="BOM_FL_MAT_SALESK_6l" sheetId="24" state="visible" r:id="rId24"/>
    <sheet xmlns:r="http://schemas.openxmlformats.org/officeDocument/2006/relationships" name="BOM_FL_MAT_CO2_2kg" sheetId="25" state="visible" r:id="rId25"/>
    <sheet xmlns:r="http://schemas.openxmlformats.org/officeDocument/2006/relationships" name="BOM_FL_MAT_CO2_5kg" sheetId="26" state="visible" r:id="rId26"/>
    <sheet xmlns:r="http://schemas.openxmlformats.org/officeDocument/2006/relationships" name="BOM_FL_MAT_HCFC-HFC_5kg" sheetId="27" state="visible" r:id="rId27"/>
    <sheet xmlns:r="http://schemas.openxmlformats.org/officeDocument/2006/relationships" name="BOM_FL_MAT_CLASED_9l" sheetId="28" state="visible" r:id="rId28"/>
    <sheet xmlns:r="http://schemas.openxmlformats.org/officeDocument/2006/relationships" name="BOM_FL_MAT_ABC_25kg" sheetId="29" state="visible" r:id="rId29"/>
    <sheet xmlns:r="http://schemas.openxmlformats.org/officeDocument/2006/relationships" name="BOM_FL_MAT_ABC_50kg" sheetId="30" state="visible" r:id="rId30"/>
    <sheet xmlns:r="http://schemas.openxmlformats.org/officeDocument/2006/relationships" name="BOM_FL_MAT_ABC_70kg" sheetId="31" state="visible" r:id="rId31"/>
    <sheet xmlns:r="http://schemas.openxmlformats.org/officeDocument/2006/relationships" name="BOM_FL_MAT_ABC_100kg" sheetId="32" state="visible" r:id="rId32"/>
    <sheet xmlns:r="http://schemas.openxmlformats.org/officeDocument/2006/relationships" name="BOM_FL_REC_ABC_1kg" sheetId="33" state="visible" r:id="rId33"/>
    <sheet xmlns:r="http://schemas.openxmlformats.org/officeDocument/2006/relationships" name="BOM_FL_REC_ABC_2.5kg" sheetId="34" state="visible" r:id="rId34"/>
    <sheet xmlns:r="http://schemas.openxmlformats.org/officeDocument/2006/relationships" name="BOM_FL_REC_ABC_5kg" sheetId="35" state="visible" r:id="rId35"/>
    <sheet xmlns:r="http://schemas.openxmlformats.org/officeDocument/2006/relationships" name="BOM_FL_REC_ABC_10kg" sheetId="36" state="visible" r:id="rId36"/>
    <sheet xmlns:r="http://schemas.openxmlformats.org/officeDocument/2006/relationships" name="BOM_FL_REC_ABC_25kg" sheetId="37" state="visible" r:id="rId37"/>
    <sheet xmlns:r="http://schemas.openxmlformats.org/officeDocument/2006/relationships" name="BOM_FL_REC_ABC_50kg" sheetId="38" state="visible" r:id="rId38"/>
    <sheet xmlns:r="http://schemas.openxmlformats.org/officeDocument/2006/relationships" name="BOM_FL_REC_ABC_70kg" sheetId="39" state="visible" r:id="rId39"/>
    <sheet xmlns:r="http://schemas.openxmlformats.org/officeDocument/2006/relationships" name="BOM_FL_REC_ABC_100kg" sheetId="40" state="visible" r:id="rId40"/>
  </sheets>
  <definedNames>
    <definedName name="_xlnm._FilterDatabase" localSheetId="2" hidden="1">'03_Resumen_Productos'!$A$1:$V$18</definedName>
    <definedName name="_xlnm._FilterDatabase" localSheetId="3" hidden="1">'04_BOM_Matafuegos'!$A$4:$S$919</definedName>
    <definedName name="_xlnm._FilterDatabase" localSheetId="4" hidden="1">'05_BOM_Cilindros'!$A$4:$S$186</definedName>
    <definedName name="_xlnm._FilterDatabase" localSheetId="5" hidden="1">'06_BOM_Sustitutos'!$A$4:$S$123</definedName>
    <definedName name="_xlnm._FilterDatabase" localSheetId="6" hidden="1">'07_BOM_Recargas'!$A$9:$L$523</definedName>
    <definedName name="_xlnm._FilterDatabase" localSheetId="9" hidden="1">'10_Proveedores'!$A$5:$O$72</definedName>
    <definedName name="_xlnm._FilterDatabase" localSheetId="11" hidden="1">'12_Maestro_Consolidado_MP'!$A$6:$DE$157</definedName>
    <definedName name="_xlnm._FilterDatabase" localSheetId="15" hidden="1">'BOM_FL_MAT_ABC_1kg'!$A$10:$R$61</definedName>
    <definedName name="_xlnm._FilterDatabase" localSheetId="16" hidden="1">'BOM_FL_MAT_ABC_2.5kg'!$A$10:$R$67</definedName>
    <definedName name="_xlnm._FilterDatabase" localSheetId="17" hidden="1">'BOM_FL_MAT_ABC_5kg'!$A$10:$R$67</definedName>
    <definedName name="_xlnm._FilterDatabase" localSheetId="18" hidden="1">'BOM_FL_MAT_ABC_10kg'!$A$10:$R$67</definedName>
    <definedName name="_xlnm._FilterDatabase" localSheetId="19" hidden="1">'BOM_FL_MAT_AGUA_10l'!$A$10:$R$60</definedName>
    <definedName name="_xlnm._FilterDatabase" localSheetId="20" hidden="1">'BOM_FL_MAT_AFFF_10l'!$A$10:$R$61</definedName>
    <definedName name="_xlnm._FilterDatabase" localSheetId="21" hidden="1">'BOM_FL_MAT_AFFF_50l'!$A$10:$R$65</definedName>
    <definedName name="_xlnm._FilterDatabase" localSheetId="22" hidden="1">'BOM_FL_MAT_BC_5kg'!$A$10:$R$60</definedName>
    <definedName name="_xlnm._FilterDatabase" localSheetId="23" hidden="1">'BOM_FL_MAT_SALESK_6l'!$A$10:$R$60</definedName>
    <definedName name="_xlnm._FilterDatabase" localSheetId="24" hidden="1">'BOM_FL_MAT_CO2_2kg'!$A$10:$R$54</definedName>
    <definedName name="_xlnm._FilterDatabase" localSheetId="25" hidden="1">'BOM_FL_MAT_CO2_5kg'!$A$10:$R$56</definedName>
    <definedName name="_xlnm._FilterDatabase" localSheetId="26" hidden="1">'BOM_FL_MAT_HCFC-HFC_5kg'!$A$10:$R$60</definedName>
    <definedName name="_xlnm._FilterDatabase" localSheetId="27" hidden="1">'BOM_FL_MAT_CLASED_9l'!$A$10:$R$60</definedName>
    <definedName name="_xlnm._FilterDatabase" localSheetId="28" hidden="1">'BOM_FL_MAT_ABC_25kg'!$A$10:$R$72</definedName>
    <definedName name="_xlnm._FilterDatabase" localSheetId="29" hidden="1">'BOM_FL_MAT_ABC_50kg'!$A$10:$R$71</definedName>
    <definedName name="_xlnm._FilterDatabase" localSheetId="30" hidden="1">'BOM_FL_MAT_ABC_70kg'!$A$10:$R$72</definedName>
    <definedName name="_xlnm._FilterDatabase" localSheetId="31" hidden="1">'BOM_FL_MAT_ABC_100kg'!$A$10:$R$72</definedName>
    <definedName name="_xlnm._FilterDatabase" localSheetId="32" hidden="1">'BOM_FL_REC_ABC_1kg'!$A$10:$R$35</definedName>
    <definedName name="_xlnm._FilterDatabase" localSheetId="33" hidden="1">'BOM_FL_REC_ABC_2.5kg'!$A$10:$R$35</definedName>
    <definedName name="_xlnm._FilterDatabase" localSheetId="34" hidden="1">'BOM_FL_REC_ABC_5kg'!$A$10:$R$35</definedName>
    <definedName name="_xlnm._FilterDatabase" localSheetId="35" hidden="1">'BOM_FL_REC_ABC_10kg'!$A$10:$R$35</definedName>
    <definedName name="_xlnm._FilterDatabase" localSheetId="36" hidden="1">'BOM_FL_REC_ABC_25kg'!$A$10:$R$30</definedName>
    <definedName name="_xlnm._FilterDatabase" localSheetId="37" hidden="1">'BOM_FL_REC_ABC_50kg'!$A$10:$R$30</definedName>
    <definedName name="_xlnm._FilterDatabase" localSheetId="38" hidden="1">'BOM_FL_REC_ABC_70kg'!$A$10:$R$31</definedName>
    <definedName name="_xlnm._FilterDatabase" localSheetId="39" hidden="1">'BOM_FL_REC_ABC_100kg'!$A$10:$R$31</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12">
    <font>
      <name val="Calibri"/>
      <family val="2"/>
      <color theme="1"/>
      <sz val="11"/>
      <scheme val="minor"/>
    </font>
    <font>
      <b val="1"/>
      <sz val="14"/>
    </font>
    <font>
      <b val="1"/>
    </font>
    <font>
      <b val="1"/>
      <sz val="12"/>
    </font>
    <font>
      <color rgb="000563C1"/>
      <u val="single"/>
    </font>
    <font>
      <b val="1"/>
      <sz val="9"/>
    </font>
    <font>
      <sz val="9"/>
    </font>
    <font>
      <b val="1"/>
      <color rgb="00FFFFFF"/>
    </font>
    <font>
      <i val="1"/>
      <color rgb="00555555"/>
    </font>
    <font>
      <b val="1"/>
      <sz val="8"/>
    </font>
    <font>
      <b val="1"/>
      <sz val="11"/>
    </font>
    <font>
      <i val="1"/>
      <sz val="9"/>
    </font>
  </fonts>
  <fills count="12">
    <fill>
      <patternFill/>
    </fill>
    <fill>
      <patternFill patternType="gray125"/>
    </fill>
    <fill>
      <patternFill patternType="solid">
        <fgColor rgb="00FFF2CC"/>
      </patternFill>
    </fill>
    <fill>
      <patternFill patternType="solid">
        <fgColor rgb="00F8CBAD"/>
      </patternFill>
    </fill>
    <fill>
      <patternFill patternType="solid">
        <fgColor rgb="00FF8B8B"/>
      </patternFill>
    </fill>
    <fill>
      <patternFill patternType="solid">
        <fgColor rgb="007F1D1D"/>
      </patternFill>
    </fill>
    <fill>
      <patternFill patternType="solid">
        <fgColor rgb="00E5B8B7"/>
      </patternFill>
    </fill>
    <fill>
      <patternFill patternType="solid">
        <fgColor rgb="00F2DCDB"/>
      </patternFill>
    </fill>
    <fill>
      <patternFill patternType="solid">
        <fgColor rgb="00F2F2F2"/>
      </patternFill>
    </fill>
    <fill>
      <patternFill patternType="solid">
        <fgColor rgb="00DDEBF7"/>
      </patternFill>
    </fill>
    <fill>
      <patternFill patternType="solid">
        <fgColor rgb="00E2EFDA"/>
      </patternFill>
    </fill>
    <fill>
      <patternFill patternType="solid">
        <f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6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0" fillId="0" borderId="1" pivotButton="0" quotePrefix="0" xfId="0"/>
    <xf numFmtId="0" fontId="0" fillId="0" borderId="0" applyAlignment="1" pivotButton="0" quotePrefix="0" xfId="0">
      <alignment wrapText="1"/>
    </xf>
    <xf numFmtId="0" fontId="0" fillId="2" borderId="1" pivotButton="0" quotePrefix="0" xfId="0"/>
    <xf numFmtId="0" fontId="0" fillId="3" borderId="1" pivotButton="0" quotePrefix="0" xfId="0"/>
    <xf numFmtId="0" fontId="0" fillId="4" borderId="1" pivotButton="0" quotePrefix="0" xfId="0"/>
    <xf numFmtId="0" fontId="4" fillId="0" borderId="0" pivotButton="0" quotePrefix="0" xfId="0"/>
    <xf numFmtId="0" fontId="5" fillId="0" borderId="0" pivotButton="0" quotePrefix="0" xfId="0"/>
    <xf numFmtId="0" fontId="6" fillId="0" borderId="1" pivotButton="0" quotePrefix="0" xfId="0"/>
    <xf numFmtId="0" fontId="6" fillId="2" borderId="1" pivotButton="0" quotePrefix="0" xfId="0"/>
    <xf numFmtId="0" fontId="6" fillId="3" borderId="1" pivotButton="0" quotePrefix="0" xfId="0"/>
    <xf numFmtId="0" fontId="6" fillId="4" borderId="1" pivotButton="0" quotePrefix="0" xfId="0"/>
    <xf numFmtId="0" fontId="7" fillId="5" borderId="0" applyAlignment="1" pivotButton="0" quotePrefix="0" xfId="0">
      <alignmen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4" borderId="1" applyAlignment="1" pivotButton="0" quotePrefix="0" xfId="0">
      <alignment vertical="top" wrapText="1"/>
    </xf>
    <xf numFmtId="2" fontId="0" fillId="0" borderId="1" pivotButton="0" quotePrefix="0" xfId="0"/>
    <xf numFmtId="164" fontId="0" fillId="0" borderId="1" pivotButton="0" quotePrefix="0" xfId="0"/>
    <xf numFmtId="0" fontId="4" fillId="0" borderId="1" pivotButton="0" quotePrefix="0" xfId="0"/>
    <xf numFmtId="2" fontId="0" fillId="0" borderId="0" pivotButton="0" quotePrefix="0" xfId="0"/>
    <xf numFmtId="164" fontId="0" fillId="0" borderId="0" pivotButton="0" quotePrefix="0" xfId="0"/>
    <xf numFmtId="0" fontId="7" fillId="5" borderId="1" applyAlignment="1" pivotButton="0" quotePrefix="0" xfId="0">
      <alignment vertical="center" wrapText="1"/>
    </xf>
    <xf numFmtId="0" fontId="2" fillId="6" borderId="1" applyAlignment="1" pivotButton="0" quotePrefix="0" xfId="0">
      <alignment vertical="top"/>
    </xf>
    <xf numFmtId="0" fontId="2" fillId="6" borderId="1" applyAlignment="1" pivotButton="0" quotePrefix="0" xfId="0">
      <alignment vertical="top" wrapText="1"/>
    </xf>
    <xf numFmtId="165" fontId="2" fillId="6" borderId="1" applyAlignment="1" pivotButton="0" quotePrefix="0" xfId="0">
      <alignment vertical="top"/>
    </xf>
    <xf numFmtId="0" fontId="2" fillId="7" borderId="1" applyAlignment="1" pivotButton="0" quotePrefix="0" xfId="0">
      <alignment vertical="top"/>
    </xf>
    <xf numFmtId="0" fontId="2" fillId="7" borderId="1" applyAlignment="1" pivotButton="0" quotePrefix="0" xfId="0">
      <alignment vertical="top" wrapText="1"/>
    </xf>
    <xf numFmtId="165" fontId="2" fillId="7" borderId="1" applyAlignment="1" pivotButton="0" quotePrefix="0" xfId="0">
      <alignment vertical="top"/>
    </xf>
    <xf numFmtId="0" fontId="0" fillId="0" borderId="1" applyAlignment="1" pivotButton="0" quotePrefix="0" xfId="0">
      <alignment vertical="top"/>
    </xf>
    <xf numFmtId="165" fontId="0" fillId="0" borderId="1" applyAlignment="1" pivotButton="0" quotePrefix="0" xfId="0">
      <alignment vertical="top"/>
    </xf>
    <xf numFmtId="0" fontId="8" fillId="8" borderId="1" applyAlignment="1" pivotButton="0" quotePrefix="0" xfId="0">
      <alignment vertical="top"/>
    </xf>
    <xf numFmtId="0" fontId="8" fillId="8" borderId="1" applyAlignment="1" pivotButton="0" quotePrefix="0" xfId="0">
      <alignment vertical="top" wrapText="1"/>
    </xf>
    <xf numFmtId="165" fontId="8" fillId="8" borderId="1" applyAlignment="1" pivotButton="0" quotePrefix="0" xfId="0">
      <alignment vertical="top"/>
    </xf>
    <xf numFmtId="0" fontId="0" fillId="2" borderId="1" applyAlignment="1" pivotButton="0" quotePrefix="0" xfId="0">
      <alignment vertical="top"/>
    </xf>
    <xf numFmtId="165" fontId="0" fillId="2" borderId="1" applyAlignment="1" pivotButton="0" quotePrefix="0" xfId="0">
      <alignment vertical="top"/>
    </xf>
    <xf numFmtId="0" fontId="0" fillId="4" borderId="1" applyAlignment="1" pivotButton="0" quotePrefix="0" xfId="0">
      <alignment vertical="top"/>
    </xf>
    <xf numFmtId="165" fontId="0" fillId="4"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0" fontId="0" fillId="9" borderId="1" applyAlignment="1" pivotButton="0" quotePrefix="0" xfId="0">
      <alignment vertical="top" wrapText="1"/>
    </xf>
    <xf numFmtId="2" fontId="0" fillId="2" borderId="1" pivotButton="0" quotePrefix="0" xfId="0"/>
    <xf numFmtId="164" fontId="0" fillId="2" borderId="1" pivotButton="0" quotePrefix="0" xfId="0"/>
    <xf numFmtId="0" fontId="0" fillId="10" borderId="1" applyAlignment="1" pivotButton="0" quotePrefix="0" xfId="0">
      <alignment vertical="top" wrapText="1"/>
    </xf>
    <xf numFmtId="0" fontId="0" fillId="11" borderId="1" applyAlignment="1" pivotButton="0" quotePrefix="0" xfId="0">
      <alignment vertical="top" wrapText="1"/>
    </xf>
    <xf numFmtId="0" fontId="9" fillId="0" borderId="0" applyAlignment="1" pivotButton="0" quotePrefix="0" xfId="0">
      <alignment vertical="bottom" textRotation="90"/>
    </xf>
    <xf numFmtId="0" fontId="7" fillId="5" borderId="0" applyAlignment="1" pivotButton="0" quotePrefix="0" xfId="0">
      <alignment vertical="center" textRotation="90" wrapText="1"/>
    </xf>
    <xf numFmtId="0" fontId="0" fillId="3" borderId="0" pivotButton="0" quotePrefix="0" xfId="0"/>
    <xf numFmtId="0" fontId="0" fillId="2" borderId="0" pivotButton="0" quotePrefix="0" xfId="0"/>
    <xf numFmtId="0" fontId="0" fillId="4" borderId="0" pivotButton="0" quotePrefix="0" xfId="0"/>
    <xf numFmtId="0" fontId="7" fillId="5" borderId="0" pivotButton="0" quotePrefix="0" xfId="0"/>
    <xf numFmtId="0" fontId="0" fillId="2" borderId="0" applyAlignment="1" pivotButton="0" quotePrefix="0" xfId="0">
      <alignment vertical="top" wrapText="1"/>
    </xf>
    <xf numFmtId="0" fontId="0" fillId="3" borderId="0" applyAlignment="1" pivotButton="0" quotePrefix="0" xfId="0">
      <alignment vertical="top" wrapText="1"/>
    </xf>
    <xf numFmtId="0" fontId="4" fillId="0" borderId="1" applyAlignment="1" pivotButton="0" quotePrefix="0" xfId="0">
      <alignment vertical="top" wrapText="1"/>
    </xf>
    <xf numFmtId="0" fontId="10" fillId="0" borderId="0" pivotButton="0" quotePrefix="0" xfId="0"/>
    <xf numFmtId="165" fontId="0" fillId="0" borderId="0" pivotButton="0" quotePrefix="0" xfId="0"/>
    <xf numFmtId="0" fontId="11" fillId="0" borderId="0" pivotButton="0" quotePrefix="0" xfId="0"/>
  </cellXfs>
  <cellStyles count="1">
    <cellStyle name="Normal" xfId="0" builtinId="0" hidden="0"/>
  </cellStyles>
  <dxfs count="2">
    <dxf>
      <fill>
        <patternFill patternType="solid">
          <fgColor rgb="00FF8B8B"/>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2_Decisiones'!A1" TargetMode="External" Id="rId1"/><Relationship Type="http://schemas.openxmlformats.org/officeDocument/2006/relationships/hyperlink" Target="#'03_Resumen_Productos'!A1" TargetMode="External" Id="rId2"/><Relationship Type="http://schemas.openxmlformats.org/officeDocument/2006/relationships/hyperlink" Target="#'04_BOM_Matafuegos'!A1" TargetMode="External" Id="rId3"/><Relationship Type="http://schemas.openxmlformats.org/officeDocument/2006/relationships/hyperlink" Target="#'05_BOM_Cilindros'!A1" TargetMode="External" Id="rId4"/><Relationship Type="http://schemas.openxmlformats.org/officeDocument/2006/relationships/hyperlink" Target="#'06_BOM_Sustitutos'!A1" TargetMode="External" Id="rId5"/><Relationship Type="http://schemas.openxmlformats.org/officeDocument/2006/relationships/hyperlink" Target="#'07_BOM_Recargas'!A1" TargetMode="External" Id="rId6"/><Relationship Type="http://schemas.openxmlformats.org/officeDocument/2006/relationships/hyperlink" Target="#'08_Quimica_Agentes'!A1" TargetMode="External" Id="rId7"/><Relationship Type="http://schemas.openxmlformats.org/officeDocument/2006/relationships/hyperlink" Target="#'09_Carga_N2'!A1" TargetMode="External" Id="rId8"/><Relationship Type="http://schemas.openxmlformats.org/officeDocument/2006/relationships/hyperlink" Target="#'10_Proveedores'!A1" TargetMode="External" Id="rId9"/><Relationship Type="http://schemas.openxmlformats.org/officeDocument/2006/relationships/hyperlink" Target="#'11_Validacion_MP'!A1" TargetMode="External" Id="rId10"/><Relationship Type="http://schemas.openxmlformats.org/officeDocument/2006/relationships/hyperlink" Target="#'12_Maestro_Consolidado_MP'!A1" TargetMode="External" Id="rId11"/><Relationship Type="http://schemas.openxmlformats.org/officeDocument/2006/relationships/hyperlink" Target="#'13_Fuentes'!A1" TargetMode="External" Id="rId12"/><Relationship Type="http://schemas.openxmlformats.org/officeDocument/2006/relationships/hyperlink" Target="#'14_Comparacion_Mercado'!A1" TargetMode="External" Id="rId13"/><Relationship Type="http://schemas.openxmlformats.org/officeDocument/2006/relationships/hyperlink" Target="#'15_Indice_Planos'!A1" TargetMode="External" Id="rId14"/></Relationships>
</file>

<file path=xl/worksheets/_rels/sheet3.xml.rels><Relationships xmlns="http://schemas.openxmlformats.org/package/2006/relationships"><Relationship Type="http://schemas.openxmlformats.org/officeDocument/2006/relationships/hyperlink" Target="#'BOM_FL_MAT_ABC_1kg'!A1" TargetMode="External" Id="rId1"/><Relationship Type="http://schemas.openxmlformats.org/officeDocument/2006/relationships/hyperlink" Target="#'BOM_FL_MAT_ABC_2.5kg'!A1" TargetMode="External" Id="rId2"/><Relationship Type="http://schemas.openxmlformats.org/officeDocument/2006/relationships/hyperlink" Target="#'BOM_FL_MAT_ABC_5kg'!A1" TargetMode="External" Id="rId3"/><Relationship Type="http://schemas.openxmlformats.org/officeDocument/2006/relationships/hyperlink" Target="#'BOM_FL_MAT_ABC_10kg'!A1" TargetMode="External" Id="rId4"/><Relationship Type="http://schemas.openxmlformats.org/officeDocument/2006/relationships/hyperlink" Target="#'BOM_FL_MAT_AGUA_10l'!A1" TargetMode="External" Id="rId5"/><Relationship Type="http://schemas.openxmlformats.org/officeDocument/2006/relationships/hyperlink" Target="#'BOM_FL_MAT_AFFF_10l'!A1" TargetMode="External" Id="rId6"/><Relationship Type="http://schemas.openxmlformats.org/officeDocument/2006/relationships/hyperlink" Target="#'BOM_FL_MAT_AFFF_50l'!A1" TargetMode="External" Id="rId7"/><Relationship Type="http://schemas.openxmlformats.org/officeDocument/2006/relationships/hyperlink" Target="#'BOM_FL_MAT_BC_5kg'!A1" TargetMode="External" Id="rId8"/><Relationship Type="http://schemas.openxmlformats.org/officeDocument/2006/relationships/hyperlink" Target="#'BOM_FL_MAT_SALESK_6l'!A1" TargetMode="External" Id="rId9"/><Relationship Type="http://schemas.openxmlformats.org/officeDocument/2006/relationships/hyperlink" Target="#'BOM_FL_MAT_CO2_2kg'!A1" TargetMode="External" Id="rId10"/><Relationship Type="http://schemas.openxmlformats.org/officeDocument/2006/relationships/hyperlink" Target="#'BOM_FL_MAT_CO2_5kg'!A1" TargetMode="External" Id="rId11"/><Relationship Type="http://schemas.openxmlformats.org/officeDocument/2006/relationships/hyperlink" Target="#'BOM_FL_MAT_HCFC-HFC_5kg'!A1" TargetMode="External" Id="rId12"/><Relationship Type="http://schemas.openxmlformats.org/officeDocument/2006/relationships/hyperlink" Target="#'BOM_FL_MAT_CLASED_9l'!A1" TargetMode="External" Id="rId13"/><Relationship Type="http://schemas.openxmlformats.org/officeDocument/2006/relationships/hyperlink" Target="#'BOM_FL_MAT_ABC_25kg'!A1" TargetMode="External" Id="rId14"/><Relationship Type="http://schemas.openxmlformats.org/officeDocument/2006/relationships/hyperlink" Target="#'BOM_FL_MAT_ABC_50kg'!A1" TargetMode="External" Id="rId15"/><Relationship Type="http://schemas.openxmlformats.org/officeDocument/2006/relationships/hyperlink" Target="#'BOM_FL_MAT_ABC_70kg'!A1" TargetMode="External" Id="rId16"/><Relationship Type="http://schemas.openxmlformats.org/officeDocument/2006/relationships/hyperlink" Target="#'BOM_FL_MAT_ABC_100kg'!A1" TargetMode="External" Id="rId17"/></Relationships>
</file>

<file path=xl/worksheets/_rels/sheet15.xml.rels><Relationships xmlns="http://schemas.openxmlformats.org/package/2006/relationships"><Relationship Type="http://schemas.openxmlformats.org/officeDocument/2006/relationships/hyperlink" Target="#'BOM_FL_MAT_ABC_1kg'!A1" TargetMode="External" Id="rId1"/><Relationship Type="http://schemas.openxmlformats.org/officeDocument/2006/relationships/hyperlink" Target="#'BOM_FL_MAT_ABC_2.5kg'!A1" TargetMode="External" Id="rId2"/><Relationship Type="http://schemas.openxmlformats.org/officeDocument/2006/relationships/hyperlink" Target="#'BOM_FL_MAT_ABC_5kg'!A1" TargetMode="External" Id="rId3"/><Relationship Type="http://schemas.openxmlformats.org/officeDocument/2006/relationships/hyperlink" Target="#'BOM_FL_MAT_ABC_10kg'!A1" TargetMode="External" Id="rId4"/><Relationship Type="http://schemas.openxmlformats.org/officeDocument/2006/relationships/hyperlink" Target="#'BOM_FL_MAT_AGUA_10l'!A1" TargetMode="External" Id="rId5"/><Relationship Type="http://schemas.openxmlformats.org/officeDocument/2006/relationships/hyperlink" Target="#'BOM_FL_MAT_AFFF_10l'!A1" TargetMode="External" Id="rId6"/><Relationship Type="http://schemas.openxmlformats.org/officeDocument/2006/relationships/hyperlink" Target="#'BOM_FL_MAT_AFFF_50l'!A1" TargetMode="External" Id="rId7"/><Relationship Type="http://schemas.openxmlformats.org/officeDocument/2006/relationships/hyperlink" Target="#'BOM_FL_MAT_BC_5kg'!A1" TargetMode="External" Id="rId8"/><Relationship Type="http://schemas.openxmlformats.org/officeDocument/2006/relationships/hyperlink" Target="#'BOM_FL_MAT_SALESK_6l'!A1" TargetMode="External" Id="rId9"/><Relationship Type="http://schemas.openxmlformats.org/officeDocument/2006/relationships/hyperlink" Target="#'BOM_FL_MAT_CO2_2kg'!A1" TargetMode="External" Id="rId10"/><Relationship Type="http://schemas.openxmlformats.org/officeDocument/2006/relationships/hyperlink" Target="#'BOM_FL_MAT_CO2_5kg'!A1" TargetMode="External" Id="rId11"/><Relationship Type="http://schemas.openxmlformats.org/officeDocument/2006/relationships/hyperlink" Target="#'BOM_FL_MAT_HCFC-HFC_5kg'!A1" TargetMode="External" Id="rId12"/><Relationship Type="http://schemas.openxmlformats.org/officeDocument/2006/relationships/hyperlink" Target="#'BOM_FL_MAT_CLASED_9l'!A1" TargetMode="External" Id="rId13"/><Relationship Type="http://schemas.openxmlformats.org/officeDocument/2006/relationships/hyperlink" Target="#'BOM_FL_MAT_ABC_25kg'!A1" TargetMode="External" Id="rId14"/><Relationship Type="http://schemas.openxmlformats.org/officeDocument/2006/relationships/hyperlink" Target="#'BOM_FL_MAT_ABC_50kg'!A1" TargetMode="External" Id="rId15"/><Relationship Type="http://schemas.openxmlformats.org/officeDocument/2006/relationships/hyperlink" Target="#'BOM_FL_MAT_ABC_70kg'!A1" TargetMode="External" Id="rId16"/><Relationship Type="http://schemas.openxmlformats.org/officeDocument/2006/relationships/hyperlink" Target="#'BOM_FL_MAT_ABC_100kg'!A1" TargetMode="External" Id="rId17"/></Relationships>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8" customWidth="1" min="1" max="1"/>
    <col width="120" customWidth="1" min="2" max="2"/>
  </cols>
  <sheetData>
    <row r="1">
      <c r="A1" s="1" t="inlineStr">
        <is>
          <t>FLAMA S.A. - Lista de materiales (BOM) de matafuegos, cilindros, sustitutos y recargas</t>
        </is>
      </c>
    </row>
    <row r="3" ht="45" customHeight="1">
      <c r="A3" s="2" t="inlineStr">
        <is>
          <t>Origen</t>
        </is>
      </c>
      <c r="B3" s="3" t="inlineStr">
        <is>
          <t>Generado por código (python generar.py --bom) a partir del mismo modelo 3D que los planos FL_MAT, FL_REC, FL_DES y FL_SUS: código, posición, denominación y material de cada pieza son los del plano; medida y peso se miden sobre el sólido.</t>
        </is>
      </c>
    </row>
    <row r="4" ht="30" customHeight="1">
      <c r="A4" s="2" t="inlineStr">
        <is>
          <t>Alcance</t>
        </is>
      </c>
      <c r="B4" s="3" t="inlineStr">
        <is>
          <t>17 matafuegos FL_MAT (8 de fabricación propia ABC y 9 revendidos), 8 cilindros sueltos FL_REC, 17 extintores sustitutos FL_SUS y los kits de recarga RK por extintor y caso.</t>
        </is>
      </c>
    </row>
    <row r="5" ht="30" customHeight="1">
      <c r="A5" s="2" t="inlineStr">
        <is>
          <t>Niveles</t>
        </is>
      </c>
      <c r="B5" s="3" t="inlineStr">
        <is>
          <t>0 producto (= plano) · 1 subconjunto · 2 pieza o insumo · 3 materia prima de la pieza fabricada (cursiva; no suma al peso porque ya está en la pieza).</t>
        </is>
      </c>
    </row>
    <row r="6" ht="60" customHeight="1">
      <c r="A6" s="2" t="inlineStr">
        <is>
          <t>Subconjuntos</t>
        </is>
      </c>
      <c r="B6" s="3" t="inlineStr">
        <is>
          <t>S1 Recipiente (cilindro) · S2 Conjunto de válvula · S3 Dispositivo de descarga · S4 Carro (tren rodante soldado y ruedas) · S5 Carga: agente extintor y gas impulsor · S6 Identificación y precinto · S7 Embalaje · S8 Soporte (accesorio de montaje) · S0 Equipo terminado comprado (revendidos). En los ABC el S1 es el plano FL_REC (el mismo recipiente que se vende suelto).</t>
        </is>
      </c>
    </row>
    <row r="7" ht="60" customHeight="1">
      <c r="A7" s="2" t="inlineStr">
        <is>
          <t>Entra MRP</t>
        </is>
      </c>
      <c r="B7" s="3" t="inlineStr">
        <is>
          <t>Sí = se compra (materia prima, componente, consumible, servicio, agente, gas, identificación, embalaje). No = se fabrica (se explota en su materia prima), viene dentro de un conjunto comprado o es un proceso. Revendidos: sólo S0 (y la tarjeta AGC si va a CABA). Cilindros: materia prima del recipiente, tapón, etiqueta y embalaje. Sustitutos: sólo el kit de identificación. Recargas: todo lo que se repone.</t>
        </is>
      </c>
    </row>
    <row r="8" ht="45" customHeight="1">
      <c r="A8" s="2" t="inlineStr">
        <is>
          <t>Códigos</t>
        </is>
      </c>
      <c r="B8" s="3" t="inlineStr">
        <is>
          <t>ABC10-01… pieza del plano (posición 01) · ABC10-S1…S8 subconjuntos · K2 válvula HZ armada · C consumible del recipiente · V interno de válvula · A carga · I soporte · E embalaje · T cilindro suelto · MP-* materia prima · SUS-* sustituto · RK-*-A/B/C kits de recarga.</t>
        </is>
      </c>
    </row>
    <row r="9" ht="30" customHeight="1">
      <c r="A9" s="2" t="inlineStr">
        <is>
          <t>Peso</t>
        </is>
      </c>
      <c r="B9" s="3" t="inlineStr">
        <is>
          <t>kg por unidad de medida. Peso total = Cant. × Peso unit. (fórmula). Subconjunto = suma de sus piezas. Componentes comprados sin ficha quedan sin peso (fila naranja).</t>
        </is>
      </c>
    </row>
    <row r="10" ht="18" customHeight="1">
      <c r="A10" s="2" t="inlineStr">
        <is>
          <t>Fuente P</t>
        </is>
      </c>
      <c r="B10" s="3" t="inlineStr">
        <is>
          <t>Plano / modelo 3D (misma geometría que el plano FL_MAT / FL_REC)</t>
        </is>
      </c>
    </row>
    <row r="11" ht="18" customHeight="1">
      <c r="A11" s="2" t="inlineStr">
        <is>
          <t>Fuente C</t>
        </is>
      </c>
      <c r="B11" s="3" t="inlineStr">
        <is>
          <t>Cálculo declarado con datos del plano, de la norma o de una fuente técnica (fórmula en Medida u Observaciones)</t>
        </is>
      </c>
    </row>
    <row r="12" ht="18" customHeight="1">
      <c r="A12" s="2" t="inlineStr">
        <is>
          <t>Fuente N</t>
        </is>
      </c>
      <c r="B12" s="3" t="inlineStr">
        <is>
          <t>Norma IRAM o resolución (se cita el apartado; texto no transcripto por licencia)</t>
        </is>
      </c>
    </row>
    <row r="13" ht="18" customHeight="1">
      <c r="A13" s="2" t="inlineStr">
        <is>
          <t>Fuente L</t>
        </is>
      </c>
      <c r="B13" s="3" t="inlineStr">
        <is>
          <t>Layout de planta FLAMA (FL_PI_04) cruzado con la cotización de chapa (Pacheco / Pradecon)</t>
        </is>
      </c>
    </row>
    <row r="14" ht="18" customHeight="1">
      <c r="A14" s="2" t="inlineStr">
        <is>
          <t>Fuente Q</t>
        </is>
      </c>
      <c r="B14" s="3" t="inlineStr">
        <is>
          <t>Cotización o ficha técnica recibida del proveedor (ver 11_Validacion_MP)</t>
        </is>
      </c>
    </row>
    <row r="15" ht="18" customHeight="1">
      <c r="A15" s="2" t="inlineStr">
        <is>
          <t>Fuente I</t>
        </is>
      </c>
      <c r="B15" s="3" t="inlineStr">
        <is>
          <t>Investigación de mercado FLAMA (planillas entregadas; ver 11_Validacion_MP)</t>
        </is>
      </c>
    </row>
    <row r="16" ht="18" customHeight="1">
      <c r="A16" s="2" t="inlineStr">
        <is>
          <t>Fuente V</t>
        </is>
      </c>
      <c r="B16" s="3" t="inlineStr">
        <is>
          <t>Sin documento de respaldo (la fila queda en naranja con lo que falta en Observaciones)</t>
        </is>
      </c>
    </row>
    <row r="17" ht="30" customHeight="1">
      <c r="A17" s="2" t="inlineStr">
        <is>
          <t>Normas</t>
        </is>
      </c>
      <c r="B17" s="3" t="inlineStr">
        <is>
          <t>IRAM 3517-2:2020 y las IRAM de producto citadas; resoluciones PBA y CABA. Los PDF de las normas tienen licencia monousuario: se citan apartados, no se transcribe texto.</t>
        </is>
      </c>
    </row>
    <row r="19">
      <c r="A19" s="4" t="inlineStr">
        <is>
          <t>Colores de estado</t>
        </is>
      </c>
    </row>
    <row r="20">
      <c r="A20" s="5" t="inlineStr">
        <is>
          <t>Sin color</t>
        </is>
      </c>
      <c r="B20" s="6" t="inlineStr">
        <is>
          <t>Validado: especificación respaldada por plano, norma, cotización o proveedor nacional con el producto exacto (la falta de precio no cambia el color: ver 10_Proveedores)</t>
        </is>
      </c>
    </row>
    <row r="21">
      <c r="A21" s="7" t="inlineStr">
        <is>
          <t>Amarillo</t>
        </is>
      </c>
      <c r="B21" s="6" t="inlineStr">
        <is>
          <t>Estimado: valor justificado con norma o fuente técnica citada, sin medición ni cotización propia (corregir con dato real)</t>
        </is>
      </c>
    </row>
    <row r="22">
      <c r="A22" s="8" t="inlineStr">
        <is>
          <t>Naranja</t>
        </is>
      </c>
      <c r="B22" s="6" t="inlineStr">
        <is>
          <t>A validar: falta el dato, la cotización o la confirmación del proveedor</t>
        </is>
      </c>
    </row>
    <row r="23">
      <c r="A23" s="9" t="inlineStr">
        <is>
          <t>Rojo</t>
        </is>
      </c>
      <c r="B23" s="6" t="inlineStr">
        <is>
          <t>No cumple o decisión pendiente: contradicción con la norma, con el plano o sin proveedor nacional</t>
        </is>
      </c>
    </row>
    <row r="25">
      <c r="A25" s="4" t="inlineStr">
        <is>
          <t>Hojas</t>
        </is>
      </c>
    </row>
    <row r="26">
      <c r="A26" s="10" t="inlineStr">
        <is>
          <t>02_Decisiones</t>
        </is>
      </c>
      <c r="B26" t="inlineStr">
        <is>
          <t>Decisiones de diseño y abastecimiento con su fundamento</t>
        </is>
      </c>
    </row>
    <row r="27">
      <c r="A27" s="10" t="inlineStr">
        <is>
          <t>03_Resumen_Productos</t>
        </is>
      </c>
      <c r="B27" t="inlineStr">
        <is>
          <t>Una fila por matafuego: agente, carga, gas, pesos, desvío contra catálogo, ítems en MRP</t>
        </is>
      </c>
    </row>
    <row r="28">
      <c r="A28" s="10" t="inlineStr">
        <is>
          <t>04_BOM_Matafuegos</t>
        </is>
      </c>
      <c r="B28" t="inlineStr">
        <is>
          <t>BOM de los 17 matafuegos en tabla plana filtrable</t>
        </is>
      </c>
    </row>
    <row r="29">
      <c r="A29" s="10" t="inlineStr">
        <is>
          <t>05_BOM_Cilindros</t>
        </is>
      </c>
      <c r="B29" t="inlineStr">
        <is>
          <t>BOM de los 8 cilindros sueltos FL_REC</t>
        </is>
      </c>
    </row>
    <row r="30">
      <c r="A30" s="10" t="inlineStr">
        <is>
          <t>06_BOM_Sustitutos</t>
        </is>
      </c>
      <c r="B30" t="inlineStr">
        <is>
          <t>BOM unitario de los extintores sustitutos FL_SUS</t>
        </is>
      </c>
    </row>
    <row r="31">
      <c r="A31" s="10" t="inlineStr">
        <is>
          <t>07_BOM_Recargas</t>
        </is>
      </c>
      <c r="B31" t="inlineStr">
        <is>
          <t>Kits de recarga por extintor y por caso (IRAM 3517-2:2020)</t>
        </is>
      </c>
    </row>
    <row r="32">
      <c r="A32" s="10" t="inlineStr">
        <is>
          <t>08_Quimica_Agentes</t>
        </is>
      </c>
      <c r="B32" t="inlineStr">
        <is>
          <t>Química y densidades de los agentes (entrada de 09_Carga_N2)</t>
        </is>
      </c>
    </row>
    <row r="33">
      <c r="A33" s="10" t="inlineStr">
        <is>
          <t>09_Carga_N2</t>
        </is>
      </c>
      <c r="B33" t="inlineStr">
        <is>
          <t>Volumen libre, gas impulsor y control de llenado por modelo</t>
        </is>
      </c>
    </row>
    <row r="34">
      <c r="A34" s="10" t="inlineStr">
        <is>
          <t>10_Proveedores</t>
        </is>
      </c>
      <c r="B34" t="inlineStr">
        <is>
          <t>Proveedores nacionales por ítem (principal y alternativa) y directorio</t>
        </is>
      </c>
    </row>
    <row r="35">
      <c r="A35" s="10" t="inlineStr">
        <is>
          <t>11_Validacion_MP</t>
        </is>
      </c>
      <c r="B35" t="inlineStr">
        <is>
          <t>Respaldo documental y estado de cada materia prima y componente</t>
        </is>
      </c>
    </row>
    <row r="36">
      <c r="A36" s="10" t="inlineStr">
        <is>
          <t>12_Maestro_Consolidado_MP</t>
        </is>
      </c>
      <c r="B36" t="inlineStr">
        <is>
          <t>Maestro consolidado: todo lo que lleva cada matafuego, cilindro, sustituto y kit de recarga, por unidad, más los insumos de cada proceso (base del archivo MRP_MATERIA_PRIMA)</t>
        </is>
      </c>
    </row>
    <row r="37">
      <c r="A37" s="10" t="inlineStr">
        <is>
          <t>13_Fuentes</t>
        </is>
      </c>
      <c r="B37" t="inlineStr">
        <is>
          <t>Documentos y fuentes técnicas citadas</t>
        </is>
      </c>
    </row>
    <row r="38">
      <c r="A38" s="10" t="inlineStr">
        <is>
          <t>14_Comparacion_Mercado</t>
        </is>
      </c>
      <c r="B38" t="inlineStr">
        <is>
          <t>Peso cargado de fabricantes con sello IRAM contra el modelo</t>
        </is>
      </c>
    </row>
    <row r="39">
      <c r="A39" s="10" t="inlineStr">
        <is>
          <t>15_Indice_Planos</t>
        </is>
      </c>
      <c r="B39" t="inlineStr">
        <is>
          <t>Planos de conjunto, despiece, recipiente y sustituto de cada producto</t>
        </is>
      </c>
    </row>
    <row r="40">
      <c r="A40" t="inlineStr">
        <is>
          <t>BOM_FL_MAT_* / BOM_FL_REC_*</t>
        </is>
      </c>
      <c r="B40" t="inlineStr">
        <is>
          <t>Una hoja por plano con el BOM multinivel plegable (links en 03_Resumen_Productos y 15_Indice_Planos)</t>
        </is>
      </c>
    </row>
  </sheetData>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 xmlns:r="http://schemas.openxmlformats.org/officeDocument/2006/relationships" ref="A34" r:id="rId9"/>
    <hyperlink xmlns:r="http://schemas.openxmlformats.org/officeDocument/2006/relationships" ref="A35" r:id="rId10"/>
    <hyperlink xmlns:r="http://schemas.openxmlformats.org/officeDocument/2006/relationships" ref="A36" r:id="rId11"/>
    <hyperlink xmlns:r="http://schemas.openxmlformats.org/officeDocument/2006/relationships" ref="A37" r:id="rId12"/>
    <hyperlink xmlns:r="http://schemas.openxmlformats.org/officeDocument/2006/relationships" ref="A38" r:id="rId13"/>
    <hyperlink xmlns:r="http://schemas.openxmlformats.org/officeDocument/2006/relationships" ref="A39"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5" customWidth="1" min="1" max="1"/>
    <col width="22" customWidth="1" min="2" max="2"/>
    <col width="60" customWidth="1" min="3" max="3"/>
    <col width="60" customWidth="1" min="4" max="4"/>
    <col width="60" customWidth="1" min="5" max="5"/>
  </cols>
  <sheetData>
    <row r="1">
      <c r="A1" s="4" t="inlineStr">
        <is>
          <t>Decisiones de diseño y abastecimiento que estructuran el BOM</t>
        </is>
      </c>
    </row>
    <row r="2">
      <c r="A2" s="11" t="inlineStr">
        <is>
          <t>Colores:</t>
        </is>
      </c>
      <c r="B2" s="12" t="inlineStr">
        <is>
          <t>Validado</t>
        </is>
      </c>
      <c r="D2" s="13" t="inlineStr">
        <is>
          <t>Estimado</t>
        </is>
      </c>
      <c r="F2" s="14" t="inlineStr">
        <is>
          <t>A validar</t>
        </is>
      </c>
      <c r="H2" s="15" t="inlineStr">
        <is>
          <t>No cumple o decisión pendiente</t>
        </is>
      </c>
    </row>
    <row r="4" ht="20" customHeight="1">
      <c r="A4" s="16" t="inlineStr">
        <is>
          <t>N°</t>
        </is>
      </c>
      <c r="B4" s="16" t="inlineStr">
        <is>
          <t>Tema</t>
        </is>
      </c>
      <c r="C4" s="16" t="inlineStr">
        <is>
          <t>Decisión adoptada</t>
        </is>
      </c>
      <c r="D4" s="16" t="inlineStr">
        <is>
          <t>Fundamento (norma / fuente)</t>
        </is>
      </c>
      <c r="E4" s="16" t="inlineStr">
        <is>
          <t>Impacto en el BOM</t>
        </is>
      </c>
    </row>
    <row r="5">
      <c r="A5" s="17" t="n">
        <v>1</v>
      </c>
      <c r="B5" s="17" t="inlineStr">
        <is>
          <t>Fabricación propia</t>
        </is>
      </c>
      <c r="C5" s="17" t="inlineStr">
        <is>
          <t>Se fabrican sólo los ABC (1 a 100 kg). BC, clase D, agua, AFFF, sales K, CO₂ y HCFC se compran terminados y se revenden.</t>
        </is>
      </c>
      <c r="D5" s="17" t="inlineStr">
        <is>
          <t>Decisión FLAMA</t>
        </is>
      </c>
      <c r="E5" s="17" t="inlineStr">
        <is>
          <t>Revendidos: BOM completo de referencia; en MRP sólo la fila S0 «Equipo terminado comprado» (más la tarjeta AGC si el destino es CABA).</t>
        </is>
      </c>
    </row>
    <row r="6">
      <c r="A6" s="17" t="n">
        <v>2</v>
      </c>
      <c r="B6" s="17" t="inlineStr">
        <is>
          <t>Alcance del MRP</t>
        </is>
      </c>
      <c r="C6" s="17" t="inlineStr">
        <is>
          <t>El BOM se arma completo; la columna «Entra MRP» marca lo que se compra. Lo fabricado se explota en su materia prima; lo que viene dentro de un conjunto comprado (válvula HZ, rueda) no se pide aparte.</t>
        </is>
      </c>
      <c r="D6" s="17" t="inlineStr">
        <is>
          <t>Decisión FLAMA</t>
        </is>
      </c>
      <c r="E6" s="17" t="inlineStr">
        <is>
          <t>12_Maestro_Consolidado_MP trae todo por producto con la marca Entra MRP. El MRP por año (MRP_MATERIA_PRIMA) va en otro archivo.</t>
        </is>
      </c>
    </row>
    <row r="7">
      <c r="A7" s="17" t="n">
        <v>3</v>
      </c>
      <c r="B7" s="17" t="inlineStr">
        <is>
          <t>Polvo ABC</t>
        </is>
      </c>
      <c r="C7" s="17" t="inlineStr">
        <is>
          <t>DEMSA principal (DEM-60 / DEM-90 según modelo). Polvex / Sancibrao alternativa.</t>
        </is>
      </c>
      <c r="D7" s="17" t="inlineStr">
        <is>
          <t>IRAM 3569 (composición declarada por el fabricante del polvo); licencia IRAM 3523 Drago: potencial de referencia con DEM-60/90; Polvex: sello IRAM 3569 no confirmado</t>
        </is>
      </c>
      <c r="E7" s="17" t="inlineStr">
        <is>
          <t>Con la alternativa el potencial sale del ensayo de tipo de FLAMA (IRAM 3542 / 3543).</t>
        </is>
      </c>
    </row>
    <row r="8">
      <c r="A8" s="18" t="n">
        <v>4</v>
      </c>
      <c r="B8" s="18" t="inlineStr">
        <is>
          <t>Densidad del polvo</t>
        </is>
      </c>
      <c r="C8" s="18" t="inlineStr">
        <is>
          <t>Volumen libre con densidad empacada mínima 1,10 kg/dm³; llenado controlado con aparente mínima.</t>
        </is>
      </c>
      <c r="D8" s="18" t="inlineStr">
        <is>
          <t>NOM-104-STPS-2001 (IRAM 3569 no fija densidad); criterio de aceptación: descarga ≥ 85 % (IRAM 3523 4.9.1)</t>
        </is>
      </c>
      <c r="E8" s="18" t="inlineStr">
        <is>
          <t>09_Carga_N2 y fila A2 (N₂) en amarillo hasta el ensayo de descarga.</t>
        </is>
      </c>
    </row>
    <row r="9">
      <c r="A9" s="18" t="n">
        <v>5</v>
      </c>
      <c r="B9" s="18" t="inlineStr">
        <is>
          <t>Soldadura</t>
        </is>
      </c>
      <c r="C9" s="18" t="inlineStr">
        <is>
          <t>MAG 135 con Arcal 21 / ARCAL Speed (Ar + 8 % CO₂, M20) y alambre ER70S-6.</t>
        </is>
      </c>
      <c r="D9" s="18" t="inlineStr">
        <is>
          <t>Decisión FLAMA. IRAM 3523 3.2.4.2 y 3550 3.2.2.2 nombran «atmósfera inerte»: acreditar con el certificador en el ensayo de tipo (probetas IRAM 609 y PH)</t>
        </is>
      </c>
      <c r="E9" s="18" t="inlineStr">
        <is>
          <t>Consumos C1 y C2 calculados por longitud de cordón; planos con símbolo 135.</t>
        </is>
      </c>
    </row>
    <row r="10">
      <c r="A10" s="17" t="n">
        <v>6</v>
      </c>
      <c r="B10" s="17" t="inlineStr">
        <is>
          <t>Placas de refuerzo</t>
        </is>
      </c>
      <c r="C10" s="17" t="inlineStr">
        <is>
          <t>70 y 100 kg: dos placas 200 × 100 × 4,75 curvadas a Ø380, por dentro sobre la costura longitudinal, una en cada extremo a 100 mm de la boca; salen de las orillas de 4,75.</t>
        </is>
      </c>
      <c r="D10" s="17" t="inlineStr">
        <is>
          <t>Proceso FLAMA de carros (corte, cilindrado y punteo)</t>
        </is>
      </c>
      <c r="E10" s="17" t="inlineStr">
        <is>
          <t>Pieza en S1 (planos FL_MAT, FL_REC y FL_DES 70/100).</t>
        </is>
      </c>
    </row>
    <row r="11">
      <c r="A11" s="17" t="n">
        <v>7</v>
      </c>
      <c r="B11" s="17" t="inlineStr">
        <is>
          <t>Carro de rodantes</t>
        </is>
      </c>
      <c r="C11" s="17" t="inlineStr">
        <is>
          <t>Accesorios soldados al recipiente antes de la PH: dos triángulos con V (chapa 4,75) con el caño del eje 1" / 1¼" × 2,0 apoyado, manija de caño 1" × 2,0 con lengüetas aplastadas 40 × 60, dos flejes del soporte de manga y pata delantera; eje, ruedas, arandelas y pasadores al montaje final.</t>
        </is>
      </c>
      <c r="D11" s="17" t="inlineStr">
        <is>
          <t>Proceso FLAMA de carros v2 (puesto 8 y kit del 8.1, tabla de posiciones); IRAM 3550 6.1.1, 3.8.2, 3.12.3 y 4.8.2</t>
        </is>
      </c>
      <c r="E11" s="17" t="inlineStr">
        <is>
          <t>Medidas y posiciones del proceso; kit 2,8-3,7 kg (proceso: 2,9-3,8).</t>
        </is>
      </c>
    </row>
    <row r="12">
      <c r="A12" s="17" t="n">
        <v>8</v>
      </c>
      <c r="B12" s="17" t="inlineStr">
        <is>
          <t>Tapas de rodantes</t>
        </is>
      </c>
      <c r="C12" s="17" t="inlineStr">
        <is>
          <t>Casquetes de 25, 50, 70 y 100 kg embutidos por Gockel Ingeniería (Wilde, Avellaneda).</t>
        </is>
      </c>
      <c r="D12" s="17" t="inlineStr">
        <is>
          <t>IRAM 3550 3.2.1 / 4.1.3; proveedor de FLAMA</t>
        </is>
      </c>
      <c r="E12" s="17" t="inlineStr">
        <is>
          <t>Ítem comprado (semielaborado); cotizar con certificado de material.</t>
        </is>
      </c>
    </row>
    <row r="13">
      <c r="A13" s="17" t="n">
        <v>9</v>
      </c>
      <c r="B13" s="17" t="inlineStr">
        <is>
          <t>Pintura</t>
        </is>
      </c>
      <c r="C13" s="17" t="inlineStr">
        <is>
          <t>Tercerizada (Prymax manuales, pintor de carros rodantes).</t>
        </is>
      </c>
      <c r="D13" s="17" t="inlineStr">
        <is>
          <t>Res. 349/07 art. 18: la cabina de pintura figura en el equipamiento del fabricante; la tercerización queda sujeta a la aceptación del Ministerio</t>
        </is>
      </c>
      <c r="E13" s="17" t="inlineStr">
        <is>
          <t>C4 servicio por unidad.</t>
        </is>
      </c>
    </row>
    <row r="14">
      <c r="A14" s="19" t="n">
        <v>10</v>
      </c>
      <c r="B14" s="19" t="inlineStr">
        <is>
          <t>Granallado</t>
        </is>
      </c>
      <c r="C14" s="19" t="inlineStr">
        <is>
          <t>Manuales en Airblast G-100 (Ø80-200).</t>
        </is>
      </c>
      <c r="D14" s="19" t="inlineStr">
        <is>
          <t>Ficha del equipo</t>
        </is>
      </c>
      <c r="E14" s="19" t="inlineStr">
        <is>
          <t>1 kg (Ø76,2) fuera de rango: fila C3 en rojo hasta definir soporte o equipo.</t>
        </is>
      </c>
    </row>
    <row r="15">
      <c r="A15" s="17" t="n">
        <v>11</v>
      </c>
      <c r="B15" s="17" t="inlineStr">
        <is>
          <t>Proveedores</t>
        </is>
      </c>
      <c r="C15" s="17" t="inlineStr">
        <is>
          <t>Sólo nacionales y cercanos o razonables para Avellaneda; principal + alternativa.</t>
        </is>
      </c>
      <c r="D15" s="17" t="inlineStr">
        <is>
          <t>Decisión FLAMA</t>
        </is>
      </c>
      <c r="E15" s="17" t="inlineStr">
        <is>
          <t>Columnas Proveedor principal / Alternativa y hoja 10_Proveedores.</t>
        </is>
      </c>
    </row>
    <row r="16">
      <c r="A16" s="18" t="n">
        <v>12</v>
      </c>
      <c r="B16" s="18" t="inlineStr">
        <is>
          <t>Inoxidables revendidos</t>
        </is>
      </c>
      <c r="C16" s="18" t="inlineStr">
        <is>
          <t>Agua, AFFF 10 L y sales K: recipiente inoxidable soldado (no sin costura), TIG con Ar puro.</t>
        </is>
      </c>
      <c r="D16" s="18" t="inlineStr">
        <is>
          <t>IRAM 3525 3.2.1 b) y 3.2.2 (≤ 1 longitudinal + 2 transversales, proceso automático, atmósfera inerte); IRAM 3517-2 9.4.21 (sales K en inoxidable); mercado: «recipiente inoxidable soldado, PH 100 %»</t>
        </is>
      </c>
      <c r="E16" s="18" t="inlineStr">
        <is>
          <t>Referencia (revendidos). Proceso exacto (TIG / plasma / láser) no publicado por los fabricantes.</t>
        </is>
      </c>
    </row>
    <row r="17">
      <c r="A17" s="17" t="n">
        <v>13</v>
      </c>
      <c r="B17" s="17" t="inlineStr">
        <is>
          <t>Identificación</t>
        </is>
      </c>
      <c r="C17" s="17" t="inlineStr">
        <is>
          <t>Estampilla IRAM, tarjeta AGC (2 módulos), faja de garantía y cuño DPS 15 × 7 según hoja 4.</t>
        </is>
      </c>
      <c r="D17" s="17" t="inlineStr">
        <is>
          <t>Anexo R; Res. AGC 32/15; Res. 349/07 anexo IV; Res. 522/07</t>
        </is>
      </c>
      <c r="E17" s="17" t="inlineStr">
        <is>
          <t>Grupo S6.</t>
        </is>
      </c>
    </row>
    <row r="18">
      <c r="A18" s="17" t="n">
        <v>14</v>
      </c>
      <c r="B18" s="17" t="inlineStr">
        <is>
          <t>Sustitutos</t>
        </is>
      </c>
      <c r="C18" s="17" t="inlineStr">
        <is>
          <t>Extintor del stock + faja amarilla ≤ 40 mm + tarjeta DPS «sustituto habilitado» + tarjeta AGC «Es sustituto».</t>
        </is>
      </c>
      <c r="D18" s="17" t="inlineStr">
        <is>
          <t>IRAM 3517-2:2020 9.4.5; Res. 349/07 art. 32; Res. AGC 32/15</t>
        </is>
      </c>
      <c r="E18" s="17" t="inlineStr">
        <is>
          <t>06_BOM_Sustitutos (unitario; el tamaño del parque se dimensiona aparte).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9" customWidth="1" min="3" max="3"/>
    <col width="16" customWidth="1" min="4" max="4"/>
    <col width="11" customWidth="1" min="5" max="5"/>
    <col width="40" customWidth="1" min="6" max="6"/>
    <col width="7" customWidth="1" min="7" max="7"/>
    <col width="5" customWidth="1" min="8" max="8"/>
    <col width="13" customWidth="1" min="9" max="9"/>
    <col width="8" customWidth="1" min="10" max="10"/>
    <col width="10" customWidth="1" min="11" max="11"/>
    <col width="10" customWidth="1" min="12" max="12"/>
    <col width="10" customWidth="1" min="13" max="13"/>
    <col width="8" customWidth="1" min="14" max="14"/>
    <col width="8" customWidth="1" min="15" max="15"/>
    <col width="8" customWidth="1" min="16" max="16"/>
    <col width="9" customWidth="1" min="17" max="17"/>
    <col width="18" customWidth="1" min="18" max="18"/>
    <col width="8" customWidth="1" min="19" max="19"/>
    <col width="14" customWidth="1" min="20" max="20"/>
    <col width="12" customWidth="1" min="21" max="21"/>
    <col width="46" customWidth="1" min="22" max="22"/>
  </cols>
  <sheetData>
    <row r="1" ht="32" customHeight="1">
      <c r="A1" s="16" t="inlineStr">
        <is>
          <t>Plano</t>
        </is>
      </c>
      <c r="B1" s="16" t="inlineStr">
        <is>
          <t>Producto</t>
        </is>
      </c>
      <c r="C1" s="16" t="inlineStr">
        <is>
          <t>Familia</t>
        </is>
      </c>
      <c r="D1" s="16" t="inlineStr">
        <is>
          <t>Fabricación</t>
        </is>
      </c>
      <c r="E1" s="16" t="inlineStr">
        <is>
          <t>Norma IRAM</t>
        </is>
      </c>
      <c r="F1" s="16" t="inlineStr">
        <is>
          <t>Agente</t>
        </is>
      </c>
      <c r="G1" s="16" t="inlineStr">
        <is>
          <t>Carga</t>
        </is>
      </c>
      <c r="H1" s="16" t="inlineStr">
        <is>
          <t>UM</t>
        </is>
      </c>
      <c r="I1" s="16" t="inlineStr">
        <is>
          <t>Gas impulsor</t>
        </is>
      </c>
      <c r="J1" s="16" t="inlineStr">
        <is>
          <t>Gas (kg)</t>
        </is>
      </c>
      <c r="K1" s="16" t="inlineStr">
        <is>
          <t>Peso vacío S1-S4 (kg)</t>
        </is>
      </c>
      <c r="L1" s="16" t="inlineStr">
        <is>
          <t>Peso cargado (kg)</t>
        </is>
      </c>
      <c r="M1" s="16" t="inlineStr">
        <is>
          <t>Peso de referencia (kg)</t>
        </is>
      </c>
      <c r="N1" s="16" t="inlineStr">
        <is>
          <t>Desvío</t>
        </is>
      </c>
      <c r="O1" s="16" t="inlineStr">
        <is>
          <t>Piezas del plano</t>
        </is>
      </c>
      <c r="P1" s="16" t="inlineStr">
        <is>
          <t>Ítems BOM</t>
        </is>
      </c>
      <c r="Q1" s="16" t="inlineStr">
        <is>
          <t>Ítems que entran en MRP</t>
        </is>
      </c>
      <c r="R1" s="16" t="inlineStr">
        <is>
          <t>Recipiente suelto</t>
        </is>
      </c>
      <c r="S1" s="16" t="inlineStr">
        <is>
          <t>Hoja BOM</t>
        </is>
      </c>
      <c r="T1" s="16" t="inlineStr">
        <is>
          <t>Tara de referencia (kg) = referencia - carga - gas</t>
        </is>
      </c>
      <c r="U1" s="16" t="inlineStr">
        <is>
          <t>Desvío de tara (modelo vs referencia)</t>
        </is>
      </c>
      <c r="V1" s="16" t="inlineStr">
        <is>
          <t>Fuente del peso de referencia</t>
        </is>
      </c>
    </row>
    <row r="2">
      <c r="A2" s="5" t="inlineStr">
        <is>
          <t>FL_MAT_ABC_1kg</t>
        </is>
      </c>
      <c r="B2" s="5" t="inlineStr">
        <is>
          <t>Extintor ABC 1 kg</t>
        </is>
      </c>
      <c r="C2" s="5" t="inlineStr">
        <is>
          <t>manual</t>
        </is>
      </c>
      <c r="D2" s="5" t="inlineStr">
        <is>
          <t>Propia</t>
        </is>
      </c>
      <c r="E2" s="5" t="inlineStr">
        <is>
          <t>3523</t>
        </is>
      </c>
      <c r="F2" s="5" t="inlineStr">
        <is>
          <t>Polvo químico seco ABC (fosfato monoamónico)</t>
        </is>
      </c>
      <c r="G2" s="5" t="n">
        <v>1.05</v>
      </c>
      <c r="H2" s="5" t="inlineStr">
        <is>
          <t>kg</t>
        </is>
      </c>
      <c r="I2" s="5" t="inlineStr">
        <is>
          <t>N₂</t>
        </is>
      </c>
      <c r="J2" s="5" t="n">
        <v>0.0047</v>
      </c>
      <c r="K2" s="20">
        <f>'BOM_FL_MAT_ABC_1kg'!G3</f>
        <v/>
      </c>
      <c r="L2" s="20">
        <f>'BOM_FL_MAT_ABC_1kg'!G4</f>
        <v/>
      </c>
      <c r="M2" s="5" t="n">
        <v>1.84</v>
      </c>
      <c r="N2" s="21">
        <f>L2/M2-1</f>
        <v/>
      </c>
      <c r="O2" s="5" t="n">
        <v>23</v>
      </c>
      <c r="P2" s="5" t="n">
        <v>51</v>
      </c>
      <c r="Q2" s="5" t="n">
        <v>28</v>
      </c>
      <c r="R2" s="5" t="inlineStr">
        <is>
          <t>FL_REC_ABC_1kg</t>
        </is>
      </c>
      <c r="S2" s="22" t="inlineStr">
        <is>
          <t>ir »</t>
        </is>
      </c>
      <c r="T2" s="23">
        <f>M2-1.05-J2</f>
        <v/>
      </c>
      <c r="U2" s="24">
        <f>(L2-1.05-J2)/T2-1</f>
        <v/>
      </c>
      <c r="V2" t="inlineStr">
        <is>
          <t>Plano Fadesa «Extintor 1 kg Ø76 (válvula HZ) R1»</t>
        </is>
      </c>
    </row>
    <row r="3">
      <c r="A3" s="5" t="inlineStr">
        <is>
          <t>FL_MAT_ABC_2.5kg</t>
        </is>
      </c>
      <c r="B3" s="5" t="inlineStr">
        <is>
          <t>Extintor ABC 2,5 kg</t>
        </is>
      </c>
      <c r="C3" s="5" t="inlineStr">
        <is>
          <t>manual</t>
        </is>
      </c>
      <c r="D3" s="5" t="inlineStr">
        <is>
          <t>Propia</t>
        </is>
      </c>
      <c r="E3" s="5" t="inlineStr">
        <is>
          <t>3523</t>
        </is>
      </c>
      <c r="F3" s="5" t="inlineStr">
        <is>
          <t>Polvo químico seco ABC (fosfato monoamónico)</t>
        </is>
      </c>
      <c r="G3" s="5" t="n">
        <v>2.55</v>
      </c>
      <c r="H3" s="5" t="inlineStr">
        <is>
          <t>kg</t>
        </is>
      </c>
      <c r="I3" s="5" t="inlineStr">
        <is>
          <t>N₂</t>
        </is>
      </c>
      <c r="J3" s="5" t="n">
        <v>0.0212</v>
      </c>
      <c r="K3" s="20">
        <f>'BOM_FL_MAT_ABC_2.5kg'!G3</f>
        <v/>
      </c>
      <c r="L3" s="20">
        <f>'BOM_FL_MAT_ABC_2.5kg'!G4</f>
        <v/>
      </c>
      <c r="M3" s="5" t="n">
        <v>4.62</v>
      </c>
      <c r="N3" s="21">
        <f>L3/M3-1</f>
        <v/>
      </c>
      <c r="O3" s="5" t="n">
        <v>27</v>
      </c>
      <c r="P3" s="5" t="n">
        <v>57</v>
      </c>
      <c r="Q3" s="5" t="n">
        <v>34</v>
      </c>
      <c r="R3" s="5" t="inlineStr">
        <is>
          <t>FL_REC_ABC_2.5kg</t>
        </is>
      </c>
      <c r="S3" s="22" t="inlineStr">
        <is>
          <t>ir »</t>
        </is>
      </c>
      <c r="T3" s="23">
        <f>M3-2.55-J3</f>
        <v/>
      </c>
      <c r="U3" s="24">
        <f>(L3-2.55-J3)/T3-1</f>
        <v/>
      </c>
      <c r="V3" t="inlineStr">
        <is>
          <t>Plano Fadesa «Extintor 2,5 kg válvula HZ R1»</t>
        </is>
      </c>
    </row>
    <row r="4">
      <c r="A4" s="5" t="inlineStr">
        <is>
          <t>FL_MAT_ABC_5kg</t>
        </is>
      </c>
      <c r="B4" s="5" t="inlineStr">
        <is>
          <t>Extintor ABC 5 kg</t>
        </is>
      </c>
      <c r="C4" s="5" t="inlineStr">
        <is>
          <t>manual</t>
        </is>
      </c>
      <c r="D4" s="5" t="inlineStr">
        <is>
          <t>Propia</t>
        </is>
      </c>
      <c r="E4" s="5" t="inlineStr">
        <is>
          <t>3523</t>
        </is>
      </c>
      <c r="F4" s="5" t="inlineStr">
        <is>
          <t>Polvo químico seco ABC (fosfato monoamónico)</t>
        </is>
      </c>
      <c r="G4" s="5" t="n">
        <v>5.15</v>
      </c>
      <c r="H4" s="5" t="inlineStr">
        <is>
          <t>kg</t>
        </is>
      </c>
      <c r="I4" s="5" t="inlineStr">
        <is>
          <t>N₂</t>
        </is>
      </c>
      <c r="J4" s="5" t="n">
        <v>0.0251</v>
      </c>
      <c r="K4" s="20">
        <f>'BOM_FL_MAT_ABC_5kg'!G3</f>
        <v/>
      </c>
      <c r="L4" s="20">
        <f>'BOM_FL_MAT_ABC_5kg'!G4</f>
        <v/>
      </c>
      <c r="M4" s="5" t="n">
        <v>8.4</v>
      </c>
      <c r="N4" s="21">
        <f>L4/M4-1</f>
        <v/>
      </c>
      <c r="O4" s="5" t="n">
        <v>27</v>
      </c>
      <c r="P4" s="5" t="n">
        <v>57</v>
      </c>
      <c r="Q4" s="5" t="n">
        <v>34</v>
      </c>
      <c r="R4" s="5" t="inlineStr">
        <is>
          <t>FL_REC_ABC_5kg</t>
        </is>
      </c>
      <c r="S4" s="22" t="inlineStr">
        <is>
          <t>ir »</t>
        </is>
      </c>
      <c r="T4" s="23">
        <f>M4-5.15-J4</f>
        <v/>
      </c>
      <c r="U4" s="24">
        <f>(L4-5.15-J4)/T4-1</f>
        <v/>
      </c>
      <c r="V4" t="inlineStr">
        <is>
          <t>Plano Fadesa «Extintor 5 kg válvula HZ R1»</t>
        </is>
      </c>
    </row>
    <row r="5">
      <c r="A5" s="5" t="inlineStr">
        <is>
          <t>FL_MAT_ABC_10kg</t>
        </is>
      </c>
      <c r="B5" s="5" t="inlineStr">
        <is>
          <t>Extintor ABC 10 kg</t>
        </is>
      </c>
      <c r="C5" s="5" t="inlineStr">
        <is>
          <t>manual</t>
        </is>
      </c>
      <c r="D5" s="5" t="inlineStr">
        <is>
          <t>Propia</t>
        </is>
      </c>
      <c r="E5" s="5" t="inlineStr">
        <is>
          <t>3523</t>
        </is>
      </c>
      <c r="F5" s="5" t="inlineStr">
        <is>
          <t>Polvo químico seco ABC (fosfato monoamónico)</t>
        </is>
      </c>
      <c r="G5" s="5" t="n">
        <v>10.15</v>
      </c>
      <c r="H5" s="5" t="inlineStr">
        <is>
          <t>kg</t>
        </is>
      </c>
      <c r="I5" s="5" t="inlineStr">
        <is>
          <t>N₂</t>
        </is>
      </c>
      <c r="J5" s="5" t="n">
        <v>0.0588</v>
      </c>
      <c r="K5" s="20">
        <f>'BOM_FL_MAT_ABC_10kg'!G3</f>
        <v/>
      </c>
      <c r="L5" s="20">
        <f>'BOM_FL_MAT_ABC_10kg'!G4</f>
        <v/>
      </c>
      <c r="M5" s="5" t="n">
        <v>16.4</v>
      </c>
      <c r="N5" s="21">
        <f>L5/M5-1</f>
        <v/>
      </c>
      <c r="O5" s="5" t="n">
        <v>27</v>
      </c>
      <c r="P5" s="5" t="n">
        <v>57</v>
      </c>
      <c r="Q5" s="5" t="n">
        <v>34</v>
      </c>
      <c r="R5" s="5" t="inlineStr">
        <is>
          <t>FL_REC_ABC_10kg</t>
        </is>
      </c>
      <c r="S5" s="22" t="inlineStr">
        <is>
          <t>ir »</t>
        </is>
      </c>
      <c r="T5" s="23">
        <f>M5-10.15-J5</f>
        <v/>
      </c>
      <c r="U5" s="24">
        <f>(L5-10.15-J5)/T5-1</f>
        <v/>
      </c>
      <c r="V5" t="inlineStr">
        <is>
          <t>Plano Fadesa «Extintor 10 kg HZ R1»</t>
        </is>
      </c>
    </row>
    <row r="6">
      <c r="A6" s="5" t="inlineStr">
        <is>
          <t>FL_MAT_AGUA_10l</t>
        </is>
      </c>
      <c r="B6" s="5" t="inlineStr">
        <is>
          <t>Extintor Agua 10 l</t>
        </is>
      </c>
      <c r="C6" s="5" t="inlineStr">
        <is>
          <t>inox</t>
        </is>
      </c>
      <c r="D6" s="5" t="inlineStr">
        <is>
          <t>Revendido</t>
        </is>
      </c>
      <c r="E6" s="5" t="inlineStr">
        <is>
          <t>3525</t>
        </is>
      </c>
      <c r="F6" s="5" t="inlineStr">
        <is>
          <t>Agua</t>
        </is>
      </c>
      <c r="G6" s="5" t="n">
        <v>10</v>
      </c>
      <c r="H6" s="5" t="inlineStr">
        <is>
          <t>L</t>
        </is>
      </c>
      <c r="I6" s="5" t="inlineStr">
        <is>
          <t>Aire comprimido</t>
        </is>
      </c>
      <c r="J6" s="5" t="n">
        <v>0.0427</v>
      </c>
      <c r="K6" s="20">
        <f>'BOM_FL_MAT_AGUA_10l'!G3</f>
        <v/>
      </c>
      <c r="L6" s="20">
        <f>'BOM_FL_MAT_AGUA_10l'!G4</f>
        <v/>
      </c>
      <c r="M6" s="5" t="n">
        <v>12.55</v>
      </c>
      <c r="N6" s="21">
        <f>L6/M6-1</f>
        <v/>
      </c>
      <c r="O6" s="5" t="n">
        <v>28</v>
      </c>
      <c r="P6" s="5" t="n">
        <v>50</v>
      </c>
      <c r="Q6" s="5" t="n">
        <v>2</v>
      </c>
      <c r="R6" s="5" t="inlineStr">
        <is>
          <t>-</t>
        </is>
      </c>
      <c r="S6" s="22" t="inlineStr">
        <is>
          <t>ir »</t>
        </is>
      </c>
      <c r="T6" s="23">
        <f>M6-10.0-J6</f>
        <v/>
      </c>
      <c r="U6" s="24">
        <f>(L6-10.0-J6)/T6-1</f>
        <v/>
      </c>
      <c r="V6" t="inlineStr">
        <is>
          <t>Catálogo Fadesa 3 (repite pesos entre tablas: sólo orientativo)</t>
        </is>
      </c>
    </row>
    <row r="7">
      <c r="A7" s="5" t="inlineStr">
        <is>
          <t>FL_MAT_AFFF_10l</t>
        </is>
      </c>
      <c r="B7" s="5" t="inlineStr">
        <is>
          <t>Extintor AFFF 10 l</t>
        </is>
      </c>
      <c r="C7" s="5" t="inlineStr">
        <is>
          <t>inox</t>
        </is>
      </c>
      <c r="D7" s="5" t="inlineStr">
        <is>
          <t>Revendido</t>
        </is>
      </c>
      <c r="E7" s="5" t="inlineStr">
        <is>
          <t>3527</t>
        </is>
      </c>
      <c r="F7" s="5" t="inlineStr">
        <is>
          <t>Agua + espumígeno AFFF 3 % (DEMSA 203 MN, IRAM 3515)</t>
        </is>
      </c>
      <c r="G7" s="5" t="n">
        <v>10</v>
      </c>
      <c r="H7" s="5" t="inlineStr">
        <is>
          <t>L</t>
        </is>
      </c>
      <c r="I7" s="5" t="inlineStr">
        <is>
          <t>Aire comprimido</t>
        </is>
      </c>
      <c r="J7" s="5" t="n">
        <v>0.0427</v>
      </c>
      <c r="K7" s="20">
        <f>'BOM_FL_MAT_AFFF_10l'!G3</f>
        <v/>
      </c>
      <c r="L7" s="20">
        <f>'BOM_FL_MAT_AFFF_10l'!G4</f>
        <v/>
      </c>
      <c r="M7" s="5" t="n">
        <v>12.6</v>
      </c>
      <c r="N7" s="21">
        <f>L7/M7-1</f>
        <v/>
      </c>
      <c r="O7" s="5" t="n">
        <v>28</v>
      </c>
      <c r="P7" s="5" t="n">
        <v>51</v>
      </c>
      <c r="Q7" s="5" t="n">
        <v>2</v>
      </c>
      <c r="R7" s="5" t="inlineStr">
        <is>
          <t>-</t>
        </is>
      </c>
      <c r="S7" s="22" t="inlineStr">
        <is>
          <t>ir »</t>
        </is>
      </c>
      <c r="T7" s="23">
        <f>M7-10.0-J7</f>
        <v/>
      </c>
      <c r="U7" s="24">
        <f>(L7-10.0-J7)/T7-1</f>
        <v/>
      </c>
      <c r="V7" t="inlineStr">
        <is>
          <t>Catálogo Fadesa 3 (repite pesos entre tablas: sólo orientativo)</t>
        </is>
      </c>
    </row>
    <row r="8">
      <c r="A8" s="5" t="inlineStr">
        <is>
          <t>FL_MAT_AFFF_50l</t>
        </is>
      </c>
      <c r="B8" s="5" t="inlineStr">
        <is>
          <t>Extintor AFFF 50 l sobre ruedas</t>
        </is>
      </c>
      <c r="C8" s="5" t="inlineStr">
        <is>
          <t>rodante</t>
        </is>
      </c>
      <c r="D8" s="5" t="inlineStr">
        <is>
          <t>Revendido</t>
        </is>
      </c>
      <c r="E8" s="5" t="inlineStr">
        <is>
          <t>3541</t>
        </is>
      </c>
      <c r="F8" s="5" t="inlineStr">
        <is>
          <t>Agua + espumígeno AFFF 3 % (DEMSA 203 MN, IRAM 3515)</t>
        </is>
      </c>
      <c r="G8" s="5" t="n">
        <v>50</v>
      </c>
      <c r="H8" s="5" t="inlineStr">
        <is>
          <t>L</t>
        </is>
      </c>
      <c r="I8" s="5" t="inlineStr">
        <is>
          <t>Aire comprimido</t>
        </is>
      </c>
      <c r="J8" s="5" t="n">
        <v>0.1265</v>
      </c>
      <c r="K8" s="20">
        <f>'BOM_FL_MAT_AFFF_50l'!G3</f>
        <v/>
      </c>
      <c r="L8" s="20">
        <f>'BOM_FL_MAT_AFFF_50l'!G4</f>
        <v/>
      </c>
      <c r="M8" s="5" t="n">
        <v>100</v>
      </c>
      <c r="N8" s="21">
        <f>L8/M8-1</f>
        <v/>
      </c>
      <c r="O8" s="5" t="n">
        <v>37</v>
      </c>
      <c r="P8" s="5" t="n">
        <v>55</v>
      </c>
      <c r="Q8" s="5" t="n">
        <v>2</v>
      </c>
      <c r="R8" s="5" t="inlineStr">
        <is>
          <t>-</t>
        </is>
      </c>
      <c r="S8" s="22" t="inlineStr">
        <is>
          <t>ir »</t>
        </is>
      </c>
      <c r="T8" s="23">
        <f>M8-50.0-J8</f>
        <v/>
      </c>
      <c r="U8" s="24">
        <f>(L8-50.0-J8)/T8-1</f>
        <v/>
      </c>
      <c r="V8" t="inlineStr">
        <is>
          <t>Catálogo Fadesa 3 (repite pesos entre tablas: sólo orientativo)</t>
        </is>
      </c>
    </row>
    <row r="9">
      <c r="A9" s="5" t="inlineStr">
        <is>
          <t>FL_MAT_BC_5kg</t>
        </is>
      </c>
      <c r="B9" s="5" t="inlineStr">
        <is>
          <t>Extintor BC 5 kg</t>
        </is>
      </c>
      <c r="C9" s="5" t="inlineStr">
        <is>
          <t>manual</t>
        </is>
      </c>
      <c r="D9" s="5" t="inlineStr">
        <is>
          <t>Revendido</t>
        </is>
      </c>
      <c r="E9" s="5" t="inlineStr">
        <is>
          <t>3523</t>
        </is>
      </c>
      <c r="F9" s="5" t="inlineStr">
        <is>
          <t>Polvo químico seco BC (bicarbonato)</t>
        </is>
      </c>
      <c r="G9" s="5" t="n">
        <v>5.15</v>
      </c>
      <c r="H9" s="5" t="inlineStr">
        <is>
          <t>kg</t>
        </is>
      </c>
      <c r="I9" s="5" t="inlineStr">
        <is>
          <t>N₂</t>
        </is>
      </c>
      <c r="J9" s="5" t="n">
        <v>0.0077</v>
      </c>
      <c r="K9" s="20">
        <f>'BOM_FL_MAT_BC_5kg'!G3</f>
        <v/>
      </c>
      <c r="L9" s="20">
        <f>'BOM_FL_MAT_BC_5kg'!G4</f>
        <v/>
      </c>
      <c r="M9" s="5" t="n">
        <v>8.5</v>
      </c>
      <c r="N9" s="21">
        <f>L9/M9-1</f>
        <v/>
      </c>
      <c r="O9" s="5" t="n">
        <v>27</v>
      </c>
      <c r="P9" s="5" t="n">
        <v>50</v>
      </c>
      <c r="Q9" s="5" t="n">
        <v>2</v>
      </c>
      <c r="R9" s="5" t="inlineStr">
        <is>
          <t>-</t>
        </is>
      </c>
      <c r="S9" s="22" t="inlineStr">
        <is>
          <t>ir »</t>
        </is>
      </c>
      <c r="T9" s="23">
        <f>M9-5.15-J9</f>
        <v/>
      </c>
      <c r="U9" s="24">
        <f>(L9-5.15-J9)/T9-1</f>
        <v/>
      </c>
      <c r="V9" t="inlineStr">
        <is>
          <t>Catálogo Fadesa 3 (repite pesos entre tablas: sólo orientativo)</t>
        </is>
      </c>
    </row>
    <row r="10">
      <c r="A10" s="5" t="inlineStr">
        <is>
          <t>FL_MAT_SALESK_6l</t>
        </is>
      </c>
      <c r="B10" s="5" t="inlineStr">
        <is>
          <t>Extintor Sales K 6 l</t>
        </is>
      </c>
      <c r="C10" s="5" t="inlineStr">
        <is>
          <t>inox</t>
        </is>
      </c>
      <c r="D10" s="5" t="inlineStr">
        <is>
          <t>Revendido</t>
        </is>
      </c>
      <c r="E10" s="5" t="inlineStr">
        <is>
          <t>3694</t>
        </is>
      </c>
      <c r="F10" s="5" t="inlineStr">
        <is>
          <t>Acetato de potasio - DEMSA Kitchen (IRAM 3697)</t>
        </is>
      </c>
      <c r="G10" s="5" t="n">
        <v>6.09</v>
      </c>
      <c r="H10" s="5" t="inlineStr">
        <is>
          <t>L</t>
        </is>
      </c>
      <c r="I10" s="5" t="inlineStr">
        <is>
          <t>N₂</t>
        </is>
      </c>
      <c r="J10" s="5" t="n">
        <v>0.0306</v>
      </c>
      <c r="K10" s="20">
        <f>'BOM_FL_MAT_SALESK_6l'!G3</f>
        <v/>
      </c>
      <c r="L10" s="20">
        <f>'BOM_FL_MAT_SALESK_6l'!G4</f>
        <v/>
      </c>
      <c r="M10" s="5" t="n">
        <v>9.5</v>
      </c>
      <c r="N10" s="21">
        <f>L10/M10-1</f>
        <v/>
      </c>
      <c r="O10" s="5" t="n">
        <v>28</v>
      </c>
      <c r="P10" s="5" t="n">
        <v>50</v>
      </c>
      <c r="Q10" s="5" t="n">
        <v>2</v>
      </c>
      <c r="R10" s="5" t="inlineStr">
        <is>
          <t>-</t>
        </is>
      </c>
      <c r="S10" s="22" t="inlineStr">
        <is>
          <t>ir »</t>
        </is>
      </c>
      <c r="T10" s="23">
        <f>M10-7.8-J10</f>
        <v/>
      </c>
      <c r="U10" s="24">
        <f>(L10-7.8-J10)/T10-1</f>
        <v/>
      </c>
      <c r="V10" t="inlineStr">
        <is>
          <t>Ficha técnica Melisam acetato 6 L</t>
        </is>
      </c>
    </row>
    <row r="11">
      <c r="A11" s="5" t="inlineStr">
        <is>
          <t>FL_MAT_CO2_2kg</t>
        </is>
      </c>
      <c r="B11" s="5" t="inlineStr">
        <is>
          <t>Extintor CO₂ 2 kg</t>
        </is>
      </c>
      <c r="C11" s="5" t="inlineStr">
        <is>
          <t>co2</t>
        </is>
      </c>
      <c r="D11" s="5" t="inlineStr">
        <is>
          <t>Revendido</t>
        </is>
      </c>
      <c r="E11" s="5" t="inlineStr">
        <is>
          <t>3509</t>
        </is>
      </c>
      <c r="F11" s="5" t="inlineStr">
        <is>
          <t>Dióxido de carbono (IRAM 41170)</t>
        </is>
      </c>
      <c r="G11" s="5" t="n">
        <v>2</v>
      </c>
      <c r="H11" s="5" t="inlineStr">
        <is>
          <t>kg</t>
        </is>
      </c>
      <c r="I11" s="5" t="inlineStr">
        <is>
          <t>- (autopresurizado)</t>
        </is>
      </c>
      <c r="J11" s="5" t="n"/>
      <c r="K11" s="20">
        <f>'BOM_FL_MAT_CO2_2kg'!G3</f>
        <v/>
      </c>
      <c r="L11" s="20">
        <f>'BOM_FL_MAT_CO2_2kg'!G4</f>
        <v/>
      </c>
      <c r="M11" s="5" t="n">
        <v>9</v>
      </c>
      <c r="N11" s="21">
        <f>L11/M11-1</f>
        <v/>
      </c>
      <c r="O11" s="5" t="n">
        <v>24</v>
      </c>
      <c r="P11" s="5" t="n">
        <v>44</v>
      </c>
      <c r="Q11" s="5" t="n">
        <v>2</v>
      </c>
      <c r="R11" s="5" t="inlineStr">
        <is>
          <t>-</t>
        </is>
      </c>
      <c r="S11" s="22" t="inlineStr">
        <is>
          <t>ir »</t>
        </is>
      </c>
      <c r="T11" s="23">
        <f>M11-2.0</f>
        <v/>
      </c>
      <c r="U11" s="24">
        <f>(L11-2.0)/T11-1</f>
        <v/>
      </c>
      <c r="V11" t="inlineStr">
        <is>
          <t>Catálogo Fadesa 3 (repite pesos entre tablas: sólo orientativo)</t>
        </is>
      </c>
    </row>
    <row r="12">
      <c r="A12" s="5" t="inlineStr">
        <is>
          <t>FL_MAT_CO2_5kg</t>
        </is>
      </c>
      <c r="B12" s="5" t="inlineStr">
        <is>
          <t>Extintor CO₂ 5 kg</t>
        </is>
      </c>
      <c r="C12" s="5" t="inlineStr">
        <is>
          <t>co2</t>
        </is>
      </c>
      <c r="D12" s="5" t="inlineStr">
        <is>
          <t>Revendido</t>
        </is>
      </c>
      <c r="E12" s="5" t="inlineStr">
        <is>
          <t>3509</t>
        </is>
      </c>
      <c r="F12" s="5" t="inlineStr">
        <is>
          <t>Dióxido de carbono (IRAM 41170)</t>
        </is>
      </c>
      <c r="G12" s="5" t="n">
        <v>5</v>
      </c>
      <c r="H12" s="5" t="inlineStr">
        <is>
          <t>kg</t>
        </is>
      </c>
      <c r="I12" s="5" t="inlineStr">
        <is>
          <t>- (autopresurizado)</t>
        </is>
      </c>
      <c r="J12" s="5" t="n"/>
      <c r="K12" s="20">
        <f>'BOM_FL_MAT_CO2_5kg'!G3</f>
        <v/>
      </c>
      <c r="L12" s="20">
        <f>'BOM_FL_MAT_CO2_5kg'!G4</f>
        <v/>
      </c>
      <c r="M12" s="5" t="n">
        <v>20</v>
      </c>
      <c r="N12" s="21">
        <f>L12/M12-1</f>
        <v/>
      </c>
      <c r="O12" s="5" t="n">
        <v>26</v>
      </c>
      <c r="P12" s="5" t="n">
        <v>46</v>
      </c>
      <c r="Q12" s="5" t="n">
        <v>2</v>
      </c>
      <c r="R12" s="5" t="inlineStr">
        <is>
          <t>-</t>
        </is>
      </c>
      <c r="S12" s="22" t="inlineStr">
        <is>
          <t>ir »</t>
        </is>
      </c>
      <c r="T12" s="23">
        <f>M12-5.0</f>
        <v/>
      </c>
      <c r="U12" s="24">
        <f>(L12-5.0)/T12-1</f>
        <v/>
      </c>
      <c r="V12" t="inlineStr">
        <is>
          <t>Catálogo Fadesa 3 (repite pesos entre tablas: sólo orientativo)</t>
        </is>
      </c>
    </row>
    <row r="13">
      <c r="A13" s="5" t="inlineStr">
        <is>
          <t>FL_MAT_HCFC-HFC_5kg</t>
        </is>
      </c>
      <c r="B13" s="5" t="inlineStr">
        <is>
          <t>Extintor HCFC/HFC 5 kg</t>
        </is>
      </c>
      <c r="C13" s="5" t="inlineStr">
        <is>
          <t>manual</t>
        </is>
      </c>
      <c r="D13" s="5" t="inlineStr">
        <is>
          <t>Revendido</t>
        </is>
      </c>
      <c r="E13" s="5" t="inlineStr">
        <is>
          <t>3504</t>
        </is>
      </c>
      <c r="F13" s="5" t="inlineStr">
        <is>
          <t>HCFC 123 / HFC 236fa (agente limpio)</t>
        </is>
      </c>
      <c r="G13" s="5" t="n">
        <v>5</v>
      </c>
      <c r="H13" s="5" t="inlineStr">
        <is>
          <t>kg</t>
        </is>
      </c>
      <c r="I13" s="5" t="inlineStr">
        <is>
          <t>Argón</t>
        </is>
      </c>
      <c r="J13" s="5" t="n">
        <v>0.0388</v>
      </c>
      <c r="K13" s="20">
        <f>'BOM_FL_MAT_HCFC-HFC_5kg'!G3</f>
        <v/>
      </c>
      <c r="L13" s="20">
        <f>'BOM_FL_MAT_HCFC-HFC_5kg'!G4</f>
        <v/>
      </c>
      <c r="M13" s="5" t="n">
        <v>8.5</v>
      </c>
      <c r="N13" s="21">
        <f>L13/M13-1</f>
        <v/>
      </c>
      <c r="O13" s="5" t="n">
        <v>27</v>
      </c>
      <c r="P13" s="5" t="n">
        <v>50</v>
      </c>
      <c r="Q13" s="5" t="n">
        <v>2</v>
      </c>
      <c r="R13" s="5" t="inlineStr">
        <is>
          <t>-</t>
        </is>
      </c>
      <c r="S13" s="22" t="inlineStr">
        <is>
          <t>ir »</t>
        </is>
      </c>
      <c r="T13" s="23">
        <f>M13-5.0-J13</f>
        <v/>
      </c>
      <c r="U13" s="24">
        <f>(L13-5.0-J13)/T13-1</f>
        <v/>
      </c>
      <c r="V13" t="inlineStr">
        <is>
          <t>Catálogo Fadesa 3 (repite pesos entre tablas: sólo orientativo)</t>
        </is>
      </c>
    </row>
    <row r="14">
      <c r="A14" s="5" t="inlineStr">
        <is>
          <t>FL_MAT_CLASED_9l</t>
        </is>
      </c>
      <c r="B14" s="5" t="inlineStr">
        <is>
          <t>Extintor Clase D 9 l</t>
        </is>
      </c>
      <c r="C14" s="5" t="inlineStr">
        <is>
          <t>manual</t>
        </is>
      </c>
      <c r="D14" s="5" t="inlineStr">
        <is>
          <t>Revendido</t>
        </is>
      </c>
      <c r="E14" s="5" t="inlineStr">
        <is>
          <t>3523</t>
        </is>
      </c>
      <c r="F14" s="5" t="inlineStr">
        <is>
          <t>Polvo para metales combustibles clase D</t>
        </is>
      </c>
      <c r="G14" s="5" t="n">
        <v>9.15</v>
      </c>
      <c r="H14" s="5" t="inlineStr">
        <is>
          <t>kg</t>
        </is>
      </c>
      <c r="I14" s="5" t="inlineStr">
        <is>
          <t>N₂</t>
        </is>
      </c>
      <c r="J14" s="5" t="n">
        <v>0.0604</v>
      </c>
      <c r="K14" s="20">
        <f>'BOM_FL_MAT_CLASED_9l'!G3</f>
        <v/>
      </c>
      <c r="L14" s="20">
        <f>'BOM_FL_MAT_CLASED_9l'!G4</f>
        <v/>
      </c>
      <c r="M14" s="5" t="n">
        <v>16.5</v>
      </c>
      <c r="N14" s="21">
        <f>L14/M14-1</f>
        <v/>
      </c>
      <c r="O14" s="5" t="n">
        <v>28</v>
      </c>
      <c r="P14" s="5" t="n">
        <v>50</v>
      </c>
      <c r="Q14" s="5" t="n">
        <v>2</v>
      </c>
      <c r="R14" s="5" t="inlineStr">
        <is>
          <t>-</t>
        </is>
      </c>
      <c r="S14" s="22" t="inlineStr">
        <is>
          <t>ir »</t>
        </is>
      </c>
      <c r="T14" s="23">
        <f>M14-9.15-J14</f>
        <v/>
      </c>
      <c r="U14" s="24">
        <f>(L14-9.15-J14)/T14-1</f>
        <v/>
      </c>
      <c r="V14" t="inlineStr">
        <is>
          <t>Catálogo Fadesa 3 (repite pesos entre tablas: sólo orientativo)</t>
        </is>
      </c>
    </row>
    <row r="15">
      <c r="A15" s="5" t="inlineStr">
        <is>
          <t>FL_MAT_ABC_25kg</t>
        </is>
      </c>
      <c r="B15" s="5" t="inlineStr">
        <is>
          <t>Extintor ABC 25 kg sobre ruedas</t>
        </is>
      </c>
      <c r="C15" s="5" t="inlineStr">
        <is>
          <t>rodante</t>
        </is>
      </c>
      <c r="D15" s="5" t="inlineStr">
        <is>
          <t>Propia</t>
        </is>
      </c>
      <c r="E15" s="5" t="inlineStr">
        <is>
          <t>3550</t>
        </is>
      </c>
      <c r="F15" s="5" t="inlineStr">
        <is>
          <t>Polvo químico seco ABC (fosfato monoamónico)</t>
        </is>
      </c>
      <c r="G15" s="5" t="n">
        <v>25</v>
      </c>
      <c r="H15" s="5" t="inlineStr">
        <is>
          <t>kg</t>
        </is>
      </c>
      <c r="I15" s="5" t="inlineStr">
        <is>
          <t>N₂</t>
        </is>
      </c>
      <c r="J15" s="5" t="n">
        <v>0.2013</v>
      </c>
      <c r="K15" s="20">
        <f>'BOM_FL_MAT_ABC_25kg'!G3</f>
        <v/>
      </c>
      <c r="L15" s="20">
        <f>'BOM_FL_MAT_ABC_25kg'!G4</f>
        <v/>
      </c>
      <c r="M15" s="5" t="n">
        <v>53.2</v>
      </c>
      <c r="N15" s="21">
        <f>L15/M15-1</f>
        <v/>
      </c>
      <c r="O15" s="5" t="n">
        <v>38</v>
      </c>
      <c r="P15" s="5" t="n">
        <v>62</v>
      </c>
      <c r="Q15" s="5" t="n">
        <v>34</v>
      </c>
      <c r="R15" s="5" t="inlineStr">
        <is>
          <t>FL_REC_ABC_25kg</t>
        </is>
      </c>
      <c r="S15" s="22" t="inlineStr">
        <is>
          <t>ir »</t>
        </is>
      </c>
      <c r="T15" s="23">
        <f>M15-25.0-J15</f>
        <v/>
      </c>
      <c r="U15" s="24">
        <f>(L15-25.0-J15)/T15-1</f>
        <v/>
      </c>
      <c r="V15" t="inlineStr">
        <is>
          <t>Plano Fadesa «Extintor rodante 25 kg R1»</t>
        </is>
      </c>
    </row>
    <row r="16">
      <c r="A16" s="5" t="inlineStr">
        <is>
          <t>FL_MAT_ABC_50kg</t>
        </is>
      </c>
      <c r="B16" s="5" t="inlineStr">
        <is>
          <t>Extintor ABC 50 kg sobre ruedas</t>
        </is>
      </c>
      <c r="C16" s="5" t="inlineStr">
        <is>
          <t>rodante</t>
        </is>
      </c>
      <c r="D16" s="5" t="inlineStr">
        <is>
          <t>Propia</t>
        </is>
      </c>
      <c r="E16" s="5" t="inlineStr">
        <is>
          <t>3550</t>
        </is>
      </c>
      <c r="F16" s="5" t="inlineStr">
        <is>
          <t>Polvo químico seco ABC (fosfato monoamónico)</t>
        </is>
      </c>
      <c r="G16" s="5" t="n">
        <v>50</v>
      </c>
      <c r="H16" s="5" t="inlineStr">
        <is>
          <t>kg</t>
        </is>
      </c>
      <c r="I16" s="5" t="inlineStr">
        <is>
          <t>N₂</t>
        </is>
      </c>
      <c r="J16" s="5" t="n">
        <v>0.2819</v>
      </c>
      <c r="K16" s="20">
        <f>'BOM_FL_MAT_ABC_50kg'!G3</f>
        <v/>
      </c>
      <c r="L16" s="20">
        <f>'BOM_FL_MAT_ABC_50kg'!G4</f>
        <v/>
      </c>
      <c r="M16" s="5" t="n">
        <v>94</v>
      </c>
      <c r="N16" s="21">
        <f>L16/M16-1</f>
        <v/>
      </c>
      <c r="O16" s="5" t="n">
        <v>37</v>
      </c>
      <c r="P16" s="5" t="n">
        <v>61</v>
      </c>
      <c r="Q16" s="5" t="n">
        <v>34</v>
      </c>
      <c r="R16" s="5" t="inlineStr">
        <is>
          <t>FL_REC_ABC_50kg</t>
        </is>
      </c>
      <c r="S16" s="22" t="inlineStr">
        <is>
          <t>ir »</t>
        </is>
      </c>
      <c r="T16" s="23">
        <f>M16-50.0-J16</f>
        <v/>
      </c>
      <c r="U16" s="24">
        <f>(L16-50.0-J16)/T16-1</f>
        <v/>
      </c>
      <c r="V16" t="inlineStr">
        <is>
          <t>Plano Fadesa «Extintor rodante 50 kg R1»</t>
        </is>
      </c>
    </row>
    <row r="17">
      <c r="A17" s="5" t="inlineStr">
        <is>
          <t>FL_MAT_ABC_70kg</t>
        </is>
      </c>
      <c r="B17" s="5" t="inlineStr">
        <is>
          <t>Extintor ABC 70 kg sobre ruedas</t>
        </is>
      </c>
      <c r="C17" s="5" t="inlineStr">
        <is>
          <t>rodante</t>
        </is>
      </c>
      <c r="D17" s="5" t="inlineStr">
        <is>
          <t>Propia</t>
        </is>
      </c>
      <c r="E17" s="5" t="inlineStr">
        <is>
          <t>3550</t>
        </is>
      </c>
      <c r="F17" s="5" t="inlineStr">
        <is>
          <t>Polvo químico seco ABC (fosfato monoamónico)</t>
        </is>
      </c>
      <c r="G17" s="5" t="n">
        <v>70</v>
      </c>
      <c r="H17" s="5" t="inlineStr">
        <is>
          <t>kg</t>
        </is>
      </c>
      <c r="I17" s="5" t="inlineStr">
        <is>
          <t>N₂</t>
        </is>
      </c>
      <c r="J17" s="5" t="n">
        <v>0.5581</v>
      </c>
      <c r="K17" s="20">
        <f>'BOM_FL_MAT_ABC_70kg'!G3</f>
        <v/>
      </c>
      <c r="L17" s="20">
        <f>'BOM_FL_MAT_ABC_70kg'!G4</f>
        <v/>
      </c>
      <c r="M17" s="5" t="n">
        <v>140</v>
      </c>
      <c r="N17" s="21">
        <f>L17/M17-1</f>
        <v/>
      </c>
      <c r="O17" s="5" t="n">
        <v>38</v>
      </c>
      <c r="P17" s="5" t="n">
        <v>62</v>
      </c>
      <c r="Q17" s="5" t="n">
        <v>34</v>
      </c>
      <c r="R17" s="5" t="inlineStr">
        <is>
          <t>FL_REC_ABC_70kg</t>
        </is>
      </c>
      <c r="S17" s="22" t="inlineStr">
        <is>
          <t>ir »</t>
        </is>
      </c>
      <c r="T17" s="23">
        <f>M17-70.0-J17</f>
        <v/>
      </c>
      <c r="U17" s="24">
        <f>(L17-70.0-J17)/T17-1</f>
        <v/>
      </c>
      <c r="V17" t="inlineStr">
        <is>
          <t>Ficha técnica Georgia ABC 90 70 kg</t>
        </is>
      </c>
    </row>
    <row r="18">
      <c r="A18" s="5" t="inlineStr">
        <is>
          <t>FL_MAT_ABC_100kg</t>
        </is>
      </c>
      <c r="B18" s="5" t="inlineStr">
        <is>
          <t>Extintor ABC 100 kg sobre ruedas</t>
        </is>
      </c>
      <c r="C18" s="5" t="inlineStr">
        <is>
          <t>rodante</t>
        </is>
      </c>
      <c r="D18" s="5" t="inlineStr">
        <is>
          <t>Propia</t>
        </is>
      </c>
      <c r="E18" s="5" t="inlineStr">
        <is>
          <t>3550</t>
        </is>
      </c>
      <c r="F18" s="5" t="inlineStr">
        <is>
          <t>Polvo químico seco ABC (fosfato monoamónico)</t>
        </is>
      </c>
      <c r="G18" s="5" t="n">
        <v>100</v>
      </c>
      <c r="H18" s="5" t="inlineStr">
        <is>
          <t>kg</t>
        </is>
      </c>
      <c r="I18" s="5" t="inlineStr">
        <is>
          <t>N₂</t>
        </is>
      </c>
      <c r="J18" s="5" t="n">
        <v>0.5189</v>
      </c>
      <c r="K18" s="20">
        <f>'BOM_FL_MAT_ABC_100kg'!G3</f>
        <v/>
      </c>
      <c r="L18" s="20">
        <f>'BOM_FL_MAT_ABC_100kg'!G4</f>
        <v/>
      </c>
      <c r="M18" s="5" t="n">
        <v>187.6</v>
      </c>
      <c r="N18" s="21">
        <f>L18/M18-1</f>
        <v/>
      </c>
      <c r="O18" s="5" t="n">
        <v>38</v>
      </c>
      <c r="P18" s="5" t="n">
        <v>62</v>
      </c>
      <c r="Q18" s="5" t="n">
        <v>34</v>
      </c>
      <c r="R18" s="5" t="inlineStr">
        <is>
          <t>FL_REC_ABC_100kg</t>
        </is>
      </c>
      <c r="S18" s="22" t="inlineStr">
        <is>
          <t>ir »</t>
        </is>
      </c>
      <c r="T18" s="23">
        <f>M18-100.0-J18</f>
        <v/>
      </c>
      <c r="U18" s="24">
        <f>(L18-100.0-J18)/T18-1</f>
        <v/>
      </c>
      <c r="V18" t="inlineStr">
        <is>
          <t>Plano Fadesa «Extintor rodante 100 kg R1»</t>
        </is>
      </c>
    </row>
  </sheetData>
  <autoFilter ref="A1:V18"/>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s>
  <pageMargins left="0.75" right="0.75" top="1" bottom="1" header="0.5" footer="0.5"/>
</worksheet>
</file>

<file path=xl/worksheets/sheet4.xml><?xml version="1.0" encoding="utf-8"?>
<worksheet xmlns="http://schemas.openxmlformats.org/spreadsheetml/2006/main">
  <sheetPr>
    <outlinePr summaryBelow="0" summaryRight="1"/>
    <pageSetUpPr/>
  </sheetPr>
  <dimension ref="A1:S9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2" customWidth="1" min="1" max="1"/>
    <col width="6" customWidth="1" min="2" max="2"/>
    <col width="17" customWidth="1" min="3" max="3"/>
    <col width="52" customWidth="1" min="4" max="4"/>
    <col width="9" customWidth="1" min="5" max="5"/>
    <col width="6" customWidth="1" min="6" max="6"/>
    <col width="11" customWidth="1" min="7" max="7"/>
    <col width="11" customWidth="1" min="8" max="8"/>
    <col width="30" customWidth="1" min="9" max="9"/>
    <col width="52" customWidth="1" min="10" max="10"/>
    <col width="20" customWidth="1" min="11" max="11"/>
    <col width="8" customWidth="1" min="12" max="12"/>
    <col width="26" customWidth="1" min="13" max="13"/>
    <col width="24" customWidth="1" min="14" max="14"/>
    <col width="40" customWidth="1" min="15" max="15"/>
    <col width="32" customWidth="1" min="16" max="16"/>
    <col width="5" customWidth="1" min="17" max="17"/>
    <col width="20" customWidth="1" min="18" max="18"/>
    <col width="60" customWidth="1" min="19" max="19"/>
  </cols>
  <sheetData>
    <row r="1">
      <c r="A1" s="4" t="inlineStr">
        <is>
          <t>BOM de matafuegos terminados FL_MAT (tabla plana filtrable)</t>
        </is>
      </c>
    </row>
    <row r="2">
      <c r="A2" s="11" t="inlineStr">
        <is>
          <t>Colores:</t>
        </is>
      </c>
      <c r="B2" s="12" t="inlineStr">
        <is>
          <t>Validado</t>
        </is>
      </c>
      <c r="D2" s="13" t="inlineStr">
        <is>
          <t>Estimado</t>
        </is>
      </c>
      <c r="F2" s="14" t="inlineStr">
        <is>
          <t>A validar</t>
        </is>
      </c>
      <c r="H2" s="15" t="inlineStr">
        <is>
          <t>No cumple o decisión pendiente</t>
        </is>
      </c>
    </row>
    <row r="4" ht="30" customHeight="1">
      <c r="A4" s="25" t="inlineStr">
        <is>
          <t>Producto</t>
        </is>
      </c>
      <c r="B4" s="25" t="inlineStr">
        <is>
          <t>Nivel</t>
        </is>
      </c>
      <c r="C4" s="25" t="inlineStr">
        <is>
          <t>Código</t>
        </is>
      </c>
      <c r="D4" s="25" t="inlineStr">
        <is>
          <t>Descripción</t>
        </is>
      </c>
      <c r="E4" s="25" t="inlineStr">
        <is>
          <t>Cant.</t>
        </is>
      </c>
      <c r="F4" s="25" t="inlineStr">
        <is>
          <t>UM</t>
        </is>
      </c>
      <c r="G4" s="25" t="inlineStr">
        <is>
          <t>Peso unit. (kg/UM)</t>
        </is>
      </c>
      <c r="H4" s="25" t="inlineStr">
        <is>
          <t>Peso total (kg)</t>
        </is>
      </c>
      <c r="I4" s="25" t="inlineStr">
        <is>
          <t>Material</t>
        </is>
      </c>
      <c r="J4" s="25" t="inlineStr">
        <is>
          <t>Medida (mm)</t>
        </is>
      </c>
      <c r="K4" s="25" t="inlineStr">
        <is>
          <t>Origen</t>
        </is>
      </c>
      <c r="L4" s="25" t="inlineStr">
        <is>
          <t>Entra MRP</t>
        </is>
      </c>
      <c r="M4" s="25" t="inlineStr">
        <is>
          <t>Proveedor principal</t>
        </is>
      </c>
      <c r="N4" s="25" t="inlineStr">
        <is>
          <t>Alternativa</t>
        </is>
      </c>
      <c r="O4" s="25" t="inlineStr">
        <is>
          <t>Operación / puesto (layout FLAMA)</t>
        </is>
      </c>
      <c r="P4" s="25" t="inlineStr">
        <is>
          <t>Norma / referencia</t>
        </is>
      </c>
      <c r="Q4" s="25" t="inlineStr">
        <is>
          <t>Fte.</t>
        </is>
      </c>
      <c r="R4" s="25" t="inlineStr">
        <is>
          <t>Plano</t>
        </is>
      </c>
      <c r="S4" s="25" t="inlineStr">
        <is>
          <t>Observaciones</t>
        </is>
      </c>
    </row>
    <row r="5">
      <c r="A5" s="26" t="inlineStr">
        <is>
          <t>FL_MAT_ABC_1kg</t>
        </is>
      </c>
      <c r="B5" s="26" t="n">
        <v>0</v>
      </c>
      <c r="C5" s="26" t="inlineStr">
        <is>
          <t>FL_MAT_ABC_1kg</t>
        </is>
      </c>
      <c r="D5" s="27" t="inlineStr">
        <is>
          <t>Extintor ABC 1 kg</t>
        </is>
      </c>
      <c r="E5" s="26" t="n">
        <v>1</v>
      </c>
      <c r="F5" s="26" t="inlineStr">
        <is>
          <t>u</t>
        </is>
      </c>
      <c r="G5" s="28" t="n"/>
      <c r="H5" s="28" t="n"/>
      <c r="I5" s="26" t="n"/>
      <c r="J5" s="27" t="n"/>
      <c r="K5" s="26" t="n"/>
      <c r="L5" s="26" t="n"/>
      <c r="M5" s="27" t="n"/>
      <c r="N5" s="27" t="n"/>
      <c r="O5" s="27" t="n"/>
      <c r="P5" s="27" t="inlineStr">
        <is>
          <t>IRAM 3523</t>
        </is>
      </c>
      <c r="Q5" s="26" t="inlineStr">
        <is>
          <t>P</t>
        </is>
      </c>
      <c r="R5" s="26" t="inlineStr">
        <is>
          <t>FL_MAT_ABC_1kg</t>
        </is>
      </c>
      <c r="S5" s="27" t="inlineStr">
        <is>
          <t>Fabricación propia</t>
        </is>
      </c>
    </row>
    <row r="6">
      <c r="A6" s="29" t="inlineStr">
        <is>
          <t>FL_MAT_ABC_1kg</t>
        </is>
      </c>
      <c r="B6" s="29" t="n">
        <v>1</v>
      </c>
      <c r="C6" s="29" t="inlineStr">
        <is>
          <t>FL_REC_ABC_1kg</t>
        </is>
      </c>
      <c r="D6" s="30" t="inlineStr">
        <is>
          <t xml:space="preserve">    Recipiente (cilindro)</t>
        </is>
      </c>
      <c r="E6" s="29" t="n">
        <v>1</v>
      </c>
      <c r="F6" s="29" t="inlineStr">
        <is>
          <t>u</t>
        </is>
      </c>
      <c r="G6" s="31" t="n"/>
      <c r="H6" s="31">
        <f>H7+H9+H11+H13+H14</f>
        <v/>
      </c>
      <c r="I6" s="29" t="n"/>
      <c r="J6" s="30" t="n"/>
      <c r="K6" s="29" t="inlineStr">
        <is>
          <t>Fabricación</t>
        </is>
      </c>
      <c r="L6" s="29" t="n"/>
      <c r="M6" s="30" t="n"/>
      <c r="N6" s="30" t="n"/>
      <c r="O6" s="30" t="n"/>
      <c r="P6" s="30" t="inlineStr">
        <is>
          <t>IRAM 3523 / 3550 (recipiente)</t>
        </is>
      </c>
      <c r="Q6" s="29" t="inlineStr">
        <is>
          <t>P</t>
        </is>
      </c>
      <c r="R6" s="29" t="inlineStr">
        <is>
          <t>FL_REC_ABC_1kg</t>
        </is>
      </c>
      <c r="S6" s="30" t="n"/>
    </row>
    <row r="7">
      <c r="A7" s="32" t="inlineStr">
        <is>
          <t>FL_MAT_ABC_1kg</t>
        </is>
      </c>
      <c r="B7" s="32" t="n">
        <v>2</v>
      </c>
      <c r="C7" s="32" t="inlineStr">
        <is>
          <t>ABC1-01</t>
        </is>
      </c>
      <c r="D7" s="17" t="inlineStr">
        <is>
          <t xml:space="preserve">        Cuerpo (virola)</t>
        </is>
      </c>
      <c r="E7" s="32" t="n">
        <v>1</v>
      </c>
      <c r="F7" s="32" t="inlineStr">
        <is>
          <t>u</t>
        </is>
      </c>
      <c r="G7" s="33" t="n">
        <v>0.6072</v>
      </c>
      <c r="H7" s="33">
        <f>E7*G7</f>
        <v/>
      </c>
      <c r="I7" s="32" t="inlineStr">
        <is>
          <t>Caño c-c LF Ø76,2 e=1,25 (SAE 1010)</t>
        </is>
      </c>
      <c r="J7" s="17" t="inlineStr">
        <is>
          <t>Ø76,2 × e1,25 × 263,4 de alto; desarrollo 235,5 × 263,4</t>
        </is>
      </c>
      <c r="K7" s="32" t="inlineStr">
        <is>
          <t>Fabricación</t>
        </is>
      </c>
      <c r="L7" s="32" t="inlineStr">
        <is>
          <t>No</t>
        </is>
      </c>
      <c r="M7" s="17" t="n"/>
      <c r="N7" s="17" t="n"/>
      <c r="O7" s="17" t="inlineStr">
        <is>
          <t>5 Corte láser de caño (M15/M16) -&gt; 9 encastre -&gt; 10 bordoneado (los dos extremos)</t>
        </is>
      </c>
      <c r="P7" s="17" t="n"/>
      <c r="Q7" s="32" t="inlineStr">
        <is>
          <t>P</t>
        </is>
      </c>
      <c r="R7" s="32" t="inlineStr">
        <is>
          <t>FL_DES_ABC_1kg</t>
        </is>
      </c>
      <c r="S7" s="17" t="inlineStr">
        <is>
          <t>costura long. MAG</t>
        </is>
      </c>
    </row>
    <row r="8">
      <c r="A8" s="34" t="inlineStr">
        <is>
          <t>FL_MAT_ABC_1kg</t>
        </is>
      </c>
      <c r="B8" s="34" t="n">
        <v>3</v>
      </c>
      <c r="C8" s="34" t="inlineStr">
        <is>
          <t>MP-CANO</t>
        </is>
      </c>
      <c r="D8" s="35" t="inlineStr">
        <is>
          <t xml:space="preserve">            Caño Ø76,2 × 1,25 (tramo de barra de 6 m)</t>
        </is>
      </c>
      <c r="E8" s="34" t="n">
        <v>0.0435</v>
      </c>
      <c r="F8" s="34" t="inlineStr">
        <is>
          <t>barra</t>
        </is>
      </c>
      <c r="G8" s="36" t="n">
        <v>14.288</v>
      </c>
      <c r="H8" s="36">
        <f>E8*G8</f>
        <v/>
      </c>
      <c r="I8" s="34" t="inlineStr">
        <is>
          <t>Caño acero SAE 1010 con costura</t>
        </is>
      </c>
      <c r="J8" s="35" t="inlineStr">
        <is>
          <t>255 mm por cuerpo; 23 cuerpos por barra (kg por barra)</t>
        </is>
      </c>
      <c r="K8" s="34" t="inlineStr">
        <is>
          <t>Compra</t>
        </is>
      </c>
      <c r="L8" s="34" t="inlineStr">
        <is>
          <t>Sí</t>
        </is>
      </c>
      <c r="M8" s="35" t="inlineStr">
        <is>
          <t>Metalpri / Prilux</t>
        </is>
      </c>
      <c r="N8" s="35" t="inlineStr">
        <is>
          <t>Comercial MID</t>
        </is>
      </c>
      <c r="O8" s="35" t="inlineStr">
        <is>
          <t>AL-1T cantiléver</t>
        </is>
      </c>
      <c r="P8" s="35" t="n"/>
      <c r="Q8" s="34" t="inlineStr">
        <is>
          <t>L</t>
        </is>
      </c>
      <c r="R8" s="34" t="inlineStr">
        <is>
          <t>FL_PI_04 h2</t>
        </is>
      </c>
      <c r="S8" s="35" t="n"/>
    </row>
    <row r="9">
      <c r="A9" s="32" t="inlineStr">
        <is>
          <t>FL_MAT_ABC_1kg</t>
        </is>
      </c>
      <c r="B9" s="32" t="n">
        <v>2</v>
      </c>
      <c r="C9" s="32" t="inlineStr">
        <is>
          <t>ABC1-02</t>
        </is>
      </c>
      <c r="D9" s="17" t="inlineStr">
        <is>
          <t xml:space="preserve">        Cúpula</t>
        </is>
      </c>
      <c r="E9" s="32" t="n">
        <v>1</v>
      </c>
      <c r="F9" s="32" t="inlineStr">
        <is>
          <t>u</t>
        </is>
      </c>
      <c r="G9" s="33" t="n">
        <v>0.0335</v>
      </c>
      <c r="H9" s="33">
        <f>E9*G9</f>
        <v/>
      </c>
      <c r="I9" s="32" t="inlineStr">
        <is>
          <t>Chapa LAF IRAM-IAS U 500-05 e=0,9</t>
        </is>
      </c>
      <c r="J9" s="17" t="inlineStr">
        <is>
          <t>Ø76,2 × e0,9 × 12,1 de alto; disco Ø108</t>
        </is>
      </c>
      <c r="K9" s="32" t="inlineStr">
        <is>
          <t>Fabricación</t>
        </is>
      </c>
      <c r="L9" s="32" t="inlineStr">
        <is>
          <t>No</t>
        </is>
      </c>
      <c r="M9" s="17" t="n"/>
      <c r="N9" s="17" t="n"/>
      <c r="O9" s="17" t="inlineStr">
        <is>
          <t>6 Desbobinado + embutido (M06-M08) -&gt; numerado de cúpula (micropercusión, en arco junto al cuello) -&gt; 8 soldadura de cuello</t>
        </is>
      </c>
      <c r="P9" s="17" t="n"/>
      <c r="Q9" s="32" t="inlineStr">
        <is>
          <t>P</t>
        </is>
      </c>
      <c r="R9" s="32" t="inlineStr">
        <is>
          <t>FL_DES_ABC_1kg</t>
        </is>
      </c>
      <c r="S9" s="17" t="inlineStr">
        <is>
          <t>embutida</t>
        </is>
      </c>
    </row>
    <row r="10">
      <c r="A10" s="34" t="inlineStr">
        <is>
          <t>FL_MAT_ABC_1kg</t>
        </is>
      </c>
      <c r="B10" s="34" t="n">
        <v>3</v>
      </c>
      <c r="C10" s="34" t="inlineStr">
        <is>
          <t>MP-FLEJE</t>
        </is>
      </c>
      <c r="D10" s="35" t="inlineStr">
        <is>
          <t xml:space="preserve">            Fleje e=0,9 × 114 (paso 111)</t>
        </is>
      </c>
      <c r="E10" s="34" t="n">
        <v>0.111</v>
      </c>
      <c r="F10" s="34" t="inlineStr">
        <is>
          <t>m</t>
        </is>
      </c>
      <c r="G10" s="36" t="n">
        <v>0.805</v>
      </c>
      <c r="H10" s="36">
        <f>E10*G10</f>
        <v/>
      </c>
      <c r="I10" s="34" t="inlineStr">
        <is>
          <t>Fleje SAE 1010</t>
        </is>
      </c>
      <c r="J10" s="35" t="inlineStr">
        <is>
          <t>disco Ø108 (kg por m de fleje)</t>
        </is>
      </c>
      <c r="K10" s="34" t="inlineStr">
        <is>
          <t>Compra</t>
        </is>
      </c>
      <c r="L10" s="34" t="inlineStr">
        <is>
          <t>Sí</t>
        </is>
      </c>
      <c r="M10" s="35" t="inlineStr">
        <is>
          <t>Pacheco Chapas</t>
        </is>
      </c>
      <c r="N10" s="35" t="inlineStr">
        <is>
          <t>Pradecon S.A.</t>
        </is>
      </c>
      <c r="O10" s="35" t="inlineStr">
        <is>
          <t>AL-1F porta-flejes</t>
        </is>
      </c>
      <c r="P10" s="35" t="n"/>
      <c r="Q10" s="34" t="inlineStr">
        <is>
          <t>L</t>
        </is>
      </c>
      <c r="R10" s="34" t="inlineStr">
        <is>
          <t>FL_PI_04 h2</t>
        </is>
      </c>
      <c r="S10" s="35" t="n"/>
    </row>
    <row r="11">
      <c r="A11" s="32" t="inlineStr">
        <is>
          <t>FL_MAT_ABC_1kg</t>
        </is>
      </c>
      <c r="B11" s="32" t="n">
        <v>2</v>
      </c>
      <c r="C11" s="32" t="inlineStr">
        <is>
          <t>ABC1-03</t>
        </is>
      </c>
      <c r="D11" s="17" t="inlineStr">
        <is>
          <t xml:space="preserve">        Fondo</t>
        </is>
      </c>
      <c r="E11" s="32" t="n">
        <v>1</v>
      </c>
      <c r="F11" s="32" t="inlineStr">
        <is>
          <t>u</t>
        </is>
      </c>
      <c r="G11" s="33" t="n">
        <v>0.06619999999999999</v>
      </c>
      <c r="H11" s="33">
        <f>E11*G11</f>
        <v/>
      </c>
      <c r="I11" s="32" t="inlineStr">
        <is>
          <t>Chapa LAF IRAM-IAS U 500-05 e=1,25</t>
        </is>
      </c>
      <c r="J11" s="17" t="inlineStr">
        <is>
          <t>Ø76,2 × e1,25 × 22 de alto; disco Ø100</t>
        </is>
      </c>
      <c r="K11" s="32" t="inlineStr">
        <is>
          <t>Fabricación</t>
        </is>
      </c>
      <c r="L11" s="32" t="inlineStr">
        <is>
          <t>No</t>
        </is>
      </c>
      <c r="M11" s="17" t="n"/>
      <c r="N11" s="17" t="n"/>
      <c r="O11" s="17" t="inlineStr">
        <is>
          <t>6 Desbobinado + embutido (M06-M08)</t>
        </is>
      </c>
      <c r="P11" s="17" t="n"/>
      <c r="Q11" s="32" t="inlineStr">
        <is>
          <t>P</t>
        </is>
      </c>
      <c r="R11" s="32" t="inlineStr">
        <is>
          <t>FL_DES_ABC_1kg</t>
        </is>
      </c>
      <c r="S11" s="17" t="inlineStr">
        <is>
          <t>embutido</t>
        </is>
      </c>
    </row>
    <row r="12">
      <c r="A12" s="34" t="inlineStr">
        <is>
          <t>FL_MAT_ABC_1kg</t>
        </is>
      </c>
      <c r="B12" s="34" t="n">
        <v>3</v>
      </c>
      <c r="C12" s="34" t="inlineStr">
        <is>
          <t>MP-FLEJE</t>
        </is>
      </c>
      <c r="D12" s="35" t="inlineStr">
        <is>
          <t xml:space="preserve">            Fleje e=1,25 × 106 (paso 103)</t>
        </is>
      </c>
      <c r="E12" s="34" t="n">
        <v>0.103</v>
      </c>
      <c r="F12" s="34" t="inlineStr">
        <is>
          <t>m</t>
        </is>
      </c>
      <c r="G12" s="36" t="n">
        <v>1.04</v>
      </c>
      <c r="H12" s="36">
        <f>E12*G12</f>
        <v/>
      </c>
      <c r="I12" s="34" t="inlineStr">
        <is>
          <t>Fleje SAE 1010</t>
        </is>
      </c>
      <c r="J12" s="35" t="inlineStr">
        <is>
          <t>disco Ø100 (kg por m de fleje)</t>
        </is>
      </c>
      <c r="K12" s="34" t="inlineStr">
        <is>
          <t>Compra</t>
        </is>
      </c>
      <c r="L12" s="34" t="inlineStr">
        <is>
          <t>Sí</t>
        </is>
      </c>
      <c r="M12" s="35" t="inlineStr">
        <is>
          <t>Pacheco Chapas</t>
        </is>
      </c>
      <c r="N12" s="35" t="inlineStr">
        <is>
          <t>Pradecon S.A.</t>
        </is>
      </c>
      <c r="O12" s="35" t="inlineStr">
        <is>
          <t>AL-1F porta-flejes</t>
        </is>
      </c>
      <c r="P12" s="35" t="n"/>
      <c r="Q12" s="34" t="inlineStr">
        <is>
          <t>L</t>
        </is>
      </c>
      <c r="R12" s="34" t="inlineStr">
        <is>
          <t>FL_PI_04 h2</t>
        </is>
      </c>
      <c r="S12" s="35" t="n"/>
    </row>
    <row r="13">
      <c r="A13" s="32" t="inlineStr">
        <is>
          <t>FL_MAT_ABC_1kg</t>
        </is>
      </c>
      <c r="B13" s="32" t="n">
        <v>2</v>
      </c>
      <c r="C13" s="32" t="inlineStr">
        <is>
          <t>ABC1-04</t>
        </is>
      </c>
      <c r="D13" s="17" t="inlineStr">
        <is>
          <t xml:space="preserve">        Cuello roscado</t>
        </is>
      </c>
      <c r="E13" s="32" t="n">
        <v>1</v>
      </c>
      <c r="F13" s="32" t="inlineStr">
        <is>
          <t>u</t>
        </is>
      </c>
      <c r="G13" s="33" t="n">
        <v>0.0358</v>
      </c>
      <c r="H13" s="33">
        <f>E13*G13</f>
        <v/>
      </c>
      <c r="I13" s="32" t="inlineStr">
        <is>
          <t>Acero SAE 1010</t>
        </is>
      </c>
      <c r="J13" s="17" t="inlineStr">
        <is>
          <t>Ø29 × 12,5 de alto, rosca M22x1,5, asiento Ø26</t>
        </is>
      </c>
      <c r="K13" s="32" t="inlineStr">
        <is>
          <t>Compra (mecanizado, Eli-Met)</t>
        </is>
      </c>
      <c r="L13" s="32" t="inlineStr">
        <is>
          <t>Sí</t>
        </is>
      </c>
      <c r="M13" s="17" t="inlineStr">
        <is>
          <t>Eli-Met</t>
        </is>
      </c>
      <c r="N13" s="17" t="inlineStr">
        <is>
          <t>-</t>
        </is>
      </c>
      <c r="O13" s="17" t="inlineStr">
        <is>
          <t>Compra -&gt; 8 soldadura de cuello</t>
        </is>
      </c>
      <c r="P13" s="17" t="n"/>
      <c r="Q13" s="32" t="inlineStr">
        <is>
          <t>P</t>
        </is>
      </c>
      <c r="R13" s="32" t="inlineStr">
        <is>
          <t>FL_DES_ABC_1kg</t>
        </is>
      </c>
      <c r="S13" s="17" t="inlineStr">
        <is>
          <t>M22x1,5</t>
        </is>
      </c>
    </row>
    <row r="14">
      <c r="A14" s="37" t="inlineStr">
        <is>
          <t>FL_MAT_ABC_1kg</t>
        </is>
      </c>
      <c r="B14" s="37" t="n">
        <v>2</v>
      </c>
      <c r="C14" s="37" t="inlineStr">
        <is>
          <t>ABC1-C1</t>
        </is>
      </c>
      <c r="D14" s="18" t="inlineStr">
        <is>
          <t xml:space="preserve">        Alambre MAG ER70S-6 Ø0,9 (AWS A5.18)</t>
        </is>
      </c>
      <c r="E14" s="37" t="n">
        <v>0.0146</v>
      </c>
      <c r="F14" s="37" t="inlineStr">
        <is>
          <t>kg</t>
        </is>
      </c>
      <c r="G14" s="38" t="n">
        <v>0.95</v>
      </c>
      <c r="H14" s="38">
        <f>E14*G14</f>
        <v/>
      </c>
      <c r="I14" s="37" t="inlineStr">
        <is>
          <t>ER70S-6</t>
        </is>
      </c>
      <c r="J14" s="18" t="inlineStr">
        <is>
          <t>metal depositado de los cordones del plano 14 g / rendimiento 0,95</t>
        </is>
      </c>
      <c r="K14" s="37" t="inlineStr">
        <is>
          <t>Compra</t>
        </is>
      </c>
      <c r="L14" s="37" t="inlineStr">
        <is>
          <t>Sí</t>
        </is>
      </c>
      <c r="M14" s="18" t="inlineStr">
        <is>
          <t>Conarco (ESAB Argentina)</t>
        </is>
      </c>
      <c r="N14" s="18" t="inlineStr">
        <is>
          <t>-</t>
        </is>
      </c>
      <c r="O14" s="18" t="inlineStr">
        <is>
          <t>4 sold. long. / 8 cuello / 11 circunferencial</t>
        </is>
      </c>
      <c r="P14" s="18" t="inlineStr">
        <is>
          <t>IRAM 3523 3.2.4.2 · IRAM 3550 4.1.2</t>
        </is>
      </c>
      <c r="Q14" s="37" t="inlineStr">
        <is>
          <t>C</t>
        </is>
      </c>
      <c r="R14" s="37" t="n"/>
      <c r="S14"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5">
      <c r="A15" s="37" t="inlineStr">
        <is>
          <t>FL_MAT_ABC_1kg</t>
        </is>
      </c>
      <c r="B15" s="37" t="n">
        <v>2</v>
      </c>
      <c r="C15" s="37" t="inlineStr">
        <is>
          <t>ABC1-C2</t>
        </is>
      </c>
      <c r="D15" s="18" t="inlineStr">
        <is>
          <t xml:space="preserve">        Gas de protección MAG Arcal 21 / ARCAL Speed (Ar + 8 % CO₂, M20)</t>
        </is>
      </c>
      <c r="E15" s="37" t="n">
        <v>13.3</v>
      </c>
      <c r="F15" s="37" t="inlineStr">
        <is>
          <t>L</t>
        </is>
      </c>
      <c r="G15" s="38" t="n"/>
      <c r="H15" s="38" t="n"/>
      <c r="I15" s="37" t="inlineStr">
        <is>
          <t>EN ISO 14175 M20-ArC-8</t>
        </is>
      </c>
      <c r="J15" s="18" t="inlineStr">
        <is>
          <t>14 L/min × 0,95 min de arco (cordones 570 mm: long. 0 + circ. 479 + cuello 91, a 600 mm/min)</t>
        </is>
      </c>
      <c r="K15" s="37" t="inlineStr">
        <is>
          <t>Compra</t>
        </is>
      </c>
      <c r="L15" s="37" t="inlineStr">
        <is>
          <t>Sí</t>
        </is>
      </c>
      <c r="M15" s="18" t="inlineStr">
        <is>
          <t>Air Liquide Argentina - sucursal Piñeyro</t>
        </is>
      </c>
      <c r="N15" s="18" t="inlineStr">
        <is>
          <t>Gogniat</t>
        </is>
      </c>
      <c r="O15" s="18" t="inlineStr">
        <is>
          <t>Colector SC</t>
        </is>
      </c>
      <c r="P15" s="18" t="inlineStr">
        <is>
          <t>IRAM 3523 3.2.4.2 · IRAM 3550 3.2.2.2</t>
        </is>
      </c>
      <c r="Q15" s="37" t="inlineStr">
        <is>
          <t>C</t>
        </is>
      </c>
      <c r="R15" s="37" t="n"/>
      <c r="S15"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6">
      <c r="A16" s="39" t="inlineStr">
        <is>
          <t>FL_MAT_ABC_1kg</t>
        </is>
      </c>
      <c r="B16" s="39" t="n">
        <v>2</v>
      </c>
      <c r="C16" s="39" t="inlineStr">
        <is>
          <t>ABC1-C3</t>
        </is>
      </c>
      <c r="D16" s="19" t="inlineStr">
        <is>
          <t xml:space="preserve">        Granalla de acero S330 / S390 (ISO 11124-3, SAE J444)</t>
        </is>
      </c>
      <c r="E16" s="39" t="n">
        <v>0.08</v>
      </c>
      <c r="F16" s="39" t="inlineStr">
        <is>
          <t>kg</t>
        </is>
      </c>
      <c r="G16" s="40" t="n"/>
      <c r="H16" s="40" t="n"/>
      <c r="I16" s="39" t="inlineStr">
        <is>
          <t>Granalla esférica alto C</t>
        </is>
      </c>
      <c r="J16" s="19" t="inlineStr">
        <is>
          <t>0,073 m² a Sa 2½ (ISO 8501-1); 3,4 kg/h ÷ 42,5 u/h</t>
        </is>
      </c>
      <c r="K16" s="39" t="inlineStr">
        <is>
          <t>Compra</t>
        </is>
      </c>
      <c r="L16" s="39" t="inlineStr">
        <is>
          <t>Sí</t>
        </is>
      </c>
      <c r="M16" s="19" t="inlineStr">
        <is>
          <t>CyM Materiales</t>
        </is>
      </c>
      <c r="N16" s="19" t="inlineStr">
        <is>
          <t>Roca Ingeniería</t>
        </is>
      </c>
      <c r="O16" s="19" t="inlineStr">
        <is>
          <t>14 Granallado (B08)</t>
        </is>
      </c>
      <c r="P16" s="19" t="inlineStr">
        <is>
          <t>DOC-01</t>
        </is>
      </c>
      <c r="Q16" s="39" t="inlineStr">
        <is>
          <t>C</t>
        </is>
      </c>
      <c r="R16" s="39" t="n"/>
      <c r="S16" s="19" t="inlineStr">
        <is>
          <t>Consumo (desgaste) por turbina ≈ HP / 2 lb/h (The Fabricator, «aspectos básicos del granallado por turbina»): G-100 con 2 × 7,5 HP = 7,5 lb/h = 3,4 kg/h; ritmo 340 u por turno (Getweld) = 42,5 u/h. OJO: Ø76,2 fuera del rango de la Airblast G-100 (Ø80-200): definir soporte o equipo</t>
        </is>
      </c>
    </row>
    <row r="17">
      <c r="A17" s="32" t="inlineStr">
        <is>
          <t>FL_MAT_ABC_1kg</t>
        </is>
      </c>
      <c r="B17" s="32" t="n">
        <v>2</v>
      </c>
      <c r="C17" s="32" t="inlineStr">
        <is>
          <t>ABC1-C4</t>
        </is>
      </c>
      <c r="D17" s="17" t="inlineStr">
        <is>
          <t xml:space="preserve">        Servicio de pintura en polvo al horno, rojo 03-1-050</t>
        </is>
      </c>
      <c r="E17" s="32" t="n">
        <v>1</v>
      </c>
      <c r="F17" s="32" t="inlineStr">
        <is>
          <t>u</t>
        </is>
      </c>
      <c r="G17" s="33" t="n"/>
      <c r="H17" s="33" t="n"/>
      <c r="I17" s="32" t="inlineStr">
        <is>
          <t>Servicio tercerizado</t>
        </is>
      </c>
      <c r="J17" s="17" t="inlineStr">
        <is>
          <t>superficie exterior 0,073 m²</t>
        </is>
      </c>
      <c r="K17" s="32" t="inlineStr">
        <is>
          <t>Compra (servicio)</t>
        </is>
      </c>
      <c r="L17" s="32" t="inlineStr">
        <is>
          <t>Sí</t>
        </is>
      </c>
      <c r="M17" s="17" t="inlineStr">
        <is>
          <t>Prymax</t>
        </is>
      </c>
      <c r="N17" s="17" t="inlineStr">
        <is>
          <t>Pintor de carros (cotización por mensaje)</t>
        </is>
      </c>
      <c r="O17" s="17" t="inlineStr">
        <is>
          <t>17 Pintura tercerizada</t>
        </is>
      </c>
      <c r="P17" s="17" t="inlineStr">
        <is>
          <t>IRAM 3523 5.3 / IRAM 3550 3.11 · IRAM 121</t>
        </is>
      </c>
      <c r="Q17" s="32" t="inlineStr">
        <is>
          <t>Q</t>
        </is>
      </c>
      <c r="R17" s="32" t="n"/>
      <c r="S17" s="17" t="inlineStr">
        <is>
          <t>Q-PRYMAX (precio por cilindro); exigir informe de niebla salina del sistema de pintura; tercerización aceptada por el Ministerio (Res. 349/07 art. 18)</t>
        </is>
      </c>
    </row>
    <row r="18">
      <c r="A18" s="29" t="inlineStr">
        <is>
          <t>FL_MAT_ABC_1kg</t>
        </is>
      </c>
      <c r="B18" s="29" t="n">
        <v>1</v>
      </c>
      <c r="C18" s="29" t="inlineStr">
        <is>
          <t>ABC1-S2</t>
        </is>
      </c>
      <c r="D18" s="30" t="inlineStr">
        <is>
          <t xml:space="preserve">    Conjunto de válvula</t>
        </is>
      </c>
      <c r="E18" s="29" t="n">
        <v>1</v>
      </c>
      <c r="F18" s="29" t="inlineStr">
        <is>
          <t>u</t>
        </is>
      </c>
      <c r="G18" s="31" t="n"/>
      <c r="H18" s="31">
        <f>H19+H20+H21+H23+H24+H25+H26+H27+H28+H29+H30</f>
        <v/>
      </c>
      <c r="I18" s="29" t="n"/>
      <c r="J18" s="30" t="n"/>
      <c r="K18" s="29" t="inlineStr">
        <is>
          <t>Compra / armado</t>
        </is>
      </c>
      <c r="L18" s="29" t="n"/>
      <c r="M18" s="30" t="n"/>
      <c r="N18" s="30" t="n"/>
      <c r="O18" s="30" t="n"/>
      <c r="P18" s="30" t="inlineStr">
        <is>
          <t>Manómetro IRAM 3533</t>
        </is>
      </c>
      <c r="Q18" s="29" t="inlineStr">
        <is>
          <t>P</t>
        </is>
      </c>
      <c r="R18" s="29" t="inlineStr">
        <is>
          <t>FL_DES_ABC_1kg</t>
        </is>
      </c>
      <c r="S18" s="30" t="n"/>
    </row>
    <row r="19">
      <c r="A19" s="32" t="inlineStr">
        <is>
          <t>FL_MAT_ABC_1kg</t>
        </is>
      </c>
      <c r="B19" s="32" t="n">
        <v>2</v>
      </c>
      <c r="C19" s="32" t="inlineStr">
        <is>
          <t>ABC1-05</t>
        </is>
      </c>
      <c r="D19" s="17" t="inlineStr">
        <is>
          <t xml:space="preserve">        Espiga roscada</t>
        </is>
      </c>
      <c r="E19" s="32" t="n">
        <v>1</v>
      </c>
      <c r="F19" s="32" t="inlineStr">
        <is>
          <t>u</t>
        </is>
      </c>
      <c r="G19" s="33" t="n">
        <v>0.0117</v>
      </c>
      <c r="H19" s="33">
        <f>E19*G19</f>
        <v/>
      </c>
      <c r="I19" s="32" t="inlineStr">
        <is>
          <t>Latón forjado</t>
        </is>
      </c>
      <c r="J19" s="17" t="inlineStr">
        <is>
          <t>21 × 21 × 8,6</t>
        </is>
      </c>
      <c r="K19" s="32" t="inlineStr">
        <is>
          <t>Incluido en válvula HZ</t>
        </is>
      </c>
      <c r="L19" s="32" t="inlineStr">
        <is>
          <t>No</t>
        </is>
      </c>
      <c r="M19" s="17" t="n"/>
      <c r="N19" s="17" t="n"/>
      <c r="O19" s="17" t="inlineStr">
        <is>
          <t>19 Ensamblaje de válvula (T03/T04)</t>
        </is>
      </c>
      <c r="P19" s="17" t="n"/>
      <c r="Q19" s="32" t="inlineStr">
        <is>
          <t>P</t>
        </is>
      </c>
      <c r="R19" s="32" t="inlineStr">
        <is>
          <t>FL_DES_ABC_1kg</t>
        </is>
      </c>
      <c r="S19" s="17" t="n"/>
    </row>
    <row r="20">
      <c r="A20" s="32" t="inlineStr">
        <is>
          <t>FL_MAT_ABC_1kg</t>
        </is>
      </c>
      <c r="B20" s="32" t="n">
        <v>2</v>
      </c>
      <c r="C20" s="32" t="inlineStr">
        <is>
          <t>ABC1-06</t>
        </is>
      </c>
      <c r="D20" s="17" t="inlineStr">
        <is>
          <t xml:space="preserve">        Collarín de válvula</t>
        </is>
      </c>
      <c r="E20" s="32" t="n">
        <v>1</v>
      </c>
      <c r="F20" s="32" t="inlineStr">
        <is>
          <t>u</t>
        </is>
      </c>
      <c r="G20" s="33" t="n">
        <v>0.0025</v>
      </c>
      <c r="H20" s="33">
        <f>E20*G20</f>
        <v/>
      </c>
      <c r="I20" s="32" t="inlineStr">
        <is>
          <t>Latón forjado</t>
        </is>
      </c>
      <c r="J20" s="17" t="inlineStr">
        <is>
          <t>19 × 19 × 3</t>
        </is>
      </c>
      <c r="K20" s="32" t="inlineStr">
        <is>
          <t>Incluido en válvula HZ</t>
        </is>
      </c>
      <c r="L20" s="32" t="inlineStr">
        <is>
          <t>No</t>
        </is>
      </c>
      <c r="M20" s="17" t="n"/>
      <c r="N20" s="17" t="n"/>
      <c r="O20" s="17" t="inlineStr">
        <is>
          <t>19 Ensamblaje de válvula (T03/T04)</t>
        </is>
      </c>
      <c r="P20" s="17" t="n"/>
      <c r="Q20" s="32" t="inlineStr">
        <is>
          <t>P</t>
        </is>
      </c>
      <c r="R20" s="32" t="inlineStr">
        <is>
          <t>FL_DES_ABC_1kg</t>
        </is>
      </c>
      <c r="S20" s="17" t="n"/>
    </row>
    <row r="21">
      <c r="A21" s="32" t="inlineStr">
        <is>
          <t>FL_MAT_ABC_1kg</t>
        </is>
      </c>
      <c r="B21" s="32" t="n">
        <v>2</v>
      </c>
      <c r="C21" s="32" t="inlineStr">
        <is>
          <t>ABC1-07</t>
        </is>
      </c>
      <c r="D21" s="17" t="inlineStr">
        <is>
          <t xml:space="preserve">        Cuerpo de válvula</t>
        </is>
      </c>
      <c r="E21" s="32" t="n">
        <v>1</v>
      </c>
      <c r="F21" s="32" t="inlineStr">
        <is>
          <t>u</t>
        </is>
      </c>
      <c r="G21" s="33" t="n">
        <v>0.0935</v>
      </c>
      <c r="H21" s="33">
        <f>E21*G21</f>
        <v/>
      </c>
      <c r="I21" s="32" t="inlineStr">
        <is>
          <t>Latón forjado</t>
        </is>
      </c>
      <c r="J21" s="17" t="inlineStr">
        <is>
          <t>32,3 × 28 × 22,9</t>
        </is>
      </c>
      <c r="K21" s="32" t="inlineStr">
        <is>
          <t>Incluido en válvula HZ</t>
        </is>
      </c>
      <c r="L21" s="32" t="inlineStr">
        <is>
          <t>No</t>
        </is>
      </c>
      <c r="M21" s="17" t="n"/>
      <c r="N21" s="17" t="n"/>
      <c r="O21" s="17" t="inlineStr">
        <is>
          <t>19 Ensamblaje de válvula (T03/T04)</t>
        </is>
      </c>
      <c r="P21" s="17" t="n"/>
      <c r="Q21" s="32" t="inlineStr">
        <is>
          <t>P</t>
        </is>
      </c>
      <c r="R21" s="32" t="inlineStr">
        <is>
          <t>FL_DES_ABC_1kg</t>
        </is>
      </c>
      <c r="S21" s="17" t="n"/>
    </row>
    <row r="22">
      <c r="A22" s="41" t="inlineStr">
        <is>
          <t>FL_MAT_ABC_1kg</t>
        </is>
      </c>
      <c r="B22" s="41" t="n">
        <v>2</v>
      </c>
      <c r="C22" s="41" t="inlineStr">
        <is>
          <t>ABC1-08</t>
        </is>
      </c>
      <c r="D22" s="42" t="inlineStr">
        <is>
          <t xml:space="preserve">        Manómetro</t>
        </is>
      </c>
      <c r="E22" s="41" t="n">
        <v>1</v>
      </c>
      <c r="F22" s="41" t="inlineStr">
        <is>
          <t>u</t>
        </is>
      </c>
      <c r="G22" s="43" t="n"/>
      <c r="H22" s="43" t="n"/>
      <c r="I22" s="41" t="inlineStr">
        <is>
          <t>Comercial</t>
        </is>
      </c>
      <c r="J22" s="42" t="inlineStr">
        <is>
          <t>Ø36 esfera, rango 0-3,5 MPa, sector verde en 1,4</t>
        </is>
      </c>
      <c r="K22" s="41" t="inlineStr">
        <is>
          <t>Compra</t>
        </is>
      </c>
      <c r="L22" s="41" t="inlineStr">
        <is>
          <t>Sí</t>
        </is>
      </c>
      <c r="M22" s="42" t="inlineStr">
        <is>
          <t>Yukon / MatafuegosYa S.R.L.</t>
        </is>
      </c>
      <c r="N22" s="42" t="inlineStr">
        <is>
          <t>Matafuegos Iglesias</t>
        </is>
      </c>
      <c r="O22" s="42" t="inlineStr">
        <is>
          <t>19 Ensamblaje de válvula (T03/T04)</t>
        </is>
      </c>
      <c r="P22" s="42" t="inlineStr">
        <is>
          <t>IRAM 3533</t>
        </is>
      </c>
      <c r="Q22" s="41" t="inlineStr">
        <is>
          <t>P</t>
        </is>
      </c>
      <c r="R22" s="41" t="inlineStr">
        <is>
          <t>FL_DES_ABC_1kg</t>
        </is>
      </c>
      <c r="S22" s="42" t="inlineStr">
        <is>
          <t>Pieza comercial; sello IRAM 3533; peso: completar con la ficha del proveedor (no afecta el MRP)</t>
        </is>
      </c>
    </row>
    <row r="23">
      <c r="A23" s="32" t="inlineStr">
        <is>
          <t>FL_MAT_ABC_1kg</t>
        </is>
      </c>
      <c r="B23" s="32" t="n">
        <v>2</v>
      </c>
      <c r="C23" s="32" t="inlineStr">
        <is>
          <t>ABC1-09</t>
        </is>
      </c>
      <c r="D23" s="17" t="inlineStr">
        <is>
          <t xml:space="preserve">        Vástago</t>
        </is>
      </c>
      <c r="E23" s="32" t="n">
        <v>1</v>
      </c>
      <c r="F23" s="32" t="inlineStr">
        <is>
          <t>u</t>
        </is>
      </c>
      <c r="G23" s="33" t="n">
        <v>0.0044</v>
      </c>
      <c r="H23" s="33">
        <f>E23*G23</f>
        <v/>
      </c>
      <c r="I23" s="32" t="inlineStr">
        <is>
          <t>Latón</t>
        </is>
      </c>
      <c r="J23" s="17" t="inlineStr">
        <is>
          <t>22,8 × 9 × 9</t>
        </is>
      </c>
      <c r="K23" s="32" t="inlineStr">
        <is>
          <t>Incluido en válvula HZ</t>
        </is>
      </c>
      <c r="L23" s="32" t="inlineStr">
        <is>
          <t>No</t>
        </is>
      </c>
      <c r="M23" s="17" t="n"/>
      <c r="N23" s="17" t="n"/>
      <c r="O23" s="17" t="inlineStr">
        <is>
          <t>19 Ensamblaje de válvula (T03/T04)</t>
        </is>
      </c>
      <c r="P23" s="17" t="n"/>
      <c r="Q23" s="32" t="inlineStr">
        <is>
          <t>P</t>
        </is>
      </c>
      <c r="R23" s="32" t="inlineStr">
        <is>
          <t>FL_DES_ABC_1kg</t>
        </is>
      </c>
      <c r="S23" s="17" t="inlineStr">
        <is>
          <t>con junta tórica</t>
        </is>
      </c>
    </row>
    <row r="24">
      <c r="A24" s="32" t="inlineStr">
        <is>
          <t>FL_MAT_ABC_1kg</t>
        </is>
      </c>
      <c r="B24" s="32" t="n">
        <v>2</v>
      </c>
      <c r="C24" s="32" t="inlineStr">
        <is>
          <t>ABC1-10</t>
        </is>
      </c>
      <c r="D24" s="17" t="inlineStr">
        <is>
          <t xml:space="preserve">        Resorte de válvula</t>
        </is>
      </c>
      <c r="E24" s="32" t="n">
        <v>1</v>
      </c>
      <c r="F24" s="32" t="inlineStr">
        <is>
          <t>u</t>
        </is>
      </c>
      <c r="G24" s="33" t="n">
        <v>0.0018</v>
      </c>
      <c r="H24" s="33">
        <f>E24*G24</f>
        <v/>
      </c>
      <c r="I24" s="32" t="inlineStr">
        <is>
          <t>Alambre acero inox. AISI 302</t>
        </is>
      </c>
      <c r="J24" s="17" t="inlineStr">
        <is>
          <t>19,9 × 9,8 × 9,8</t>
        </is>
      </c>
      <c r="K24" s="32" t="inlineStr">
        <is>
          <t>Incluido en válvula HZ</t>
        </is>
      </c>
      <c r="L24" s="32" t="inlineStr">
        <is>
          <t>No</t>
        </is>
      </c>
      <c r="M24" s="17" t="n"/>
      <c r="N24" s="17" t="n"/>
      <c r="O24" s="17" t="inlineStr">
        <is>
          <t>19 Ensamblaje de válvula (T03/T04)</t>
        </is>
      </c>
      <c r="P24" s="17" t="n"/>
      <c r="Q24" s="32" t="inlineStr">
        <is>
          <t>P</t>
        </is>
      </c>
      <c r="R24" s="32" t="inlineStr">
        <is>
          <t>FL_DES_ABC_1kg</t>
        </is>
      </c>
      <c r="S24" s="17" t="inlineStr">
        <is>
          <t>cierre del vástago</t>
        </is>
      </c>
    </row>
    <row r="25">
      <c r="A25" s="32" t="inlineStr">
        <is>
          <t>FL_MAT_ABC_1kg</t>
        </is>
      </c>
      <c r="B25" s="32" t="n">
        <v>2</v>
      </c>
      <c r="C25" s="32" t="inlineStr">
        <is>
          <t>ABC1-11</t>
        </is>
      </c>
      <c r="D25" s="17" t="inlineStr">
        <is>
          <t xml:space="preserve">        Eje de palanca</t>
        </is>
      </c>
      <c r="E25" s="32" t="n">
        <v>1</v>
      </c>
      <c r="F25" s="32" t="inlineStr">
        <is>
          <t>u</t>
        </is>
      </c>
      <c r="G25" s="33" t="n">
        <v>0.0023</v>
      </c>
      <c r="H25" s="33">
        <f>E25*G25</f>
        <v/>
      </c>
      <c r="I25" s="32" t="inlineStr">
        <is>
          <t>Acero inox. AISI 304</t>
        </is>
      </c>
      <c r="J25" s="17" t="inlineStr">
        <is>
          <t>29 × 3,6 × 3,6</t>
        </is>
      </c>
      <c r="K25" s="32" t="inlineStr">
        <is>
          <t>Incluido en válvula HZ</t>
        </is>
      </c>
      <c r="L25" s="32" t="inlineStr">
        <is>
          <t>No</t>
        </is>
      </c>
      <c r="M25" s="17" t="n"/>
      <c r="N25" s="17" t="n"/>
      <c r="O25" s="17" t="inlineStr">
        <is>
          <t>19 Ensamblaje de válvula (T03/T04)</t>
        </is>
      </c>
      <c r="P25" s="17" t="n"/>
      <c r="Q25" s="32" t="inlineStr">
        <is>
          <t>P</t>
        </is>
      </c>
      <c r="R25" s="32" t="inlineStr">
        <is>
          <t>FL_DES_ABC_1kg</t>
        </is>
      </c>
      <c r="S25" s="17" t="n"/>
    </row>
    <row r="26">
      <c r="A26" s="32" t="inlineStr">
        <is>
          <t>FL_MAT_ABC_1kg</t>
        </is>
      </c>
      <c r="B26" s="32" t="n">
        <v>2</v>
      </c>
      <c r="C26" s="32" t="inlineStr">
        <is>
          <t>ABC1-12</t>
        </is>
      </c>
      <c r="D26" s="17" t="inlineStr">
        <is>
          <t xml:space="preserve">        Pasador de seguridad</t>
        </is>
      </c>
      <c r="E26" s="32" t="n">
        <v>1</v>
      </c>
      <c r="F26" s="32" t="inlineStr">
        <is>
          <t>u</t>
        </is>
      </c>
      <c r="G26" s="33" t="n">
        <v>0.0053</v>
      </c>
      <c r="H26" s="33">
        <f>E26*G26</f>
        <v/>
      </c>
      <c r="I26" s="32" t="inlineStr">
        <is>
          <t>Alambre acero inox. AISI 304</t>
        </is>
      </c>
      <c r="J26" s="17" t="inlineStr">
        <is>
          <t>41,9 × 21 × 20,8</t>
        </is>
      </c>
      <c r="K26" s="32" t="inlineStr">
        <is>
          <t>Incluido en válvula HZ</t>
        </is>
      </c>
      <c r="L26" s="32" t="inlineStr">
        <is>
          <t>No</t>
        </is>
      </c>
      <c r="M26" s="17" t="n"/>
      <c r="N26" s="17" t="n"/>
      <c r="O26" s="17" t="inlineStr">
        <is>
          <t>19 Ensamblaje de válvula (T03/T04)</t>
        </is>
      </c>
      <c r="P26" s="17" t="n"/>
      <c r="Q26" s="32" t="inlineStr">
        <is>
          <t>P</t>
        </is>
      </c>
      <c r="R26" s="32" t="inlineStr">
        <is>
          <t>FL_DES_ABC_1kg</t>
        </is>
      </c>
      <c r="S26" s="17" t="inlineStr">
        <is>
          <t>con precinto</t>
        </is>
      </c>
    </row>
    <row r="27">
      <c r="A27" s="32" t="inlineStr">
        <is>
          <t>FL_MAT_ABC_1kg</t>
        </is>
      </c>
      <c r="B27" s="32" t="n">
        <v>2</v>
      </c>
      <c r="C27" s="32" t="inlineStr">
        <is>
          <t>ABC1-13</t>
        </is>
      </c>
      <c r="D27" s="17" t="inlineStr">
        <is>
          <t xml:space="preserve">        Manija de accionamiento</t>
        </is>
      </c>
      <c r="E27" s="32" t="n">
        <v>1</v>
      </c>
      <c r="F27" s="32" t="inlineStr">
        <is>
          <t>u</t>
        </is>
      </c>
      <c r="G27" s="33" t="n">
        <v>0.025</v>
      </c>
      <c r="H27" s="33">
        <f>E27*G27</f>
        <v/>
      </c>
      <c r="I27" s="32" t="inlineStr">
        <is>
          <t>Chapa acero SAE 1010 pintada</t>
        </is>
      </c>
      <c r="J27" s="17" t="inlineStr">
        <is>
          <t>67,1 × 27 × 11</t>
        </is>
      </c>
      <c r="K27" s="32" t="inlineStr">
        <is>
          <t>Incluido en válvula HZ</t>
        </is>
      </c>
      <c r="L27" s="32" t="inlineStr">
        <is>
          <t>No</t>
        </is>
      </c>
      <c r="M27" s="17" t="n"/>
      <c r="N27" s="17" t="n"/>
      <c r="O27" s="17" t="inlineStr">
        <is>
          <t>19 Ensamblaje de válvula (T03/T04)</t>
        </is>
      </c>
      <c r="P27" s="17" t="n"/>
      <c r="Q27" s="32" t="inlineStr">
        <is>
          <t>P</t>
        </is>
      </c>
      <c r="R27" s="32" t="inlineStr">
        <is>
          <t>FL_DES_ABC_1kg</t>
        </is>
      </c>
      <c r="S27" s="17" t="n"/>
    </row>
    <row r="28">
      <c r="A28" s="32" t="inlineStr">
        <is>
          <t>FL_MAT_ABC_1kg</t>
        </is>
      </c>
      <c r="B28" s="32" t="n">
        <v>2</v>
      </c>
      <c r="C28" s="32" t="inlineStr">
        <is>
          <t>ABC1-14</t>
        </is>
      </c>
      <c r="D28" s="17" t="inlineStr">
        <is>
          <t xml:space="preserve">        Manija de transporte</t>
        </is>
      </c>
      <c r="E28" s="32" t="n">
        <v>1</v>
      </c>
      <c r="F28" s="32" t="inlineStr">
        <is>
          <t>u</t>
        </is>
      </c>
      <c r="G28" s="33" t="n">
        <v>0.0501</v>
      </c>
      <c r="H28" s="33">
        <f>E28*G28</f>
        <v/>
      </c>
      <c r="I28" s="32" t="inlineStr">
        <is>
          <t>Chapa acero SAE 1010 pintada</t>
        </is>
      </c>
      <c r="J28" s="17" t="inlineStr">
        <is>
          <t>91,7 × 60 × 31</t>
        </is>
      </c>
      <c r="K28" s="32" t="inlineStr">
        <is>
          <t>Incluido en válvula HZ</t>
        </is>
      </c>
      <c r="L28" s="32" t="inlineStr">
        <is>
          <t>No</t>
        </is>
      </c>
      <c r="M28" s="17" t="n"/>
      <c r="N28" s="17" t="n"/>
      <c r="O28" s="17" t="inlineStr">
        <is>
          <t>19 Ensamblaje de válvula (T03/T04)</t>
        </is>
      </c>
      <c r="P28" s="17" t="n"/>
      <c r="Q28" s="32" t="inlineStr">
        <is>
          <t>P</t>
        </is>
      </c>
      <c r="R28" s="32" t="inlineStr">
        <is>
          <t>FL_DES_ABC_1kg</t>
        </is>
      </c>
      <c r="S28" s="17" t="n"/>
    </row>
    <row r="29">
      <c r="A29" s="32" t="inlineStr">
        <is>
          <t>FL_MAT_ABC_1kg</t>
        </is>
      </c>
      <c r="B29" s="32" t="n">
        <v>2</v>
      </c>
      <c r="C29" s="32" t="inlineStr">
        <is>
          <t>ABC1-15</t>
        </is>
      </c>
      <c r="D29" s="17" t="inlineStr">
        <is>
          <t xml:space="preserve">        Caño de pesca (sifón)</t>
        </is>
      </c>
      <c r="E29" s="32" t="n">
        <v>1</v>
      </c>
      <c r="F29" s="32" t="inlineStr">
        <is>
          <t>u</t>
        </is>
      </c>
      <c r="G29" s="33" t="n">
        <v>0.023</v>
      </c>
      <c r="H29" s="33">
        <f>E29*G29</f>
        <v/>
      </c>
      <c r="I29" s="32" t="inlineStr">
        <is>
          <t>Tubo PVC rígido</t>
        </is>
      </c>
      <c r="J29" s="17" t="inlineStr">
        <is>
          <t>Ø14,4 × 270,1 de largo</t>
        </is>
      </c>
      <c r="K29" s="32" t="inlineStr">
        <is>
          <t>Incluido en válvula HZ</t>
        </is>
      </c>
      <c r="L29" s="32" t="inlineStr">
        <is>
          <t>No</t>
        </is>
      </c>
      <c r="M29" s="17" t="n"/>
      <c r="N29" s="17" t="n"/>
      <c r="O29" s="17" t="inlineStr">
        <is>
          <t>19 Ensamblaje de válvula (T03/T04)</t>
        </is>
      </c>
      <c r="P29" s="17" t="n"/>
      <c r="Q29" s="32" t="inlineStr">
        <is>
          <t>P</t>
        </is>
      </c>
      <c r="R29" s="32" t="inlineStr">
        <is>
          <t>FL_DES_ABC_1kg</t>
        </is>
      </c>
      <c r="S29" s="17" t="n"/>
    </row>
    <row r="30">
      <c r="A30" s="32" t="inlineStr">
        <is>
          <t>FL_MAT_ABC_1kg</t>
        </is>
      </c>
      <c r="B30" s="32" t="n">
        <v>2</v>
      </c>
      <c r="C30" s="32" t="inlineStr">
        <is>
          <t>ABC1-21</t>
        </is>
      </c>
      <c r="D30" s="17" t="inlineStr">
        <is>
          <t xml:space="preserve">        Junta tórica de asiento</t>
        </is>
      </c>
      <c r="E30" s="32" t="n">
        <v>1</v>
      </c>
      <c r="F30" s="32" t="inlineStr">
        <is>
          <t>u</t>
        </is>
      </c>
      <c r="G30" s="33" t="n">
        <v>0.0007</v>
      </c>
      <c r="H30" s="33">
        <f>E30*G30</f>
        <v/>
      </c>
      <c r="I30" s="32" t="inlineStr">
        <is>
          <t>NBR 70 Shore A</t>
        </is>
      </c>
      <c r="J30" s="17" t="inlineStr">
        <is>
          <t>Ø24 ext. × cordón 3</t>
        </is>
      </c>
      <c r="K30" s="32" t="inlineStr">
        <is>
          <t>Compra</t>
        </is>
      </c>
      <c r="L30" s="32" t="inlineStr">
        <is>
          <t>Sí</t>
        </is>
      </c>
      <c r="M30" s="17" t="inlineStr">
        <is>
          <t>Argensold</t>
        </is>
      </c>
      <c r="N30" s="17" t="inlineStr">
        <is>
          <t>Matafuegos Iglesias</t>
        </is>
      </c>
      <c r="O30" s="17" t="inlineStr">
        <is>
          <t>19 Ensamblaje de válvula (T03/T04)</t>
        </is>
      </c>
      <c r="P30" s="17" t="n"/>
      <c r="Q30" s="32" t="inlineStr">
        <is>
          <t>P</t>
        </is>
      </c>
      <c r="R30" s="32" t="inlineStr">
        <is>
          <t>FL_DES_ABC_1kg</t>
        </is>
      </c>
      <c r="S30" s="17" t="inlineStr">
        <is>
          <t>cambio c/recarga</t>
        </is>
      </c>
    </row>
    <row r="31">
      <c r="A31" s="32" t="inlineStr">
        <is>
          <t>FL_MAT_ABC_1kg</t>
        </is>
      </c>
      <c r="B31" s="32" t="n">
        <v>2</v>
      </c>
      <c r="C31" s="32" t="inlineStr">
        <is>
          <t>ABC1-K2</t>
        </is>
      </c>
      <c r="D31" s="17" t="inlineStr">
        <is>
          <t xml:space="preserve">        Válvula HZ armada M-22 1 kg c/tubo de pesca plástico</t>
        </is>
      </c>
      <c r="E31" s="32" t="n">
        <v>1</v>
      </c>
      <c r="F31" s="32" t="inlineStr">
        <is>
          <t>u</t>
        </is>
      </c>
      <c r="G31" s="33" t="n"/>
      <c r="H31" s="33" t="n"/>
      <c r="I31" s="32" t="inlineStr">
        <is>
          <t>Latón forjado (HZ)</t>
        </is>
      </c>
      <c r="J31" s="17" t="inlineStr">
        <is>
          <t>rosca M22x1,5</t>
        </is>
      </c>
      <c r="K31" s="32" t="inlineStr">
        <is>
          <t>Compra</t>
        </is>
      </c>
      <c r="L31" s="32" t="inlineStr">
        <is>
          <t>Sí</t>
        </is>
      </c>
      <c r="M31" s="17" t="inlineStr">
        <is>
          <t>Polvex S.R.L. / Sancibrao</t>
        </is>
      </c>
      <c r="N31" s="17" t="inlineStr">
        <is>
          <t>Mozart S.R.L.</t>
        </is>
      </c>
      <c r="O31" s="17" t="inlineStr">
        <is>
          <t>19 Ensamblaje de válvula</t>
        </is>
      </c>
      <c r="P31" s="17" t="inlineStr">
        <is>
          <t>IRAM 3523 3.3</t>
        </is>
      </c>
      <c r="Q31" s="32" t="inlineStr">
        <is>
          <t>Q</t>
        </is>
      </c>
      <c r="R31" s="32" t="inlineStr">
        <is>
          <t>FL_DES_ABC_1kg</t>
        </is>
      </c>
      <c r="S31" s="17" t="inlineStr">
        <is>
          <t>Lista de precios HZ (Q-AGENTES); plano Fadesa usa válvula HZ (R-FADESA). Trae las piezas marcadas «Incluido en válvula HZ»</t>
        </is>
      </c>
    </row>
    <row r="32">
      <c r="A32" s="32" t="inlineStr">
        <is>
          <t>FL_MAT_ABC_1kg</t>
        </is>
      </c>
      <c r="B32" s="32" t="n">
        <v>2</v>
      </c>
      <c r="C32" s="32" t="inlineStr">
        <is>
          <t>ABC1-V2</t>
        </is>
      </c>
      <c r="D32" s="17" t="inlineStr">
        <is>
          <t xml:space="preserve">        Resorte de retorno del vástago</t>
        </is>
      </c>
      <c r="E32" s="32" t="n">
        <v>1</v>
      </c>
      <c r="F32" s="32" t="inlineStr">
        <is>
          <t>u</t>
        </is>
      </c>
      <c r="G32" s="33" t="n"/>
      <c r="H32" s="33" t="n"/>
      <c r="I32" s="32" t="inlineStr">
        <is>
          <t>Acero para resortes</t>
        </is>
      </c>
      <c r="J32" s="17" t="inlineStr">
        <is>
          <t>incluido en la válvula</t>
        </is>
      </c>
      <c r="K32" s="32" t="inlineStr">
        <is>
          <t>Incluido en válvula HZ</t>
        </is>
      </c>
      <c r="L32" s="32" t="inlineStr">
        <is>
          <t>No</t>
        </is>
      </c>
      <c r="M32" s="17" t="n"/>
      <c r="N32" s="17" t="n"/>
      <c r="O32" s="17" t="inlineStr">
        <is>
          <t>19 Ensamblaje</t>
        </is>
      </c>
      <c r="P32" s="17" t="n"/>
      <c r="Q32" s="32" t="inlineStr">
        <is>
          <t>Q</t>
        </is>
      </c>
      <c r="R32" s="32" t="n"/>
      <c r="S32" s="17" t="inlineStr">
        <is>
          <t>Lista de precios HZ: válvula «c/resorte» (Q-AGENTES)</t>
        </is>
      </c>
    </row>
    <row r="33">
      <c r="A33" s="32" t="inlineStr">
        <is>
          <t>FL_MAT_ABC_1kg</t>
        </is>
      </c>
      <c r="B33" s="32" t="n">
        <v>2</v>
      </c>
      <c r="C33" s="32" t="inlineStr">
        <is>
          <t>ABC1-V3</t>
        </is>
      </c>
      <c r="D33" s="17" t="inlineStr">
        <is>
          <t xml:space="preserve">        Junta tórica del vástago</t>
        </is>
      </c>
      <c r="E33" s="32" t="n">
        <v>1</v>
      </c>
      <c r="F33" s="32" t="inlineStr">
        <is>
          <t>u</t>
        </is>
      </c>
      <c r="G33" s="33" t="n"/>
      <c r="H33" s="33" t="n"/>
      <c r="I33" s="32" t="inlineStr">
        <is>
          <t>NBR 70 Shore A</t>
        </is>
      </c>
      <c r="J33" s="17" t="inlineStr">
        <is>
          <t>incluida en la válvula</t>
        </is>
      </c>
      <c r="K33" s="32" t="inlineStr">
        <is>
          <t>Incluido en válvula HZ</t>
        </is>
      </c>
      <c r="L33" s="32" t="inlineStr">
        <is>
          <t>No</t>
        </is>
      </c>
      <c r="M33" s="17" t="n"/>
      <c r="N33" s="17" t="n"/>
      <c r="O33" s="17" t="inlineStr">
        <is>
          <t>19 Ensamblaje</t>
        </is>
      </c>
      <c r="P33" s="17" t="n"/>
      <c r="Q33" s="32" t="inlineStr">
        <is>
          <t>P</t>
        </is>
      </c>
      <c r="R33" s="32" t="n"/>
      <c r="S33" s="17" t="inlineStr">
        <is>
          <t>Figura en el plano como «vástago con junta tórica»</t>
        </is>
      </c>
    </row>
    <row r="34">
      <c r="A34" s="29" t="inlineStr">
        <is>
          <t>FL_MAT_ABC_1kg</t>
        </is>
      </c>
      <c r="B34" s="29" t="n">
        <v>1</v>
      </c>
      <c r="C34" s="29" t="inlineStr">
        <is>
          <t>ABC1-S3</t>
        </is>
      </c>
      <c r="D34" s="30" t="inlineStr">
        <is>
          <t xml:space="preserve">    Dispositivo de descarga</t>
        </is>
      </c>
      <c r="E34" s="29" t="n">
        <v>1</v>
      </c>
      <c r="F34" s="29" t="inlineStr">
        <is>
          <t>u</t>
        </is>
      </c>
      <c r="G34" s="31" t="n"/>
      <c r="H34" s="31">
        <f>H35</f>
        <v/>
      </c>
      <c r="I34" s="29" t="n"/>
      <c r="J34" s="30" t="n"/>
      <c r="K34" s="29" t="inlineStr">
        <is>
          <t>Compra / armado</t>
        </is>
      </c>
      <c r="L34" s="29" t="n"/>
      <c r="M34" s="30" t="n"/>
      <c r="N34" s="30" t="n"/>
      <c r="O34" s="30" t="n"/>
      <c r="P34" s="30" t="n"/>
      <c r="Q34" s="29" t="inlineStr">
        <is>
          <t>P</t>
        </is>
      </c>
      <c r="R34" s="29" t="inlineStr">
        <is>
          <t>FL_DES_ABC_1kg</t>
        </is>
      </c>
      <c r="S34" s="30" t="n"/>
    </row>
    <row r="35">
      <c r="A35" s="32" t="inlineStr">
        <is>
          <t>FL_MAT_ABC_1kg</t>
        </is>
      </c>
      <c r="B35" s="32" t="n">
        <v>2</v>
      </c>
      <c r="C35" s="32" t="inlineStr">
        <is>
          <t>ABC1-16</t>
        </is>
      </c>
      <c r="D35" s="17" t="inlineStr">
        <is>
          <t xml:space="preserve">        Tobera</t>
        </is>
      </c>
      <c r="E35" s="32" t="n">
        <v>1</v>
      </c>
      <c r="F35" s="32" t="inlineStr">
        <is>
          <t>u</t>
        </is>
      </c>
      <c r="G35" s="33" t="n">
        <v>0.0005999999999999999</v>
      </c>
      <c r="H35" s="33">
        <f>E35*G35</f>
        <v/>
      </c>
      <c r="I35" s="32" t="inlineStr">
        <is>
          <t>Polipropileno</t>
        </is>
      </c>
      <c r="J35" s="17" t="inlineStr">
        <is>
          <t>12 × 12 × 10</t>
        </is>
      </c>
      <c r="K35" s="32" t="inlineStr">
        <is>
          <t>Compra</t>
        </is>
      </c>
      <c r="L35" s="32" t="inlineStr">
        <is>
          <t>Sí</t>
        </is>
      </c>
      <c r="M35" s="17" t="inlineStr">
        <is>
          <t>Yukon / MatafuegosYa S.R.L.</t>
        </is>
      </c>
      <c r="N35" s="17" t="inlineStr">
        <is>
          <t>Matafuegos Iglesias</t>
        </is>
      </c>
      <c r="O35" s="17" t="inlineStr">
        <is>
          <t>19 Ensamblaje (T03/T04)</t>
        </is>
      </c>
      <c r="P35" s="17" t="n"/>
      <c r="Q35" s="32" t="inlineStr">
        <is>
          <t>P</t>
        </is>
      </c>
      <c r="R35" s="32" t="inlineStr">
        <is>
          <t>FL_DES_ABC_1kg</t>
        </is>
      </c>
      <c r="S35" s="17" t="n"/>
    </row>
    <row r="36">
      <c r="A36" s="29" t="inlineStr">
        <is>
          <t>FL_MAT_ABC_1kg</t>
        </is>
      </c>
      <c r="B36" s="29" t="n">
        <v>1</v>
      </c>
      <c r="C36" s="29" t="inlineStr">
        <is>
          <t>ABC1-S5</t>
        </is>
      </c>
      <c r="D36" s="30" t="inlineStr">
        <is>
          <t xml:space="preserve">    Carga: agente extintor y gas impulsor</t>
        </is>
      </c>
      <c r="E36" s="29" t="n">
        <v>1</v>
      </c>
      <c r="F36" s="29" t="inlineStr">
        <is>
          <t>u</t>
        </is>
      </c>
      <c r="G36" s="31" t="n"/>
      <c r="H36" s="31">
        <f>H37+H38</f>
        <v/>
      </c>
      <c r="I36" s="29" t="n"/>
      <c r="J36" s="30" t="n"/>
      <c r="K36" s="29" t="inlineStr">
        <is>
          <t>Carga en planta</t>
        </is>
      </c>
      <c r="L36" s="29" t="n"/>
      <c r="M36" s="30" t="n"/>
      <c r="N36" s="30" t="n"/>
      <c r="O36" s="30" t="inlineStr">
        <is>
          <t>18 Carga de polvo (T01) / C8 (T02)</t>
        </is>
      </c>
      <c r="P36" s="30" t="n"/>
      <c r="Q36" s="29" t="n"/>
      <c r="R36" s="29" t="n"/>
      <c r="S36" s="30" t="n"/>
    </row>
    <row r="37">
      <c r="A37" s="32" t="inlineStr">
        <is>
          <t>FL_MAT_ABC_1kg</t>
        </is>
      </c>
      <c r="B37" s="32" t="n">
        <v>2</v>
      </c>
      <c r="C37" s="32" t="inlineStr">
        <is>
          <t>ABC1-A1</t>
        </is>
      </c>
      <c r="D37" s="17" t="inlineStr">
        <is>
          <t xml:space="preserve">        Polvo químico seco ABC 60 (Sello IRAM 3569)</t>
        </is>
      </c>
      <c r="E37" s="32" t="n">
        <v>1.05</v>
      </c>
      <c r="F37" s="32" t="inlineStr">
        <is>
          <t>kg</t>
        </is>
      </c>
      <c r="G37" s="33" t="n">
        <v>1</v>
      </c>
      <c r="H37" s="33">
        <f>E37*G37</f>
        <v/>
      </c>
      <c r="I37" s="32" t="inlineStr">
        <is>
          <t>Polvo químico seco ABC 60 (Sello IRAM 3569)</t>
        </is>
      </c>
      <c r="J37" s="17" t="inlineStr">
        <is>
          <t>nominal 1 kg; tolerancia 0 / +100 g (IRAM 3517-2:2020 tabla 3 · IRAM 3523 tabla II)</t>
        </is>
      </c>
      <c r="K37" s="32" t="inlineStr">
        <is>
          <t>Compra</t>
        </is>
      </c>
      <c r="L37" s="32" t="inlineStr">
        <is>
          <t>Sí</t>
        </is>
      </c>
      <c r="M37" s="17" t="inlineStr">
        <is>
          <t>DEM S.A. (DEMSA)</t>
        </is>
      </c>
      <c r="N37" s="17" t="inlineStr">
        <is>
          <t>Polvex S.R.L. / Sancibrao</t>
        </is>
      </c>
      <c r="O37" s="17" t="inlineStr">
        <is>
          <t>SP-1 almacén previo a la carga</t>
        </is>
      </c>
      <c r="P37" s="17" t="inlineStr">
        <is>
          <t>IRAM 3569</t>
        </is>
      </c>
      <c r="Q37" s="32" t="inlineStr">
        <is>
          <t>N</t>
        </is>
      </c>
      <c r="R37" s="32" t="n"/>
      <c r="S37" s="17" t="inlineStr">
        <is>
          <t>Composición declarada del polvo ABC 60: MAP 60 % (IRAM 3569: 57-63 %) = 0,63 kg MAP + 0,389 kg sulfato de amonio + 0,032 kg aditivos · potencial de referencia 1A-5B:C (licencia Drago con DEM-60/90, L-DRAGO) · Decisión: DEMSA principal (sello IRAM 3569 y potencial de referencia); Polvex/Sancibrao alternativa sujeta a sello IRAM 3569 y ensayo de tipo de FLAMA (IRAM 3542/3543) · Lote único por extintor; prohibido mezclar ABC con BC (3517-2 9.9.1.6)</t>
        </is>
      </c>
    </row>
    <row r="38">
      <c r="A38" s="37" t="inlineStr">
        <is>
          <t>FL_MAT_ABC_1kg</t>
        </is>
      </c>
      <c r="B38" s="37" t="n">
        <v>2</v>
      </c>
      <c r="C38" s="37" t="inlineStr">
        <is>
          <t>ABC1-A2</t>
        </is>
      </c>
      <c r="D38" s="18" t="inlineStr">
        <is>
          <t xml:space="preserve">        Gas impulsor: N₂</t>
        </is>
      </c>
      <c r="E38" s="37" t="n">
        <v>0.0047</v>
      </c>
      <c r="F38" s="37" t="inlineStr">
        <is>
          <t>kg</t>
        </is>
      </c>
      <c r="G38" s="38" t="n">
        <v>1</v>
      </c>
      <c r="H38" s="38">
        <f>E38*G38</f>
        <v/>
      </c>
      <c r="I38" s="37" t="inlineStr">
        <is>
          <t>N₂</t>
        </is>
      </c>
      <c r="J38" s="18" t="inlineStr">
        <is>
          <t>3,7 L normales para 1,4 MPa a 20 °C en 0,27 dm³ libres</t>
        </is>
      </c>
      <c r="K38" s="37" t="inlineStr">
        <is>
          <t>Compra</t>
        </is>
      </c>
      <c r="L38" s="37" t="inlineStr">
        <is>
          <t>Sí</t>
        </is>
      </c>
      <c r="M38" s="18" t="inlineStr">
        <is>
          <t>Air Liquide Argentina - sucursal Piñeyro</t>
        </is>
      </c>
      <c r="N38" s="18" t="inlineStr">
        <is>
          <t>Gogniat</t>
        </is>
      </c>
      <c r="O38" s="18" t="inlineStr">
        <is>
          <t>20 Presurización (T05) / C10</t>
        </is>
      </c>
      <c r="P38" s="18" t="inlineStr">
        <is>
          <t>IRAM 3517-2 9.4.9 (tabla 2) · IRAM 3523 2.3 y 3.10</t>
        </is>
      </c>
      <c r="Q38" s="37" t="inlineStr">
        <is>
          <t>C</t>
        </is>
      </c>
      <c r="R38" s="37" t="n"/>
      <c r="S38" s="18" t="inlineStr">
        <is>
          <t>N₂ ≥ 99,8 %, H₂O ≤ 40 ppm (Q-N2, Air Liquide) · volumen libre con ρ empacada mínima 1,1 kg/dm³ (NOM-104-STPS-2001); confirmar con descarga ≥ 85 % (IRAM 3523 4.9.1)</t>
        </is>
      </c>
    </row>
    <row r="39">
      <c r="A39" s="29" t="inlineStr">
        <is>
          <t>FL_MAT_ABC_1kg</t>
        </is>
      </c>
      <c r="B39" s="29" t="n">
        <v>1</v>
      </c>
      <c r="C39" s="29" t="inlineStr">
        <is>
          <t>ABC1-S6</t>
        </is>
      </c>
      <c r="D39" s="30" t="inlineStr">
        <is>
          <t xml:space="preserve">    Identificación y precinto</t>
        </is>
      </c>
      <c r="E39" s="29" t="n">
        <v>1</v>
      </c>
      <c r="F39" s="29" t="inlineStr">
        <is>
          <t>u</t>
        </is>
      </c>
      <c r="G39" s="31" t="n"/>
      <c r="H39" s="31">
        <f>H40+H41+H42+H43+H44+H45</f>
        <v/>
      </c>
      <c r="I39" s="29" t="n"/>
      <c r="J39" s="30" t="n"/>
      <c r="K39" s="29" t="inlineStr">
        <is>
          <t>Compra</t>
        </is>
      </c>
      <c r="L39" s="29" t="n"/>
      <c r="M39" s="30" t="n"/>
      <c r="N39" s="30" t="n"/>
      <c r="O39" s="30" t="inlineStr">
        <is>
          <t>22 Etiquetado (T07)</t>
        </is>
      </c>
      <c r="P39" s="30" t="n"/>
      <c r="Q39" s="29" t="n"/>
      <c r="R39" s="29" t="n"/>
      <c r="S39" s="30" t="n"/>
    </row>
    <row r="40">
      <c r="A40" s="32" t="inlineStr">
        <is>
          <t>FL_MAT_ABC_1kg</t>
        </is>
      </c>
      <c r="B40" s="32" t="n">
        <v>2</v>
      </c>
      <c r="C40" s="32" t="inlineStr">
        <is>
          <t>ABC1-17</t>
        </is>
      </c>
      <c r="D40" s="17" t="inlineStr">
        <is>
          <t xml:space="preserve">        Etiqueta / placa de características</t>
        </is>
      </c>
      <c r="E40" s="32" t="n">
        <v>1</v>
      </c>
      <c r="F40" s="32" t="inlineStr">
        <is>
          <t>u</t>
        </is>
      </c>
      <c r="G40" s="33" t="n">
        <v>0.0097</v>
      </c>
      <c r="H40" s="33">
        <f>E40*G40</f>
        <v/>
      </c>
      <c r="I40" s="32" t="inlineStr">
        <is>
          <t>Vinilo autoadhesivo laminado</t>
        </is>
      </c>
      <c r="J40" s="17" t="inlineStr">
        <is>
          <t>168 × 137 (desarrollo × alto: panel central 108° + 2 alas laterales), e ≈ 0,3, laminado UV</t>
        </is>
      </c>
      <c r="K40" s="32" t="inlineStr">
        <is>
          <t>Compra</t>
        </is>
      </c>
      <c r="L40" s="32" t="inlineStr">
        <is>
          <t>Sí</t>
        </is>
      </c>
      <c r="M40" s="17" t="inlineStr">
        <is>
          <t>Astuprint</t>
        </is>
      </c>
      <c r="N40" s="17" t="inlineStr">
        <is>
          <t>Multilabel Argentina S.A.</t>
        </is>
      </c>
      <c r="O40" s="17" t="inlineStr">
        <is>
          <t>22 Etiquetado (T07)</t>
        </is>
      </c>
      <c r="P40" s="17" t="inlineStr">
        <is>
          <t>IRAM 3534 · IRAM 3523 cap. 5 · relevamiento de mercado</t>
        </is>
      </c>
      <c r="Q40" s="32" t="inlineStr">
        <is>
          <t>P</t>
        </is>
      </c>
      <c r="R40" s="32" t="inlineStr">
        <is>
          <t>FL_DES_ABC_1kg</t>
        </is>
      </c>
      <c r="S40" s="17" t="inlineStr">
        <is>
          <t>IRAM 3534</t>
        </is>
      </c>
    </row>
    <row r="41">
      <c r="A41" s="32" t="inlineStr">
        <is>
          <t>FL_MAT_ABC_1kg</t>
        </is>
      </c>
      <c r="B41" s="32" t="n">
        <v>2</v>
      </c>
      <c r="C41" s="32" t="inlineStr">
        <is>
          <t>ABC1-18</t>
        </is>
      </c>
      <c r="D41" s="17" t="inlineStr">
        <is>
          <t xml:space="preserve">        Oblea de fabricación (PBA)</t>
        </is>
      </c>
      <c r="E41" s="32" t="n">
        <v>1</v>
      </c>
      <c r="F41" s="32" t="inlineStr">
        <is>
          <t>u</t>
        </is>
      </c>
      <c r="G41" s="33" t="n">
        <v>0.0009</v>
      </c>
      <c r="H41" s="33">
        <f>E41*G41</f>
        <v/>
      </c>
      <c r="I41" s="32" t="inlineStr">
        <is>
          <t>Papel de seguridad autodestructible</t>
        </is>
      </c>
      <c r="J41" s="17" t="inlineStr">
        <is>
          <t>Ø46 (Res. OPDS 522/07), numerada, autodestructible</t>
        </is>
      </c>
      <c r="K41" s="32" t="inlineStr">
        <is>
          <t>Compra</t>
        </is>
      </c>
      <c r="L41" s="32" t="inlineStr">
        <is>
          <t>Sí</t>
        </is>
      </c>
      <c r="M41" s="17" t="inlineStr">
        <is>
          <t>Ministerio de Ambiente PBA (ex OPDS)</t>
        </is>
      </c>
      <c r="N41" s="17" t="inlineStr">
        <is>
          <t>-</t>
        </is>
      </c>
      <c r="O41" s="17" t="inlineStr">
        <is>
          <t>22 Etiquetado (T07)</t>
        </is>
      </c>
      <c r="P41" s="17" t="inlineStr">
        <is>
          <t>Res. OPDS 522/07 anexos 1, 2 y 6</t>
        </is>
      </c>
      <c r="Q41" s="32" t="inlineStr">
        <is>
          <t>P</t>
        </is>
      </c>
      <c r="R41" s="32" t="inlineStr">
        <is>
          <t>FL_DES_ABC_1kg</t>
        </is>
      </c>
      <c r="S41" s="17" t="inlineStr">
        <is>
          <t>Res. 522/07</t>
        </is>
      </c>
    </row>
    <row r="42">
      <c r="A42" s="32" t="inlineStr">
        <is>
          <t>FL_MAT_ABC_1kg</t>
        </is>
      </c>
      <c r="B42" s="32" t="n">
        <v>2</v>
      </c>
      <c r="C42" s="32" t="inlineStr">
        <is>
          <t>ABC1-19</t>
        </is>
      </c>
      <c r="D42" s="17" t="inlineStr">
        <is>
          <t xml:space="preserve">        Estampilla IRAM de conformidad</t>
        </is>
      </c>
      <c r="E42" s="32" t="n">
        <v>1</v>
      </c>
      <c r="F42" s="32" t="inlineStr">
        <is>
          <t>u</t>
        </is>
      </c>
      <c r="G42" s="33" t="n">
        <v>0.001</v>
      </c>
      <c r="H42" s="33">
        <f>E42*G42</f>
        <v/>
      </c>
      <c r="I42" s="32" t="inlineStr">
        <is>
          <t>Provista por IRAM (Anexo R)</t>
        </is>
      </c>
      <c r="J42" s="17" t="inlineStr">
        <is>
          <t>60 × 40</t>
        </is>
      </c>
      <c r="K42" s="32" t="inlineStr">
        <is>
          <t>Compra</t>
        </is>
      </c>
      <c r="L42" s="32" t="inlineStr">
        <is>
          <t>Sí</t>
        </is>
      </c>
      <c r="M42" s="17" t="inlineStr">
        <is>
          <t>IRAM - Instituto Argentino de Normalización</t>
        </is>
      </c>
      <c r="N42" s="17" t="inlineStr">
        <is>
          <t>-</t>
        </is>
      </c>
      <c r="O42" s="17" t="inlineStr">
        <is>
          <t>22 Etiquetado (T07)</t>
        </is>
      </c>
      <c r="P42" s="17" t="inlineStr">
        <is>
          <t>IRAM Anexo R (DC-PG-129)</t>
        </is>
      </c>
      <c r="Q42" s="32" t="inlineStr">
        <is>
          <t>P</t>
        </is>
      </c>
      <c r="R42" s="32" t="inlineStr">
        <is>
          <t>FL_DES_ABC_1kg</t>
        </is>
      </c>
      <c r="S42" s="17" t="inlineStr">
        <is>
          <t>numerada</t>
        </is>
      </c>
    </row>
    <row r="43">
      <c r="A43" s="32" t="inlineStr">
        <is>
          <t>FL_MAT_ABC_1kg</t>
        </is>
      </c>
      <c r="B43" s="32" t="n">
        <v>2</v>
      </c>
      <c r="C43" s="32" t="inlineStr">
        <is>
          <t>ABC1-20</t>
        </is>
      </c>
      <c r="D43" s="17" t="inlineStr">
        <is>
          <t xml:space="preserve">        Etiqueta de n° de serie GS1</t>
        </is>
      </c>
      <c r="E43" s="32" t="n">
        <v>1</v>
      </c>
      <c r="F43" s="32" t="inlineStr">
        <is>
          <t>u</t>
        </is>
      </c>
      <c r="G43" s="33" t="n">
        <v>0.0005</v>
      </c>
      <c r="H43" s="33">
        <f>E43*G43</f>
        <v/>
      </c>
      <c r="I43" s="32" t="inlineStr">
        <is>
          <t>Poliéster autoadhesivo impreso térmico</t>
        </is>
      </c>
      <c r="J43" s="17" t="inlineStr">
        <is>
          <t>45 × 25</t>
        </is>
      </c>
      <c r="K43" s="32" t="inlineStr">
        <is>
          <t>Compra</t>
        </is>
      </c>
      <c r="L43" s="32" t="inlineStr">
        <is>
          <t>Sí</t>
        </is>
      </c>
      <c r="M43" s="17" t="inlineStr">
        <is>
          <t>Astuprint</t>
        </is>
      </c>
      <c r="N43" s="17" t="inlineStr">
        <is>
          <t>GS1 Argentina</t>
        </is>
      </c>
      <c r="O43" s="17" t="inlineStr">
        <is>
          <t>22 Etiquetado (T07)</t>
        </is>
      </c>
      <c r="P43" s="17" t="inlineStr">
        <is>
          <t>GS1 Argentina (GTIN 779) · trazabilidad IRAM 3523 5.1</t>
        </is>
      </c>
      <c r="Q43" s="32" t="inlineStr">
        <is>
          <t>P</t>
        </is>
      </c>
      <c r="R43" s="32" t="inlineStr">
        <is>
          <t>FL_DES_ABC_1kg</t>
        </is>
      </c>
      <c r="S43" s="17" t="inlineStr">
        <is>
          <t>QR GTIN + serie</t>
        </is>
      </c>
    </row>
    <row r="44">
      <c r="A44" s="32" t="inlineStr">
        <is>
          <t>FL_MAT_ABC_1kg</t>
        </is>
      </c>
      <c r="B44" s="32" t="n">
        <v>2</v>
      </c>
      <c r="C44" s="32" t="inlineStr">
        <is>
          <t>ABC1-22</t>
        </is>
      </c>
      <c r="D44" s="17" t="inlineStr">
        <is>
          <t xml:space="preserve">        Faja de garantía válvula-cuello</t>
        </is>
      </c>
      <c r="E44" s="32" t="n">
        <v>1</v>
      </c>
      <c r="F44" s="32" t="inlineStr">
        <is>
          <t>u</t>
        </is>
      </c>
      <c r="G44" s="33" t="n">
        <v>0.0001</v>
      </c>
      <c r="H44" s="33">
        <f>E44*G44</f>
        <v/>
      </c>
      <c r="I44" s="32" t="inlineStr">
        <is>
          <t>Vinilo destructible rayado rojo/blanco</t>
        </is>
      </c>
      <c r="J44" s="17" t="inlineStr">
        <is>
          <t>17 × 20 (ancho × largo desarrollado), pegada sobre la unión: cuerpo de la válvula, tuerca y cuello</t>
        </is>
      </c>
      <c r="K44" s="32" t="inlineStr">
        <is>
          <t>Compra</t>
        </is>
      </c>
      <c r="L44" s="32" t="inlineStr">
        <is>
          <t>Sí</t>
        </is>
      </c>
      <c r="M44" s="17" t="inlineStr">
        <is>
          <t>Astuprint</t>
        </is>
      </c>
      <c r="N44" s="17" t="inlineStr">
        <is>
          <t>Multilabel Argentina S.A.</t>
        </is>
      </c>
      <c r="O44" s="17" t="inlineStr">
        <is>
          <t>22 Etiquetado (T07)</t>
        </is>
      </c>
      <c r="P44" s="17" t="inlineStr">
        <is>
          <t>Sin norma: práctica de mercado (garantía de fábrica)</t>
        </is>
      </c>
      <c r="Q44" s="32" t="inlineStr">
        <is>
          <t>P</t>
        </is>
      </c>
      <c r="R44" s="32" t="inlineStr">
        <is>
          <t>FL_DES_ABC_1kg</t>
        </is>
      </c>
      <c r="S44" s="17" t="inlineStr">
        <is>
          <t>nuevo sin abrir</t>
        </is>
      </c>
    </row>
    <row r="45">
      <c r="A45" s="32" t="inlineStr">
        <is>
          <t>FL_MAT_ABC_1kg</t>
        </is>
      </c>
      <c r="B45" s="32" t="n">
        <v>2</v>
      </c>
      <c r="C45" s="32" t="inlineStr">
        <is>
          <t>ABC1-23</t>
        </is>
      </c>
      <c r="D45" s="17" t="inlineStr">
        <is>
          <t xml:space="preserve">        Precinto de fábrica</t>
        </is>
      </c>
      <c r="E45" s="32" t="n">
        <v>1</v>
      </c>
      <c r="F45" s="32" t="inlineStr">
        <is>
          <t>u</t>
        </is>
      </c>
      <c r="G45" s="33" t="n">
        <v>0.0002</v>
      </c>
      <c r="H45" s="33">
        <f>E45*G45</f>
        <v/>
      </c>
      <c r="I45" s="32" t="inlineStr">
        <is>
          <t>Polipropileno color</t>
        </is>
      </c>
      <c r="J45" s="17" t="inlineStr">
        <is>
          <t>Ø5 × 10, numerado, rotura 30-50 N</t>
        </is>
      </c>
      <c r="K45" s="32" t="inlineStr">
        <is>
          <t>Compra</t>
        </is>
      </c>
      <c r="L45" s="32" t="inlineStr">
        <is>
          <t>Sí</t>
        </is>
      </c>
      <c r="M45" s="17" t="inlineStr">
        <is>
          <t>SonFuertes (vía Papelera Damián)</t>
        </is>
      </c>
      <c r="N45" s="17" t="inlineStr">
        <is>
          <t>Precinter S.R.L.</t>
        </is>
      </c>
      <c r="O45" s="17" t="inlineStr">
        <is>
          <t>20 Presurización (T05)</t>
        </is>
      </c>
      <c r="P45" s="17" t="inlineStr">
        <is>
          <t>IRAM 3523 3.3.2 · IRAM 3517-2:2020 9.4.13</t>
        </is>
      </c>
      <c r="Q45" s="32" t="inlineStr">
        <is>
          <t>P</t>
        </is>
      </c>
      <c r="R45" s="32" t="inlineStr">
        <is>
          <t>FL_DES_ABC_1kg</t>
        </is>
      </c>
      <c r="S45" s="17" t="inlineStr">
        <is>
          <t>id. FLAMA y lote</t>
        </is>
      </c>
    </row>
    <row r="46">
      <c r="A46" s="29" t="inlineStr">
        <is>
          <t>FL_MAT_ABC_1kg</t>
        </is>
      </c>
      <c r="B46" s="29" t="n">
        <v>1</v>
      </c>
      <c r="C46" s="29" t="inlineStr">
        <is>
          <t>ABC1-S8</t>
        </is>
      </c>
      <c r="D46" s="30" t="inlineStr">
        <is>
          <t xml:space="preserve">    Soporte (accesorio de montaje)</t>
        </is>
      </c>
      <c r="E46" s="29" t="n">
        <v>1</v>
      </c>
      <c r="F46" s="29" t="inlineStr">
        <is>
          <t>u</t>
        </is>
      </c>
      <c r="G46" s="31" t="n"/>
      <c r="H46" s="31">
        <f>H47</f>
        <v/>
      </c>
      <c r="I46" s="29" t="n"/>
      <c r="J46" s="30" t="n"/>
      <c r="K46" s="29" t="inlineStr">
        <is>
          <t>Compra</t>
        </is>
      </c>
      <c r="L46" s="29" t="n"/>
      <c r="M46" s="30" t="n"/>
      <c r="N46" s="30" t="n"/>
      <c r="O46" s="30" t="inlineStr">
        <is>
          <t>23 Embalaje (va dentro de la caja)</t>
        </is>
      </c>
      <c r="P46" s="30" t="inlineStr">
        <is>
          <t>IRAM 3517-2 7.4</t>
        </is>
      </c>
      <c r="Q46" s="29" t="n"/>
      <c r="R46" s="29" t="n"/>
      <c r="S46" s="30" t="n"/>
    </row>
    <row r="47">
      <c r="A47" s="32" t="inlineStr">
        <is>
          <t>FL_MAT_ABC_1kg</t>
        </is>
      </c>
      <c r="B47" s="32" t="n">
        <v>2</v>
      </c>
      <c r="C47" s="32" t="inlineStr">
        <is>
          <t>ABC1-I7</t>
        </is>
      </c>
      <c r="D47" s="17" t="inlineStr">
        <is>
          <t xml:space="preserve">        Soporte vehicular con cierre rápido (FL_ACC_02)</t>
        </is>
      </c>
      <c r="E47" s="32" t="n">
        <v>1</v>
      </c>
      <c r="F47" s="32" t="inlineStr">
        <is>
          <t>u</t>
        </is>
      </c>
      <c r="G47" s="33" t="n">
        <v>0.631</v>
      </c>
      <c r="H47" s="33">
        <f>E47*G47</f>
        <v/>
      </c>
      <c r="I47" s="32" t="inlineStr">
        <is>
          <t>Chapa acero SAE 1010 e=2,5 pintada</t>
        </is>
      </c>
      <c r="J47" s="17" t="inlineStr">
        <is>
          <t>base 80 de ancho, 2 aros con hebilla</t>
        </is>
      </c>
      <c r="K47" s="32" t="inlineStr">
        <is>
          <t>Compra</t>
        </is>
      </c>
      <c r="L47" s="32" t="inlineStr">
        <is>
          <t>Sí</t>
        </is>
      </c>
      <c r="M47" s="17" t="inlineStr">
        <is>
          <t>Maxiseguridad</t>
        </is>
      </c>
      <c r="N47" s="17" t="inlineStr">
        <is>
          <t>CM Representaciones</t>
        </is>
      </c>
      <c r="O47" s="17" t="inlineStr">
        <is>
          <t>23 Embalaje</t>
        </is>
      </c>
      <c r="P47" s="17" t="inlineStr">
        <is>
          <t>IRAM 3517-2 7.4</t>
        </is>
      </c>
      <c r="Q47" s="32" t="inlineStr">
        <is>
          <t>P</t>
        </is>
      </c>
      <c r="R47" s="32" t="inlineStr">
        <is>
          <t>FL_ACC_02</t>
        </is>
      </c>
      <c r="S47" s="17" t="n"/>
    </row>
    <row r="48">
      <c r="A48" s="29" t="inlineStr">
        <is>
          <t>FL_MAT_ABC_1kg</t>
        </is>
      </c>
      <c r="B48" s="29" t="n">
        <v>1</v>
      </c>
      <c r="C48" s="29" t="inlineStr">
        <is>
          <t>ABC1-S7</t>
        </is>
      </c>
      <c r="D48" s="30" t="inlineStr">
        <is>
          <t xml:space="preserve">    Embalaje</t>
        </is>
      </c>
      <c r="E48" s="29" t="n">
        <v>1</v>
      </c>
      <c r="F48" s="29" t="inlineStr">
        <is>
          <t>u</t>
        </is>
      </c>
      <c r="G48" s="31" t="n"/>
      <c r="H48" s="31">
        <f>H52</f>
        <v/>
      </c>
      <c r="I48" s="29" t="n"/>
      <c r="J48" s="30" t="n"/>
      <c r="K48" s="29" t="inlineStr">
        <is>
          <t>Compra</t>
        </is>
      </c>
      <c r="L48" s="29" t="n"/>
      <c r="M48" s="30" t="n"/>
      <c r="N48" s="30" t="n"/>
      <c r="O48" s="30" t="inlineStr">
        <is>
          <t>23 Embalaje -&gt; 24 envolvedora (T11)</t>
        </is>
      </c>
      <c r="P48" s="30" t="n"/>
      <c r="Q48" s="29" t="n"/>
      <c r="R48" s="29" t="n"/>
      <c r="S48" s="30" t="n"/>
    </row>
    <row r="49">
      <c r="A49" s="32" t="inlineStr">
        <is>
          <t>FL_MAT_ABC_1kg</t>
        </is>
      </c>
      <c r="B49" s="32" t="n">
        <v>2</v>
      </c>
      <c r="C49" s="32" t="inlineStr">
        <is>
          <t>ABC1-E1</t>
        </is>
      </c>
      <c r="D49" s="17" t="inlineStr">
        <is>
          <t xml:space="preserve">        Caja de cartón corrugado simple</t>
        </is>
      </c>
      <c r="E49" s="32" t="n">
        <v>1</v>
      </c>
      <c r="F49" s="32" t="inlineStr">
        <is>
          <t>u</t>
        </is>
      </c>
      <c r="G49" s="33" t="n"/>
      <c r="H49" s="33" t="n"/>
      <c r="I49" s="32" t="inlineStr">
        <is>
          <t>Cartón corrugado</t>
        </is>
      </c>
      <c r="J49" s="17" t="inlineStr">
        <is>
          <t>160 × 107 × 347 interior (envolvente del plano + 15 por lado)</t>
        </is>
      </c>
      <c r="K49" s="32" t="inlineStr">
        <is>
          <t>Compra</t>
        </is>
      </c>
      <c r="L49" s="32" t="inlineStr">
        <is>
          <t>Sí</t>
        </is>
      </c>
      <c r="M49" s="17" t="inlineStr">
        <is>
          <t>Maxipack</t>
        </is>
      </c>
      <c r="N49" s="17" t="inlineStr">
        <is>
          <t>Cartocan</t>
        </is>
      </c>
      <c r="O49" s="17" t="inlineStr">
        <is>
          <t>23 Embalaje</t>
        </is>
      </c>
      <c r="P49" s="17" t="n"/>
      <c r="Q49" s="32" t="inlineStr">
        <is>
          <t>P</t>
        </is>
      </c>
      <c r="R49" s="32" t="n"/>
      <c r="S49" s="17" t="inlineStr">
        <is>
          <t>Medida del plano</t>
        </is>
      </c>
    </row>
    <row r="50">
      <c r="A50" s="32" t="inlineStr">
        <is>
          <t>FL_MAT_ABC_1kg</t>
        </is>
      </c>
      <c r="B50" s="32" t="n">
        <v>2</v>
      </c>
      <c r="C50" s="32" t="inlineStr">
        <is>
          <t>ABC1-E2</t>
        </is>
      </c>
      <c r="D50" s="17" t="inlineStr">
        <is>
          <t xml:space="preserve">        Instructivo de uso y mantenimiento</t>
        </is>
      </c>
      <c r="E50" s="32" t="n">
        <v>1</v>
      </c>
      <c r="F50" s="32" t="inlineStr">
        <is>
          <t>u</t>
        </is>
      </c>
      <c r="G50" s="33" t="n"/>
      <c r="H50" s="33" t="n"/>
      <c r="I50" s="32" t="inlineStr">
        <is>
          <t>Papel</t>
        </is>
      </c>
      <c r="J50" s="17" t="inlineStr">
        <is>
          <t>A5</t>
        </is>
      </c>
      <c r="K50" s="32" t="inlineStr">
        <is>
          <t>Compra</t>
        </is>
      </c>
      <c r="L50" s="32" t="inlineStr">
        <is>
          <t>Sí</t>
        </is>
      </c>
      <c r="M50" s="17" t="inlineStr">
        <is>
          <t>Astuprint</t>
        </is>
      </c>
      <c r="N50" s="17" t="inlineStr">
        <is>
          <t>-</t>
        </is>
      </c>
      <c r="O50" s="17" t="inlineStr">
        <is>
          <t>23 Embalaje</t>
        </is>
      </c>
      <c r="P50" s="17" t="n"/>
      <c r="Q50" s="32" t="inlineStr">
        <is>
          <t>I</t>
        </is>
      </c>
      <c r="R50" s="32" t="n"/>
      <c r="S50" s="17" t="inlineStr">
        <is>
          <t>Decisión comercial de FLAMA (las instrucciones de uso obligatorias van en la etiqueta, IRAM 3534)</t>
        </is>
      </c>
    </row>
    <row r="51">
      <c r="A51" s="32" t="inlineStr">
        <is>
          <t>FL_MAT_ABC_1kg</t>
        </is>
      </c>
      <c r="B51" s="32" t="n">
        <v>2</v>
      </c>
      <c r="C51" s="32" t="inlineStr">
        <is>
          <t>ABC1-E3</t>
        </is>
      </c>
      <c r="D51" s="17" t="inlineStr">
        <is>
          <t xml:space="preserve">        Pallet 1200 × 1000 (fracción)</t>
        </is>
      </c>
      <c r="E51" s="32" t="n">
        <v>0.0038</v>
      </c>
      <c r="F51" s="32" t="inlineStr">
        <is>
          <t>u</t>
        </is>
      </c>
      <c r="G51" s="33" t="n"/>
      <c r="H51" s="33" t="n"/>
      <c r="I51" s="32" t="inlineStr">
        <is>
          <t>Madera</t>
        </is>
      </c>
      <c r="J51" s="17" t="inlineStr">
        <is>
          <t>264 u por pallet</t>
        </is>
      </c>
      <c r="K51" s="32" t="inlineStr">
        <is>
          <t>Compra</t>
        </is>
      </c>
      <c r="L51" s="32" t="inlineStr">
        <is>
          <t>Sí</t>
        </is>
      </c>
      <c r="M51" s="17" t="inlineStr">
        <is>
          <t>IndusPallets</t>
        </is>
      </c>
      <c r="N51" s="17" t="inlineStr">
        <is>
          <t>-</t>
        </is>
      </c>
      <c r="O51" s="17" t="inlineStr">
        <is>
          <t>23 Embalaje</t>
        </is>
      </c>
      <c r="P51" s="17" t="n"/>
      <c r="Q51" s="32" t="inlineStr">
        <is>
          <t>C</t>
        </is>
      </c>
      <c r="R51" s="32" t="n"/>
      <c r="S51" s="17" t="inlineStr">
        <is>
          <t>u por pallet = acomodo de la caja (plano) en 1200 × 1000 × 1450 de alto</t>
        </is>
      </c>
    </row>
    <row r="52">
      <c r="A52" s="37" t="inlineStr">
        <is>
          <t>FL_MAT_ABC_1kg</t>
        </is>
      </c>
      <c r="B52" s="37" t="n">
        <v>2</v>
      </c>
      <c r="C52" s="37" t="inlineStr">
        <is>
          <t>ABC1-E4</t>
        </is>
      </c>
      <c r="D52" s="18" t="inlineStr">
        <is>
          <t xml:space="preserve">        Film stretch (fracción del pallet)</t>
        </is>
      </c>
      <c r="E52" s="37" t="n">
        <v>0.0005</v>
      </c>
      <c r="F52" s="37" t="inlineStr">
        <is>
          <t>kg</t>
        </is>
      </c>
      <c r="G52" s="38" t="n">
        <v>1</v>
      </c>
      <c r="H52" s="38">
        <f>E52*G52</f>
        <v/>
      </c>
      <c r="I52" s="37" t="inlineStr">
        <is>
          <t>PE lineal 23 µm</t>
        </is>
      </c>
      <c r="J52" s="18" t="inlineStr">
        <is>
          <t>0,12 kg por pallet / 264 u</t>
        </is>
      </c>
      <c r="K52" s="37" t="inlineStr">
        <is>
          <t>Compra</t>
        </is>
      </c>
      <c r="L52" s="37" t="inlineStr">
        <is>
          <t>Sí</t>
        </is>
      </c>
      <c r="M52" s="18" t="inlineStr">
        <is>
          <t>MV Embalajes</t>
        </is>
      </c>
      <c r="N52" s="18" t="inlineStr">
        <is>
          <t>Embalpack</t>
        </is>
      </c>
      <c r="O52" s="18" t="inlineStr">
        <is>
          <t>24 Envolvedora (T11)</t>
        </is>
      </c>
      <c r="P52" s="18" t="n"/>
      <c r="Q52" s="37" t="inlineStr">
        <is>
          <t>C</t>
        </is>
      </c>
      <c r="R52" s="37" t="n"/>
      <c r="S52"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3">
      <c r="A53" s="32" t="inlineStr">
        <is>
          <t>FL_MAT_ABC_1kg</t>
        </is>
      </c>
      <c r="B53" s="32" t="n">
        <v>2</v>
      </c>
      <c r="C53" s="32" t="inlineStr">
        <is>
          <t>ABC1-E5</t>
        </is>
      </c>
      <c r="D53" s="17" t="inlineStr">
        <is>
          <t xml:space="preserve">        Etiqueta de pallet (lote y destino, fracción)</t>
        </is>
      </c>
      <c r="E53" s="32" t="n">
        <v>0.0038</v>
      </c>
      <c r="F53" s="32" t="inlineStr">
        <is>
          <t>u</t>
        </is>
      </c>
      <c r="G53" s="33" t="n"/>
      <c r="H53" s="33" t="n"/>
      <c r="I53" s="32" t="inlineStr">
        <is>
          <t>Papel térmico</t>
        </is>
      </c>
      <c r="J53" s="17" t="inlineStr">
        <is>
          <t>100 × 150</t>
        </is>
      </c>
      <c r="K53" s="32" t="inlineStr">
        <is>
          <t>Compra</t>
        </is>
      </c>
      <c r="L53" s="32" t="inlineStr">
        <is>
          <t>Sí</t>
        </is>
      </c>
      <c r="M53" s="17" t="inlineStr">
        <is>
          <t>Astuprint</t>
        </is>
      </c>
      <c r="N53" s="17" t="inlineStr">
        <is>
          <t>Multilabel Argentina S.A.</t>
        </is>
      </c>
      <c r="O53" s="17" t="inlineStr">
        <is>
          <t>24 Envolvedora</t>
        </is>
      </c>
      <c r="P53" s="17" t="n"/>
      <c r="Q53" s="32" t="inlineStr">
        <is>
          <t>C</t>
        </is>
      </c>
      <c r="R53" s="32" t="n"/>
      <c r="S53" s="17" t="n"/>
    </row>
    <row r="54">
      <c r="A54" s="37" t="inlineStr">
        <is>
          <t>FL_MAT_ABC_1kg</t>
        </is>
      </c>
      <c r="B54" s="37" t="n">
        <v>2</v>
      </c>
      <c r="C54" s="37" t="inlineStr">
        <is>
          <t>ABC1-E6</t>
        </is>
      </c>
      <c r="D54" s="18" t="inlineStr">
        <is>
          <t xml:space="preserve">        Cinta de embalaje PP 48 mm (cierre de la caja)</t>
        </is>
      </c>
      <c r="E54" s="37" t="n">
        <v>0.6</v>
      </c>
      <c r="F54" s="37" t="inlineStr">
        <is>
          <t>m</t>
        </is>
      </c>
      <c r="G54" s="38" t="n"/>
      <c r="H54" s="38" t="n"/>
      <c r="I54" s="37" t="inlineStr">
        <is>
          <t>Polipropileno con adhesivo acrílico</t>
        </is>
      </c>
      <c r="J54" s="18" t="inlineStr">
        <is>
          <t>cierre en I arriba y abajo: 2 × (160 + 2 × 70 de solapa)</t>
        </is>
      </c>
      <c r="K54" s="37" t="inlineStr">
        <is>
          <t>Compra</t>
        </is>
      </c>
      <c r="L54" s="37" t="inlineStr">
        <is>
          <t>Sí</t>
        </is>
      </c>
      <c r="M54" s="18" t="inlineStr">
        <is>
          <t>MV Embalajes</t>
        </is>
      </c>
      <c r="N54" s="18" t="inlineStr">
        <is>
          <t>Embalpack</t>
        </is>
      </c>
      <c r="O54" s="18" t="inlineStr">
        <is>
          <t>23 Embalaje</t>
        </is>
      </c>
      <c r="P54" s="18" t="n"/>
      <c r="Q54" s="37" t="inlineStr">
        <is>
          <t>C</t>
        </is>
      </c>
      <c r="R54" s="37" t="n"/>
      <c r="S54" s="18" t="inlineStr">
        <is>
          <t>Solapa de 70 mm por lado: práctica de cierre de cajas (medir en la línea)</t>
        </is>
      </c>
    </row>
    <row r="55">
      <c r="A55" s="32" t="inlineStr">
        <is>
          <t>FL_MAT_ABC_1kg</t>
        </is>
      </c>
      <c r="B55" s="32" t="n">
        <v>2</v>
      </c>
      <c r="C55" s="32" t="inlineStr">
        <is>
          <t>ABC1-E7</t>
        </is>
      </c>
      <c r="D55" s="17" t="inlineStr">
        <is>
          <t xml:space="preserve">        Esquineros de cartón 50 × 50 × 1200 (fracción del pallet)</t>
        </is>
      </c>
      <c r="E55" s="32" t="n">
        <v>0.0152</v>
      </c>
      <c r="F55" s="32" t="inlineStr">
        <is>
          <t>u</t>
        </is>
      </c>
      <c r="G55" s="33" t="n"/>
      <c r="H55" s="33" t="n"/>
      <c r="I55" s="32" t="inlineStr">
        <is>
          <t>Cartón</t>
        </is>
      </c>
      <c r="J55" s="17" t="inlineStr">
        <is>
          <t>4 por pallet / 264 u</t>
        </is>
      </c>
      <c r="K55" s="32" t="inlineStr">
        <is>
          <t>Compra</t>
        </is>
      </c>
      <c r="L55" s="32" t="inlineStr">
        <is>
          <t>Sí</t>
        </is>
      </c>
      <c r="M55" s="17" t="inlineStr">
        <is>
          <t>Maxipack</t>
        </is>
      </c>
      <c r="N55" s="17" t="inlineStr">
        <is>
          <t>Cartocan</t>
        </is>
      </c>
      <c r="O55" s="17" t="inlineStr">
        <is>
          <t>24 Envolvedora (T11)</t>
        </is>
      </c>
      <c r="P55" s="17" t="n"/>
      <c r="Q55" s="32" t="inlineStr">
        <is>
          <t>C</t>
        </is>
      </c>
      <c r="R55" s="32" t="n"/>
      <c r="S55" s="17" t="inlineStr">
        <is>
          <t>Planilla MP-64</t>
        </is>
      </c>
    </row>
    <row r="56">
      <c r="A56" s="26" t="inlineStr">
        <is>
          <t>FL_MAT_ABC_2.5kg</t>
        </is>
      </c>
      <c r="B56" s="26" t="n">
        <v>0</v>
      </c>
      <c r="C56" s="26" t="inlineStr">
        <is>
          <t>FL_MAT_ABC_2.5kg</t>
        </is>
      </c>
      <c r="D56" s="27" t="inlineStr">
        <is>
          <t>Extintor ABC 2,5 kg</t>
        </is>
      </c>
      <c r="E56" s="26" t="n">
        <v>1</v>
      </c>
      <c r="F56" s="26" t="inlineStr">
        <is>
          <t>u</t>
        </is>
      </c>
      <c r="G56" s="28" t="n"/>
      <c r="H56" s="28" t="n"/>
      <c r="I56" s="26" t="n"/>
      <c r="J56" s="27" t="n"/>
      <c r="K56" s="26" t="n"/>
      <c r="L56" s="26" t="n"/>
      <c r="M56" s="27" t="n"/>
      <c r="N56" s="27" t="n"/>
      <c r="O56" s="27" t="n"/>
      <c r="P56" s="27" t="inlineStr">
        <is>
          <t>IRAM 3523</t>
        </is>
      </c>
      <c r="Q56" s="26" t="inlineStr">
        <is>
          <t>P</t>
        </is>
      </c>
      <c r="R56" s="26" t="inlineStr">
        <is>
          <t>FL_MAT_ABC_2.5kg</t>
        </is>
      </c>
      <c r="S56" s="27" t="inlineStr">
        <is>
          <t>Fabricación propia</t>
        </is>
      </c>
    </row>
    <row r="57">
      <c r="A57" s="29" t="inlineStr">
        <is>
          <t>FL_MAT_ABC_2.5kg</t>
        </is>
      </c>
      <c r="B57" s="29" t="n">
        <v>1</v>
      </c>
      <c r="C57" s="29" t="inlineStr">
        <is>
          <t>FL_REC_ABC_2.5kg</t>
        </is>
      </c>
      <c r="D57" s="30" t="inlineStr">
        <is>
          <t xml:space="preserve">    Recipiente (cilindro)</t>
        </is>
      </c>
      <c r="E57" s="29" t="n">
        <v>1</v>
      </c>
      <c r="F57" s="29" t="inlineStr">
        <is>
          <t>u</t>
        </is>
      </c>
      <c r="G57" s="31" t="n"/>
      <c r="H57" s="31">
        <f>H58+H60+H62+H64+H65</f>
        <v/>
      </c>
      <c r="I57" s="29" t="n"/>
      <c r="J57" s="30" t="n"/>
      <c r="K57" s="29" t="inlineStr">
        <is>
          <t>Fabricación</t>
        </is>
      </c>
      <c r="L57" s="29" t="n"/>
      <c r="M57" s="30" t="n"/>
      <c r="N57" s="30" t="n"/>
      <c r="O57" s="30" t="n"/>
      <c r="P57" s="30" t="inlineStr">
        <is>
          <t>IRAM 3523 / 3550 (recipiente)</t>
        </is>
      </c>
      <c r="Q57" s="29" t="inlineStr">
        <is>
          <t>P</t>
        </is>
      </c>
      <c r="R57" s="29" t="inlineStr">
        <is>
          <t>FL_REC_ABC_2.5kg</t>
        </is>
      </c>
      <c r="S57" s="30" t="n"/>
    </row>
    <row r="58">
      <c r="A58" s="32" t="inlineStr">
        <is>
          <t>FL_MAT_ABC_2.5kg</t>
        </is>
      </c>
      <c r="B58" s="32" t="n">
        <v>2</v>
      </c>
      <c r="C58" s="32" t="inlineStr">
        <is>
          <t>ABC2.5-01</t>
        </is>
      </c>
      <c r="D58" s="17" t="inlineStr">
        <is>
          <t xml:space="preserve">        Cuerpo (virola)</t>
        </is>
      </c>
      <c r="E58" s="32" t="n">
        <v>1</v>
      </c>
      <c r="F58" s="32" t="inlineStr">
        <is>
          <t>u</t>
        </is>
      </c>
      <c r="G58" s="33" t="n">
        <v>1.011</v>
      </c>
      <c r="H58" s="33">
        <f>E58*G58</f>
        <v/>
      </c>
      <c r="I58" s="32" t="inlineStr">
        <is>
          <t>Chapa LAF IRAM-IAS U 500-05 e=1,25</t>
        </is>
      </c>
      <c r="J58" s="17" t="inlineStr">
        <is>
          <t>Ø124 × e1,25 × 267,4 de alto; desarrollo 385,6 × 267,4</t>
        </is>
      </c>
      <c r="K58" s="32" t="inlineStr">
        <is>
          <t>Fabricación</t>
        </is>
      </c>
      <c r="L58" s="32" t="inlineStr">
        <is>
          <t>No</t>
        </is>
      </c>
      <c r="M58" s="17" t="n"/>
      <c r="N58" s="17" t="n"/>
      <c r="O58" s="17" t="inlineStr">
        <is>
          <t>1 Guillotina -&gt; 3 cilindrado -&gt; 4 soldadura longitudinal -&gt; 9 encastre del fondo -&gt; 10 bordoneado</t>
        </is>
      </c>
      <c r="P58" s="17" t="n"/>
      <c r="Q58" s="32" t="inlineStr">
        <is>
          <t>P</t>
        </is>
      </c>
      <c r="R58" s="32" t="inlineStr">
        <is>
          <t>FL_DES_ABC_2.5kg</t>
        </is>
      </c>
      <c r="S58" s="17" t="inlineStr">
        <is>
          <t>costura long. MAG</t>
        </is>
      </c>
    </row>
    <row r="59">
      <c r="A59" s="34" t="inlineStr">
        <is>
          <t>FL_MAT_ABC_2.5kg</t>
        </is>
      </c>
      <c r="B59" s="34" t="n">
        <v>3</v>
      </c>
      <c r="C59" s="34" t="inlineStr">
        <is>
          <t>MP-HOJA</t>
        </is>
      </c>
      <c r="D59" s="35" t="inlineStr">
        <is>
          <t xml:space="preserve">            Recorte de hoja LAF 1220 × 2440 e=1,25</t>
        </is>
      </c>
      <c r="E59" s="34" t="n">
        <v>1</v>
      </c>
      <c r="F59" s="34" t="inlineStr">
        <is>
          <t>u</t>
        </is>
      </c>
      <c r="G59" s="36" t="n">
        <v>1.082</v>
      </c>
      <c r="H59" s="36">
        <f>E59*G59</f>
        <v/>
      </c>
      <c r="I59" s="34" t="inlineStr">
        <is>
          <t>Chapa LAF IRAM-IAS U 500-05 LAF</t>
        </is>
      </c>
      <c r="J59" s="35" t="inlineStr">
        <is>
          <t>385,5 × 269,5 (aprovech. 94,2 %)</t>
        </is>
      </c>
      <c r="K59" s="34" t="inlineStr">
        <is>
          <t>Compra</t>
        </is>
      </c>
      <c r="L59" s="34" t="inlineStr">
        <is>
          <t>Sí</t>
        </is>
      </c>
      <c r="M59" s="35" t="inlineStr">
        <is>
          <t>Pradecon S.A.</t>
        </is>
      </c>
      <c r="N59" s="35" t="inlineStr">
        <is>
          <t>Pacheco Chapas</t>
        </is>
      </c>
      <c r="O59" s="35" t="inlineStr">
        <is>
          <t>AL-1H paquetes de hojas</t>
        </is>
      </c>
      <c r="P59" s="35" t="n"/>
      <c r="Q59" s="34" t="inlineStr">
        <is>
          <t>L</t>
        </is>
      </c>
      <c r="R59" s="34" t="inlineStr">
        <is>
          <t>FL_PI_04 h2</t>
        </is>
      </c>
      <c r="S59" s="35" t="n"/>
    </row>
    <row r="60">
      <c r="A60" s="32" t="inlineStr">
        <is>
          <t>FL_MAT_ABC_2.5kg</t>
        </is>
      </c>
      <c r="B60" s="32" t="n">
        <v>2</v>
      </c>
      <c r="C60" s="32" t="inlineStr">
        <is>
          <t>ABC2.5-02</t>
        </is>
      </c>
      <c r="D60" s="17" t="inlineStr">
        <is>
          <t xml:space="preserve">        Cúpula</t>
        </is>
      </c>
      <c r="E60" s="32" t="n">
        <v>1</v>
      </c>
      <c r="F60" s="32" t="inlineStr">
        <is>
          <t>u</t>
        </is>
      </c>
      <c r="G60" s="33" t="n">
        <v>0.1734</v>
      </c>
      <c r="H60" s="33">
        <f>E60*G60</f>
        <v/>
      </c>
      <c r="I60" s="32" t="inlineStr">
        <is>
          <t>Chapa LAF IRAM-IAS U 500-05 e=1,25</t>
        </is>
      </c>
      <c r="J60" s="17" t="inlineStr">
        <is>
          <t>Ø124 × e1,25 × 38,1 de alto; disco Ø179</t>
        </is>
      </c>
      <c r="K60" s="32" t="inlineStr">
        <is>
          <t>Fabricación</t>
        </is>
      </c>
      <c r="L60" s="32" t="inlineStr">
        <is>
          <t>No</t>
        </is>
      </c>
      <c r="M60" s="17" t="n"/>
      <c r="N60" s="17" t="n"/>
      <c r="O60" s="17" t="inlineStr">
        <is>
          <t>6 Desbobinado + embutido (M06-M08) -&gt; numerado de cúpula (micropercusión, en arco junto al cuello) -&gt; 8 soldadura de cuello</t>
        </is>
      </c>
      <c r="P60" s="17" t="n"/>
      <c r="Q60" s="32" t="inlineStr">
        <is>
          <t>P</t>
        </is>
      </c>
      <c r="R60" s="32" t="inlineStr">
        <is>
          <t>FL_DES_ABC_2.5kg</t>
        </is>
      </c>
      <c r="S60" s="17" t="inlineStr">
        <is>
          <t>embutida</t>
        </is>
      </c>
    </row>
    <row r="61">
      <c r="A61" s="34" t="inlineStr">
        <is>
          <t>FL_MAT_ABC_2.5kg</t>
        </is>
      </c>
      <c r="B61" s="34" t="n">
        <v>3</v>
      </c>
      <c r="C61" s="34" t="inlineStr">
        <is>
          <t>MP-FLEJE</t>
        </is>
      </c>
      <c r="D61" s="35" t="inlineStr">
        <is>
          <t xml:space="preserve">            Fleje e=1,25 × 200 (paso 182)</t>
        </is>
      </c>
      <c r="E61" s="34" t="n">
        <v>0.182</v>
      </c>
      <c r="F61" s="34" t="inlineStr">
        <is>
          <t>m</t>
        </is>
      </c>
      <c r="G61" s="36" t="n">
        <v>1.962</v>
      </c>
      <c r="H61" s="36">
        <f>E61*G61</f>
        <v/>
      </c>
      <c r="I61" s="34" t="inlineStr">
        <is>
          <t>Fleje SAE 1010</t>
        </is>
      </c>
      <c r="J61" s="35" t="inlineStr">
        <is>
          <t>disco Ø179 (kg por m de fleje)</t>
        </is>
      </c>
      <c r="K61" s="34" t="inlineStr">
        <is>
          <t>Compra</t>
        </is>
      </c>
      <c r="L61" s="34" t="inlineStr">
        <is>
          <t>Sí</t>
        </is>
      </c>
      <c r="M61" s="35" t="inlineStr">
        <is>
          <t>Pacheco Chapas</t>
        </is>
      </c>
      <c r="N61" s="35" t="inlineStr">
        <is>
          <t>Pradecon S.A.</t>
        </is>
      </c>
      <c r="O61" s="35" t="inlineStr">
        <is>
          <t>AL-1F porta-flejes</t>
        </is>
      </c>
      <c r="P61" s="35" t="n"/>
      <c r="Q61" s="34" t="inlineStr">
        <is>
          <t>L</t>
        </is>
      </c>
      <c r="R61" s="34" t="inlineStr">
        <is>
          <t>FL_PI_04 h2</t>
        </is>
      </c>
      <c r="S61" s="35" t="n"/>
    </row>
    <row r="62">
      <c r="A62" s="32" t="inlineStr">
        <is>
          <t>FL_MAT_ABC_2.5kg</t>
        </is>
      </c>
      <c r="B62" s="32" t="n">
        <v>2</v>
      </c>
      <c r="C62" s="32" t="inlineStr">
        <is>
          <t>ABC2.5-03</t>
        </is>
      </c>
      <c r="D62" s="17" t="inlineStr">
        <is>
          <t xml:space="preserve">        Fondo</t>
        </is>
      </c>
      <c r="E62" s="32" t="n">
        <v>1</v>
      </c>
      <c r="F62" s="32" t="inlineStr">
        <is>
          <t>u</t>
        </is>
      </c>
      <c r="G62" s="33" t="n">
        <v>0.1657</v>
      </c>
      <c r="H62" s="33">
        <f>E62*G62</f>
        <v/>
      </c>
      <c r="I62" s="32" t="inlineStr">
        <is>
          <t>Chapa LAF IRAM-IAS U 500-05 e=1,25</t>
        </is>
      </c>
      <c r="J62" s="17" t="inlineStr">
        <is>
          <t>Ø124 × e1,25 × 20,5 de alto; disco Ø148</t>
        </is>
      </c>
      <c r="K62" s="32" t="inlineStr">
        <is>
          <t>Fabricación</t>
        </is>
      </c>
      <c r="L62" s="32" t="inlineStr">
        <is>
          <t>No</t>
        </is>
      </c>
      <c r="M62" s="17" t="n"/>
      <c r="N62" s="17" t="n"/>
      <c r="O62" s="17" t="inlineStr">
        <is>
          <t>6 Desbobinado + embutido (M06-M08)</t>
        </is>
      </c>
      <c r="P62" s="17" t="n"/>
      <c r="Q62" s="32" t="inlineStr">
        <is>
          <t>P</t>
        </is>
      </c>
      <c r="R62" s="32" t="inlineStr">
        <is>
          <t>FL_DES_ABC_2.5kg</t>
        </is>
      </c>
      <c r="S62" s="17" t="inlineStr">
        <is>
          <t>embutido</t>
        </is>
      </c>
    </row>
    <row r="63">
      <c r="A63" s="34" t="inlineStr">
        <is>
          <t>FL_MAT_ABC_2.5kg</t>
        </is>
      </c>
      <c r="B63" s="34" t="n">
        <v>3</v>
      </c>
      <c r="C63" s="34" t="inlineStr">
        <is>
          <t>MP-FLEJE</t>
        </is>
      </c>
      <c r="D63" s="35" t="inlineStr">
        <is>
          <t xml:space="preserve">            Fleje e=1,25 × 200 (paso 151)</t>
        </is>
      </c>
      <c r="E63" s="34" t="n">
        <v>0.151</v>
      </c>
      <c r="F63" s="34" t="inlineStr">
        <is>
          <t>m</t>
        </is>
      </c>
      <c r="G63" s="36" t="n">
        <v>1.962</v>
      </c>
      <c r="H63" s="36">
        <f>E63*G63</f>
        <v/>
      </c>
      <c r="I63" s="34" t="inlineStr">
        <is>
          <t>Fleje SAE 1010</t>
        </is>
      </c>
      <c r="J63" s="35" t="inlineStr">
        <is>
          <t>disco Ø148 (kg por m de fleje)</t>
        </is>
      </c>
      <c r="K63" s="34" t="inlineStr">
        <is>
          <t>Compra</t>
        </is>
      </c>
      <c r="L63" s="34" t="inlineStr">
        <is>
          <t>Sí</t>
        </is>
      </c>
      <c r="M63" s="35" t="inlineStr">
        <is>
          <t>Pacheco Chapas</t>
        </is>
      </c>
      <c r="N63" s="35" t="inlineStr">
        <is>
          <t>Pradecon S.A.</t>
        </is>
      </c>
      <c r="O63" s="35" t="inlineStr">
        <is>
          <t>AL-1F porta-flejes</t>
        </is>
      </c>
      <c r="P63" s="35" t="n"/>
      <c r="Q63" s="34" t="inlineStr">
        <is>
          <t>L</t>
        </is>
      </c>
      <c r="R63" s="34" t="inlineStr">
        <is>
          <t>FL_PI_04 h2</t>
        </is>
      </c>
      <c r="S63" s="35" t="n"/>
    </row>
    <row r="64">
      <c r="A64" s="32" t="inlineStr">
        <is>
          <t>FL_MAT_ABC_2.5kg</t>
        </is>
      </c>
      <c r="B64" s="32" t="n">
        <v>2</v>
      </c>
      <c r="C64" s="32" t="inlineStr">
        <is>
          <t>ABC2.5-04</t>
        </is>
      </c>
      <c r="D64" s="17" t="inlineStr">
        <is>
          <t xml:space="preserve">        Cuello roscado</t>
        </is>
      </c>
      <c r="E64" s="32" t="n">
        <v>1</v>
      </c>
      <c r="F64" s="32" t="inlineStr">
        <is>
          <t>u</t>
        </is>
      </c>
      <c r="G64" s="33" t="n">
        <v>0.0545</v>
      </c>
      <c r="H64" s="33">
        <f>E64*G64</f>
        <v/>
      </c>
      <c r="I64" s="32" t="inlineStr">
        <is>
          <t>Acero SAE 1010</t>
        </is>
      </c>
      <c r="J64" s="17" t="inlineStr">
        <is>
          <t>Ø37 × 14 de alto, rosca M30x1,5, asiento Ø35</t>
        </is>
      </c>
      <c r="K64" s="32" t="inlineStr">
        <is>
          <t>Compra (mecanizado, Eli-Met)</t>
        </is>
      </c>
      <c r="L64" s="32" t="inlineStr">
        <is>
          <t>Sí</t>
        </is>
      </c>
      <c r="M64" s="17" t="inlineStr">
        <is>
          <t>Eli-Met</t>
        </is>
      </c>
      <c r="N64" s="17" t="inlineStr">
        <is>
          <t>-</t>
        </is>
      </c>
      <c r="O64" s="17" t="inlineStr">
        <is>
          <t>Compra -&gt; 8 soldadura de cuello</t>
        </is>
      </c>
      <c r="P64" s="17" t="n"/>
      <c r="Q64" s="32" t="inlineStr">
        <is>
          <t>P</t>
        </is>
      </c>
      <c r="R64" s="32" t="inlineStr">
        <is>
          <t>FL_DES_ABC_2.5kg</t>
        </is>
      </c>
      <c r="S64" s="17" t="inlineStr">
        <is>
          <t>M30x1,5</t>
        </is>
      </c>
    </row>
    <row r="65">
      <c r="A65" s="37" t="inlineStr">
        <is>
          <t>FL_MAT_ABC_2.5kg</t>
        </is>
      </c>
      <c r="B65" s="37" t="n">
        <v>2</v>
      </c>
      <c r="C65" s="37" t="inlineStr">
        <is>
          <t>ABC2.5-C1</t>
        </is>
      </c>
      <c r="D65" s="18" t="inlineStr">
        <is>
          <t xml:space="preserve">        Alambre MAG ER70S-6 Ø0,9 (AWS A5.18)</t>
        </is>
      </c>
      <c r="E65" s="37" t="n">
        <v>0.0292</v>
      </c>
      <c r="F65" s="37" t="inlineStr">
        <is>
          <t>kg</t>
        </is>
      </c>
      <c r="G65" s="38" t="n">
        <v>0.95</v>
      </c>
      <c r="H65" s="38">
        <f>E65*G65</f>
        <v/>
      </c>
      <c r="I65" s="37" t="inlineStr">
        <is>
          <t>ER70S-6</t>
        </is>
      </c>
      <c r="J65" s="18" t="inlineStr">
        <is>
          <t>metal depositado de los cordones del plano 28 g / rendimiento 0,95</t>
        </is>
      </c>
      <c r="K65" s="37" t="inlineStr">
        <is>
          <t>Compra</t>
        </is>
      </c>
      <c r="L65" s="37" t="inlineStr">
        <is>
          <t>Sí</t>
        </is>
      </c>
      <c r="M65" s="18" t="inlineStr">
        <is>
          <t>Conarco (ESAB Argentina)</t>
        </is>
      </c>
      <c r="N65" s="18" t="inlineStr">
        <is>
          <t>-</t>
        </is>
      </c>
      <c r="O65" s="18" t="inlineStr">
        <is>
          <t>4 sold. long. / 8 cuello / 11 circunferencial</t>
        </is>
      </c>
      <c r="P65" s="18" t="inlineStr">
        <is>
          <t>IRAM 3523 3.2.4.2 · IRAM 3550 4.1.2</t>
        </is>
      </c>
      <c r="Q65" s="37" t="inlineStr">
        <is>
          <t>C</t>
        </is>
      </c>
      <c r="R65" s="37" t="n"/>
      <c r="S65"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66">
      <c r="A66" s="37" t="inlineStr">
        <is>
          <t>FL_MAT_ABC_2.5kg</t>
        </is>
      </c>
      <c r="B66" s="37" t="n">
        <v>2</v>
      </c>
      <c r="C66" s="37" t="inlineStr">
        <is>
          <t>ABC2.5-C2</t>
        </is>
      </c>
      <c r="D66" s="18" t="inlineStr">
        <is>
          <t xml:space="preserve">        Gas de protección MAG Arcal 21 / ARCAL Speed (Ar + 8 % CO₂, M20)</t>
        </is>
      </c>
      <c r="E66" s="37" t="n">
        <v>27.1</v>
      </c>
      <c r="F66" s="37" t="inlineStr">
        <is>
          <t>L</t>
        </is>
      </c>
      <c r="G66" s="38" t="n"/>
      <c r="H66" s="38" t="n"/>
      <c r="I66" s="37" t="inlineStr">
        <is>
          <t>EN ISO 14175 M20-ArC-8</t>
        </is>
      </c>
      <c r="J66" s="18" t="inlineStr">
        <is>
          <t>14 L/min × 1,94 min de arco (cordones 1.163 mm: long. 267 + circ. 779 + cuello 116, a 600 mm/min)</t>
        </is>
      </c>
      <c r="K66" s="37" t="inlineStr">
        <is>
          <t>Compra</t>
        </is>
      </c>
      <c r="L66" s="37" t="inlineStr">
        <is>
          <t>Sí</t>
        </is>
      </c>
      <c r="M66" s="18" t="inlineStr">
        <is>
          <t>Air Liquide Argentina - sucursal Piñeyro</t>
        </is>
      </c>
      <c r="N66" s="18" t="inlineStr">
        <is>
          <t>Gogniat</t>
        </is>
      </c>
      <c r="O66" s="18" t="inlineStr">
        <is>
          <t>Colector SC</t>
        </is>
      </c>
      <c r="P66" s="18" t="inlineStr">
        <is>
          <t>IRAM 3523 3.2.4.2 · IRAM 3550 3.2.2.2</t>
        </is>
      </c>
      <c r="Q66" s="37" t="inlineStr">
        <is>
          <t>C</t>
        </is>
      </c>
      <c r="R66" s="37" t="n"/>
      <c r="S66"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67">
      <c r="A67" s="37" t="inlineStr">
        <is>
          <t>FL_MAT_ABC_2.5kg</t>
        </is>
      </c>
      <c r="B67" s="37" t="n">
        <v>2</v>
      </c>
      <c r="C67" s="37" t="inlineStr">
        <is>
          <t>ABC2.5-C3</t>
        </is>
      </c>
      <c r="D67" s="18" t="inlineStr">
        <is>
          <t xml:space="preserve">        Granalla de acero S330 / S390 (ISO 11124-3, SAE J444)</t>
        </is>
      </c>
      <c r="E67" s="37" t="n">
        <v>0.08</v>
      </c>
      <c r="F67" s="37" t="inlineStr">
        <is>
          <t>kg</t>
        </is>
      </c>
      <c r="G67" s="38" t="n"/>
      <c r="H67" s="38" t="n"/>
      <c r="I67" s="37" t="inlineStr">
        <is>
          <t>Granalla esférica alto C</t>
        </is>
      </c>
      <c r="J67" s="18" t="inlineStr">
        <is>
          <t>0,138 m² a Sa 2½ (ISO 8501-1); 3,4 kg/h ÷ 42,5 u/h</t>
        </is>
      </c>
      <c r="K67" s="37" t="inlineStr">
        <is>
          <t>Compra</t>
        </is>
      </c>
      <c r="L67" s="37" t="inlineStr">
        <is>
          <t>Sí</t>
        </is>
      </c>
      <c r="M67" s="18" t="inlineStr">
        <is>
          <t>CyM Materiales</t>
        </is>
      </c>
      <c r="N67" s="18" t="inlineStr">
        <is>
          <t>Roca Ingeniería</t>
        </is>
      </c>
      <c r="O67" s="18" t="inlineStr">
        <is>
          <t>14 Granallado (B08)</t>
        </is>
      </c>
      <c r="P67" s="18" t="inlineStr">
        <is>
          <t>DOC-01</t>
        </is>
      </c>
      <c r="Q67" s="37" t="inlineStr">
        <is>
          <t>C</t>
        </is>
      </c>
      <c r="R67" s="37" t="n"/>
      <c r="S67" s="18" t="inlineStr">
        <is>
          <t>Consumo (desgaste) por turbina ≈ HP / 2 lb/h (The Fabricator, «aspectos básicos del granallado por turbina»): G-100 con 2 × 7,5 HP = 7,5 lb/h = 3,4 kg/h; ritmo 340 u por turno (Getweld) = 42,5 u/h.</t>
        </is>
      </c>
    </row>
    <row r="68">
      <c r="A68" s="32" t="inlineStr">
        <is>
          <t>FL_MAT_ABC_2.5kg</t>
        </is>
      </c>
      <c r="B68" s="32" t="n">
        <v>2</v>
      </c>
      <c r="C68" s="32" t="inlineStr">
        <is>
          <t>ABC2.5-C4</t>
        </is>
      </c>
      <c r="D68" s="17" t="inlineStr">
        <is>
          <t xml:space="preserve">        Servicio de pintura en polvo al horno, rojo 03-1-050</t>
        </is>
      </c>
      <c r="E68" s="32" t="n">
        <v>1</v>
      </c>
      <c r="F68" s="32" t="inlineStr">
        <is>
          <t>u</t>
        </is>
      </c>
      <c r="G68" s="33" t="n"/>
      <c r="H68" s="33" t="n"/>
      <c r="I68" s="32" t="inlineStr">
        <is>
          <t>Servicio tercerizado</t>
        </is>
      </c>
      <c r="J68" s="17" t="inlineStr">
        <is>
          <t>superficie exterior 0,138 m²</t>
        </is>
      </c>
      <c r="K68" s="32" t="inlineStr">
        <is>
          <t>Compra (servicio)</t>
        </is>
      </c>
      <c r="L68" s="32" t="inlineStr">
        <is>
          <t>Sí</t>
        </is>
      </c>
      <c r="M68" s="17" t="inlineStr">
        <is>
          <t>Prymax</t>
        </is>
      </c>
      <c r="N68" s="17" t="inlineStr">
        <is>
          <t>Pintor de carros (cotización por mensaje)</t>
        </is>
      </c>
      <c r="O68" s="17" t="inlineStr">
        <is>
          <t>17 Pintura tercerizada</t>
        </is>
      </c>
      <c r="P68" s="17" t="inlineStr">
        <is>
          <t>IRAM 3523 5.3 / IRAM 3550 3.11 · IRAM 121</t>
        </is>
      </c>
      <c r="Q68" s="32" t="inlineStr">
        <is>
          <t>Q</t>
        </is>
      </c>
      <c r="R68" s="32" t="n"/>
      <c r="S68" s="17" t="inlineStr">
        <is>
          <t>Q-PRYMAX (precio por cilindro); exigir informe de niebla salina del sistema de pintura; tercerización aceptada por el Ministerio (Res. 349/07 art. 18)</t>
        </is>
      </c>
    </row>
    <row r="69">
      <c r="A69" s="29" t="inlineStr">
        <is>
          <t>FL_MAT_ABC_2.5kg</t>
        </is>
      </c>
      <c r="B69" s="29" t="n">
        <v>1</v>
      </c>
      <c r="C69" s="29" t="inlineStr">
        <is>
          <t>ABC2.5-S2</t>
        </is>
      </c>
      <c r="D69" s="30" t="inlineStr">
        <is>
          <t xml:space="preserve">    Conjunto de válvula</t>
        </is>
      </c>
      <c r="E69" s="29" t="n">
        <v>1</v>
      </c>
      <c r="F69" s="29" t="inlineStr">
        <is>
          <t>u</t>
        </is>
      </c>
      <c r="G69" s="31" t="n"/>
      <c r="H69" s="31">
        <f>H70+H71+H72+H74+H75+H76+H77+H78+H79+H80+H81</f>
        <v/>
      </c>
      <c r="I69" s="29" t="n"/>
      <c r="J69" s="30" t="n"/>
      <c r="K69" s="29" t="inlineStr">
        <is>
          <t>Compra / armado</t>
        </is>
      </c>
      <c r="L69" s="29" t="n"/>
      <c r="M69" s="30" t="n"/>
      <c r="N69" s="30" t="n"/>
      <c r="O69" s="30" t="n"/>
      <c r="P69" s="30" t="inlineStr">
        <is>
          <t>Manómetro IRAM 3533</t>
        </is>
      </c>
      <c r="Q69" s="29" t="inlineStr">
        <is>
          <t>P</t>
        </is>
      </c>
      <c r="R69" s="29" t="inlineStr">
        <is>
          <t>FL_DES_ABC_2.5kg</t>
        </is>
      </c>
      <c r="S69" s="30" t="n"/>
    </row>
    <row r="70">
      <c r="A70" s="32" t="inlineStr">
        <is>
          <t>FL_MAT_ABC_2.5kg</t>
        </is>
      </c>
      <c r="B70" s="32" t="n">
        <v>2</v>
      </c>
      <c r="C70" s="32" t="inlineStr">
        <is>
          <t>ABC2.5-05</t>
        </is>
      </c>
      <c r="D70" s="17" t="inlineStr">
        <is>
          <t xml:space="preserve">        Espiga roscada</t>
        </is>
      </c>
      <c r="E70" s="32" t="n">
        <v>1</v>
      </c>
      <c r="F70" s="32" t="inlineStr">
        <is>
          <t>u</t>
        </is>
      </c>
      <c r="G70" s="33" t="n">
        <v>0.0245</v>
      </c>
      <c r="H70" s="33">
        <f>E70*G70</f>
        <v/>
      </c>
      <c r="I70" s="32" t="inlineStr">
        <is>
          <t>Latón forjado</t>
        </is>
      </c>
      <c r="J70" s="17" t="inlineStr">
        <is>
          <t>29,8 × 29,8 × 10,8</t>
        </is>
      </c>
      <c r="K70" s="32" t="inlineStr">
        <is>
          <t>Incluido en válvula HZ</t>
        </is>
      </c>
      <c r="L70" s="32" t="inlineStr">
        <is>
          <t>No</t>
        </is>
      </c>
      <c r="M70" s="17" t="n"/>
      <c r="N70" s="17" t="n"/>
      <c r="O70" s="17" t="inlineStr">
        <is>
          <t>19 Ensamblaje de válvula (T03/T04)</t>
        </is>
      </c>
      <c r="P70" s="17" t="n"/>
      <c r="Q70" s="32" t="inlineStr">
        <is>
          <t>P</t>
        </is>
      </c>
      <c r="R70" s="32" t="inlineStr">
        <is>
          <t>FL_DES_ABC_2.5kg</t>
        </is>
      </c>
      <c r="S70" s="17" t="n"/>
    </row>
    <row r="71">
      <c r="A71" s="32" t="inlineStr">
        <is>
          <t>FL_MAT_ABC_2.5kg</t>
        </is>
      </c>
      <c r="B71" s="32" t="n">
        <v>2</v>
      </c>
      <c r="C71" s="32" t="inlineStr">
        <is>
          <t>ABC2.5-06</t>
        </is>
      </c>
      <c r="D71" s="17" t="inlineStr">
        <is>
          <t xml:space="preserve">        Collarín de válvula</t>
        </is>
      </c>
      <c r="E71" s="32" t="n">
        <v>1</v>
      </c>
      <c r="F71" s="32" t="inlineStr">
        <is>
          <t>u</t>
        </is>
      </c>
      <c r="G71" s="33" t="n">
        <v>0.0053</v>
      </c>
      <c r="H71" s="33">
        <f>E71*G71</f>
        <v/>
      </c>
      <c r="I71" s="32" t="inlineStr">
        <is>
          <t>Latón forjado</t>
        </is>
      </c>
      <c r="J71" s="17" t="inlineStr">
        <is>
          <t>27,2 × 27,2 × 4,1</t>
        </is>
      </c>
      <c r="K71" s="32" t="inlineStr">
        <is>
          <t>Incluido en válvula HZ</t>
        </is>
      </c>
      <c r="L71" s="32" t="inlineStr">
        <is>
          <t>No</t>
        </is>
      </c>
      <c r="M71" s="17" t="n"/>
      <c r="N71" s="17" t="n"/>
      <c r="O71" s="17" t="inlineStr">
        <is>
          <t>19 Ensamblaje de válvula (T03/T04)</t>
        </is>
      </c>
      <c r="P71" s="17" t="n"/>
      <c r="Q71" s="32" t="inlineStr">
        <is>
          <t>P</t>
        </is>
      </c>
      <c r="R71" s="32" t="inlineStr">
        <is>
          <t>FL_DES_ABC_2.5kg</t>
        </is>
      </c>
      <c r="S71" s="17" t="n"/>
    </row>
    <row r="72">
      <c r="A72" s="32" t="inlineStr">
        <is>
          <t>FL_MAT_ABC_2.5kg</t>
        </is>
      </c>
      <c r="B72" s="32" t="n">
        <v>2</v>
      </c>
      <c r="C72" s="32" t="inlineStr">
        <is>
          <t>ABC2.5-07</t>
        </is>
      </c>
      <c r="D72" s="17" t="inlineStr">
        <is>
          <t xml:space="preserve">        Cuerpo de válvula</t>
        </is>
      </c>
      <c r="E72" s="32" t="n">
        <v>1</v>
      </c>
      <c r="F72" s="32" t="inlineStr">
        <is>
          <t>u</t>
        </is>
      </c>
      <c r="G72" s="33" t="n">
        <v>0.1328</v>
      </c>
      <c r="H72" s="33">
        <f>E72*G72</f>
        <v/>
      </c>
      <c r="I72" s="32" t="inlineStr">
        <is>
          <t>Latón forjado</t>
        </is>
      </c>
      <c r="J72" s="17" t="inlineStr">
        <is>
          <t>43,9 × 32 × 24,5</t>
        </is>
      </c>
      <c r="K72" s="32" t="inlineStr">
        <is>
          <t>Incluido en válvula HZ</t>
        </is>
      </c>
      <c r="L72" s="32" t="inlineStr">
        <is>
          <t>No</t>
        </is>
      </c>
      <c r="M72" s="17" t="n"/>
      <c r="N72" s="17" t="n"/>
      <c r="O72" s="17" t="inlineStr">
        <is>
          <t>19 Ensamblaje de válvula (T03/T04)</t>
        </is>
      </c>
      <c r="P72" s="17" t="n"/>
      <c r="Q72" s="32" t="inlineStr">
        <is>
          <t>P</t>
        </is>
      </c>
      <c r="R72" s="32" t="inlineStr">
        <is>
          <t>FL_DES_ABC_2.5kg</t>
        </is>
      </c>
      <c r="S72" s="17" t="n"/>
    </row>
    <row r="73">
      <c r="A73" s="41" t="inlineStr">
        <is>
          <t>FL_MAT_ABC_2.5kg</t>
        </is>
      </c>
      <c r="B73" s="41" t="n">
        <v>2</v>
      </c>
      <c r="C73" s="41" t="inlineStr">
        <is>
          <t>ABC2.5-08</t>
        </is>
      </c>
      <c r="D73" s="42" t="inlineStr">
        <is>
          <t xml:space="preserve">        Manómetro</t>
        </is>
      </c>
      <c r="E73" s="41" t="n">
        <v>1</v>
      </c>
      <c r="F73" s="41" t="inlineStr">
        <is>
          <t>u</t>
        </is>
      </c>
      <c r="G73" s="43" t="n"/>
      <c r="H73" s="43" t="n"/>
      <c r="I73" s="41" t="inlineStr">
        <is>
          <t>Comercial</t>
        </is>
      </c>
      <c r="J73" s="42" t="inlineStr">
        <is>
          <t>Ø36 esfera, rango 0-3,5 MPa, sector verde en 1,4</t>
        </is>
      </c>
      <c r="K73" s="41" t="inlineStr">
        <is>
          <t>Compra</t>
        </is>
      </c>
      <c r="L73" s="41" t="inlineStr">
        <is>
          <t>Sí</t>
        </is>
      </c>
      <c r="M73" s="42" t="inlineStr">
        <is>
          <t>Yukon / MatafuegosYa S.R.L.</t>
        </is>
      </c>
      <c r="N73" s="42" t="inlineStr">
        <is>
          <t>Matafuegos Iglesias</t>
        </is>
      </c>
      <c r="O73" s="42" t="inlineStr">
        <is>
          <t>19 Ensamblaje de válvula (T03/T04)</t>
        </is>
      </c>
      <c r="P73" s="42" t="inlineStr">
        <is>
          <t>IRAM 3533</t>
        </is>
      </c>
      <c r="Q73" s="41" t="inlineStr">
        <is>
          <t>P</t>
        </is>
      </c>
      <c r="R73" s="41" t="inlineStr">
        <is>
          <t>FL_DES_ABC_2.5kg</t>
        </is>
      </c>
      <c r="S73" s="42" t="inlineStr">
        <is>
          <t>Pieza comercial; sello IRAM 3533; peso: completar con la ficha del proveedor (no afecta el MRP)</t>
        </is>
      </c>
    </row>
    <row r="74">
      <c r="A74" s="32" t="inlineStr">
        <is>
          <t>FL_MAT_ABC_2.5kg</t>
        </is>
      </c>
      <c r="B74" s="32" t="n">
        <v>2</v>
      </c>
      <c r="C74" s="32" t="inlineStr">
        <is>
          <t>ABC2.5-09</t>
        </is>
      </c>
      <c r="D74" s="17" t="inlineStr">
        <is>
          <t xml:space="preserve">        Vástago</t>
        </is>
      </c>
      <c r="E74" s="32" t="n">
        <v>1</v>
      </c>
      <c r="F74" s="32" t="inlineStr">
        <is>
          <t>u</t>
        </is>
      </c>
      <c r="G74" s="33" t="n">
        <v>0.0137</v>
      </c>
      <c r="H74" s="33">
        <f>E74*G74</f>
        <v/>
      </c>
      <c r="I74" s="32" t="inlineStr">
        <is>
          <t>Latón</t>
        </is>
      </c>
      <c r="J74" s="17" t="inlineStr">
        <is>
          <t>35,6 × 14 × 14</t>
        </is>
      </c>
      <c r="K74" s="32" t="inlineStr">
        <is>
          <t>Incluido en válvula HZ</t>
        </is>
      </c>
      <c r="L74" s="32" t="inlineStr">
        <is>
          <t>No</t>
        </is>
      </c>
      <c r="M74" s="17" t="n"/>
      <c r="N74" s="17" t="n"/>
      <c r="O74" s="17" t="inlineStr">
        <is>
          <t>19 Ensamblaje de válvula (T03/T04)</t>
        </is>
      </c>
      <c r="P74" s="17" t="n"/>
      <c r="Q74" s="32" t="inlineStr">
        <is>
          <t>P</t>
        </is>
      </c>
      <c r="R74" s="32" t="inlineStr">
        <is>
          <t>FL_DES_ABC_2.5kg</t>
        </is>
      </c>
      <c r="S74" s="17" t="inlineStr">
        <is>
          <t>con junta tórica</t>
        </is>
      </c>
    </row>
    <row r="75">
      <c r="A75" s="32" t="inlineStr">
        <is>
          <t>FL_MAT_ABC_2.5kg</t>
        </is>
      </c>
      <c r="B75" s="32" t="n">
        <v>2</v>
      </c>
      <c r="C75" s="32" t="inlineStr">
        <is>
          <t>ABC2.5-10</t>
        </is>
      </c>
      <c r="D75" s="17" t="inlineStr">
        <is>
          <t xml:space="preserve">        Resorte de válvula</t>
        </is>
      </c>
      <c r="E75" s="32" t="n">
        <v>1</v>
      </c>
      <c r="F75" s="32" t="inlineStr">
        <is>
          <t>u</t>
        </is>
      </c>
      <c r="G75" s="33" t="n">
        <v>0.0049</v>
      </c>
      <c r="H75" s="33">
        <f>E75*G75</f>
        <v/>
      </c>
      <c r="I75" s="32" t="inlineStr">
        <is>
          <t>Alambre acero inox. AISI 302</t>
        </is>
      </c>
      <c r="J75" s="17" t="inlineStr">
        <is>
          <t>28,8 × 17,3 × 17,3</t>
        </is>
      </c>
      <c r="K75" s="32" t="inlineStr">
        <is>
          <t>Incluido en válvula HZ</t>
        </is>
      </c>
      <c r="L75" s="32" t="inlineStr">
        <is>
          <t>No</t>
        </is>
      </c>
      <c r="M75" s="17" t="n"/>
      <c r="N75" s="17" t="n"/>
      <c r="O75" s="17" t="inlineStr">
        <is>
          <t>19 Ensamblaje de válvula (T03/T04)</t>
        </is>
      </c>
      <c r="P75" s="17" t="n"/>
      <c r="Q75" s="32" t="inlineStr">
        <is>
          <t>P</t>
        </is>
      </c>
      <c r="R75" s="32" t="inlineStr">
        <is>
          <t>FL_DES_ABC_2.5kg</t>
        </is>
      </c>
      <c r="S75" s="17" t="inlineStr">
        <is>
          <t>cierre del vástago</t>
        </is>
      </c>
    </row>
    <row r="76">
      <c r="A76" s="32" t="inlineStr">
        <is>
          <t>FL_MAT_ABC_2.5kg</t>
        </is>
      </c>
      <c r="B76" s="32" t="n">
        <v>2</v>
      </c>
      <c r="C76" s="32" t="inlineStr">
        <is>
          <t>ABC2.5-11</t>
        </is>
      </c>
      <c r="D76" s="17" t="inlineStr">
        <is>
          <t xml:space="preserve">        Eje de palanca</t>
        </is>
      </c>
      <c r="E76" s="32" t="n">
        <v>1</v>
      </c>
      <c r="F76" s="32" t="inlineStr">
        <is>
          <t>u</t>
        </is>
      </c>
      <c r="G76" s="33" t="n">
        <v>0.0033</v>
      </c>
      <c r="H76" s="33">
        <f>E76*G76</f>
        <v/>
      </c>
      <c r="I76" s="32" t="inlineStr">
        <is>
          <t>Acero inox. AISI 304</t>
        </is>
      </c>
      <c r="J76" s="17" t="inlineStr">
        <is>
          <t>33 × 4 × 4</t>
        </is>
      </c>
      <c r="K76" s="32" t="inlineStr">
        <is>
          <t>Incluido en válvula HZ</t>
        </is>
      </c>
      <c r="L76" s="32" t="inlineStr">
        <is>
          <t>No</t>
        </is>
      </c>
      <c r="M76" s="17" t="n"/>
      <c r="N76" s="17" t="n"/>
      <c r="O76" s="17" t="inlineStr">
        <is>
          <t>19 Ensamblaje de válvula (T03/T04)</t>
        </is>
      </c>
      <c r="P76" s="17" t="n"/>
      <c r="Q76" s="32" t="inlineStr">
        <is>
          <t>P</t>
        </is>
      </c>
      <c r="R76" s="32" t="inlineStr">
        <is>
          <t>FL_DES_ABC_2.5kg</t>
        </is>
      </c>
      <c r="S76" s="17" t="n"/>
    </row>
    <row r="77">
      <c r="A77" s="32" t="inlineStr">
        <is>
          <t>FL_MAT_ABC_2.5kg</t>
        </is>
      </c>
      <c r="B77" s="32" t="n">
        <v>2</v>
      </c>
      <c r="C77" s="32" t="inlineStr">
        <is>
          <t>ABC2.5-12</t>
        </is>
      </c>
      <c r="D77" s="17" t="inlineStr">
        <is>
          <t xml:space="preserve">        Pasador de seguridad</t>
        </is>
      </c>
      <c r="E77" s="32" t="n">
        <v>1</v>
      </c>
      <c r="F77" s="32" t="inlineStr">
        <is>
          <t>u</t>
        </is>
      </c>
      <c r="G77" s="33" t="n">
        <v>0.0055</v>
      </c>
      <c r="H77" s="33">
        <f>E77*G77</f>
        <v/>
      </c>
      <c r="I77" s="32" t="inlineStr">
        <is>
          <t>Alambre acero inox. AISI 304</t>
        </is>
      </c>
      <c r="J77" s="17" t="inlineStr">
        <is>
          <t>45,9 × 21 × 20,8</t>
        </is>
      </c>
      <c r="K77" s="32" t="inlineStr">
        <is>
          <t>Incluido en válvula HZ</t>
        </is>
      </c>
      <c r="L77" s="32" t="inlineStr">
        <is>
          <t>No</t>
        </is>
      </c>
      <c r="M77" s="17" t="n"/>
      <c r="N77" s="17" t="n"/>
      <c r="O77" s="17" t="inlineStr">
        <is>
          <t>19 Ensamblaje de válvula (T03/T04)</t>
        </is>
      </c>
      <c r="P77" s="17" t="n"/>
      <c r="Q77" s="32" t="inlineStr">
        <is>
          <t>P</t>
        </is>
      </c>
      <c r="R77" s="32" t="inlineStr">
        <is>
          <t>FL_DES_ABC_2.5kg</t>
        </is>
      </c>
      <c r="S77" s="17" t="inlineStr">
        <is>
          <t>con precinto</t>
        </is>
      </c>
    </row>
    <row r="78">
      <c r="A78" s="32" t="inlineStr">
        <is>
          <t>FL_MAT_ABC_2.5kg</t>
        </is>
      </c>
      <c r="B78" s="32" t="n">
        <v>2</v>
      </c>
      <c r="C78" s="32" t="inlineStr">
        <is>
          <t>ABC2.5-13</t>
        </is>
      </c>
      <c r="D78" s="17" t="inlineStr">
        <is>
          <t xml:space="preserve">        Manija de accionamiento</t>
        </is>
      </c>
      <c r="E78" s="32" t="n">
        <v>1</v>
      </c>
      <c r="F78" s="32" t="inlineStr">
        <is>
          <t>u</t>
        </is>
      </c>
      <c r="G78" s="33" t="n">
        <v>0.0959</v>
      </c>
      <c r="H78" s="33">
        <f>E78*G78</f>
        <v/>
      </c>
      <c r="I78" s="32" t="inlineStr">
        <is>
          <t>Chapa acero SAE 1010 pintada</t>
        </is>
      </c>
      <c r="J78" s="17" t="inlineStr">
        <is>
          <t>124,6 × 31 × 29,3</t>
        </is>
      </c>
      <c r="K78" s="32" t="inlineStr">
        <is>
          <t>Incluido en válvula HZ</t>
        </is>
      </c>
      <c r="L78" s="32" t="inlineStr">
        <is>
          <t>No</t>
        </is>
      </c>
      <c r="M78" s="17" t="n"/>
      <c r="N78" s="17" t="n"/>
      <c r="O78" s="17" t="inlineStr">
        <is>
          <t>19 Ensamblaje de válvula (T03/T04)</t>
        </is>
      </c>
      <c r="P78" s="17" t="n"/>
      <c r="Q78" s="32" t="inlineStr">
        <is>
          <t>P</t>
        </is>
      </c>
      <c r="R78" s="32" t="inlineStr">
        <is>
          <t>FL_DES_ABC_2.5kg</t>
        </is>
      </c>
      <c r="S78" s="17" t="n"/>
    </row>
    <row r="79">
      <c r="A79" s="32" t="inlineStr">
        <is>
          <t>FL_MAT_ABC_2.5kg</t>
        </is>
      </c>
      <c r="B79" s="32" t="n">
        <v>2</v>
      </c>
      <c r="C79" s="32" t="inlineStr">
        <is>
          <t>ABC2.5-14</t>
        </is>
      </c>
      <c r="D79" s="17" t="inlineStr">
        <is>
          <t xml:space="preserve">        Manija de transporte</t>
        </is>
      </c>
      <c r="E79" s="32" t="n">
        <v>1</v>
      </c>
      <c r="F79" s="32" t="inlineStr">
        <is>
          <t>u</t>
        </is>
      </c>
      <c r="G79" s="33" t="n">
        <v>0.0757</v>
      </c>
      <c r="H79" s="33">
        <f>E79*G79</f>
        <v/>
      </c>
      <c r="I79" s="32" t="inlineStr">
        <is>
          <t>Chapa acero SAE 1010 pintada</t>
        </is>
      </c>
      <c r="J79" s="17" t="inlineStr">
        <is>
          <t>102,6 × 35 × 25,4</t>
        </is>
      </c>
      <c r="K79" s="32" t="inlineStr">
        <is>
          <t>Incluido en válvula HZ</t>
        </is>
      </c>
      <c r="L79" s="32" t="inlineStr">
        <is>
          <t>No</t>
        </is>
      </c>
      <c r="M79" s="17" t="n"/>
      <c r="N79" s="17" t="n"/>
      <c r="O79" s="17" t="inlineStr">
        <is>
          <t>19 Ensamblaje de válvula (T03/T04)</t>
        </is>
      </c>
      <c r="P79" s="17" t="n"/>
      <c r="Q79" s="32" t="inlineStr">
        <is>
          <t>P</t>
        </is>
      </c>
      <c r="R79" s="32" t="inlineStr">
        <is>
          <t>FL_DES_ABC_2.5kg</t>
        </is>
      </c>
      <c r="S79" s="17" t="n"/>
    </row>
    <row r="80">
      <c r="A80" s="32" t="inlineStr">
        <is>
          <t>FL_MAT_ABC_2.5kg</t>
        </is>
      </c>
      <c r="B80" s="32" t="n">
        <v>2</v>
      </c>
      <c r="C80" s="32" t="inlineStr">
        <is>
          <t>ABC2.5-15</t>
        </is>
      </c>
      <c r="D80" s="17" t="inlineStr">
        <is>
          <t xml:space="preserve">        Caño de pesca (sifón)</t>
        </is>
      </c>
      <c r="E80" s="32" t="n">
        <v>1</v>
      </c>
      <c r="F80" s="32" t="inlineStr">
        <is>
          <t>u</t>
        </is>
      </c>
      <c r="G80" s="33" t="n">
        <v>0.0363</v>
      </c>
      <c r="H80" s="33">
        <f>E80*G80</f>
        <v/>
      </c>
      <c r="I80" s="32" t="inlineStr">
        <is>
          <t>Tubo PVC rígido</t>
        </is>
      </c>
      <c r="J80" s="17" t="inlineStr">
        <is>
          <t>Ø21,3 × 277,9 de largo</t>
        </is>
      </c>
      <c r="K80" s="32" t="inlineStr">
        <is>
          <t>Incluido en válvula HZ</t>
        </is>
      </c>
      <c r="L80" s="32" t="inlineStr">
        <is>
          <t>No</t>
        </is>
      </c>
      <c r="M80" s="17" t="n"/>
      <c r="N80" s="17" t="n"/>
      <c r="O80" s="17" t="inlineStr">
        <is>
          <t>19 Ensamblaje de válvula (T03/T04)</t>
        </is>
      </c>
      <c r="P80" s="17" t="n"/>
      <c r="Q80" s="32" t="inlineStr">
        <is>
          <t>P</t>
        </is>
      </c>
      <c r="R80" s="32" t="inlineStr">
        <is>
          <t>FL_DES_ABC_2.5kg</t>
        </is>
      </c>
      <c r="S80" s="17" t="n"/>
    </row>
    <row r="81">
      <c r="A81" s="32" t="inlineStr">
        <is>
          <t>FL_MAT_ABC_2.5kg</t>
        </is>
      </c>
      <c r="B81" s="32" t="n">
        <v>2</v>
      </c>
      <c r="C81" s="32" t="inlineStr">
        <is>
          <t>ABC2.5-25</t>
        </is>
      </c>
      <c r="D81" s="17" t="inlineStr">
        <is>
          <t xml:space="preserve">        Junta tórica de asiento</t>
        </is>
      </c>
      <c r="E81" s="32" t="n">
        <v>1</v>
      </c>
      <c r="F81" s="32" t="inlineStr">
        <is>
          <t>u</t>
        </is>
      </c>
      <c r="G81" s="33" t="n">
        <v>0.001</v>
      </c>
      <c r="H81" s="33">
        <f>E81*G81</f>
        <v/>
      </c>
      <c r="I81" s="32" t="inlineStr">
        <is>
          <t>NBR 70 Shore A</t>
        </is>
      </c>
      <c r="J81" s="17" t="inlineStr">
        <is>
          <t>Ø32,8 ext. × cordón 3</t>
        </is>
      </c>
      <c r="K81" s="32" t="inlineStr">
        <is>
          <t>Compra</t>
        </is>
      </c>
      <c r="L81" s="32" t="inlineStr">
        <is>
          <t>Sí</t>
        </is>
      </c>
      <c r="M81" s="17" t="inlineStr">
        <is>
          <t>Argensold</t>
        </is>
      </c>
      <c r="N81" s="17" t="inlineStr">
        <is>
          <t>Matafuegos Iglesias</t>
        </is>
      </c>
      <c r="O81" s="17" t="inlineStr">
        <is>
          <t>19 Ensamblaje de válvula (T03/T04)</t>
        </is>
      </c>
      <c r="P81" s="17" t="n"/>
      <c r="Q81" s="32" t="inlineStr">
        <is>
          <t>P</t>
        </is>
      </c>
      <c r="R81" s="32" t="inlineStr">
        <is>
          <t>FL_DES_ABC_2.5kg</t>
        </is>
      </c>
      <c r="S81" s="17" t="inlineStr">
        <is>
          <t>cambio c/recarga</t>
        </is>
      </c>
    </row>
    <row r="82">
      <c r="A82" s="32" t="inlineStr">
        <is>
          <t>FL_MAT_ABC_2.5kg</t>
        </is>
      </c>
      <c r="B82" s="32" t="n">
        <v>2</v>
      </c>
      <c r="C82" s="32" t="inlineStr">
        <is>
          <t>ABC2.5-K2</t>
        </is>
      </c>
      <c r="D82" s="17" t="inlineStr">
        <is>
          <t xml:space="preserve">        Válvula HZ armada M-30 c/resorte y tubo 7/8</t>
        </is>
      </c>
      <c r="E82" s="32" t="n">
        <v>1</v>
      </c>
      <c r="F82" s="32" t="inlineStr">
        <is>
          <t>u</t>
        </is>
      </c>
      <c r="G82" s="33" t="n"/>
      <c r="H82" s="33" t="n"/>
      <c r="I82" s="32" t="inlineStr">
        <is>
          <t>Latón forjado (HZ)</t>
        </is>
      </c>
      <c r="J82" s="17" t="inlineStr">
        <is>
          <t>rosca M30x1,5</t>
        </is>
      </c>
      <c r="K82" s="32" t="inlineStr">
        <is>
          <t>Compra</t>
        </is>
      </c>
      <c r="L82" s="32" t="inlineStr">
        <is>
          <t>Sí</t>
        </is>
      </c>
      <c r="M82" s="17" t="inlineStr">
        <is>
          <t>Polvex S.R.L. / Sancibrao</t>
        </is>
      </c>
      <c r="N82" s="17" t="inlineStr">
        <is>
          <t>Mozart S.R.L.</t>
        </is>
      </c>
      <c r="O82" s="17" t="inlineStr">
        <is>
          <t>19 Ensamblaje de válvula</t>
        </is>
      </c>
      <c r="P82" s="17" t="inlineStr">
        <is>
          <t>IRAM 3523 3.3</t>
        </is>
      </c>
      <c r="Q82" s="32" t="inlineStr">
        <is>
          <t>Q</t>
        </is>
      </c>
      <c r="R82" s="32" t="inlineStr">
        <is>
          <t>FL_DES_ABC_2.5kg</t>
        </is>
      </c>
      <c r="S82" s="17" t="inlineStr">
        <is>
          <t>Lista de precios HZ (Q-AGENTES); plano Fadesa usa válvula HZ (R-FADESA). Trae las piezas marcadas «Incluido en válvula HZ»</t>
        </is>
      </c>
    </row>
    <row r="83">
      <c r="A83" s="32" t="inlineStr">
        <is>
          <t>FL_MAT_ABC_2.5kg</t>
        </is>
      </c>
      <c r="B83" s="32" t="n">
        <v>2</v>
      </c>
      <c r="C83" s="32" t="inlineStr">
        <is>
          <t>ABC2.5-V2</t>
        </is>
      </c>
      <c r="D83" s="17" t="inlineStr">
        <is>
          <t xml:space="preserve">        Resorte de retorno del vástago</t>
        </is>
      </c>
      <c r="E83" s="32" t="n">
        <v>1</v>
      </c>
      <c r="F83" s="32" t="inlineStr">
        <is>
          <t>u</t>
        </is>
      </c>
      <c r="G83" s="33" t="n"/>
      <c r="H83" s="33" t="n"/>
      <c r="I83" s="32" t="inlineStr">
        <is>
          <t>Acero para resortes</t>
        </is>
      </c>
      <c r="J83" s="17" t="inlineStr">
        <is>
          <t>incluido en la válvula</t>
        </is>
      </c>
      <c r="K83" s="32" t="inlineStr">
        <is>
          <t>Incluido en válvula HZ</t>
        </is>
      </c>
      <c r="L83" s="32" t="inlineStr">
        <is>
          <t>No</t>
        </is>
      </c>
      <c r="M83" s="17" t="n"/>
      <c r="N83" s="17" t="n"/>
      <c r="O83" s="17" t="inlineStr">
        <is>
          <t>19 Ensamblaje</t>
        </is>
      </c>
      <c r="P83" s="17" t="n"/>
      <c r="Q83" s="32" t="inlineStr">
        <is>
          <t>Q</t>
        </is>
      </c>
      <c r="R83" s="32" t="n"/>
      <c r="S83" s="17" t="inlineStr">
        <is>
          <t>Lista de precios HZ: válvula «c/resorte» (Q-AGENTES)</t>
        </is>
      </c>
    </row>
    <row r="84">
      <c r="A84" s="32" t="inlineStr">
        <is>
          <t>FL_MAT_ABC_2.5kg</t>
        </is>
      </c>
      <c r="B84" s="32" t="n">
        <v>2</v>
      </c>
      <c r="C84" s="32" t="inlineStr">
        <is>
          <t>ABC2.5-V3</t>
        </is>
      </c>
      <c r="D84" s="17" t="inlineStr">
        <is>
          <t xml:space="preserve">        Junta tórica del vástago</t>
        </is>
      </c>
      <c r="E84" s="32" t="n">
        <v>1</v>
      </c>
      <c r="F84" s="32" t="inlineStr">
        <is>
          <t>u</t>
        </is>
      </c>
      <c r="G84" s="33" t="n"/>
      <c r="H84" s="33" t="n"/>
      <c r="I84" s="32" t="inlineStr">
        <is>
          <t>NBR 70 Shore A</t>
        </is>
      </c>
      <c r="J84" s="17" t="inlineStr">
        <is>
          <t>incluida en la válvula</t>
        </is>
      </c>
      <c r="K84" s="32" t="inlineStr">
        <is>
          <t>Incluido en válvula HZ</t>
        </is>
      </c>
      <c r="L84" s="32" t="inlineStr">
        <is>
          <t>No</t>
        </is>
      </c>
      <c r="M84" s="17" t="n"/>
      <c r="N84" s="17" t="n"/>
      <c r="O84" s="17" t="inlineStr">
        <is>
          <t>19 Ensamblaje</t>
        </is>
      </c>
      <c r="P84" s="17" t="n"/>
      <c r="Q84" s="32" t="inlineStr">
        <is>
          <t>P</t>
        </is>
      </c>
      <c r="R84" s="32" t="n"/>
      <c r="S84" s="17" t="inlineStr">
        <is>
          <t>Figura en el plano como «vástago con junta tórica»</t>
        </is>
      </c>
    </row>
    <row r="85">
      <c r="A85" s="29" t="inlineStr">
        <is>
          <t>FL_MAT_ABC_2.5kg</t>
        </is>
      </c>
      <c r="B85" s="29" t="n">
        <v>1</v>
      </c>
      <c r="C85" s="29" t="inlineStr">
        <is>
          <t>ABC2.5-S3</t>
        </is>
      </c>
      <c r="D85" s="30" t="inlineStr">
        <is>
          <t xml:space="preserve">    Dispositivo de descarga</t>
        </is>
      </c>
      <c r="E85" s="29" t="n">
        <v>1</v>
      </c>
      <c r="F85" s="29" t="inlineStr">
        <is>
          <t>u</t>
        </is>
      </c>
      <c r="G85" s="31" t="n"/>
      <c r="H85" s="31">
        <f>H86+H87+H88+H89</f>
        <v/>
      </c>
      <c r="I85" s="29" t="n"/>
      <c r="J85" s="30" t="n"/>
      <c r="K85" s="29" t="inlineStr">
        <is>
          <t>Compra / armado</t>
        </is>
      </c>
      <c r="L85" s="29" t="n"/>
      <c r="M85" s="30" t="n"/>
      <c r="N85" s="30" t="n"/>
      <c r="O85" s="30" t="n"/>
      <c r="P85" s="30" t="n"/>
      <c r="Q85" s="29" t="inlineStr">
        <is>
          <t>P</t>
        </is>
      </c>
      <c r="R85" s="29" t="inlineStr">
        <is>
          <t>FL_DES_ABC_2.5kg</t>
        </is>
      </c>
      <c r="S85" s="30" t="n"/>
    </row>
    <row r="86">
      <c r="A86" s="32" t="inlineStr">
        <is>
          <t>FL_MAT_ABC_2.5kg</t>
        </is>
      </c>
      <c r="B86" s="32" t="n">
        <v>2</v>
      </c>
      <c r="C86" s="32" t="inlineStr">
        <is>
          <t>ABC2.5-16</t>
        </is>
      </c>
      <c r="D86" s="17" t="inlineStr">
        <is>
          <t xml:space="preserve">        Racor de manguera</t>
        </is>
      </c>
      <c r="E86" s="32" t="n">
        <v>1</v>
      </c>
      <c r="F86" s="32" t="inlineStr">
        <is>
          <t>u</t>
        </is>
      </c>
      <c r="G86" s="33" t="n">
        <v>0.0394</v>
      </c>
      <c r="H86" s="33">
        <f>E86*G86</f>
        <v/>
      </c>
      <c r="I86" s="32" t="inlineStr">
        <is>
          <t>Latón</t>
        </is>
      </c>
      <c r="J86" s="17" t="inlineStr">
        <is>
          <t>19,4 × 18,8 × 18,8</t>
        </is>
      </c>
      <c r="K86" s="32" t="inlineStr">
        <is>
          <t>Compra</t>
        </is>
      </c>
      <c r="L86" s="32" t="inlineStr">
        <is>
          <t>Sí</t>
        </is>
      </c>
      <c r="M86" s="17" t="inlineStr">
        <is>
          <t>Yukon / MatafuegosYa S.R.L.</t>
        </is>
      </c>
      <c r="N86" s="17" t="inlineStr">
        <is>
          <t>Matafuegos Iglesias</t>
        </is>
      </c>
      <c r="O86" s="17" t="inlineStr">
        <is>
          <t>19 Ensamblaje (T03/T04)</t>
        </is>
      </c>
      <c r="P86" s="17" t="n"/>
      <c r="Q86" s="32" t="inlineStr">
        <is>
          <t>P</t>
        </is>
      </c>
      <c r="R86" s="32" t="inlineStr">
        <is>
          <t>FL_DES_ABC_2.5kg</t>
        </is>
      </c>
      <c r="S86" s="17" t="n"/>
    </row>
    <row r="87">
      <c r="A87" s="32" t="inlineStr">
        <is>
          <t>FL_MAT_ABC_2.5kg</t>
        </is>
      </c>
      <c r="B87" s="32" t="n">
        <v>2</v>
      </c>
      <c r="C87" s="32" t="inlineStr">
        <is>
          <t>ABC2.5-17</t>
        </is>
      </c>
      <c r="D87" s="17" t="inlineStr">
        <is>
          <t xml:space="preserve">        Manguera</t>
        </is>
      </c>
      <c r="E87" s="32" t="n">
        <v>1</v>
      </c>
      <c r="F87" s="32" t="inlineStr">
        <is>
          <t>u</t>
        </is>
      </c>
      <c r="G87" s="33" t="n">
        <v>0.0368</v>
      </c>
      <c r="H87" s="33">
        <f>E87*G87</f>
        <v/>
      </c>
      <c r="I87" s="32" t="inlineStr">
        <is>
          <t>Caucho sintético</t>
        </is>
      </c>
      <c r="J87" s="17" t="inlineStr">
        <is>
          <t>Ø16 × 238 de largo desarrollado</t>
        </is>
      </c>
      <c r="K87" s="32" t="inlineStr">
        <is>
          <t>Compra</t>
        </is>
      </c>
      <c r="L87" s="32" t="inlineStr">
        <is>
          <t>Sí</t>
        </is>
      </c>
      <c r="M87" s="17" t="inlineStr">
        <is>
          <t>Yukon / MatafuegosYa S.R.L.</t>
        </is>
      </c>
      <c r="N87" s="17" t="inlineStr">
        <is>
          <t>Matafuegos Iglesias</t>
        </is>
      </c>
      <c r="O87" s="17" t="inlineStr">
        <is>
          <t>19 Ensamblaje (T03/T04)</t>
        </is>
      </c>
      <c r="P87" s="17" t="n"/>
      <c r="Q87" s="32" t="inlineStr">
        <is>
          <t>P</t>
        </is>
      </c>
      <c r="R87" s="32" t="inlineStr">
        <is>
          <t>FL_DES_ABC_2.5kg</t>
        </is>
      </c>
      <c r="S87" s="17" t="n"/>
    </row>
    <row r="88">
      <c r="A88" s="32" t="inlineStr">
        <is>
          <t>FL_MAT_ABC_2.5kg</t>
        </is>
      </c>
      <c r="B88" s="32" t="n">
        <v>2</v>
      </c>
      <c r="C88" s="32" t="inlineStr">
        <is>
          <t>ABC2.5-18</t>
        </is>
      </c>
      <c r="D88" s="17" t="inlineStr">
        <is>
          <t xml:space="preserve">        Tobera con portatobera</t>
        </is>
      </c>
      <c r="E88" s="32" t="n">
        <v>1</v>
      </c>
      <c r="F88" s="32" t="inlineStr">
        <is>
          <t>u</t>
        </is>
      </c>
      <c r="G88" s="33" t="n">
        <v>0.0168</v>
      </c>
      <c r="H88" s="33">
        <f>E88*G88</f>
        <v/>
      </c>
      <c r="I88" s="32" t="inlineStr">
        <is>
          <t>Polipropileno</t>
        </is>
      </c>
      <c r="J88" s="17" t="inlineStr">
        <is>
          <t>73,5 × 19,9 × 19,9</t>
        </is>
      </c>
      <c r="K88" s="32" t="inlineStr">
        <is>
          <t>Compra</t>
        </is>
      </c>
      <c r="L88" s="32" t="inlineStr">
        <is>
          <t>Sí</t>
        </is>
      </c>
      <c r="M88" s="17" t="inlineStr">
        <is>
          <t>Yukon / MatafuegosYa S.R.L.</t>
        </is>
      </c>
      <c r="N88" s="17" t="inlineStr">
        <is>
          <t>Matafuegos Iglesias</t>
        </is>
      </c>
      <c r="O88" s="17" t="inlineStr">
        <is>
          <t>19 Ensamblaje (T03/T04)</t>
        </is>
      </c>
      <c r="P88" s="17" t="n"/>
      <c r="Q88" s="32" t="inlineStr">
        <is>
          <t>P</t>
        </is>
      </c>
      <c r="R88" s="32" t="inlineStr">
        <is>
          <t>FL_DES_ABC_2.5kg</t>
        </is>
      </c>
      <c r="S88" s="17" t="n"/>
    </row>
    <row r="89">
      <c r="A89" s="32" t="inlineStr">
        <is>
          <t>FL_MAT_ABC_2.5kg</t>
        </is>
      </c>
      <c r="B89" s="32" t="n">
        <v>2</v>
      </c>
      <c r="C89" s="32" t="inlineStr">
        <is>
          <t>ABC2.5-19</t>
        </is>
      </c>
      <c r="D89" s="17" t="inlineStr">
        <is>
          <t xml:space="preserve">        Suncho portatobera</t>
        </is>
      </c>
      <c r="E89" s="32" t="n">
        <v>1</v>
      </c>
      <c r="F89" s="32" t="inlineStr">
        <is>
          <t>u</t>
        </is>
      </c>
      <c r="G89" s="33" t="n">
        <v>0.0791</v>
      </c>
      <c r="H89" s="33">
        <f>E89*G89</f>
        <v/>
      </c>
      <c r="I89" s="32" t="inlineStr">
        <is>
          <t>Fleje acero SAE 1010 pintado</t>
        </is>
      </c>
      <c r="J89" s="17" t="inlineStr">
        <is>
          <t>137,6 × 127,6 × 14,4</t>
        </is>
      </c>
      <c r="K89" s="32" t="inlineStr">
        <is>
          <t>Compra (estructura)</t>
        </is>
      </c>
      <c r="L89" s="32" t="inlineStr">
        <is>
          <t>Sí</t>
        </is>
      </c>
      <c r="M89" s="17" t="inlineStr">
        <is>
          <t>Yukon / MatafuegosYa S.R.L.</t>
        </is>
      </c>
      <c r="N89" s="17" t="inlineStr">
        <is>
          <t>Matafuegos Iglesias</t>
        </is>
      </c>
      <c r="O89" s="17" t="inlineStr">
        <is>
          <t>19 Ensamblaje (T03/T04)</t>
        </is>
      </c>
      <c r="P89" s="17" t="n"/>
      <c r="Q89" s="32" t="inlineStr">
        <is>
          <t>P</t>
        </is>
      </c>
      <c r="R89" s="32" t="inlineStr">
        <is>
          <t>FL_DES_ABC_2.5kg</t>
        </is>
      </c>
      <c r="S89" s="17" t="n"/>
    </row>
    <row r="90">
      <c r="A90" s="29" t="inlineStr">
        <is>
          <t>FL_MAT_ABC_2.5kg</t>
        </is>
      </c>
      <c r="B90" s="29" t="n">
        <v>1</v>
      </c>
      <c r="C90" s="29" t="inlineStr">
        <is>
          <t>ABC2.5-S5</t>
        </is>
      </c>
      <c r="D90" s="30" t="inlineStr">
        <is>
          <t xml:space="preserve">    Carga: agente extintor y gas impulsor</t>
        </is>
      </c>
      <c r="E90" s="29" t="n">
        <v>1</v>
      </c>
      <c r="F90" s="29" t="inlineStr">
        <is>
          <t>u</t>
        </is>
      </c>
      <c r="G90" s="31" t="n"/>
      <c r="H90" s="31">
        <f>H91+H92</f>
        <v/>
      </c>
      <c r="I90" s="29" t="n"/>
      <c r="J90" s="30" t="n"/>
      <c r="K90" s="29" t="inlineStr">
        <is>
          <t>Carga en planta</t>
        </is>
      </c>
      <c r="L90" s="29" t="n"/>
      <c r="M90" s="30" t="n"/>
      <c r="N90" s="30" t="n"/>
      <c r="O90" s="30" t="inlineStr">
        <is>
          <t>18 Carga de polvo (T01) / C8 (T02)</t>
        </is>
      </c>
      <c r="P90" s="30" t="n"/>
      <c r="Q90" s="29" t="n"/>
      <c r="R90" s="29" t="n"/>
      <c r="S90" s="30" t="n"/>
    </row>
    <row r="91">
      <c r="A91" s="32" t="inlineStr">
        <is>
          <t>FL_MAT_ABC_2.5kg</t>
        </is>
      </c>
      <c r="B91" s="32" t="n">
        <v>2</v>
      </c>
      <c r="C91" s="32" t="inlineStr">
        <is>
          <t>ABC2.5-A1</t>
        </is>
      </c>
      <c r="D91" s="17" t="inlineStr">
        <is>
          <t xml:space="preserve">        Polvo químico seco ABC 60 (Sello IRAM 3569)</t>
        </is>
      </c>
      <c r="E91" s="32" t="n">
        <v>2.55</v>
      </c>
      <c r="F91" s="32" t="inlineStr">
        <is>
          <t>kg</t>
        </is>
      </c>
      <c r="G91" s="33" t="n">
        <v>1</v>
      </c>
      <c r="H91" s="33">
        <f>E91*G91</f>
        <v/>
      </c>
      <c r="I91" s="32" t="inlineStr">
        <is>
          <t>Polvo químico seco ABC 60 (Sello IRAM 3569)</t>
        </is>
      </c>
      <c r="J91" s="17" t="inlineStr">
        <is>
          <t>nominal 2,5 kg; tolerancia 0 / +100 g (IRAM 3517-2:2020 tabla 3 · IRAM 3523 tabla II)</t>
        </is>
      </c>
      <c r="K91" s="32" t="inlineStr">
        <is>
          <t>Compra</t>
        </is>
      </c>
      <c r="L91" s="32" t="inlineStr">
        <is>
          <t>Sí</t>
        </is>
      </c>
      <c r="M91" s="17" t="inlineStr">
        <is>
          <t>DEM S.A. (DEMSA)</t>
        </is>
      </c>
      <c r="N91" s="17" t="inlineStr">
        <is>
          <t>Polvex S.R.L. / Sancibrao</t>
        </is>
      </c>
      <c r="O91" s="17" t="inlineStr">
        <is>
          <t>SP-1 almacén previo a la carga</t>
        </is>
      </c>
      <c r="P91" s="17" t="inlineStr">
        <is>
          <t>IRAM 3569</t>
        </is>
      </c>
      <c r="Q91" s="32" t="inlineStr">
        <is>
          <t>N</t>
        </is>
      </c>
      <c r="R91" s="32" t="n"/>
      <c r="S91" s="17" t="inlineStr">
        <is>
          <t>Composición declarada del polvo ABC 60: MAP 60 % (IRAM 3569: 57-63 %) = 1,53 kg MAP + 0,943 kg sulfato de amonio + 0,076 kg aditivos · potencial de referencia 3A-20B:C (licencia Drago con DEM-60/90, L-DRAGO) · Decisión: DEMSA principal (sello IRAM 3569 y potencial de referencia); Polvex/Sancibrao alternativa sujeta a sello IRAM 3569 y ensayo de tipo de FLAMA (IRAM 3542/3543) · Lote único por extintor; prohibido mezclar ABC con BC (3517-2 9.9.1.6)</t>
        </is>
      </c>
    </row>
    <row r="92">
      <c r="A92" s="37" t="inlineStr">
        <is>
          <t>FL_MAT_ABC_2.5kg</t>
        </is>
      </c>
      <c r="B92" s="37" t="n">
        <v>2</v>
      </c>
      <c r="C92" s="37" t="inlineStr">
        <is>
          <t>ABC2.5-A2</t>
        </is>
      </c>
      <c r="D92" s="18" t="inlineStr">
        <is>
          <t xml:space="preserve">        Gas impulsor: N₂</t>
        </is>
      </c>
      <c r="E92" s="37" t="n">
        <v>0.0212</v>
      </c>
      <c r="F92" s="37" t="inlineStr">
        <is>
          <t>kg</t>
        </is>
      </c>
      <c r="G92" s="38" t="n">
        <v>1</v>
      </c>
      <c r="H92" s="38">
        <f>E92*G92</f>
        <v/>
      </c>
      <c r="I92" s="37" t="inlineStr">
        <is>
          <t>N₂</t>
        </is>
      </c>
      <c r="J92" s="18" t="inlineStr">
        <is>
          <t>16,9 L normales para 1,4 MPa a 20 °C en 1,23 dm³ libres</t>
        </is>
      </c>
      <c r="K92" s="37" t="inlineStr">
        <is>
          <t>Compra</t>
        </is>
      </c>
      <c r="L92" s="37" t="inlineStr">
        <is>
          <t>Sí</t>
        </is>
      </c>
      <c r="M92" s="18" t="inlineStr">
        <is>
          <t>Air Liquide Argentina - sucursal Piñeyro</t>
        </is>
      </c>
      <c r="N92" s="18" t="inlineStr">
        <is>
          <t>Gogniat</t>
        </is>
      </c>
      <c r="O92" s="18" t="inlineStr">
        <is>
          <t>20 Presurización (T05) / C10</t>
        </is>
      </c>
      <c r="P92" s="18" t="inlineStr">
        <is>
          <t>IRAM 3517-2 9.4.9 (tabla 2) · IRAM 3523 2.3 y 3.10</t>
        </is>
      </c>
      <c r="Q92" s="37" t="inlineStr">
        <is>
          <t>C</t>
        </is>
      </c>
      <c r="R92" s="37" t="n"/>
      <c r="S92" s="18" t="inlineStr">
        <is>
          <t>N₂ ≥ 99,8 %, H₂O ≤ 40 ppm (Q-N2, Air Liquide) · volumen libre con ρ empacada mínima 1,1 kg/dm³ (NOM-104-STPS-2001); confirmar con descarga ≥ 85 % (IRAM 3523 4.9.1)</t>
        </is>
      </c>
    </row>
    <row r="93">
      <c r="A93" s="29" t="inlineStr">
        <is>
          <t>FL_MAT_ABC_2.5kg</t>
        </is>
      </c>
      <c r="B93" s="29" t="n">
        <v>1</v>
      </c>
      <c r="C93" s="29" t="inlineStr">
        <is>
          <t>ABC2.5-S6</t>
        </is>
      </c>
      <c r="D93" s="30" t="inlineStr">
        <is>
          <t xml:space="preserve">    Identificación y precinto</t>
        </is>
      </c>
      <c r="E93" s="29" t="n">
        <v>1</v>
      </c>
      <c r="F93" s="29" t="inlineStr">
        <is>
          <t>u</t>
        </is>
      </c>
      <c r="G93" s="31" t="n"/>
      <c r="H93" s="31">
        <f>H94+H95+H96+H97+H98+H99+H100</f>
        <v/>
      </c>
      <c r="I93" s="29" t="n"/>
      <c r="J93" s="30" t="n"/>
      <c r="K93" s="29" t="inlineStr">
        <is>
          <t>Compra</t>
        </is>
      </c>
      <c r="L93" s="29" t="n"/>
      <c r="M93" s="30" t="n"/>
      <c r="N93" s="30" t="n"/>
      <c r="O93" s="30" t="inlineStr">
        <is>
          <t>22 Etiquetado (T07)</t>
        </is>
      </c>
      <c r="P93" s="30" t="n"/>
      <c r="Q93" s="29" t="n"/>
      <c r="R93" s="29" t="n"/>
      <c r="S93" s="30" t="n"/>
    </row>
    <row r="94">
      <c r="A94" s="32" t="inlineStr">
        <is>
          <t>FL_MAT_ABC_2.5kg</t>
        </is>
      </c>
      <c r="B94" s="32" t="n">
        <v>2</v>
      </c>
      <c r="C94" s="32" t="inlineStr">
        <is>
          <t>ABC2.5-20</t>
        </is>
      </c>
      <c r="D94" s="17" t="inlineStr">
        <is>
          <t xml:space="preserve">        Etiqueta / placa de características</t>
        </is>
      </c>
      <c r="E94" s="32" t="n">
        <v>1</v>
      </c>
      <c r="F94" s="32" t="inlineStr">
        <is>
          <t>u</t>
        </is>
      </c>
      <c r="G94" s="33" t="n">
        <v>0.0149</v>
      </c>
      <c r="H94" s="33">
        <f>E94*G94</f>
        <v/>
      </c>
      <c r="I94" s="32" t="inlineStr">
        <is>
          <t>Vinilo autoadhesivo laminado</t>
        </is>
      </c>
      <c r="J94" s="17" t="inlineStr">
        <is>
          <t>234 × 152 (desarrollo × alto: panel central 108° + 2 alas laterales), e ≈ 0,3, laminado UV</t>
        </is>
      </c>
      <c r="K94" s="32" t="inlineStr">
        <is>
          <t>Compra</t>
        </is>
      </c>
      <c r="L94" s="32" t="inlineStr">
        <is>
          <t>Sí</t>
        </is>
      </c>
      <c r="M94" s="17" t="inlineStr">
        <is>
          <t>Astuprint</t>
        </is>
      </c>
      <c r="N94" s="17" t="inlineStr">
        <is>
          <t>Multilabel Argentina S.A.</t>
        </is>
      </c>
      <c r="O94" s="17" t="inlineStr">
        <is>
          <t>22 Etiquetado (T07)</t>
        </is>
      </c>
      <c r="P94" s="17" t="inlineStr">
        <is>
          <t>IRAM 3534 · IRAM 3523 cap. 5 · relevamiento de mercado</t>
        </is>
      </c>
      <c r="Q94" s="32" t="inlineStr">
        <is>
          <t>P</t>
        </is>
      </c>
      <c r="R94" s="32" t="inlineStr">
        <is>
          <t>FL_DES_ABC_2.5kg</t>
        </is>
      </c>
      <c r="S94" s="17" t="inlineStr">
        <is>
          <t>IRAM 3534</t>
        </is>
      </c>
    </row>
    <row r="95">
      <c r="A95" s="32" t="inlineStr">
        <is>
          <t>FL_MAT_ABC_2.5kg</t>
        </is>
      </c>
      <c r="B95" s="32" t="n">
        <v>2</v>
      </c>
      <c r="C95" s="32" t="inlineStr">
        <is>
          <t>ABC2.5-21</t>
        </is>
      </c>
      <c r="D95" s="17" t="inlineStr">
        <is>
          <t xml:space="preserve">        Oblea de fabricación (PBA)</t>
        </is>
      </c>
      <c r="E95" s="32" t="n">
        <v>1</v>
      </c>
      <c r="F95" s="32" t="inlineStr">
        <is>
          <t>u</t>
        </is>
      </c>
      <c r="G95" s="33" t="n">
        <v>0.0009</v>
      </c>
      <c r="H95" s="33">
        <f>E95*G95</f>
        <v/>
      </c>
      <c r="I95" s="32" t="inlineStr">
        <is>
          <t>Papel de seguridad autodestructible</t>
        </is>
      </c>
      <c r="J95" s="17" t="inlineStr">
        <is>
          <t>Ø46 (Res. OPDS 522/07), numerada, autodestructible</t>
        </is>
      </c>
      <c r="K95" s="32" t="inlineStr">
        <is>
          <t>Compra</t>
        </is>
      </c>
      <c r="L95" s="32" t="inlineStr">
        <is>
          <t>Sí</t>
        </is>
      </c>
      <c r="M95" s="17" t="inlineStr">
        <is>
          <t>Ministerio de Ambiente PBA (ex OPDS)</t>
        </is>
      </c>
      <c r="N95" s="17" t="inlineStr">
        <is>
          <t>-</t>
        </is>
      </c>
      <c r="O95" s="17" t="inlineStr">
        <is>
          <t>22 Etiquetado (T07)</t>
        </is>
      </c>
      <c r="P95" s="17" t="inlineStr">
        <is>
          <t>Res. OPDS 522/07 anexos 1, 2 y 6</t>
        </is>
      </c>
      <c r="Q95" s="32" t="inlineStr">
        <is>
          <t>P</t>
        </is>
      </c>
      <c r="R95" s="32" t="inlineStr">
        <is>
          <t>FL_DES_ABC_2.5kg</t>
        </is>
      </c>
      <c r="S95" s="17" t="inlineStr">
        <is>
          <t>Res. 522/07</t>
        </is>
      </c>
    </row>
    <row r="96">
      <c r="A96" s="32" t="inlineStr">
        <is>
          <t>FL_MAT_ABC_2.5kg</t>
        </is>
      </c>
      <c r="B96" s="32" t="n">
        <v>2</v>
      </c>
      <c r="C96" s="32" t="inlineStr">
        <is>
          <t>ABC2.5-22</t>
        </is>
      </c>
      <c r="D96" s="17" t="inlineStr">
        <is>
          <t xml:space="preserve">        Estampilla IRAM de conformidad</t>
        </is>
      </c>
      <c r="E96" s="32" t="n">
        <v>1</v>
      </c>
      <c r="F96" s="32" t="inlineStr">
        <is>
          <t>u</t>
        </is>
      </c>
      <c r="G96" s="33" t="n">
        <v>0.001</v>
      </c>
      <c r="H96" s="33">
        <f>E96*G96</f>
        <v/>
      </c>
      <c r="I96" s="32" t="inlineStr">
        <is>
          <t>Provista por IRAM (Anexo R)</t>
        </is>
      </c>
      <c r="J96" s="17" t="inlineStr">
        <is>
          <t>60 × 40</t>
        </is>
      </c>
      <c r="K96" s="32" t="inlineStr">
        <is>
          <t>Compra</t>
        </is>
      </c>
      <c r="L96" s="32" t="inlineStr">
        <is>
          <t>Sí</t>
        </is>
      </c>
      <c r="M96" s="17" t="inlineStr">
        <is>
          <t>IRAM - Instituto Argentino de Normalización</t>
        </is>
      </c>
      <c r="N96" s="17" t="inlineStr">
        <is>
          <t>-</t>
        </is>
      </c>
      <c r="O96" s="17" t="inlineStr">
        <is>
          <t>22 Etiquetado (T07)</t>
        </is>
      </c>
      <c r="P96" s="17" t="inlineStr">
        <is>
          <t>IRAM Anexo R (DC-PG-129)</t>
        </is>
      </c>
      <c r="Q96" s="32" t="inlineStr">
        <is>
          <t>P</t>
        </is>
      </c>
      <c r="R96" s="32" t="inlineStr">
        <is>
          <t>FL_DES_ABC_2.5kg</t>
        </is>
      </c>
      <c r="S96" s="17" t="inlineStr">
        <is>
          <t>numerada</t>
        </is>
      </c>
    </row>
    <row r="97">
      <c r="A97" s="32" t="inlineStr">
        <is>
          <t>FL_MAT_ABC_2.5kg</t>
        </is>
      </c>
      <c r="B97" s="32" t="n">
        <v>2</v>
      </c>
      <c r="C97" s="32" t="inlineStr">
        <is>
          <t>ABC2.5-23</t>
        </is>
      </c>
      <c r="D97" s="17" t="inlineStr">
        <is>
          <t xml:space="preserve">        Tarjeta de identificación AGC (CABA)</t>
        </is>
      </c>
      <c r="E97" s="32" t="n">
        <v>1</v>
      </c>
      <c r="F97" s="32" t="inlineStr">
        <is>
          <t>u</t>
        </is>
      </c>
      <c r="G97" s="33" t="n">
        <v>0.0032</v>
      </c>
      <c r="H97" s="33">
        <f>E97*G97</f>
        <v/>
      </c>
      <c r="I97" s="32" t="inlineStr">
        <is>
          <t>Etiqueta autoadhesiva emitida por la AGC</t>
        </is>
      </c>
      <c r="J97" s="17" t="inlineStr">
        <is>
          <t>140 × 55</t>
        </is>
      </c>
      <c r="K97" s="32" t="inlineStr">
        <is>
          <t>Compra</t>
        </is>
      </c>
      <c r="L97" s="32" t="inlineStr">
        <is>
          <t>Sí</t>
        </is>
      </c>
      <c r="M97" s="17" t="inlineStr">
        <is>
          <t>Agencia Gubernamental de Control (CABA)</t>
        </is>
      </c>
      <c r="N97" s="17" t="inlineStr">
        <is>
          <t>-</t>
        </is>
      </c>
      <c r="O97" s="17" t="inlineStr">
        <is>
          <t>22 Etiquetado (T07)</t>
        </is>
      </c>
      <c r="P97" s="17" t="inlineStr">
        <is>
          <t>Ordenanza 40.473 art. 6 · Res. AGC 32/15</t>
        </is>
      </c>
      <c r="Q97" s="32" t="inlineStr">
        <is>
          <t>P</t>
        </is>
      </c>
      <c r="R97" s="32" t="inlineStr">
        <is>
          <t>FL_DES_ABC_2.5kg</t>
        </is>
      </c>
      <c r="S97" s="17" t="inlineStr">
        <is>
          <t>sólo destino CABA</t>
        </is>
      </c>
    </row>
    <row r="98">
      <c r="A98" s="32" t="inlineStr">
        <is>
          <t>FL_MAT_ABC_2.5kg</t>
        </is>
      </c>
      <c r="B98" s="32" t="n">
        <v>2</v>
      </c>
      <c r="C98" s="32" t="inlineStr">
        <is>
          <t>ABC2.5-24</t>
        </is>
      </c>
      <c r="D98" s="17" t="inlineStr">
        <is>
          <t xml:space="preserve">        Etiqueta de n° de serie GS1</t>
        </is>
      </c>
      <c r="E98" s="32" t="n">
        <v>1</v>
      </c>
      <c r="F98" s="32" t="inlineStr">
        <is>
          <t>u</t>
        </is>
      </c>
      <c r="G98" s="33" t="n">
        <v>0.0005</v>
      </c>
      <c r="H98" s="33">
        <f>E98*G98</f>
        <v/>
      </c>
      <c r="I98" s="32" t="inlineStr">
        <is>
          <t>Poliéster autoadhesivo impreso térmico</t>
        </is>
      </c>
      <c r="J98" s="17" t="inlineStr">
        <is>
          <t>45 × 25</t>
        </is>
      </c>
      <c r="K98" s="32" t="inlineStr">
        <is>
          <t>Compra</t>
        </is>
      </c>
      <c r="L98" s="32" t="inlineStr">
        <is>
          <t>Sí</t>
        </is>
      </c>
      <c r="M98" s="17" t="inlineStr">
        <is>
          <t>Astuprint</t>
        </is>
      </c>
      <c r="N98" s="17" t="inlineStr">
        <is>
          <t>GS1 Argentina</t>
        </is>
      </c>
      <c r="O98" s="17" t="inlineStr">
        <is>
          <t>22 Etiquetado (T07)</t>
        </is>
      </c>
      <c r="P98" s="17" t="inlineStr">
        <is>
          <t>GS1 Argentina (GTIN 779) · trazabilidad IRAM 3523 5.1</t>
        </is>
      </c>
      <c r="Q98" s="32" t="inlineStr">
        <is>
          <t>P</t>
        </is>
      </c>
      <c r="R98" s="32" t="inlineStr">
        <is>
          <t>FL_DES_ABC_2.5kg</t>
        </is>
      </c>
      <c r="S98" s="17" t="inlineStr">
        <is>
          <t>QR GTIN + serie</t>
        </is>
      </c>
    </row>
    <row r="99">
      <c r="A99" s="32" t="inlineStr">
        <is>
          <t>FL_MAT_ABC_2.5kg</t>
        </is>
      </c>
      <c r="B99" s="32" t="n">
        <v>2</v>
      </c>
      <c r="C99" s="32" t="inlineStr">
        <is>
          <t>ABC2.5-26</t>
        </is>
      </c>
      <c r="D99" s="17" t="inlineStr">
        <is>
          <t xml:space="preserve">        Faja de garantía válvula-cuello</t>
        </is>
      </c>
      <c r="E99" s="32" t="n">
        <v>1</v>
      </c>
      <c r="F99" s="32" t="inlineStr">
        <is>
          <t>u</t>
        </is>
      </c>
      <c r="G99" s="33" t="n">
        <v>0.0001</v>
      </c>
      <c r="H99" s="33">
        <f>E99*G99</f>
        <v/>
      </c>
      <c r="I99" s="32" t="inlineStr">
        <is>
          <t>Vinilo destructible rayado rojo/blanco</t>
        </is>
      </c>
      <c r="J99" s="17" t="inlineStr">
        <is>
          <t>22 × 22 (ancho × largo desarrollado), pegada sobre la unión: cuerpo de la válvula, tuerca y cuello</t>
        </is>
      </c>
      <c r="K99" s="32" t="inlineStr">
        <is>
          <t>Compra</t>
        </is>
      </c>
      <c r="L99" s="32" t="inlineStr">
        <is>
          <t>Sí</t>
        </is>
      </c>
      <c r="M99" s="17" t="inlineStr">
        <is>
          <t>Astuprint</t>
        </is>
      </c>
      <c r="N99" s="17" t="inlineStr">
        <is>
          <t>Multilabel Argentina S.A.</t>
        </is>
      </c>
      <c r="O99" s="17" t="inlineStr">
        <is>
          <t>22 Etiquetado (T07)</t>
        </is>
      </c>
      <c r="P99" s="17" t="inlineStr">
        <is>
          <t>Sin norma: práctica de mercado (garantía de fábrica)</t>
        </is>
      </c>
      <c r="Q99" s="32" t="inlineStr">
        <is>
          <t>P</t>
        </is>
      </c>
      <c r="R99" s="32" t="inlineStr">
        <is>
          <t>FL_DES_ABC_2.5kg</t>
        </is>
      </c>
      <c r="S99" s="17" t="inlineStr">
        <is>
          <t>nuevo sin abrir</t>
        </is>
      </c>
    </row>
    <row r="100">
      <c r="A100" s="32" t="inlineStr">
        <is>
          <t>FL_MAT_ABC_2.5kg</t>
        </is>
      </c>
      <c r="B100" s="32" t="n">
        <v>2</v>
      </c>
      <c r="C100" s="32" t="inlineStr">
        <is>
          <t>ABC2.5-27</t>
        </is>
      </c>
      <c r="D100" s="17" t="inlineStr">
        <is>
          <t xml:space="preserve">        Precinto de fábrica</t>
        </is>
      </c>
      <c r="E100" s="32" t="n">
        <v>1</v>
      </c>
      <c r="F100" s="32" t="inlineStr">
        <is>
          <t>u</t>
        </is>
      </c>
      <c r="G100" s="33" t="n">
        <v>0.0002</v>
      </c>
      <c r="H100" s="33">
        <f>E100*G100</f>
        <v/>
      </c>
      <c r="I100" s="32" t="inlineStr">
        <is>
          <t>Polipropileno color</t>
        </is>
      </c>
      <c r="J100" s="17" t="inlineStr">
        <is>
          <t>Ø5 × 10, numerado, rotura 30-50 N</t>
        </is>
      </c>
      <c r="K100" s="32" t="inlineStr">
        <is>
          <t>Compra</t>
        </is>
      </c>
      <c r="L100" s="32" t="inlineStr">
        <is>
          <t>Sí</t>
        </is>
      </c>
      <c r="M100" s="17" t="inlineStr">
        <is>
          <t>SonFuertes (vía Papelera Damián)</t>
        </is>
      </c>
      <c r="N100" s="17" t="inlineStr">
        <is>
          <t>Precinter S.R.L.</t>
        </is>
      </c>
      <c r="O100" s="17" t="inlineStr">
        <is>
          <t>20 Presurización (T05)</t>
        </is>
      </c>
      <c r="P100" s="17" t="inlineStr">
        <is>
          <t>IRAM 3523 3.3.2 · IRAM 3517-2:2020 9.4.13</t>
        </is>
      </c>
      <c r="Q100" s="32" t="inlineStr">
        <is>
          <t>P</t>
        </is>
      </c>
      <c r="R100" s="32" t="inlineStr">
        <is>
          <t>FL_DES_ABC_2.5kg</t>
        </is>
      </c>
      <c r="S100" s="17" t="inlineStr">
        <is>
          <t>id. FLAMA y lote</t>
        </is>
      </c>
    </row>
    <row r="101">
      <c r="A101" s="29" t="inlineStr">
        <is>
          <t>FL_MAT_ABC_2.5kg</t>
        </is>
      </c>
      <c r="B101" s="29" t="n">
        <v>1</v>
      </c>
      <c r="C101" s="29" t="inlineStr">
        <is>
          <t>ABC2.5-S8</t>
        </is>
      </c>
      <c r="D101" s="30" t="inlineStr">
        <is>
          <t xml:space="preserve">    Soporte (accesorio de montaje)</t>
        </is>
      </c>
      <c r="E101" s="29" t="n">
        <v>1</v>
      </c>
      <c r="F101" s="29" t="inlineStr">
        <is>
          <t>u</t>
        </is>
      </c>
      <c r="G101" s="31" t="n"/>
      <c r="H101" s="31">
        <f>H102</f>
        <v/>
      </c>
      <c r="I101" s="29" t="n"/>
      <c r="J101" s="30" t="n"/>
      <c r="K101" s="29" t="inlineStr">
        <is>
          <t>Compra</t>
        </is>
      </c>
      <c r="L101" s="29" t="n"/>
      <c r="M101" s="30" t="n"/>
      <c r="N101" s="30" t="n"/>
      <c r="O101" s="30" t="inlineStr">
        <is>
          <t>23 Embalaje (va dentro de la caja)</t>
        </is>
      </c>
      <c r="P101" s="30" t="inlineStr">
        <is>
          <t>IRAM 3517-2 7.4</t>
        </is>
      </c>
      <c r="Q101" s="29" t="n"/>
      <c r="R101" s="29" t="n"/>
      <c r="S101" s="30" t="n"/>
    </row>
    <row r="102">
      <c r="A102" s="32" t="inlineStr">
        <is>
          <t>FL_MAT_ABC_2.5kg</t>
        </is>
      </c>
      <c r="B102" s="32" t="n">
        <v>2</v>
      </c>
      <c r="C102" s="32" t="inlineStr">
        <is>
          <t>ABC2.5-I5</t>
        </is>
      </c>
      <c r="D102" s="17" t="inlineStr">
        <is>
          <t xml:space="preserve">        Soporte de pared (FL_ACC_01)</t>
        </is>
      </c>
      <c r="E102" s="32" t="n">
        <v>1</v>
      </c>
      <c r="F102" s="32" t="inlineStr">
        <is>
          <t>u</t>
        </is>
      </c>
      <c r="G102" s="33" t="n">
        <v>0.264</v>
      </c>
      <c r="H102" s="33">
        <f>E102*G102</f>
        <v/>
      </c>
      <c r="I102" s="32" t="inlineStr">
        <is>
          <t>Chapa acero SAE 1010 e=2 pintada</t>
        </is>
      </c>
      <c r="J102" s="17" t="inlineStr">
        <is>
          <t>placa 60 × 180, ala con ranura Ø cuello + 3</t>
        </is>
      </c>
      <c r="K102" s="32" t="inlineStr">
        <is>
          <t>Compra</t>
        </is>
      </c>
      <c r="L102" s="32" t="inlineStr">
        <is>
          <t>Sí</t>
        </is>
      </c>
      <c r="M102" s="17" t="inlineStr">
        <is>
          <t>Maxiseguridad</t>
        </is>
      </c>
      <c r="N102" s="17" t="inlineStr">
        <is>
          <t>CM Representaciones</t>
        </is>
      </c>
      <c r="O102" s="17" t="inlineStr">
        <is>
          <t>23 Embalaje</t>
        </is>
      </c>
      <c r="P102" s="17" t="inlineStr">
        <is>
          <t>IRAM 3517-2 7.4</t>
        </is>
      </c>
      <c r="Q102" s="32" t="inlineStr">
        <is>
          <t>P</t>
        </is>
      </c>
      <c r="R102" s="32" t="inlineStr">
        <is>
          <t>FL_ACC_01</t>
        </is>
      </c>
      <c r="S102" s="17" t="n"/>
    </row>
    <row r="103">
      <c r="A103" s="32" t="inlineStr">
        <is>
          <t>FL_MAT_ABC_2.5kg</t>
        </is>
      </c>
      <c r="B103" s="32" t="n">
        <v>2</v>
      </c>
      <c r="C103" s="32" t="inlineStr">
        <is>
          <t>ABC2.5-I6</t>
        </is>
      </c>
      <c r="D103" s="17" t="inlineStr">
        <is>
          <t xml:space="preserve">        Tornillo y tarugo de fijación</t>
        </is>
      </c>
      <c r="E103" s="32" t="n">
        <v>2</v>
      </c>
      <c r="F103" s="32" t="inlineStr">
        <is>
          <t>u</t>
        </is>
      </c>
      <c r="G103" s="33" t="n"/>
      <c r="H103" s="33" t="n"/>
      <c r="I103" s="32" t="inlineStr">
        <is>
          <t>Acero cincado / nylon</t>
        </is>
      </c>
      <c r="J103" s="17" t="inlineStr">
        <is>
          <t>2 agujeros Ø8,5 del plano FL_ACC_01 → tornillo M8 + tarugo</t>
        </is>
      </c>
      <c r="K103" s="32" t="inlineStr">
        <is>
          <t>Compra</t>
        </is>
      </c>
      <c r="L103" s="32" t="inlineStr">
        <is>
          <t>Sí</t>
        </is>
      </c>
      <c r="M103" s="17" t="inlineStr">
        <is>
          <t>Würth Argentina</t>
        </is>
      </c>
      <c r="N103" s="17" t="inlineStr">
        <is>
          <t>-</t>
        </is>
      </c>
      <c r="O103" s="17" t="inlineStr">
        <is>
          <t>23 Embalaje</t>
        </is>
      </c>
      <c r="P103" s="17" t="n"/>
      <c r="Q103" s="32" t="inlineStr">
        <is>
          <t>P</t>
        </is>
      </c>
      <c r="R103" s="32" t="inlineStr">
        <is>
          <t>FL_ACC_01</t>
        </is>
      </c>
      <c r="S103" s="17" t="n"/>
    </row>
    <row r="104">
      <c r="A104" s="32" t="inlineStr">
        <is>
          <t>FL_MAT_ABC_2.5kg</t>
        </is>
      </c>
      <c r="B104" s="32" t="n">
        <v>2</v>
      </c>
      <c r="C104" s="32" t="inlineStr">
        <is>
          <t>ABC2.5-I8</t>
        </is>
      </c>
      <c r="D104" s="17" t="inlineStr">
        <is>
          <t xml:space="preserve">        Soporte opcional (pared o vehicular, según pedido)</t>
        </is>
      </c>
      <c r="E104" s="32" t="n">
        <v>0</v>
      </c>
      <c r="F104" s="32" t="inlineStr">
        <is>
          <t>u</t>
        </is>
      </c>
      <c r="G104" s="33" t="n"/>
      <c r="H104" s="33" t="n"/>
      <c r="I104" s="32" t="inlineStr">
        <is>
          <t>-</t>
        </is>
      </c>
      <c r="J104" s="17" t="inlineStr">
        <is>
          <t>-</t>
        </is>
      </c>
      <c r="K104" s="32" t="inlineStr">
        <is>
          <t>Compra</t>
        </is>
      </c>
      <c r="L104" s="32" t="inlineStr">
        <is>
          <t>Sí</t>
        </is>
      </c>
      <c r="M104" s="17" t="inlineStr">
        <is>
          <t>Maxiseguridad</t>
        </is>
      </c>
      <c r="N104" s="17" t="inlineStr">
        <is>
          <t>CM Representaciones</t>
        </is>
      </c>
      <c r="O104" s="17" t="n"/>
      <c r="P104" s="17" t="inlineStr">
        <is>
          <t>IRAM 3517-2 7.4</t>
        </is>
      </c>
      <c r="Q104" s="32" t="inlineStr">
        <is>
          <t>N</t>
        </is>
      </c>
      <c r="R104" s="32" t="n"/>
      <c r="S104" s="17" t="inlineStr">
        <is>
          <t>Sólo si el pedido lo incluye</t>
        </is>
      </c>
    </row>
    <row r="105">
      <c r="A105" s="29" t="inlineStr">
        <is>
          <t>FL_MAT_ABC_2.5kg</t>
        </is>
      </c>
      <c r="B105" s="29" t="n">
        <v>1</v>
      </c>
      <c r="C105" s="29" t="inlineStr">
        <is>
          <t>ABC2.5-S7</t>
        </is>
      </c>
      <c r="D105" s="30" t="inlineStr">
        <is>
          <t xml:space="preserve">    Embalaje</t>
        </is>
      </c>
      <c r="E105" s="29" t="n">
        <v>1</v>
      </c>
      <c r="F105" s="29" t="inlineStr">
        <is>
          <t>u</t>
        </is>
      </c>
      <c r="G105" s="31" t="n"/>
      <c r="H105" s="31">
        <f>H109</f>
        <v/>
      </c>
      <c r="I105" s="29" t="n"/>
      <c r="J105" s="30" t="n"/>
      <c r="K105" s="29" t="inlineStr">
        <is>
          <t>Compra</t>
        </is>
      </c>
      <c r="L105" s="29" t="n"/>
      <c r="M105" s="30" t="n"/>
      <c r="N105" s="30" t="n"/>
      <c r="O105" s="30" t="inlineStr">
        <is>
          <t>23 Embalaje -&gt; 24 envolvedora (T11)</t>
        </is>
      </c>
      <c r="P105" s="30" t="n"/>
      <c r="Q105" s="29" t="n"/>
      <c r="R105" s="29" t="n"/>
      <c r="S105" s="30" t="n"/>
    </row>
    <row r="106">
      <c r="A106" s="32" t="inlineStr">
        <is>
          <t>FL_MAT_ABC_2.5kg</t>
        </is>
      </c>
      <c r="B106" s="32" t="n">
        <v>2</v>
      </c>
      <c r="C106" s="32" t="inlineStr">
        <is>
          <t>ABC2.5-E1</t>
        </is>
      </c>
      <c r="D106" s="17" t="inlineStr">
        <is>
          <t xml:space="preserve">        Caja de cartón corrugado simple</t>
        </is>
      </c>
      <c r="E106" s="32" t="n">
        <v>1</v>
      </c>
      <c r="F106" s="32" t="inlineStr">
        <is>
          <t>u</t>
        </is>
      </c>
      <c r="G106" s="33" t="n"/>
      <c r="H106" s="33" t="n"/>
      <c r="I106" s="32" t="inlineStr">
        <is>
          <t>Cartón corrugado</t>
        </is>
      </c>
      <c r="J106" s="17" t="inlineStr">
        <is>
          <t>229 × 158 × 379 interior (envolvente del plano + 15 por lado)</t>
        </is>
      </c>
      <c r="K106" s="32" t="inlineStr">
        <is>
          <t>Compra</t>
        </is>
      </c>
      <c r="L106" s="32" t="inlineStr">
        <is>
          <t>Sí</t>
        </is>
      </c>
      <c r="M106" s="17" t="inlineStr">
        <is>
          <t>Maxipack</t>
        </is>
      </c>
      <c r="N106" s="17" t="inlineStr">
        <is>
          <t>Cartocan</t>
        </is>
      </c>
      <c r="O106" s="17" t="inlineStr">
        <is>
          <t>23 Embalaje</t>
        </is>
      </c>
      <c r="P106" s="17" t="n"/>
      <c r="Q106" s="32" t="inlineStr">
        <is>
          <t>P</t>
        </is>
      </c>
      <c r="R106" s="32" t="n"/>
      <c r="S106" s="17" t="inlineStr">
        <is>
          <t>Medida del plano</t>
        </is>
      </c>
    </row>
    <row r="107">
      <c r="A107" s="32" t="inlineStr">
        <is>
          <t>FL_MAT_ABC_2.5kg</t>
        </is>
      </c>
      <c r="B107" s="32" t="n">
        <v>2</v>
      </c>
      <c r="C107" s="32" t="inlineStr">
        <is>
          <t>ABC2.5-E2</t>
        </is>
      </c>
      <c r="D107" s="17" t="inlineStr">
        <is>
          <t xml:space="preserve">        Instructivo de uso y mantenimiento</t>
        </is>
      </c>
      <c r="E107" s="32" t="n">
        <v>1</v>
      </c>
      <c r="F107" s="32" t="inlineStr">
        <is>
          <t>u</t>
        </is>
      </c>
      <c r="G107" s="33" t="n"/>
      <c r="H107" s="33" t="n"/>
      <c r="I107" s="32" t="inlineStr">
        <is>
          <t>Papel</t>
        </is>
      </c>
      <c r="J107" s="17" t="inlineStr">
        <is>
          <t>A5</t>
        </is>
      </c>
      <c r="K107" s="32" t="inlineStr">
        <is>
          <t>Compra</t>
        </is>
      </c>
      <c r="L107" s="32" t="inlineStr">
        <is>
          <t>Sí</t>
        </is>
      </c>
      <c r="M107" s="17" t="inlineStr">
        <is>
          <t>Astuprint</t>
        </is>
      </c>
      <c r="N107" s="17" t="inlineStr">
        <is>
          <t>-</t>
        </is>
      </c>
      <c r="O107" s="17" t="inlineStr">
        <is>
          <t>23 Embalaje</t>
        </is>
      </c>
      <c r="P107" s="17" t="n"/>
      <c r="Q107" s="32" t="inlineStr">
        <is>
          <t>I</t>
        </is>
      </c>
      <c r="R107" s="32" t="n"/>
      <c r="S107" s="17" t="inlineStr">
        <is>
          <t>Decisión comercial de FLAMA (las instrucciones de uso obligatorias van en la etiqueta, IRAM 3534)</t>
        </is>
      </c>
    </row>
    <row r="108">
      <c r="A108" s="32" t="inlineStr">
        <is>
          <t>FL_MAT_ABC_2.5kg</t>
        </is>
      </c>
      <c r="B108" s="32" t="n">
        <v>2</v>
      </c>
      <c r="C108" s="32" t="inlineStr">
        <is>
          <t>ABC2.5-E3</t>
        </is>
      </c>
      <c r="D108" s="17" t="inlineStr">
        <is>
          <t xml:space="preserve">        Pallet 1200 × 1000 (fracción)</t>
        </is>
      </c>
      <c r="E108" s="32" t="n">
        <v>0.0111</v>
      </c>
      <c r="F108" s="32" t="inlineStr">
        <is>
          <t>u</t>
        </is>
      </c>
      <c r="G108" s="33" t="n"/>
      <c r="H108" s="33" t="n"/>
      <c r="I108" s="32" t="inlineStr">
        <is>
          <t>Madera</t>
        </is>
      </c>
      <c r="J108" s="17" t="inlineStr">
        <is>
          <t>90 u por pallet</t>
        </is>
      </c>
      <c r="K108" s="32" t="inlineStr">
        <is>
          <t>Compra</t>
        </is>
      </c>
      <c r="L108" s="32" t="inlineStr">
        <is>
          <t>Sí</t>
        </is>
      </c>
      <c r="M108" s="17" t="inlineStr">
        <is>
          <t>IndusPallets</t>
        </is>
      </c>
      <c r="N108" s="17" t="inlineStr">
        <is>
          <t>-</t>
        </is>
      </c>
      <c r="O108" s="17" t="inlineStr">
        <is>
          <t>23 Embalaje</t>
        </is>
      </c>
      <c r="P108" s="17" t="n"/>
      <c r="Q108" s="32" t="inlineStr">
        <is>
          <t>C</t>
        </is>
      </c>
      <c r="R108" s="32" t="n"/>
      <c r="S108" s="17" t="inlineStr">
        <is>
          <t>u por pallet = acomodo de la caja (plano) en 1200 × 1000 × 1450 de alto</t>
        </is>
      </c>
    </row>
    <row r="109">
      <c r="A109" s="37" t="inlineStr">
        <is>
          <t>FL_MAT_ABC_2.5kg</t>
        </is>
      </c>
      <c r="B109" s="37" t="n">
        <v>2</v>
      </c>
      <c r="C109" s="37" t="inlineStr">
        <is>
          <t>ABC2.5-E4</t>
        </is>
      </c>
      <c r="D109" s="18" t="inlineStr">
        <is>
          <t xml:space="preserve">        Film stretch (fracción del pallet)</t>
        </is>
      </c>
      <c r="E109" s="37" t="n">
        <v>0.0013</v>
      </c>
      <c r="F109" s="37" t="inlineStr">
        <is>
          <t>kg</t>
        </is>
      </c>
      <c r="G109" s="38" t="n">
        <v>1</v>
      </c>
      <c r="H109" s="38">
        <f>E109*G109</f>
        <v/>
      </c>
      <c r="I109" s="37" t="inlineStr">
        <is>
          <t>PE lineal 23 µm</t>
        </is>
      </c>
      <c r="J109" s="18" t="inlineStr">
        <is>
          <t>0,12 kg por pallet / 90 u</t>
        </is>
      </c>
      <c r="K109" s="37" t="inlineStr">
        <is>
          <t>Compra</t>
        </is>
      </c>
      <c r="L109" s="37" t="inlineStr">
        <is>
          <t>Sí</t>
        </is>
      </c>
      <c r="M109" s="18" t="inlineStr">
        <is>
          <t>MV Embalajes</t>
        </is>
      </c>
      <c r="N109" s="18" t="inlineStr">
        <is>
          <t>Embalpack</t>
        </is>
      </c>
      <c r="O109" s="18" t="inlineStr">
        <is>
          <t>24 Envolvedora (T11)</t>
        </is>
      </c>
      <c r="P109" s="18" t="n"/>
      <c r="Q109" s="37" t="inlineStr">
        <is>
          <t>C</t>
        </is>
      </c>
      <c r="R109" s="37" t="n"/>
      <c r="S109"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10">
      <c r="A110" s="32" t="inlineStr">
        <is>
          <t>FL_MAT_ABC_2.5kg</t>
        </is>
      </c>
      <c r="B110" s="32" t="n">
        <v>2</v>
      </c>
      <c r="C110" s="32" t="inlineStr">
        <is>
          <t>ABC2.5-E5</t>
        </is>
      </c>
      <c r="D110" s="17" t="inlineStr">
        <is>
          <t xml:space="preserve">        Etiqueta de pallet (lote y destino, fracción)</t>
        </is>
      </c>
      <c r="E110" s="32" t="n">
        <v>0.0111</v>
      </c>
      <c r="F110" s="32" t="inlineStr">
        <is>
          <t>u</t>
        </is>
      </c>
      <c r="G110" s="33" t="n"/>
      <c r="H110" s="33" t="n"/>
      <c r="I110" s="32" t="inlineStr">
        <is>
          <t>Papel térmico</t>
        </is>
      </c>
      <c r="J110" s="17" t="inlineStr">
        <is>
          <t>100 × 150</t>
        </is>
      </c>
      <c r="K110" s="32" t="inlineStr">
        <is>
          <t>Compra</t>
        </is>
      </c>
      <c r="L110" s="32" t="inlineStr">
        <is>
          <t>Sí</t>
        </is>
      </c>
      <c r="M110" s="17" t="inlineStr">
        <is>
          <t>Astuprint</t>
        </is>
      </c>
      <c r="N110" s="17" t="inlineStr">
        <is>
          <t>Multilabel Argentina S.A.</t>
        </is>
      </c>
      <c r="O110" s="17" t="inlineStr">
        <is>
          <t>24 Envolvedora</t>
        </is>
      </c>
      <c r="P110" s="17" t="n"/>
      <c r="Q110" s="32" t="inlineStr">
        <is>
          <t>C</t>
        </is>
      </c>
      <c r="R110" s="32" t="n"/>
      <c r="S110" s="17" t="n"/>
    </row>
    <row r="111">
      <c r="A111" s="37" t="inlineStr">
        <is>
          <t>FL_MAT_ABC_2.5kg</t>
        </is>
      </c>
      <c r="B111" s="37" t="n">
        <v>2</v>
      </c>
      <c r="C111" s="37" t="inlineStr">
        <is>
          <t>ABC2.5-E6</t>
        </is>
      </c>
      <c r="D111" s="18" t="inlineStr">
        <is>
          <t xml:space="preserve">        Cinta de embalaje PP 48 mm (cierre de la caja)</t>
        </is>
      </c>
      <c r="E111" s="37" t="n">
        <v>0.738</v>
      </c>
      <c r="F111" s="37" t="inlineStr">
        <is>
          <t>m</t>
        </is>
      </c>
      <c r="G111" s="38" t="n"/>
      <c r="H111" s="38" t="n"/>
      <c r="I111" s="37" t="inlineStr">
        <is>
          <t>Polipropileno con adhesivo acrílico</t>
        </is>
      </c>
      <c r="J111" s="18" t="inlineStr">
        <is>
          <t>cierre en I arriba y abajo: 2 × (229 + 2 × 70 de solapa)</t>
        </is>
      </c>
      <c r="K111" s="37" t="inlineStr">
        <is>
          <t>Compra</t>
        </is>
      </c>
      <c r="L111" s="37" t="inlineStr">
        <is>
          <t>Sí</t>
        </is>
      </c>
      <c r="M111" s="18" t="inlineStr">
        <is>
          <t>MV Embalajes</t>
        </is>
      </c>
      <c r="N111" s="18" t="inlineStr">
        <is>
          <t>Embalpack</t>
        </is>
      </c>
      <c r="O111" s="18" t="inlineStr">
        <is>
          <t>23 Embalaje</t>
        </is>
      </c>
      <c r="P111" s="18" t="n"/>
      <c r="Q111" s="37" t="inlineStr">
        <is>
          <t>C</t>
        </is>
      </c>
      <c r="R111" s="37" t="n"/>
      <c r="S111" s="18" t="inlineStr">
        <is>
          <t>Solapa de 70 mm por lado: práctica de cierre de cajas (medir en la línea)</t>
        </is>
      </c>
    </row>
    <row r="112">
      <c r="A112" s="32" t="inlineStr">
        <is>
          <t>FL_MAT_ABC_2.5kg</t>
        </is>
      </c>
      <c r="B112" s="32" t="n">
        <v>2</v>
      </c>
      <c r="C112" s="32" t="inlineStr">
        <is>
          <t>ABC2.5-E7</t>
        </is>
      </c>
      <c r="D112" s="17" t="inlineStr">
        <is>
          <t xml:space="preserve">        Esquineros de cartón 50 × 50 × 1200 (fracción del pallet)</t>
        </is>
      </c>
      <c r="E112" s="32" t="n">
        <v>0.0444</v>
      </c>
      <c r="F112" s="32" t="inlineStr">
        <is>
          <t>u</t>
        </is>
      </c>
      <c r="G112" s="33" t="n"/>
      <c r="H112" s="33" t="n"/>
      <c r="I112" s="32" t="inlineStr">
        <is>
          <t>Cartón</t>
        </is>
      </c>
      <c r="J112" s="17" t="inlineStr">
        <is>
          <t>4 por pallet / 90 u</t>
        </is>
      </c>
      <c r="K112" s="32" t="inlineStr">
        <is>
          <t>Compra</t>
        </is>
      </c>
      <c r="L112" s="32" t="inlineStr">
        <is>
          <t>Sí</t>
        </is>
      </c>
      <c r="M112" s="17" t="inlineStr">
        <is>
          <t>Maxipack</t>
        </is>
      </c>
      <c r="N112" s="17" t="inlineStr">
        <is>
          <t>Cartocan</t>
        </is>
      </c>
      <c r="O112" s="17" t="inlineStr">
        <is>
          <t>24 Envolvedora (T11)</t>
        </is>
      </c>
      <c r="P112" s="17" t="n"/>
      <c r="Q112" s="32" t="inlineStr">
        <is>
          <t>C</t>
        </is>
      </c>
      <c r="R112" s="32" t="n"/>
      <c r="S112" s="17" t="inlineStr">
        <is>
          <t>Planilla MP-64</t>
        </is>
      </c>
    </row>
    <row r="113">
      <c r="A113" s="26" t="inlineStr">
        <is>
          <t>FL_MAT_ABC_5kg</t>
        </is>
      </c>
      <c r="B113" s="26" t="n">
        <v>0</v>
      </c>
      <c r="C113" s="26" t="inlineStr">
        <is>
          <t>FL_MAT_ABC_5kg</t>
        </is>
      </c>
      <c r="D113" s="27" t="inlineStr">
        <is>
          <t>Extintor ABC 5 kg</t>
        </is>
      </c>
      <c r="E113" s="26" t="n">
        <v>1</v>
      </c>
      <c r="F113" s="26" t="inlineStr">
        <is>
          <t>u</t>
        </is>
      </c>
      <c r="G113" s="28" t="n"/>
      <c r="H113" s="28" t="n"/>
      <c r="I113" s="26" t="n"/>
      <c r="J113" s="27" t="n"/>
      <c r="K113" s="26" t="n"/>
      <c r="L113" s="26" t="n"/>
      <c r="M113" s="27" t="n"/>
      <c r="N113" s="27" t="n"/>
      <c r="O113" s="27" t="n"/>
      <c r="P113" s="27" t="inlineStr">
        <is>
          <t>IRAM 3523</t>
        </is>
      </c>
      <c r="Q113" s="26" t="inlineStr">
        <is>
          <t>P</t>
        </is>
      </c>
      <c r="R113" s="26" t="inlineStr">
        <is>
          <t>FL_MAT_ABC_5kg</t>
        </is>
      </c>
      <c r="S113" s="27" t="inlineStr">
        <is>
          <t>Fabricación propia</t>
        </is>
      </c>
    </row>
    <row r="114">
      <c r="A114" s="29" t="inlineStr">
        <is>
          <t>FL_MAT_ABC_5kg</t>
        </is>
      </c>
      <c r="B114" s="29" t="n">
        <v>1</v>
      </c>
      <c r="C114" s="29" t="inlineStr">
        <is>
          <t>FL_REC_ABC_5kg</t>
        </is>
      </c>
      <c r="D114" s="30" t="inlineStr">
        <is>
          <t xml:space="preserve">    Recipiente (cilindro)</t>
        </is>
      </c>
      <c r="E114" s="29" t="n">
        <v>1</v>
      </c>
      <c r="F114" s="29" t="inlineStr">
        <is>
          <t>u</t>
        </is>
      </c>
      <c r="G114" s="31" t="n"/>
      <c r="H114" s="31">
        <f>H115+H117+H119+H121+H122</f>
        <v/>
      </c>
      <c r="I114" s="29" t="n"/>
      <c r="J114" s="30" t="n"/>
      <c r="K114" s="29" t="inlineStr">
        <is>
          <t>Fabricación</t>
        </is>
      </c>
      <c r="L114" s="29" t="n"/>
      <c r="M114" s="30" t="n"/>
      <c r="N114" s="30" t="n"/>
      <c r="O114" s="30" t="n"/>
      <c r="P114" s="30" t="inlineStr">
        <is>
          <t>IRAM 3523 / 3550 (recipiente)</t>
        </is>
      </c>
      <c r="Q114" s="29" t="inlineStr">
        <is>
          <t>P</t>
        </is>
      </c>
      <c r="R114" s="29" t="inlineStr">
        <is>
          <t>FL_REC_ABC_5kg</t>
        </is>
      </c>
      <c r="S114" s="30" t="n"/>
    </row>
    <row r="115">
      <c r="A115" s="32" t="inlineStr">
        <is>
          <t>FL_MAT_ABC_5kg</t>
        </is>
      </c>
      <c r="B115" s="32" t="n">
        <v>2</v>
      </c>
      <c r="C115" s="32" t="inlineStr">
        <is>
          <t>ABC5-01</t>
        </is>
      </c>
      <c r="D115" s="17" t="inlineStr">
        <is>
          <t xml:space="preserve">        Cuerpo (virola)</t>
        </is>
      </c>
      <c r="E115" s="32" t="n">
        <v>1</v>
      </c>
      <c r="F115" s="32" t="inlineStr">
        <is>
          <t>u</t>
        </is>
      </c>
      <c r="G115" s="33" t="n">
        <v>1.9541</v>
      </c>
      <c r="H115" s="33">
        <f>E115*G115</f>
        <v/>
      </c>
      <c r="I115" s="32" t="inlineStr">
        <is>
          <t>Chapa LAF IRAM-IAS U 500-05 e=1,6</t>
        </is>
      </c>
      <c r="J115" s="17" t="inlineStr">
        <is>
          <t>Ø153 × e1,6 × 327,3 de alto; desarrollo 475,6 × 327,3</t>
        </is>
      </c>
      <c r="K115" s="32" t="inlineStr">
        <is>
          <t>Fabricación</t>
        </is>
      </c>
      <c r="L115" s="32" t="inlineStr">
        <is>
          <t>No</t>
        </is>
      </c>
      <c r="M115" s="17" t="n"/>
      <c r="N115" s="17" t="n"/>
      <c r="O115" s="17" t="inlineStr">
        <is>
          <t>1 Guillotina -&gt; 3 cilindrado -&gt; 4 soldadura longitudinal -&gt; 9 encastre del fondo -&gt; 10 bordoneado</t>
        </is>
      </c>
      <c r="P115" s="17" t="n"/>
      <c r="Q115" s="32" t="inlineStr">
        <is>
          <t>P</t>
        </is>
      </c>
      <c r="R115" s="32" t="inlineStr">
        <is>
          <t>FL_DES_ABC_5kg</t>
        </is>
      </c>
      <c r="S115" s="17" t="inlineStr">
        <is>
          <t>costura long. MAG</t>
        </is>
      </c>
    </row>
    <row r="116">
      <c r="A116" s="34" t="inlineStr">
        <is>
          <t>FL_MAT_ABC_5kg</t>
        </is>
      </c>
      <c r="B116" s="34" t="n">
        <v>3</v>
      </c>
      <c r="C116" s="34" t="inlineStr">
        <is>
          <t>MP-HOJA</t>
        </is>
      </c>
      <c r="D116" s="35" t="inlineStr">
        <is>
          <t xml:space="preserve">            Recorte de hoja LAF 1000 × 2000 e=1,6</t>
        </is>
      </c>
      <c r="E116" s="34" t="n">
        <v>1</v>
      </c>
      <c r="F116" s="34" t="inlineStr">
        <is>
          <t>u</t>
        </is>
      </c>
      <c r="G116" s="36" t="n">
        <v>2.092</v>
      </c>
      <c r="H116" s="36">
        <f>E116*G116</f>
        <v/>
      </c>
      <c r="I116" s="34" t="inlineStr">
        <is>
          <t>Chapa LAF IRAM-IAS U 500-05 LAF</t>
        </is>
      </c>
      <c r="J116" s="35" t="inlineStr">
        <is>
          <t>330 × 474,5 (aprovech. 94 %)</t>
        </is>
      </c>
      <c r="K116" s="34" t="inlineStr">
        <is>
          <t>Compra</t>
        </is>
      </c>
      <c r="L116" s="34" t="inlineStr">
        <is>
          <t>Sí</t>
        </is>
      </c>
      <c r="M116" s="35" t="inlineStr">
        <is>
          <t>Pradecon S.A.</t>
        </is>
      </c>
      <c r="N116" s="35" t="inlineStr">
        <is>
          <t>Pacheco Chapas</t>
        </is>
      </c>
      <c r="O116" s="35" t="inlineStr">
        <is>
          <t>AL-1H paquetes de hojas</t>
        </is>
      </c>
      <c r="P116" s="35" t="n"/>
      <c r="Q116" s="34" t="inlineStr">
        <is>
          <t>L</t>
        </is>
      </c>
      <c r="R116" s="34" t="inlineStr">
        <is>
          <t>FL_PI_04 h2</t>
        </is>
      </c>
      <c r="S116" s="35" t="n"/>
    </row>
    <row r="117">
      <c r="A117" s="32" t="inlineStr">
        <is>
          <t>FL_MAT_ABC_5kg</t>
        </is>
      </c>
      <c r="B117" s="32" t="n">
        <v>2</v>
      </c>
      <c r="C117" s="32" t="inlineStr">
        <is>
          <t>ABC5-02</t>
        </is>
      </c>
      <c r="D117" s="17" t="inlineStr">
        <is>
          <t xml:space="preserve">        Cúpula</t>
        </is>
      </c>
      <c r="E117" s="32" t="n">
        <v>1</v>
      </c>
      <c r="F117" s="32" t="inlineStr">
        <is>
          <t>u</t>
        </is>
      </c>
      <c r="G117" s="33" t="n">
        <v>0.3608</v>
      </c>
      <c r="H117" s="33">
        <f>E117*G117</f>
        <v/>
      </c>
      <c r="I117" s="32" t="inlineStr">
        <is>
          <t>Chapa LAF IRAM-IAS U 500-05 e=1,6</t>
        </is>
      </c>
      <c r="J117" s="17" t="inlineStr">
        <is>
          <t>Ø153 × e1,6 × 53,2 de alto; disco Ø221</t>
        </is>
      </c>
      <c r="K117" s="32" t="inlineStr">
        <is>
          <t>Fabricación</t>
        </is>
      </c>
      <c r="L117" s="32" t="inlineStr">
        <is>
          <t>No</t>
        </is>
      </c>
      <c r="M117" s="17" t="n"/>
      <c r="N117" s="17" t="n"/>
      <c r="O117" s="17" t="inlineStr">
        <is>
          <t>6 Desbobinado + embutido (M06-M08) -&gt; numerado de cúpula (micropercusión, en arco junto al cuello) -&gt; 8 soldadura de cuello</t>
        </is>
      </c>
      <c r="P117" s="17" t="n"/>
      <c r="Q117" s="32" t="inlineStr">
        <is>
          <t>P</t>
        </is>
      </c>
      <c r="R117" s="32" t="inlineStr">
        <is>
          <t>FL_DES_ABC_5kg</t>
        </is>
      </c>
      <c r="S117" s="17" t="inlineStr">
        <is>
          <t>embutida</t>
        </is>
      </c>
    </row>
    <row r="118">
      <c r="A118" s="34" t="inlineStr">
        <is>
          <t>FL_MAT_ABC_5kg</t>
        </is>
      </c>
      <c r="B118" s="34" t="n">
        <v>3</v>
      </c>
      <c r="C118" s="34" t="inlineStr">
        <is>
          <t>MP-FLEJE</t>
        </is>
      </c>
      <c r="D118" s="35" t="inlineStr">
        <is>
          <t xml:space="preserve">            Fleje e=1,6 × 250 (paso 224)</t>
        </is>
      </c>
      <c r="E118" s="34" t="n">
        <v>0.224</v>
      </c>
      <c r="F118" s="34" t="inlineStr">
        <is>
          <t>m</t>
        </is>
      </c>
      <c r="G118" s="36" t="n">
        <v>3.14</v>
      </c>
      <c r="H118" s="36">
        <f>E118*G118</f>
        <v/>
      </c>
      <c r="I118" s="34" t="inlineStr">
        <is>
          <t>Fleje SAE 1010</t>
        </is>
      </c>
      <c r="J118" s="35" t="inlineStr">
        <is>
          <t>disco Ø221 (kg por m de fleje)</t>
        </is>
      </c>
      <c r="K118" s="34" t="inlineStr">
        <is>
          <t>Compra</t>
        </is>
      </c>
      <c r="L118" s="34" t="inlineStr">
        <is>
          <t>Sí</t>
        </is>
      </c>
      <c r="M118" s="35" t="inlineStr">
        <is>
          <t>Pacheco Chapas</t>
        </is>
      </c>
      <c r="N118" s="35" t="inlineStr">
        <is>
          <t>Pradecon S.A.</t>
        </is>
      </c>
      <c r="O118" s="35" t="inlineStr">
        <is>
          <t>AL-1F porta-flejes</t>
        </is>
      </c>
      <c r="P118" s="35" t="n"/>
      <c r="Q118" s="34" t="inlineStr">
        <is>
          <t>L</t>
        </is>
      </c>
      <c r="R118" s="34" t="inlineStr">
        <is>
          <t>FL_PI_04 h2</t>
        </is>
      </c>
      <c r="S118" s="35" t="n"/>
    </row>
    <row r="119">
      <c r="A119" s="32" t="inlineStr">
        <is>
          <t>FL_MAT_ABC_5kg</t>
        </is>
      </c>
      <c r="B119" s="32" t="n">
        <v>2</v>
      </c>
      <c r="C119" s="32" t="inlineStr">
        <is>
          <t>ABC5-03</t>
        </is>
      </c>
      <c r="D119" s="17" t="inlineStr">
        <is>
          <t xml:space="preserve">        Fondo</t>
        </is>
      </c>
      <c r="E119" s="32" t="n">
        <v>1</v>
      </c>
      <c r="F119" s="32" t="inlineStr">
        <is>
          <t>u</t>
        </is>
      </c>
      <c r="G119" s="33" t="n">
        <v>0.3173</v>
      </c>
      <c r="H119" s="33">
        <f>E119*G119</f>
        <v/>
      </c>
      <c r="I119" s="32" t="inlineStr">
        <is>
          <t>Chapa LAF IRAM-IAS U 500-05 e=1,6</t>
        </is>
      </c>
      <c r="J119" s="17" t="inlineStr">
        <is>
          <t>Ø153 × e1,6 × 26 de alto; disco Ø177</t>
        </is>
      </c>
      <c r="K119" s="32" t="inlineStr">
        <is>
          <t>Fabricación</t>
        </is>
      </c>
      <c r="L119" s="32" t="inlineStr">
        <is>
          <t>No</t>
        </is>
      </c>
      <c r="M119" s="17" t="n"/>
      <c r="N119" s="17" t="n"/>
      <c r="O119" s="17" t="inlineStr">
        <is>
          <t>6 Desbobinado + embutido (M06-M08)</t>
        </is>
      </c>
      <c r="P119" s="17" t="n"/>
      <c r="Q119" s="32" t="inlineStr">
        <is>
          <t>P</t>
        </is>
      </c>
      <c r="R119" s="32" t="inlineStr">
        <is>
          <t>FL_DES_ABC_5kg</t>
        </is>
      </c>
      <c r="S119" s="17" t="inlineStr">
        <is>
          <t>embutido</t>
        </is>
      </c>
    </row>
    <row r="120">
      <c r="A120" s="34" t="inlineStr">
        <is>
          <t>FL_MAT_ABC_5kg</t>
        </is>
      </c>
      <c r="B120" s="34" t="n">
        <v>3</v>
      </c>
      <c r="C120" s="34" t="inlineStr">
        <is>
          <t>MP-FLEJE</t>
        </is>
      </c>
      <c r="D120" s="35" t="inlineStr">
        <is>
          <t xml:space="preserve">            Fleje e=1,6 × 200 (paso 180)</t>
        </is>
      </c>
      <c r="E120" s="34" t="n">
        <v>0.18</v>
      </c>
      <c r="F120" s="34" t="inlineStr">
        <is>
          <t>m</t>
        </is>
      </c>
      <c r="G120" s="36" t="n">
        <v>2.512</v>
      </c>
      <c r="H120" s="36">
        <f>E120*G120</f>
        <v/>
      </c>
      <c r="I120" s="34" t="inlineStr">
        <is>
          <t>Fleje SAE 1010</t>
        </is>
      </c>
      <c r="J120" s="35" t="inlineStr">
        <is>
          <t>disco Ø177 (kg por m de fleje)</t>
        </is>
      </c>
      <c r="K120" s="34" t="inlineStr">
        <is>
          <t>Compra</t>
        </is>
      </c>
      <c r="L120" s="34" t="inlineStr">
        <is>
          <t>Sí</t>
        </is>
      </c>
      <c r="M120" s="35" t="inlineStr">
        <is>
          <t>Pacheco Chapas</t>
        </is>
      </c>
      <c r="N120" s="35" t="inlineStr">
        <is>
          <t>Pradecon S.A.</t>
        </is>
      </c>
      <c r="O120" s="35" t="inlineStr">
        <is>
          <t>AL-1F porta-flejes</t>
        </is>
      </c>
      <c r="P120" s="35" t="n"/>
      <c r="Q120" s="34" t="inlineStr">
        <is>
          <t>L</t>
        </is>
      </c>
      <c r="R120" s="34" t="inlineStr">
        <is>
          <t>FL_PI_04 h2</t>
        </is>
      </c>
      <c r="S120" s="35" t="n"/>
    </row>
    <row r="121">
      <c r="A121" s="32" t="inlineStr">
        <is>
          <t>FL_MAT_ABC_5kg</t>
        </is>
      </c>
      <c r="B121" s="32" t="n">
        <v>2</v>
      </c>
      <c r="C121" s="32" t="inlineStr">
        <is>
          <t>ABC5-04</t>
        </is>
      </c>
      <c r="D121" s="17" t="inlineStr">
        <is>
          <t xml:space="preserve">        Cuello roscado</t>
        </is>
      </c>
      <c r="E121" s="32" t="n">
        <v>1</v>
      </c>
      <c r="F121" s="32" t="inlineStr">
        <is>
          <t>u</t>
        </is>
      </c>
      <c r="G121" s="33" t="n">
        <v>0.0589</v>
      </c>
      <c r="H121" s="33">
        <f>E121*G121</f>
        <v/>
      </c>
      <c r="I121" s="32" t="inlineStr">
        <is>
          <t>Acero SAE 1010</t>
        </is>
      </c>
      <c r="J121" s="17" t="inlineStr">
        <is>
          <t>Ø37 × 15 de alto, rosca M30x1,5, asiento Ø35</t>
        </is>
      </c>
      <c r="K121" s="32" t="inlineStr">
        <is>
          <t>Compra (mecanizado, Eli-Met)</t>
        </is>
      </c>
      <c r="L121" s="32" t="inlineStr">
        <is>
          <t>Sí</t>
        </is>
      </c>
      <c r="M121" s="17" t="inlineStr">
        <is>
          <t>Eli-Met</t>
        </is>
      </c>
      <c r="N121" s="17" t="inlineStr">
        <is>
          <t>-</t>
        </is>
      </c>
      <c r="O121" s="17" t="inlineStr">
        <is>
          <t>Compra -&gt; 8 soldadura de cuello</t>
        </is>
      </c>
      <c r="P121" s="17" t="n"/>
      <c r="Q121" s="32" t="inlineStr">
        <is>
          <t>P</t>
        </is>
      </c>
      <c r="R121" s="32" t="inlineStr">
        <is>
          <t>FL_DES_ABC_5kg</t>
        </is>
      </c>
      <c r="S121" s="17" t="inlineStr">
        <is>
          <t>M30x1,5</t>
        </is>
      </c>
    </row>
    <row r="122">
      <c r="A122" s="37" t="inlineStr">
        <is>
          <t>FL_MAT_ABC_5kg</t>
        </is>
      </c>
      <c r="B122" s="37" t="n">
        <v>2</v>
      </c>
      <c r="C122" s="37" t="inlineStr">
        <is>
          <t>ABC5-C1</t>
        </is>
      </c>
      <c r="D122" s="18" t="inlineStr">
        <is>
          <t xml:space="preserve">        Alambre MAG ER70S-6 Ø0,9 (AWS A5.18)</t>
        </is>
      </c>
      <c r="E122" s="37" t="n">
        <v>0.0551</v>
      </c>
      <c r="F122" s="37" t="inlineStr">
        <is>
          <t>kg</t>
        </is>
      </c>
      <c r="G122" s="38" t="n">
        <v>0.95</v>
      </c>
      <c r="H122" s="38">
        <f>E122*G122</f>
        <v/>
      </c>
      <c r="I122" s="37" t="inlineStr">
        <is>
          <t>ER70S-6</t>
        </is>
      </c>
      <c r="J122" s="18" t="inlineStr">
        <is>
          <t>metal depositado de los cordones del plano 52 g / rendimiento 0,95</t>
        </is>
      </c>
      <c r="K122" s="37" t="inlineStr">
        <is>
          <t>Compra</t>
        </is>
      </c>
      <c r="L122" s="37" t="inlineStr">
        <is>
          <t>Sí</t>
        </is>
      </c>
      <c r="M122" s="18" t="inlineStr">
        <is>
          <t>Conarco (ESAB Argentina)</t>
        </is>
      </c>
      <c r="N122" s="18" t="inlineStr">
        <is>
          <t>-</t>
        </is>
      </c>
      <c r="O122" s="18" t="inlineStr">
        <is>
          <t>4 sold. long. / 8 cuello / 11 circunferencial</t>
        </is>
      </c>
      <c r="P122" s="18" t="inlineStr">
        <is>
          <t>IRAM 3523 3.2.4.2 · IRAM 3550 4.1.2</t>
        </is>
      </c>
      <c r="Q122" s="37" t="inlineStr">
        <is>
          <t>C</t>
        </is>
      </c>
      <c r="R122" s="37" t="n"/>
      <c r="S122"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23">
      <c r="A123" s="37" t="inlineStr">
        <is>
          <t>FL_MAT_ABC_5kg</t>
        </is>
      </c>
      <c r="B123" s="37" t="n">
        <v>2</v>
      </c>
      <c r="C123" s="37" t="inlineStr">
        <is>
          <t>ABC5-C2</t>
        </is>
      </c>
      <c r="D123" s="18" t="inlineStr">
        <is>
          <t xml:space="preserve">        Gas de protección MAG Arcal 21 / ARCAL Speed (Ar + 8 % CO₂, M20)</t>
        </is>
      </c>
      <c r="E123" s="37" t="n">
        <v>32.8</v>
      </c>
      <c r="F123" s="37" t="inlineStr">
        <is>
          <t>L</t>
        </is>
      </c>
      <c r="G123" s="38" t="n"/>
      <c r="H123" s="38" t="n"/>
      <c r="I123" s="37" t="inlineStr">
        <is>
          <t>EN ISO 14175 M20-ArC-8</t>
        </is>
      </c>
      <c r="J123" s="18" t="inlineStr">
        <is>
          <t>14 L/min × 2,34 min de arco (cordones 1.405 mm: long. 327 + circ. 961 + cuello 116, a 600 mm/min)</t>
        </is>
      </c>
      <c r="K123" s="37" t="inlineStr">
        <is>
          <t>Compra</t>
        </is>
      </c>
      <c r="L123" s="37" t="inlineStr">
        <is>
          <t>Sí</t>
        </is>
      </c>
      <c r="M123" s="18" t="inlineStr">
        <is>
          <t>Air Liquide Argentina - sucursal Piñeyro</t>
        </is>
      </c>
      <c r="N123" s="18" t="inlineStr">
        <is>
          <t>Gogniat</t>
        </is>
      </c>
      <c r="O123" s="18" t="inlineStr">
        <is>
          <t>Colector SC</t>
        </is>
      </c>
      <c r="P123" s="18" t="inlineStr">
        <is>
          <t>IRAM 3523 3.2.4.2 · IRAM 3550 3.2.2.2</t>
        </is>
      </c>
      <c r="Q123" s="37" t="inlineStr">
        <is>
          <t>C</t>
        </is>
      </c>
      <c r="R123" s="37" t="n"/>
      <c r="S123"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24">
      <c r="A124" s="37" t="inlineStr">
        <is>
          <t>FL_MAT_ABC_5kg</t>
        </is>
      </c>
      <c r="B124" s="37" t="n">
        <v>2</v>
      </c>
      <c r="C124" s="37" t="inlineStr">
        <is>
          <t>ABC5-C3</t>
        </is>
      </c>
      <c r="D124" s="18" t="inlineStr">
        <is>
          <t xml:space="preserve">        Granalla de acero S330 / S390 (ISO 11124-3, SAE J444)</t>
        </is>
      </c>
      <c r="E124" s="37" t="n">
        <v>0.08</v>
      </c>
      <c r="F124" s="37" t="inlineStr">
        <is>
          <t>kg</t>
        </is>
      </c>
      <c r="G124" s="38" t="n"/>
      <c r="H124" s="38" t="n"/>
      <c r="I124" s="37" t="inlineStr">
        <is>
          <t>Granalla esférica alto C</t>
        </is>
      </c>
      <c r="J124" s="18" t="inlineStr">
        <is>
          <t>0,21 m² a Sa 2½ (ISO 8501-1); 3,4 kg/h ÷ 42,5 u/h</t>
        </is>
      </c>
      <c r="K124" s="37" t="inlineStr">
        <is>
          <t>Compra</t>
        </is>
      </c>
      <c r="L124" s="37" t="inlineStr">
        <is>
          <t>Sí</t>
        </is>
      </c>
      <c r="M124" s="18" t="inlineStr">
        <is>
          <t>CyM Materiales</t>
        </is>
      </c>
      <c r="N124" s="18" t="inlineStr">
        <is>
          <t>Roca Ingeniería</t>
        </is>
      </c>
      <c r="O124" s="18" t="inlineStr">
        <is>
          <t>14 Granallado (B08)</t>
        </is>
      </c>
      <c r="P124" s="18" t="inlineStr">
        <is>
          <t>DOC-01</t>
        </is>
      </c>
      <c r="Q124" s="37" t="inlineStr">
        <is>
          <t>C</t>
        </is>
      </c>
      <c r="R124" s="37" t="n"/>
      <c r="S124" s="18" t="inlineStr">
        <is>
          <t>Consumo (desgaste) por turbina ≈ HP / 2 lb/h (The Fabricator, «aspectos básicos del granallado por turbina»): G-100 con 2 × 7,5 HP = 7,5 lb/h = 3,4 kg/h; ritmo 340 u por turno (Getweld) = 42,5 u/h.</t>
        </is>
      </c>
    </row>
    <row r="125">
      <c r="A125" s="32" t="inlineStr">
        <is>
          <t>FL_MAT_ABC_5kg</t>
        </is>
      </c>
      <c r="B125" s="32" t="n">
        <v>2</v>
      </c>
      <c r="C125" s="32" t="inlineStr">
        <is>
          <t>ABC5-C4</t>
        </is>
      </c>
      <c r="D125" s="17" t="inlineStr">
        <is>
          <t xml:space="preserve">        Servicio de pintura en polvo al horno, rojo 03-1-050</t>
        </is>
      </c>
      <c r="E125" s="32" t="n">
        <v>1</v>
      </c>
      <c r="F125" s="32" t="inlineStr">
        <is>
          <t>u</t>
        </is>
      </c>
      <c r="G125" s="33" t="n"/>
      <c r="H125" s="33" t="n"/>
      <c r="I125" s="32" t="inlineStr">
        <is>
          <t>Servicio tercerizado</t>
        </is>
      </c>
      <c r="J125" s="17" t="inlineStr">
        <is>
          <t>superficie exterior 0,21 m²</t>
        </is>
      </c>
      <c r="K125" s="32" t="inlineStr">
        <is>
          <t>Compra (servicio)</t>
        </is>
      </c>
      <c r="L125" s="32" t="inlineStr">
        <is>
          <t>Sí</t>
        </is>
      </c>
      <c r="M125" s="17" t="inlineStr">
        <is>
          <t>Prymax</t>
        </is>
      </c>
      <c r="N125" s="17" t="inlineStr">
        <is>
          <t>Pintor de carros (cotización por mensaje)</t>
        </is>
      </c>
      <c r="O125" s="17" t="inlineStr">
        <is>
          <t>17 Pintura tercerizada</t>
        </is>
      </c>
      <c r="P125" s="17" t="inlineStr">
        <is>
          <t>IRAM 3523 5.3 / IRAM 3550 3.11 · IRAM 121</t>
        </is>
      </c>
      <c r="Q125" s="32" t="inlineStr">
        <is>
          <t>Q</t>
        </is>
      </c>
      <c r="R125" s="32" t="n"/>
      <c r="S125" s="17" t="inlineStr">
        <is>
          <t>Q-PRYMAX (precio por cilindro); exigir informe de niebla salina del sistema de pintura; tercerización aceptada por el Ministerio (Res. 349/07 art. 18)</t>
        </is>
      </c>
    </row>
    <row r="126">
      <c r="A126" s="29" t="inlineStr">
        <is>
          <t>FL_MAT_ABC_5kg</t>
        </is>
      </c>
      <c r="B126" s="29" t="n">
        <v>1</v>
      </c>
      <c r="C126" s="29" t="inlineStr">
        <is>
          <t>ABC5-S2</t>
        </is>
      </c>
      <c r="D126" s="30" t="inlineStr">
        <is>
          <t xml:space="preserve">    Conjunto de válvula</t>
        </is>
      </c>
      <c r="E126" s="29" t="n">
        <v>1</v>
      </c>
      <c r="F126" s="29" t="inlineStr">
        <is>
          <t>u</t>
        </is>
      </c>
      <c r="G126" s="31" t="n"/>
      <c r="H126" s="31">
        <f>H127+H128+H129+H131+H132+H133+H134+H135+H136+H137+H138</f>
        <v/>
      </c>
      <c r="I126" s="29" t="n"/>
      <c r="J126" s="30" t="n"/>
      <c r="K126" s="29" t="inlineStr">
        <is>
          <t>Compra / armado</t>
        </is>
      </c>
      <c r="L126" s="29" t="n"/>
      <c r="M126" s="30" t="n"/>
      <c r="N126" s="30" t="n"/>
      <c r="O126" s="30" t="n"/>
      <c r="P126" s="30" t="inlineStr">
        <is>
          <t>Manómetro IRAM 3533</t>
        </is>
      </c>
      <c r="Q126" s="29" t="inlineStr">
        <is>
          <t>P</t>
        </is>
      </c>
      <c r="R126" s="29" t="inlineStr">
        <is>
          <t>FL_DES_ABC_5kg</t>
        </is>
      </c>
      <c r="S126" s="30" t="n"/>
    </row>
    <row r="127">
      <c r="A127" s="32" t="inlineStr">
        <is>
          <t>FL_MAT_ABC_5kg</t>
        </is>
      </c>
      <c r="B127" s="32" t="n">
        <v>2</v>
      </c>
      <c r="C127" s="32" t="inlineStr">
        <is>
          <t>ABC5-05</t>
        </is>
      </c>
      <c r="D127" s="17" t="inlineStr">
        <is>
          <t xml:space="preserve">        Espiga roscada</t>
        </is>
      </c>
      <c r="E127" s="32" t="n">
        <v>1</v>
      </c>
      <c r="F127" s="32" t="inlineStr">
        <is>
          <t>u</t>
        </is>
      </c>
      <c r="G127" s="33" t="n">
        <v>0.0245</v>
      </c>
      <c r="H127" s="33">
        <f>E127*G127</f>
        <v/>
      </c>
      <c r="I127" s="32" t="inlineStr">
        <is>
          <t>Latón forjado</t>
        </is>
      </c>
      <c r="J127" s="17" t="inlineStr">
        <is>
          <t>29,8 × 29,8 × 10,8</t>
        </is>
      </c>
      <c r="K127" s="32" t="inlineStr">
        <is>
          <t>Incluido en válvula HZ</t>
        </is>
      </c>
      <c r="L127" s="32" t="inlineStr">
        <is>
          <t>No</t>
        </is>
      </c>
      <c r="M127" s="17" t="n"/>
      <c r="N127" s="17" t="n"/>
      <c r="O127" s="17" t="inlineStr">
        <is>
          <t>19 Ensamblaje de válvula (T03/T04)</t>
        </is>
      </c>
      <c r="P127" s="17" t="n"/>
      <c r="Q127" s="32" t="inlineStr">
        <is>
          <t>P</t>
        </is>
      </c>
      <c r="R127" s="32" t="inlineStr">
        <is>
          <t>FL_DES_ABC_5kg</t>
        </is>
      </c>
      <c r="S127" s="17" t="n"/>
    </row>
    <row r="128">
      <c r="A128" s="32" t="inlineStr">
        <is>
          <t>FL_MAT_ABC_5kg</t>
        </is>
      </c>
      <c r="B128" s="32" t="n">
        <v>2</v>
      </c>
      <c r="C128" s="32" t="inlineStr">
        <is>
          <t>ABC5-06</t>
        </is>
      </c>
      <c r="D128" s="17" t="inlineStr">
        <is>
          <t xml:space="preserve">        Collarín de válvula</t>
        </is>
      </c>
      <c r="E128" s="32" t="n">
        <v>1</v>
      </c>
      <c r="F128" s="32" t="inlineStr">
        <is>
          <t>u</t>
        </is>
      </c>
      <c r="G128" s="33" t="n">
        <v>0.0053</v>
      </c>
      <c r="H128" s="33">
        <f>E128*G128</f>
        <v/>
      </c>
      <c r="I128" s="32" t="inlineStr">
        <is>
          <t>Latón forjado</t>
        </is>
      </c>
      <c r="J128" s="17" t="inlineStr">
        <is>
          <t>27,2 × 27,2 × 4,1</t>
        </is>
      </c>
      <c r="K128" s="32" t="inlineStr">
        <is>
          <t>Incluido en válvula HZ</t>
        </is>
      </c>
      <c r="L128" s="32" t="inlineStr">
        <is>
          <t>No</t>
        </is>
      </c>
      <c r="M128" s="17" t="n"/>
      <c r="N128" s="17" t="n"/>
      <c r="O128" s="17" t="inlineStr">
        <is>
          <t>19 Ensamblaje de válvula (T03/T04)</t>
        </is>
      </c>
      <c r="P128" s="17" t="n"/>
      <c r="Q128" s="32" t="inlineStr">
        <is>
          <t>P</t>
        </is>
      </c>
      <c r="R128" s="32" t="inlineStr">
        <is>
          <t>FL_DES_ABC_5kg</t>
        </is>
      </c>
      <c r="S128" s="17" t="n"/>
    </row>
    <row r="129">
      <c r="A129" s="32" t="inlineStr">
        <is>
          <t>FL_MAT_ABC_5kg</t>
        </is>
      </c>
      <c r="B129" s="32" t="n">
        <v>2</v>
      </c>
      <c r="C129" s="32" t="inlineStr">
        <is>
          <t>ABC5-07</t>
        </is>
      </c>
      <c r="D129" s="17" t="inlineStr">
        <is>
          <t xml:space="preserve">        Cuerpo de válvula</t>
        </is>
      </c>
      <c r="E129" s="32" t="n">
        <v>1</v>
      </c>
      <c r="F129" s="32" t="inlineStr">
        <is>
          <t>u</t>
        </is>
      </c>
      <c r="G129" s="33" t="n">
        <v>0.1328</v>
      </c>
      <c r="H129" s="33">
        <f>E129*G129</f>
        <v/>
      </c>
      <c r="I129" s="32" t="inlineStr">
        <is>
          <t>Latón forjado</t>
        </is>
      </c>
      <c r="J129" s="17" t="inlineStr">
        <is>
          <t>43,9 × 32 × 24,5</t>
        </is>
      </c>
      <c r="K129" s="32" t="inlineStr">
        <is>
          <t>Incluido en válvula HZ</t>
        </is>
      </c>
      <c r="L129" s="32" t="inlineStr">
        <is>
          <t>No</t>
        </is>
      </c>
      <c r="M129" s="17" t="n"/>
      <c r="N129" s="17" t="n"/>
      <c r="O129" s="17" t="inlineStr">
        <is>
          <t>19 Ensamblaje de válvula (T03/T04)</t>
        </is>
      </c>
      <c r="P129" s="17" t="n"/>
      <c r="Q129" s="32" t="inlineStr">
        <is>
          <t>P</t>
        </is>
      </c>
      <c r="R129" s="32" t="inlineStr">
        <is>
          <t>FL_DES_ABC_5kg</t>
        </is>
      </c>
      <c r="S129" s="17" t="n"/>
    </row>
    <row r="130">
      <c r="A130" s="41" t="inlineStr">
        <is>
          <t>FL_MAT_ABC_5kg</t>
        </is>
      </c>
      <c r="B130" s="41" t="n">
        <v>2</v>
      </c>
      <c r="C130" s="41" t="inlineStr">
        <is>
          <t>ABC5-08</t>
        </is>
      </c>
      <c r="D130" s="42" t="inlineStr">
        <is>
          <t xml:space="preserve">        Manómetro</t>
        </is>
      </c>
      <c r="E130" s="41" t="n">
        <v>1</v>
      </c>
      <c r="F130" s="41" t="inlineStr">
        <is>
          <t>u</t>
        </is>
      </c>
      <c r="G130" s="43" t="n"/>
      <c r="H130" s="43" t="n"/>
      <c r="I130" s="41" t="inlineStr">
        <is>
          <t>Comercial</t>
        </is>
      </c>
      <c r="J130" s="42" t="inlineStr">
        <is>
          <t>Ø36 esfera, rango 0-3,5 MPa, sector verde en 1,4</t>
        </is>
      </c>
      <c r="K130" s="41" t="inlineStr">
        <is>
          <t>Compra</t>
        </is>
      </c>
      <c r="L130" s="41" t="inlineStr">
        <is>
          <t>Sí</t>
        </is>
      </c>
      <c r="M130" s="42" t="inlineStr">
        <is>
          <t>Yukon / MatafuegosYa S.R.L.</t>
        </is>
      </c>
      <c r="N130" s="42" t="inlineStr">
        <is>
          <t>Matafuegos Iglesias</t>
        </is>
      </c>
      <c r="O130" s="42" t="inlineStr">
        <is>
          <t>19 Ensamblaje de válvula (T03/T04)</t>
        </is>
      </c>
      <c r="P130" s="42" t="inlineStr">
        <is>
          <t>IRAM 3533</t>
        </is>
      </c>
      <c r="Q130" s="41" t="inlineStr">
        <is>
          <t>P</t>
        </is>
      </c>
      <c r="R130" s="41" t="inlineStr">
        <is>
          <t>FL_DES_ABC_5kg</t>
        </is>
      </c>
      <c r="S130" s="42" t="inlineStr">
        <is>
          <t>Pieza comercial; sello IRAM 3533; peso: completar con la ficha del proveedor (no afecta el MRP)</t>
        </is>
      </c>
    </row>
    <row r="131">
      <c r="A131" s="32" t="inlineStr">
        <is>
          <t>FL_MAT_ABC_5kg</t>
        </is>
      </c>
      <c r="B131" s="32" t="n">
        <v>2</v>
      </c>
      <c r="C131" s="32" t="inlineStr">
        <is>
          <t>ABC5-09</t>
        </is>
      </c>
      <c r="D131" s="17" t="inlineStr">
        <is>
          <t xml:space="preserve">        Vástago</t>
        </is>
      </c>
      <c r="E131" s="32" t="n">
        <v>1</v>
      </c>
      <c r="F131" s="32" t="inlineStr">
        <is>
          <t>u</t>
        </is>
      </c>
      <c r="G131" s="33" t="n">
        <v>0.0137</v>
      </c>
      <c r="H131" s="33">
        <f>E131*G131</f>
        <v/>
      </c>
      <c r="I131" s="32" t="inlineStr">
        <is>
          <t>Latón</t>
        </is>
      </c>
      <c r="J131" s="17" t="inlineStr">
        <is>
          <t>35,6 × 14 × 14</t>
        </is>
      </c>
      <c r="K131" s="32" t="inlineStr">
        <is>
          <t>Incluido en válvula HZ</t>
        </is>
      </c>
      <c r="L131" s="32" t="inlineStr">
        <is>
          <t>No</t>
        </is>
      </c>
      <c r="M131" s="17" t="n"/>
      <c r="N131" s="17" t="n"/>
      <c r="O131" s="17" t="inlineStr">
        <is>
          <t>19 Ensamblaje de válvula (T03/T04)</t>
        </is>
      </c>
      <c r="P131" s="17" t="n"/>
      <c r="Q131" s="32" t="inlineStr">
        <is>
          <t>P</t>
        </is>
      </c>
      <c r="R131" s="32" t="inlineStr">
        <is>
          <t>FL_DES_ABC_5kg</t>
        </is>
      </c>
      <c r="S131" s="17" t="inlineStr">
        <is>
          <t>con junta tórica</t>
        </is>
      </c>
    </row>
    <row r="132">
      <c r="A132" s="32" t="inlineStr">
        <is>
          <t>FL_MAT_ABC_5kg</t>
        </is>
      </c>
      <c r="B132" s="32" t="n">
        <v>2</v>
      </c>
      <c r="C132" s="32" t="inlineStr">
        <is>
          <t>ABC5-10</t>
        </is>
      </c>
      <c r="D132" s="17" t="inlineStr">
        <is>
          <t xml:space="preserve">        Resorte de válvula</t>
        </is>
      </c>
      <c r="E132" s="32" t="n">
        <v>1</v>
      </c>
      <c r="F132" s="32" t="inlineStr">
        <is>
          <t>u</t>
        </is>
      </c>
      <c r="G132" s="33" t="n">
        <v>0.0049</v>
      </c>
      <c r="H132" s="33">
        <f>E132*G132</f>
        <v/>
      </c>
      <c r="I132" s="32" t="inlineStr">
        <is>
          <t>Alambre acero inox. AISI 302</t>
        </is>
      </c>
      <c r="J132" s="17" t="inlineStr">
        <is>
          <t>28,8 × 17,3 × 17,3</t>
        </is>
      </c>
      <c r="K132" s="32" t="inlineStr">
        <is>
          <t>Incluido en válvula HZ</t>
        </is>
      </c>
      <c r="L132" s="32" t="inlineStr">
        <is>
          <t>No</t>
        </is>
      </c>
      <c r="M132" s="17" t="n"/>
      <c r="N132" s="17" t="n"/>
      <c r="O132" s="17" t="inlineStr">
        <is>
          <t>19 Ensamblaje de válvula (T03/T04)</t>
        </is>
      </c>
      <c r="P132" s="17" t="n"/>
      <c r="Q132" s="32" t="inlineStr">
        <is>
          <t>P</t>
        </is>
      </c>
      <c r="R132" s="32" t="inlineStr">
        <is>
          <t>FL_DES_ABC_5kg</t>
        </is>
      </c>
      <c r="S132" s="17" t="inlineStr">
        <is>
          <t>cierre del vástago</t>
        </is>
      </c>
    </row>
    <row r="133">
      <c r="A133" s="32" t="inlineStr">
        <is>
          <t>FL_MAT_ABC_5kg</t>
        </is>
      </c>
      <c r="B133" s="32" t="n">
        <v>2</v>
      </c>
      <c r="C133" s="32" t="inlineStr">
        <is>
          <t>ABC5-11</t>
        </is>
      </c>
      <c r="D133" s="17" t="inlineStr">
        <is>
          <t xml:space="preserve">        Eje de palanca</t>
        </is>
      </c>
      <c r="E133" s="32" t="n">
        <v>1</v>
      </c>
      <c r="F133" s="32" t="inlineStr">
        <is>
          <t>u</t>
        </is>
      </c>
      <c r="G133" s="33" t="n">
        <v>0.0033</v>
      </c>
      <c r="H133" s="33">
        <f>E133*G133</f>
        <v/>
      </c>
      <c r="I133" s="32" t="inlineStr">
        <is>
          <t>Acero inox. AISI 304</t>
        </is>
      </c>
      <c r="J133" s="17" t="inlineStr">
        <is>
          <t>33 × 4 × 4</t>
        </is>
      </c>
      <c r="K133" s="32" t="inlineStr">
        <is>
          <t>Incluido en válvula HZ</t>
        </is>
      </c>
      <c r="L133" s="32" t="inlineStr">
        <is>
          <t>No</t>
        </is>
      </c>
      <c r="M133" s="17" t="n"/>
      <c r="N133" s="17" t="n"/>
      <c r="O133" s="17" t="inlineStr">
        <is>
          <t>19 Ensamblaje de válvula (T03/T04)</t>
        </is>
      </c>
      <c r="P133" s="17" t="n"/>
      <c r="Q133" s="32" t="inlineStr">
        <is>
          <t>P</t>
        </is>
      </c>
      <c r="R133" s="32" t="inlineStr">
        <is>
          <t>FL_DES_ABC_5kg</t>
        </is>
      </c>
      <c r="S133" s="17" t="n"/>
    </row>
    <row r="134">
      <c r="A134" s="32" t="inlineStr">
        <is>
          <t>FL_MAT_ABC_5kg</t>
        </is>
      </c>
      <c r="B134" s="32" t="n">
        <v>2</v>
      </c>
      <c r="C134" s="32" t="inlineStr">
        <is>
          <t>ABC5-12</t>
        </is>
      </c>
      <c r="D134" s="17" t="inlineStr">
        <is>
          <t xml:space="preserve">        Pasador de seguridad</t>
        </is>
      </c>
      <c r="E134" s="32" t="n">
        <v>1</v>
      </c>
      <c r="F134" s="32" t="inlineStr">
        <is>
          <t>u</t>
        </is>
      </c>
      <c r="G134" s="33" t="n">
        <v>0.0055</v>
      </c>
      <c r="H134" s="33">
        <f>E134*G134</f>
        <v/>
      </c>
      <c r="I134" s="32" t="inlineStr">
        <is>
          <t>Alambre acero inox. AISI 304</t>
        </is>
      </c>
      <c r="J134" s="17" t="inlineStr">
        <is>
          <t>45,9 × 21 × 20,8</t>
        </is>
      </c>
      <c r="K134" s="32" t="inlineStr">
        <is>
          <t>Incluido en válvula HZ</t>
        </is>
      </c>
      <c r="L134" s="32" t="inlineStr">
        <is>
          <t>No</t>
        </is>
      </c>
      <c r="M134" s="17" t="n"/>
      <c r="N134" s="17" t="n"/>
      <c r="O134" s="17" t="inlineStr">
        <is>
          <t>19 Ensamblaje de válvula (T03/T04)</t>
        </is>
      </c>
      <c r="P134" s="17" t="n"/>
      <c r="Q134" s="32" t="inlineStr">
        <is>
          <t>P</t>
        </is>
      </c>
      <c r="R134" s="32" t="inlineStr">
        <is>
          <t>FL_DES_ABC_5kg</t>
        </is>
      </c>
      <c r="S134" s="17" t="inlineStr">
        <is>
          <t>con precinto</t>
        </is>
      </c>
    </row>
    <row r="135">
      <c r="A135" s="32" t="inlineStr">
        <is>
          <t>FL_MAT_ABC_5kg</t>
        </is>
      </c>
      <c r="B135" s="32" t="n">
        <v>2</v>
      </c>
      <c r="C135" s="32" t="inlineStr">
        <is>
          <t>ABC5-13</t>
        </is>
      </c>
      <c r="D135" s="17" t="inlineStr">
        <is>
          <t xml:space="preserve">        Manija de accionamiento</t>
        </is>
      </c>
      <c r="E135" s="32" t="n">
        <v>1</v>
      </c>
      <c r="F135" s="32" t="inlineStr">
        <is>
          <t>u</t>
        </is>
      </c>
      <c r="G135" s="33" t="n">
        <v>0.0959</v>
      </c>
      <c r="H135" s="33">
        <f>E135*G135</f>
        <v/>
      </c>
      <c r="I135" s="32" t="inlineStr">
        <is>
          <t>Chapa acero SAE 1010 pintada</t>
        </is>
      </c>
      <c r="J135" s="17" t="inlineStr">
        <is>
          <t>124,6 × 31 × 29,3</t>
        </is>
      </c>
      <c r="K135" s="32" t="inlineStr">
        <is>
          <t>Incluido en válvula HZ</t>
        </is>
      </c>
      <c r="L135" s="32" t="inlineStr">
        <is>
          <t>No</t>
        </is>
      </c>
      <c r="M135" s="17" t="n"/>
      <c r="N135" s="17" t="n"/>
      <c r="O135" s="17" t="inlineStr">
        <is>
          <t>19 Ensamblaje de válvula (T03/T04)</t>
        </is>
      </c>
      <c r="P135" s="17" t="n"/>
      <c r="Q135" s="32" t="inlineStr">
        <is>
          <t>P</t>
        </is>
      </c>
      <c r="R135" s="32" t="inlineStr">
        <is>
          <t>FL_DES_ABC_5kg</t>
        </is>
      </c>
      <c r="S135" s="17" t="n"/>
    </row>
    <row r="136">
      <c r="A136" s="32" t="inlineStr">
        <is>
          <t>FL_MAT_ABC_5kg</t>
        </is>
      </c>
      <c r="B136" s="32" t="n">
        <v>2</v>
      </c>
      <c r="C136" s="32" t="inlineStr">
        <is>
          <t>ABC5-14</t>
        </is>
      </c>
      <c r="D136" s="17" t="inlineStr">
        <is>
          <t xml:space="preserve">        Manija de transporte</t>
        </is>
      </c>
      <c r="E136" s="32" t="n">
        <v>1</v>
      </c>
      <c r="F136" s="32" t="inlineStr">
        <is>
          <t>u</t>
        </is>
      </c>
      <c r="G136" s="33" t="n">
        <v>0.0757</v>
      </c>
      <c r="H136" s="33">
        <f>E136*G136</f>
        <v/>
      </c>
      <c r="I136" s="32" t="inlineStr">
        <is>
          <t>Chapa acero SAE 1010 pintada</t>
        </is>
      </c>
      <c r="J136" s="17" t="inlineStr">
        <is>
          <t>102,6 × 35 × 25,4</t>
        </is>
      </c>
      <c r="K136" s="32" t="inlineStr">
        <is>
          <t>Incluido en válvula HZ</t>
        </is>
      </c>
      <c r="L136" s="32" t="inlineStr">
        <is>
          <t>No</t>
        </is>
      </c>
      <c r="M136" s="17" t="n"/>
      <c r="N136" s="17" t="n"/>
      <c r="O136" s="17" t="inlineStr">
        <is>
          <t>19 Ensamblaje de válvula (T03/T04)</t>
        </is>
      </c>
      <c r="P136" s="17" t="n"/>
      <c r="Q136" s="32" t="inlineStr">
        <is>
          <t>P</t>
        </is>
      </c>
      <c r="R136" s="32" t="inlineStr">
        <is>
          <t>FL_DES_ABC_5kg</t>
        </is>
      </c>
      <c r="S136" s="17" t="n"/>
    </row>
    <row r="137">
      <c r="A137" s="32" t="inlineStr">
        <is>
          <t>FL_MAT_ABC_5kg</t>
        </is>
      </c>
      <c r="B137" s="32" t="n">
        <v>2</v>
      </c>
      <c r="C137" s="32" t="inlineStr">
        <is>
          <t>ABC5-15</t>
        </is>
      </c>
      <c r="D137" s="17" t="inlineStr">
        <is>
          <t xml:space="preserve">        Caño de pesca (sifón)</t>
        </is>
      </c>
      <c r="E137" s="32" t="n">
        <v>1</v>
      </c>
      <c r="F137" s="32" t="inlineStr">
        <is>
          <t>u</t>
        </is>
      </c>
      <c r="G137" s="33" t="n">
        <v>0.0462</v>
      </c>
      <c r="H137" s="33">
        <f>E137*G137</f>
        <v/>
      </c>
      <c r="I137" s="32" t="inlineStr">
        <is>
          <t>Tubo PVC rígido</t>
        </is>
      </c>
      <c r="J137" s="17" t="inlineStr">
        <is>
          <t>Ø21,3 × 353,6 de largo</t>
        </is>
      </c>
      <c r="K137" s="32" t="inlineStr">
        <is>
          <t>Incluido en válvula HZ</t>
        </is>
      </c>
      <c r="L137" s="32" t="inlineStr">
        <is>
          <t>No</t>
        </is>
      </c>
      <c r="M137" s="17" t="n"/>
      <c r="N137" s="17" t="n"/>
      <c r="O137" s="17" t="inlineStr">
        <is>
          <t>19 Ensamblaje de válvula (T03/T04)</t>
        </is>
      </c>
      <c r="P137" s="17" t="n"/>
      <c r="Q137" s="32" t="inlineStr">
        <is>
          <t>P</t>
        </is>
      </c>
      <c r="R137" s="32" t="inlineStr">
        <is>
          <t>FL_DES_ABC_5kg</t>
        </is>
      </c>
      <c r="S137" s="17" t="n"/>
    </row>
    <row r="138">
      <c r="A138" s="32" t="inlineStr">
        <is>
          <t>FL_MAT_ABC_5kg</t>
        </is>
      </c>
      <c r="B138" s="32" t="n">
        <v>2</v>
      </c>
      <c r="C138" s="32" t="inlineStr">
        <is>
          <t>ABC5-25</t>
        </is>
      </c>
      <c r="D138" s="17" t="inlineStr">
        <is>
          <t xml:space="preserve">        Junta tórica de asiento</t>
        </is>
      </c>
      <c r="E138" s="32" t="n">
        <v>1</v>
      </c>
      <c r="F138" s="32" t="inlineStr">
        <is>
          <t>u</t>
        </is>
      </c>
      <c r="G138" s="33" t="n">
        <v>0.001</v>
      </c>
      <c r="H138" s="33">
        <f>E138*G138</f>
        <v/>
      </c>
      <c r="I138" s="32" t="inlineStr">
        <is>
          <t>NBR 70 Shore A</t>
        </is>
      </c>
      <c r="J138" s="17" t="inlineStr">
        <is>
          <t>Ø32,8 ext. × cordón 3</t>
        </is>
      </c>
      <c r="K138" s="32" t="inlineStr">
        <is>
          <t>Compra</t>
        </is>
      </c>
      <c r="L138" s="32" t="inlineStr">
        <is>
          <t>Sí</t>
        </is>
      </c>
      <c r="M138" s="17" t="inlineStr">
        <is>
          <t>Argensold</t>
        </is>
      </c>
      <c r="N138" s="17" t="inlineStr">
        <is>
          <t>Matafuegos Iglesias</t>
        </is>
      </c>
      <c r="O138" s="17" t="inlineStr">
        <is>
          <t>19 Ensamblaje de válvula (T03/T04)</t>
        </is>
      </c>
      <c r="P138" s="17" t="n"/>
      <c r="Q138" s="32" t="inlineStr">
        <is>
          <t>P</t>
        </is>
      </c>
      <c r="R138" s="32" t="inlineStr">
        <is>
          <t>FL_DES_ABC_5kg</t>
        </is>
      </c>
      <c r="S138" s="17" t="inlineStr">
        <is>
          <t>cambio c/recarga</t>
        </is>
      </c>
    </row>
    <row r="139">
      <c r="A139" s="32" t="inlineStr">
        <is>
          <t>FL_MAT_ABC_5kg</t>
        </is>
      </c>
      <c r="B139" s="32" t="n">
        <v>2</v>
      </c>
      <c r="C139" s="32" t="inlineStr">
        <is>
          <t>ABC5-K2</t>
        </is>
      </c>
      <c r="D139" s="17" t="inlineStr">
        <is>
          <t xml:space="preserve">        Válvula HZ armada M-30 c/resorte y tubo 7/8</t>
        </is>
      </c>
      <c r="E139" s="32" t="n">
        <v>1</v>
      </c>
      <c r="F139" s="32" t="inlineStr">
        <is>
          <t>u</t>
        </is>
      </c>
      <c r="G139" s="33" t="n"/>
      <c r="H139" s="33" t="n"/>
      <c r="I139" s="32" t="inlineStr">
        <is>
          <t>Latón forjado (HZ)</t>
        </is>
      </c>
      <c r="J139" s="17" t="inlineStr">
        <is>
          <t>rosca M30x1,5</t>
        </is>
      </c>
      <c r="K139" s="32" t="inlineStr">
        <is>
          <t>Compra</t>
        </is>
      </c>
      <c r="L139" s="32" t="inlineStr">
        <is>
          <t>Sí</t>
        </is>
      </c>
      <c r="M139" s="17" t="inlineStr">
        <is>
          <t>Polvex S.R.L. / Sancibrao</t>
        </is>
      </c>
      <c r="N139" s="17" t="inlineStr">
        <is>
          <t>Mozart S.R.L.</t>
        </is>
      </c>
      <c r="O139" s="17" t="inlineStr">
        <is>
          <t>19 Ensamblaje de válvula</t>
        </is>
      </c>
      <c r="P139" s="17" t="inlineStr">
        <is>
          <t>IRAM 3523 3.3</t>
        </is>
      </c>
      <c r="Q139" s="32" t="inlineStr">
        <is>
          <t>Q</t>
        </is>
      </c>
      <c r="R139" s="32" t="inlineStr">
        <is>
          <t>FL_DES_ABC_5kg</t>
        </is>
      </c>
      <c r="S139" s="17" t="inlineStr">
        <is>
          <t>Lista de precios HZ (Q-AGENTES); plano Fadesa usa válvula HZ (R-FADESA). Trae las piezas marcadas «Incluido en válvula HZ»</t>
        </is>
      </c>
    </row>
    <row r="140">
      <c r="A140" s="32" t="inlineStr">
        <is>
          <t>FL_MAT_ABC_5kg</t>
        </is>
      </c>
      <c r="B140" s="32" t="n">
        <v>2</v>
      </c>
      <c r="C140" s="32" t="inlineStr">
        <is>
          <t>ABC5-V2</t>
        </is>
      </c>
      <c r="D140" s="17" t="inlineStr">
        <is>
          <t xml:space="preserve">        Resorte de retorno del vástago</t>
        </is>
      </c>
      <c r="E140" s="32" t="n">
        <v>1</v>
      </c>
      <c r="F140" s="32" t="inlineStr">
        <is>
          <t>u</t>
        </is>
      </c>
      <c r="G140" s="33" t="n"/>
      <c r="H140" s="33" t="n"/>
      <c r="I140" s="32" t="inlineStr">
        <is>
          <t>Acero para resortes</t>
        </is>
      </c>
      <c r="J140" s="17" t="inlineStr">
        <is>
          <t>incluido en la válvula</t>
        </is>
      </c>
      <c r="K140" s="32" t="inlineStr">
        <is>
          <t>Incluido en válvula HZ</t>
        </is>
      </c>
      <c r="L140" s="32" t="inlineStr">
        <is>
          <t>No</t>
        </is>
      </c>
      <c r="M140" s="17" t="n"/>
      <c r="N140" s="17" t="n"/>
      <c r="O140" s="17" t="inlineStr">
        <is>
          <t>19 Ensamblaje</t>
        </is>
      </c>
      <c r="P140" s="17" t="n"/>
      <c r="Q140" s="32" t="inlineStr">
        <is>
          <t>Q</t>
        </is>
      </c>
      <c r="R140" s="32" t="n"/>
      <c r="S140" s="17" t="inlineStr">
        <is>
          <t>Lista de precios HZ: válvula «c/resorte» (Q-AGENTES)</t>
        </is>
      </c>
    </row>
    <row r="141">
      <c r="A141" s="32" t="inlineStr">
        <is>
          <t>FL_MAT_ABC_5kg</t>
        </is>
      </c>
      <c r="B141" s="32" t="n">
        <v>2</v>
      </c>
      <c r="C141" s="32" t="inlineStr">
        <is>
          <t>ABC5-V3</t>
        </is>
      </c>
      <c r="D141" s="17" t="inlineStr">
        <is>
          <t xml:space="preserve">        Junta tórica del vástago</t>
        </is>
      </c>
      <c r="E141" s="32" t="n">
        <v>1</v>
      </c>
      <c r="F141" s="32" t="inlineStr">
        <is>
          <t>u</t>
        </is>
      </c>
      <c r="G141" s="33" t="n"/>
      <c r="H141" s="33" t="n"/>
      <c r="I141" s="32" t="inlineStr">
        <is>
          <t>NBR 70 Shore A</t>
        </is>
      </c>
      <c r="J141" s="17" t="inlineStr">
        <is>
          <t>incluida en la válvula</t>
        </is>
      </c>
      <c r="K141" s="32" t="inlineStr">
        <is>
          <t>Incluido en válvula HZ</t>
        </is>
      </c>
      <c r="L141" s="32" t="inlineStr">
        <is>
          <t>No</t>
        </is>
      </c>
      <c r="M141" s="17" t="n"/>
      <c r="N141" s="17" t="n"/>
      <c r="O141" s="17" t="inlineStr">
        <is>
          <t>19 Ensamblaje</t>
        </is>
      </c>
      <c r="P141" s="17" t="n"/>
      <c r="Q141" s="32" t="inlineStr">
        <is>
          <t>P</t>
        </is>
      </c>
      <c r="R141" s="32" t="n"/>
      <c r="S141" s="17" t="inlineStr">
        <is>
          <t>Figura en el plano como «vástago con junta tórica»</t>
        </is>
      </c>
    </row>
    <row r="142">
      <c r="A142" s="29" t="inlineStr">
        <is>
          <t>FL_MAT_ABC_5kg</t>
        </is>
      </c>
      <c r="B142" s="29" t="n">
        <v>1</v>
      </c>
      <c r="C142" s="29" t="inlineStr">
        <is>
          <t>ABC5-S3</t>
        </is>
      </c>
      <c r="D142" s="30" t="inlineStr">
        <is>
          <t xml:space="preserve">    Dispositivo de descarga</t>
        </is>
      </c>
      <c r="E142" s="29" t="n">
        <v>1</v>
      </c>
      <c r="F142" s="29" t="inlineStr">
        <is>
          <t>u</t>
        </is>
      </c>
      <c r="G142" s="31" t="n"/>
      <c r="H142" s="31">
        <f>H143+H144+H145+H146</f>
        <v/>
      </c>
      <c r="I142" s="29" t="n"/>
      <c r="J142" s="30" t="n"/>
      <c r="K142" s="29" t="inlineStr">
        <is>
          <t>Compra / armado</t>
        </is>
      </c>
      <c r="L142" s="29" t="n"/>
      <c r="M142" s="30" t="n"/>
      <c r="N142" s="30" t="n"/>
      <c r="O142" s="30" t="n"/>
      <c r="P142" s="30" t="n"/>
      <c r="Q142" s="29" t="inlineStr">
        <is>
          <t>P</t>
        </is>
      </c>
      <c r="R142" s="29" t="inlineStr">
        <is>
          <t>FL_DES_ABC_5kg</t>
        </is>
      </c>
      <c r="S142" s="30" t="n"/>
    </row>
    <row r="143">
      <c r="A143" s="32" t="inlineStr">
        <is>
          <t>FL_MAT_ABC_5kg</t>
        </is>
      </c>
      <c r="B143" s="32" t="n">
        <v>2</v>
      </c>
      <c r="C143" s="32" t="inlineStr">
        <is>
          <t>ABC5-16</t>
        </is>
      </c>
      <c r="D143" s="17" t="inlineStr">
        <is>
          <t xml:space="preserve">        Racor de manguera</t>
        </is>
      </c>
      <c r="E143" s="32" t="n">
        <v>1</v>
      </c>
      <c r="F143" s="32" t="inlineStr">
        <is>
          <t>u</t>
        </is>
      </c>
      <c r="G143" s="33" t="n">
        <v>0.0394</v>
      </c>
      <c r="H143" s="33">
        <f>E143*G143</f>
        <v/>
      </c>
      <c r="I143" s="32" t="inlineStr">
        <is>
          <t>Latón</t>
        </is>
      </c>
      <c r="J143" s="17" t="inlineStr">
        <is>
          <t>19,4 × 18,8 × 18,8</t>
        </is>
      </c>
      <c r="K143" s="32" t="inlineStr">
        <is>
          <t>Compra</t>
        </is>
      </c>
      <c r="L143" s="32" t="inlineStr">
        <is>
          <t>Sí</t>
        </is>
      </c>
      <c r="M143" s="17" t="inlineStr">
        <is>
          <t>Yukon / MatafuegosYa S.R.L.</t>
        </is>
      </c>
      <c r="N143" s="17" t="inlineStr">
        <is>
          <t>Matafuegos Iglesias</t>
        </is>
      </c>
      <c r="O143" s="17" t="inlineStr">
        <is>
          <t>19 Ensamblaje (T03/T04)</t>
        </is>
      </c>
      <c r="P143" s="17" t="n"/>
      <c r="Q143" s="32" t="inlineStr">
        <is>
          <t>P</t>
        </is>
      </c>
      <c r="R143" s="32" t="inlineStr">
        <is>
          <t>FL_DES_ABC_5kg</t>
        </is>
      </c>
      <c r="S143" s="17" t="n"/>
    </row>
    <row r="144">
      <c r="A144" s="32" t="inlineStr">
        <is>
          <t>FL_MAT_ABC_5kg</t>
        </is>
      </c>
      <c r="B144" s="32" t="n">
        <v>2</v>
      </c>
      <c r="C144" s="32" t="inlineStr">
        <is>
          <t>ABC5-17</t>
        </is>
      </c>
      <c r="D144" s="17" t="inlineStr">
        <is>
          <t xml:space="preserve">        Manguera</t>
        </is>
      </c>
      <c r="E144" s="32" t="n">
        <v>1</v>
      </c>
      <c r="F144" s="32" t="inlineStr">
        <is>
          <t>u</t>
        </is>
      </c>
      <c r="G144" s="33" t="n">
        <v>0.0509</v>
      </c>
      <c r="H144" s="33">
        <f>E144*G144</f>
        <v/>
      </c>
      <c r="I144" s="32" t="inlineStr">
        <is>
          <t>Caucho sintético</t>
        </is>
      </c>
      <c r="J144" s="17" t="inlineStr">
        <is>
          <t>Ø16 × 329 de largo desarrollado</t>
        </is>
      </c>
      <c r="K144" s="32" t="inlineStr">
        <is>
          <t>Compra</t>
        </is>
      </c>
      <c r="L144" s="32" t="inlineStr">
        <is>
          <t>Sí</t>
        </is>
      </c>
      <c r="M144" s="17" t="inlineStr">
        <is>
          <t>Yukon / MatafuegosYa S.R.L.</t>
        </is>
      </c>
      <c r="N144" s="17" t="inlineStr">
        <is>
          <t>Matafuegos Iglesias</t>
        </is>
      </c>
      <c r="O144" s="17" t="inlineStr">
        <is>
          <t>19 Ensamblaje (T03/T04)</t>
        </is>
      </c>
      <c r="P144" s="17" t="n"/>
      <c r="Q144" s="32" t="inlineStr">
        <is>
          <t>P</t>
        </is>
      </c>
      <c r="R144" s="32" t="inlineStr">
        <is>
          <t>FL_DES_ABC_5kg</t>
        </is>
      </c>
      <c r="S144" s="17" t="n"/>
    </row>
    <row r="145">
      <c r="A145" s="32" t="inlineStr">
        <is>
          <t>FL_MAT_ABC_5kg</t>
        </is>
      </c>
      <c r="B145" s="32" t="n">
        <v>2</v>
      </c>
      <c r="C145" s="32" t="inlineStr">
        <is>
          <t>ABC5-18</t>
        </is>
      </c>
      <c r="D145" s="17" t="inlineStr">
        <is>
          <t xml:space="preserve">        Tobera con portatobera</t>
        </is>
      </c>
      <c r="E145" s="32" t="n">
        <v>1</v>
      </c>
      <c r="F145" s="32" t="inlineStr">
        <is>
          <t>u</t>
        </is>
      </c>
      <c r="G145" s="33" t="n">
        <v>0.0168</v>
      </c>
      <c r="H145" s="33">
        <f>E145*G145</f>
        <v/>
      </c>
      <c r="I145" s="32" t="inlineStr">
        <is>
          <t>Polipropileno</t>
        </is>
      </c>
      <c r="J145" s="17" t="inlineStr">
        <is>
          <t>73,5 × 19,9 × 19,9</t>
        </is>
      </c>
      <c r="K145" s="32" t="inlineStr">
        <is>
          <t>Compra</t>
        </is>
      </c>
      <c r="L145" s="32" t="inlineStr">
        <is>
          <t>Sí</t>
        </is>
      </c>
      <c r="M145" s="17" t="inlineStr">
        <is>
          <t>Yukon / MatafuegosYa S.R.L.</t>
        </is>
      </c>
      <c r="N145" s="17" t="inlineStr">
        <is>
          <t>Matafuegos Iglesias</t>
        </is>
      </c>
      <c r="O145" s="17" t="inlineStr">
        <is>
          <t>19 Ensamblaje (T03/T04)</t>
        </is>
      </c>
      <c r="P145" s="17" t="n"/>
      <c r="Q145" s="32" t="inlineStr">
        <is>
          <t>P</t>
        </is>
      </c>
      <c r="R145" s="32" t="inlineStr">
        <is>
          <t>FL_DES_ABC_5kg</t>
        </is>
      </c>
      <c r="S145" s="17" t="n"/>
    </row>
    <row r="146">
      <c r="A146" s="32" t="inlineStr">
        <is>
          <t>FL_MAT_ABC_5kg</t>
        </is>
      </c>
      <c r="B146" s="32" t="n">
        <v>2</v>
      </c>
      <c r="C146" s="32" t="inlineStr">
        <is>
          <t>ABC5-19</t>
        </is>
      </c>
      <c r="D146" s="17" t="inlineStr">
        <is>
          <t xml:space="preserve">        Suncho portatobera</t>
        </is>
      </c>
      <c r="E146" s="32" t="n">
        <v>1</v>
      </c>
      <c r="F146" s="32" t="inlineStr">
        <is>
          <t>u</t>
        </is>
      </c>
      <c r="G146" s="33" t="n">
        <v>0.0945</v>
      </c>
      <c r="H146" s="33">
        <f>E146*G146</f>
        <v/>
      </c>
      <c r="I146" s="32" t="inlineStr">
        <is>
          <t>Fleje acero SAE 1010 pintado</t>
        </is>
      </c>
      <c r="J146" s="17" t="inlineStr">
        <is>
          <t>166,6 × 156,6 × 14,4</t>
        </is>
      </c>
      <c r="K146" s="32" t="inlineStr">
        <is>
          <t>Compra (estructura)</t>
        </is>
      </c>
      <c r="L146" s="32" t="inlineStr">
        <is>
          <t>Sí</t>
        </is>
      </c>
      <c r="M146" s="17" t="inlineStr">
        <is>
          <t>Yukon / MatafuegosYa S.R.L.</t>
        </is>
      </c>
      <c r="N146" s="17" t="inlineStr">
        <is>
          <t>Matafuegos Iglesias</t>
        </is>
      </c>
      <c r="O146" s="17" t="inlineStr">
        <is>
          <t>19 Ensamblaje (T03/T04)</t>
        </is>
      </c>
      <c r="P146" s="17" t="n"/>
      <c r="Q146" s="32" t="inlineStr">
        <is>
          <t>P</t>
        </is>
      </c>
      <c r="R146" s="32" t="inlineStr">
        <is>
          <t>FL_DES_ABC_5kg</t>
        </is>
      </c>
      <c r="S146" s="17" t="n"/>
    </row>
    <row r="147">
      <c r="A147" s="29" t="inlineStr">
        <is>
          <t>FL_MAT_ABC_5kg</t>
        </is>
      </c>
      <c r="B147" s="29" t="n">
        <v>1</v>
      </c>
      <c r="C147" s="29" t="inlineStr">
        <is>
          <t>ABC5-S5</t>
        </is>
      </c>
      <c r="D147" s="30" t="inlineStr">
        <is>
          <t xml:space="preserve">    Carga: agente extintor y gas impulsor</t>
        </is>
      </c>
      <c r="E147" s="29" t="n">
        <v>1</v>
      </c>
      <c r="F147" s="29" t="inlineStr">
        <is>
          <t>u</t>
        </is>
      </c>
      <c r="G147" s="31" t="n"/>
      <c r="H147" s="31">
        <f>H148+H149</f>
        <v/>
      </c>
      <c r="I147" s="29" t="n"/>
      <c r="J147" s="30" t="n"/>
      <c r="K147" s="29" t="inlineStr">
        <is>
          <t>Carga en planta</t>
        </is>
      </c>
      <c r="L147" s="29" t="n"/>
      <c r="M147" s="30" t="n"/>
      <c r="N147" s="30" t="n"/>
      <c r="O147" s="30" t="inlineStr">
        <is>
          <t>18 Carga de polvo (T01) / C8 (T02)</t>
        </is>
      </c>
      <c r="P147" s="30" t="n"/>
      <c r="Q147" s="29" t="n"/>
      <c r="R147" s="29" t="n"/>
      <c r="S147" s="30" t="n"/>
    </row>
    <row r="148">
      <c r="A148" s="32" t="inlineStr">
        <is>
          <t>FL_MAT_ABC_5kg</t>
        </is>
      </c>
      <c r="B148" s="32" t="n">
        <v>2</v>
      </c>
      <c r="C148" s="32" t="inlineStr">
        <is>
          <t>ABC5-A1</t>
        </is>
      </c>
      <c r="D148" s="17" t="inlineStr">
        <is>
          <t xml:space="preserve">        Polvo químico seco ABC 60 (Sello IRAM 3569)</t>
        </is>
      </c>
      <c r="E148" s="32" t="n">
        <v>5.15</v>
      </c>
      <c r="F148" s="32" t="inlineStr">
        <is>
          <t>kg</t>
        </is>
      </c>
      <c r="G148" s="33" t="n">
        <v>1</v>
      </c>
      <c r="H148" s="33">
        <f>E148*G148</f>
        <v/>
      </c>
      <c r="I148" s="32" t="inlineStr">
        <is>
          <t>Polvo químico seco ABC 60 (Sello IRAM 3569)</t>
        </is>
      </c>
      <c r="J148" s="17" t="inlineStr">
        <is>
          <t>nominal 5 kg; tolerancia 0 / +300 g (IRAM 3517-2:2020 tabla 3 · IRAM 3523 tabla II)</t>
        </is>
      </c>
      <c r="K148" s="32" t="inlineStr">
        <is>
          <t>Compra</t>
        </is>
      </c>
      <c r="L148" s="32" t="inlineStr">
        <is>
          <t>Sí</t>
        </is>
      </c>
      <c r="M148" s="17" t="inlineStr">
        <is>
          <t>DEM S.A. (DEMSA)</t>
        </is>
      </c>
      <c r="N148" s="17" t="inlineStr">
        <is>
          <t>Polvex S.R.L. / Sancibrao</t>
        </is>
      </c>
      <c r="O148" s="17" t="inlineStr">
        <is>
          <t>SP-1 almacén previo a la carga</t>
        </is>
      </c>
      <c r="P148" s="17" t="inlineStr">
        <is>
          <t>IRAM 3569</t>
        </is>
      </c>
      <c r="Q148" s="32" t="inlineStr">
        <is>
          <t>N</t>
        </is>
      </c>
      <c r="R148" s="32" t="n"/>
      <c r="S148" s="17" t="inlineStr">
        <is>
          <t>Composición declarada del polvo ABC 60: MAP 60 % (IRAM 3569: 57-63 %) = 3,09 kg MAP + 1,906 kg sulfato de amonio + 0,154 kg aditivos · potencial de referencia 6A-40B:C (licencia Drago con DEM-60/90, L-DRAGO) · Decisión: DEMSA principal (sello IRAM 3569 y potencial de referencia); Polvex/Sancibrao alternativa sujeta a sello IRAM 3569 y ensayo de tipo de FLAMA (IRAM 3542/3543) · alternativa ABC 90: 10A-40B:C · Lote único por extintor; prohibido mezclar ABC con BC (3517-2 9.9.1.6)</t>
        </is>
      </c>
    </row>
    <row r="149">
      <c r="A149" s="37" t="inlineStr">
        <is>
          <t>FL_MAT_ABC_5kg</t>
        </is>
      </c>
      <c r="B149" s="37" t="n">
        <v>2</v>
      </c>
      <c r="C149" s="37" t="inlineStr">
        <is>
          <t>ABC5-A2</t>
        </is>
      </c>
      <c r="D149" s="18" t="inlineStr">
        <is>
          <t xml:space="preserve">        Gas impulsor: N₂</t>
        </is>
      </c>
      <c r="E149" s="37" t="n">
        <v>0.0251</v>
      </c>
      <c r="F149" s="37" t="inlineStr">
        <is>
          <t>kg</t>
        </is>
      </c>
      <c r="G149" s="38" t="n">
        <v>1</v>
      </c>
      <c r="H149" s="38">
        <f>E149*G149</f>
        <v/>
      </c>
      <c r="I149" s="37" t="inlineStr">
        <is>
          <t>N₂</t>
        </is>
      </c>
      <c r="J149" s="18" t="inlineStr">
        <is>
          <t>20,1 L normales para 1,4 MPa a 20 °C en 1,45 dm³ libres</t>
        </is>
      </c>
      <c r="K149" s="37" t="inlineStr">
        <is>
          <t>Compra</t>
        </is>
      </c>
      <c r="L149" s="37" t="inlineStr">
        <is>
          <t>Sí</t>
        </is>
      </c>
      <c r="M149" s="18" t="inlineStr">
        <is>
          <t>Air Liquide Argentina - sucursal Piñeyro</t>
        </is>
      </c>
      <c r="N149" s="18" t="inlineStr">
        <is>
          <t>Gogniat</t>
        </is>
      </c>
      <c r="O149" s="18" t="inlineStr">
        <is>
          <t>20 Presurización (T05) / C10</t>
        </is>
      </c>
      <c r="P149" s="18" t="inlineStr">
        <is>
          <t>IRAM 3517-2 9.4.9 (tabla 2) · IRAM 3523 2.3 y 3.10</t>
        </is>
      </c>
      <c r="Q149" s="37" t="inlineStr">
        <is>
          <t>C</t>
        </is>
      </c>
      <c r="R149" s="37" t="n"/>
      <c r="S149" s="18" t="inlineStr">
        <is>
          <t>N₂ ≥ 99,8 %, H₂O ≤ 40 ppm (Q-N2, Air Liquide) · volumen libre con ρ empacada mínima 1,1 kg/dm³ (NOM-104-STPS-2001); confirmar con descarga ≥ 85 % (IRAM 3523 4.9.1)</t>
        </is>
      </c>
    </row>
    <row r="150">
      <c r="A150" s="29" t="inlineStr">
        <is>
          <t>FL_MAT_ABC_5kg</t>
        </is>
      </c>
      <c r="B150" s="29" t="n">
        <v>1</v>
      </c>
      <c r="C150" s="29" t="inlineStr">
        <is>
          <t>ABC5-S6</t>
        </is>
      </c>
      <c r="D150" s="30" t="inlineStr">
        <is>
          <t xml:space="preserve">    Identificación y precinto</t>
        </is>
      </c>
      <c r="E150" s="29" t="n">
        <v>1</v>
      </c>
      <c r="F150" s="29" t="inlineStr">
        <is>
          <t>u</t>
        </is>
      </c>
      <c r="G150" s="31" t="n"/>
      <c r="H150" s="31">
        <f>H151+H152+H153+H154+H155+H156+H157</f>
        <v/>
      </c>
      <c r="I150" s="29" t="n"/>
      <c r="J150" s="30" t="n"/>
      <c r="K150" s="29" t="inlineStr">
        <is>
          <t>Compra</t>
        </is>
      </c>
      <c r="L150" s="29" t="n"/>
      <c r="M150" s="30" t="n"/>
      <c r="N150" s="30" t="n"/>
      <c r="O150" s="30" t="inlineStr">
        <is>
          <t>22 Etiquetado (T07)</t>
        </is>
      </c>
      <c r="P150" s="30" t="n"/>
      <c r="Q150" s="29" t="n"/>
      <c r="R150" s="29" t="n"/>
      <c r="S150" s="30" t="n"/>
    </row>
    <row r="151">
      <c r="A151" s="32" t="inlineStr">
        <is>
          <t>FL_MAT_ABC_5kg</t>
        </is>
      </c>
      <c r="B151" s="32" t="n">
        <v>2</v>
      </c>
      <c r="C151" s="32" t="inlineStr">
        <is>
          <t>ABC5-20</t>
        </is>
      </c>
      <c r="D151" s="17" t="inlineStr">
        <is>
          <t xml:space="preserve">        Etiqueta / placa de características</t>
        </is>
      </c>
      <c r="E151" s="32" t="n">
        <v>1</v>
      </c>
      <c r="F151" s="32" t="inlineStr">
        <is>
          <t>u</t>
        </is>
      </c>
      <c r="G151" s="33" t="n">
        <v>0.0175</v>
      </c>
      <c r="H151" s="33">
        <f>E151*G151</f>
        <v/>
      </c>
      <c r="I151" s="32" t="inlineStr">
        <is>
          <t>Vinilo autoadhesivo laminado</t>
        </is>
      </c>
      <c r="J151" s="17" t="inlineStr">
        <is>
          <t>289 × 144 (desarrollo × alto: panel central 108° + 2 alas laterales), e ≈ 0,3, laminado UV</t>
        </is>
      </c>
      <c r="K151" s="32" t="inlineStr">
        <is>
          <t>Compra</t>
        </is>
      </c>
      <c r="L151" s="32" t="inlineStr">
        <is>
          <t>Sí</t>
        </is>
      </c>
      <c r="M151" s="17" t="inlineStr">
        <is>
          <t>Astuprint</t>
        </is>
      </c>
      <c r="N151" s="17" t="inlineStr">
        <is>
          <t>Multilabel Argentina S.A.</t>
        </is>
      </c>
      <c r="O151" s="17" t="inlineStr">
        <is>
          <t>22 Etiquetado (T07)</t>
        </is>
      </c>
      <c r="P151" s="17" t="inlineStr">
        <is>
          <t>IRAM 3534 · IRAM 3523 cap. 5 · relevamiento de mercado</t>
        </is>
      </c>
      <c r="Q151" s="32" t="inlineStr">
        <is>
          <t>P</t>
        </is>
      </c>
      <c r="R151" s="32" t="inlineStr">
        <is>
          <t>FL_DES_ABC_5kg</t>
        </is>
      </c>
      <c r="S151" s="17" t="inlineStr">
        <is>
          <t>IRAM 3534</t>
        </is>
      </c>
    </row>
    <row r="152">
      <c r="A152" s="32" t="inlineStr">
        <is>
          <t>FL_MAT_ABC_5kg</t>
        </is>
      </c>
      <c r="B152" s="32" t="n">
        <v>2</v>
      </c>
      <c r="C152" s="32" t="inlineStr">
        <is>
          <t>ABC5-21</t>
        </is>
      </c>
      <c r="D152" s="17" t="inlineStr">
        <is>
          <t xml:space="preserve">        Oblea de fabricación (PBA)</t>
        </is>
      </c>
      <c r="E152" s="32" t="n">
        <v>1</v>
      </c>
      <c r="F152" s="32" t="inlineStr">
        <is>
          <t>u</t>
        </is>
      </c>
      <c r="G152" s="33" t="n">
        <v>0.0009</v>
      </c>
      <c r="H152" s="33">
        <f>E152*G152</f>
        <v/>
      </c>
      <c r="I152" s="32" t="inlineStr">
        <is>
          <t>Papel de seguridad autodestructible</t>
        </is>
      </c>
      <c r="J152" s="17" t="inlineStr">
        <is>
          <t>Ø46 (Res. OPDS 522/07), numerada, autodestructible</t>
        </is>
      </c>
      <c r="K152" s="32" t="inlineStr">
        <is>
          <t>Compra</t>
        </is>
      </c>
      <c r="L152" s="32" t="inlineStr">
        <is>
          <t>Sí</t>
        </is>
      </c>
      <c r="M152" s="17" t="inlineStr">
        <is>
          <t>Ministerio de Ambiente PBA (ex OPDS)</t>
        </is>
      </c>
      <c r="N152" s="17" t="inlineStr">
        <is>
          <t>-</t>
        </is>
      </c>
      <c r="O152" s="17" t="inlineStr">
        <is>
          <t>22 Etiquetado (T07)</t>
        </is>
      </c>
      <c r="P152" s="17" t="inlineStr">
        <is>
          <t>Res. OPDS 522/07 anexos 1, 2 y 6</t>
        </is>
      </c>
      <c r="Q152" s="32" t="inlineStr">
        <is>
          <t>P</t>
        </is>
      </c>
      <c r="R152" s="32" t="inlineStr">
        <is>
          <t>FL_DES_ABC_5kg</t>
        </is>
      </c>
      <c r="S152" s="17" t="inlineStr">
        <is>
          <t>Res. 522/07</t>
        </is>
      </c>
    </row>
    <row r="153">
      <c r="A153" s="32" t="inlineStr">
        <is>
          <t>FL_MAT_ABC_5kg</t>
        </is>
      </c>
      <c r="B153" s="32" t="n">
        <v>2</v>
      </c>
      <c r="C153" s="32" t="inlineStr">
        <is>
          <t>ABC5-22</t>
        </is>
      </c>
      <c r="D153" s="17" t="inlineStr">
        <is>
          <t xml:space="preserve">        Estampilla IRAM de conformidad</t>
        </is>
      </c>
      <c r="E153" s="32" t="n">
        <v>1</v>
      </c>
      <c r="F153" s="32" t="inlineStr">
        <is>
          <t>u</t>
        </is>
      </c>
      <c r="G153" s="33" t="n">
        <v>0.001</v>
      </c>
      <c r="H153" s="33">
        <f>E153*G153</f>
        <v/>
      </c>
      <c r="I153" s="32" t="inlineStr">
        <is>
          <t>Provista por IRAM (Anexo R)</t>
        </is>
      </c>
      <c r="J153" s="17" t="inlineStr">
        <is>
          <t>60 × 40</t>
        </is>
      </c>
      <c r="K153" s="32" t="inlineStr">
        <is>
          <t>Compra</t>
        </is>
      </c>
      <c r="L153" s="32" t="inlineStr">
        <is>
          <t>Sí</t>
        </is>
      </c>
      <c r="M153" s="17" t="inlineStr">
        <is>
          <t>IRAM - Instituto Argentino de Normalización</t>
        </is>
      </c>
      <c r="N153" s="17" t="inlineStr">
        <is>
          <t>-</t>
        </is>
      </c>
      <c r="O153" s="17" t="inlineStr">
        <is>
          <t>22 Etiquetado (T07)</t>
        </is>
      </c>
      <c r="P153" s="17" t="inlineStr">
        <is>
          <t>IRAM Anexo R (DC-PG-129)</t>
        </is>
      </c>
      <c r="Q153" s="32" t="inlineStr">
        <is>
          <t>P</t>
        </is>
      </c>
      <c r="R153" s="32" t="inlineStr">
        <is>
          <t>FL_DES_ABC_5kg</t>
        </is>
      </c>
      <c r="S153" s="17" t="inlineStr">
        <is>
          <t>numerada</t>
        </is>
      </c>
    </row>
    <row r="154">
      <c r="A154" s="32" t="inlineStr">
        <is>
          <t>FL_MAT_ABC_5kg</t>
        </is>
      </c>
      <c r="B154" s="32" t="n">
        <v>2</v>
      </c>
      <c r="C154" s="32" t="inlineStr">
        <is>
          <t>ABC5-23</t>
        </is>
      </c>
      <c r="D154" s="17" t="inlineStr">
        <is>
          <t xml:space="preserve">        Tarjeta de identificación AGC (CABA)</t>
        </is>
      </c>
      <c r="E154" s="32" t="n">
        <v>1</v>
      </c>
      <c r="F154" s="32" t="inlineStr">
        <is>
          <t>u</t>
        </is>
      </c>
      <c r="G154" s="33" t="n">
        <v>0.0032</v>
      </c>
      <c r="H154" s="33">
        <f>E154*G154</f>
        <v/>
      </c>
      <c r="I154" s="32" t="inlineStr">
        <is>
          <t>Etiqueta autoadhesiva emitida por la AGC</t>
        </is>
      </c>
      <c r="J154" s="17" t="inlineStr">
        <is>
          <t>140 × 55</t>
        </is>
      </c>
      <c r="K154" s="32" t="inlineStr">
        <is>
          <t>Compra</t>
        </is>
      </c>
      <c r="L154" s="32" t="inlineStr">
        <is>
          <t>Sí</t>
        </is>
      </c>
      <c r="M154" s="17" t="inlineStr">
        <is>
          <t>Agencia Gubernamental de Control (CABA)</t>
        </is>
      </c>
      <c r="N154" s="17" t="inlineStr">
        <is>
          <t>-</t>
        </is>
      </c>
      <c r="O154" s="17" t="inlineStr">
        <is>
          <t>22 Etiquetado (T07)</t>
        </is>
      </c>
      <c r="P154" s="17" t="inlineStr">
        <is>
          <t>Ordenanza 40.473 art. 6 · Res. AGC 32/15</t>
        </is>
      </c>
      <c r="Q154" s="32" t="inlineStr">
        <is>
          <t>P</t>
        </is>
      </c>
      <c r="R154" s="32" t="inlineStr">
        <is>
          <t>FL_DES_ABC_5kg</t>
        </is>
      </c>
      <c r="S154" s="17" t="inlineStr">
        <is>
          <t>sólo destino CABA</t>
        </is>
      </c>
    </row>
    <row r="155">
      <c r="A155" s="32" t="inlineStr">
        <is>
          <t>FL_MAT_ABC_5kg</t>
        </is>
      </c>
      <c r="B155" s="32" t="n">
        <v>2</v>
      </c>
      <c r="C155" s="32" t="inlineStr">
        <is>
          <t>ABC5-24</t>
        </is>
      </c>
      <c r="D155" s="17" t="inlineStr">
        <is>
          <t xml:space="preserve">        Etiqueta de n° de serie GS1</t>
        </is>
      </c>
      <c r="E155" s="32" t="n">
        <v>1</v>
      </c>
      <c r="F155" s="32" t="inlineStr">
        <is>
          <t>u</t>
        </is>
      </c>
      <c r="G155" s="33" t="n">
        <v>0.0005</v>
      </c>
      <c r="H155" s="33">
        <f>E155*G155</f>
        <v/>
      </c>
      <c r="I155" s="32" t="inlineStr">
        <is>
          <t>Poliéster autoadhesivo impreso térmico</t>
        </is>
      </c>
      <c r="J155" s="17" t="inlineStr">
        <is>
          <t>45 × 25</t>
        </is>
      </c>
      <c r="K155" s="32" t="inlineStr">
        <is>
          <t>Compra</t>
        </is>
      </c>
      <c r="L155" s="32" t="inlineStr">
        <is>
          <t>Sí</t>
        </is>
      </c>
      <c r="M155" s="17" t="inlineStr">
        <is>
          <t>Astuprint</t>
        </is>
      </c>
      <c r="N155" s="17" t="inlineStr">
        <is>
          <t>GS1 Argentina</t>
        </is>
      </c>
      <c r="O155" s="17" t="inlineStr">
        <is>
          <t>22 Etiquetado (T07)</t>
        </is>
      </c>
      <c r="P155" s="17" t="inlineStr">
        <is>
          <t>GS1 Argentina (GTIN 779) · trazabilidad IRAM 3523 5.1</t>
        </is>
      </c>
      <c r="Q155" s="32" t="inlineStr">
        <is>
          <t>P</t>
        </is>
      </c>
      <c r="R155" s="32" t="inlineStr">
        <is>
          <t>FL_DES_ABC_5kg</t>
        </is>
      </c>
      <c r="S155" s="17" t="inlineStr">
        <is>
          <t>QR GTIN + serie</t>
        </is>
      </c>
    </row>
    <row r="156">
      <c r="A156" s="32" t="inlineStr">
        <is>
          <t>FL_MAT_ABC_5kg</t>
        </is>
      </c>
      <c r="B156" s="32" t="n">
        <v>2</v>
      </c>
      <c r="C156" s="32" t="inlineStr">
        <is>
          <t>ABC5-26</t>
        </is>
      </c>
      <c r="D156" s="17" t="inlineStr">
        <is>
          <t xml:space="preserve">        Faja de garantía válvula-cuello</t>
        </is>
      </c>
      <c r="E156" s="32" t="n">
        <v>1</v>
      </c>
      <c r="F156" s="32" t="inlineStr">
        <is>
          <t>u</t>
        </is>
      </c>
      <c r="G156" s="33" t="n">
        <v>0.0001</v>
      </c>
      <c r="H156" s="33">
        <f>E156*G156</f>
        <v/>
      </c>
      <c r="I156" s="32" t="inlineStr">
        <is>
          <t>Vinilo destructible rayado rojo/blanco</t>
        </is>
      </c>
      <c r="J156" s="17" t="inlineStr">
        <is>
          <t>22 × 23 (ancho × largo desarrollado), pegada sobre la unión: cuerpo de la válvula, tuerca y cuello</t>
        </is>
      </c>
      <c r="K156" s="32" t="inlineStr">
        <is>
          <t>Compra</t>
        </is>
      </c>
      <c r="L156" s="32" t="inlineStr">
        <is>
          <t>Sí</t>
        </is>
      </c>
      <c r="M156" s="17" t="inlineStr">
        <is>
          <t>Astuprint</t>
        </is>
      </c>
      <c r="N156" s="17" t="inlineStr">
        <is>
          <t>Multilabel Argentina S.A.</t>
        </is>
      </c>
      <c r="O156" s="17" t="inlineStr">
        <is>
          <t>22 Etiquetado (T07)</t>
        </is>
      </c>
      <c r="P156" s="17" t="inlineStr">
        <is>
          <t>Sin norma: práctica de mercado (garantía de fábrica)</t>
        </is>
      </c>
      <c r="Q156" s="32" t="inlineStr">
        <is>
          <t>P</t>
        </is>
      </c>
      <c r="R156" s="32" t="inlineStr">
        <is>
          <t>FL_DES_ABC_5kg</t>
        </is>
      </c>
      <c r="S156" s="17" t="inlineStr">
        <is>
          <t>nuevo sin abrir</t>
        </is>
      </c>
    </row>
    <row r="157">
      <c r="A157" s="32" t="inlineStr">
        <is>
          <t>FL_MAT_ABC_5kg</t>
        </is>
      </c>
      <c r="B157" s="32" t="n">
        <v>2</v>
      </c>
      <c r="C157" s="32" t="inlineStr">
        <is>
          <t>ABC5-27</t>
        </is>
      </c>
      <c r="D157" s="17" t="inlineStr">
        <is>
          <t xml:space="preserve">        Precinto de fábrica</t>
        </is>
      </c>
      <c r="E157" s="32" t="n">
        <v>1</v>
      </c>
      <c r="F157" s="32" t="inlineStr">
        <is>
          <t>u</t>
        </is>
      </c>
      <c r="G157" s="33" t="n">
        <v>0.0002</v>
      </c>
      <c r="H157" s="33">
        <f>E157*G157</f>
        <v/>
      </c>
      <c r="I157" s="32" t="inlineStr">
        <is>
          <t>Polipropileno color</t>
        </is>
      </c>
      <c r="J157" s="17" t="inlineStr">
        <is>
          <t>Ø5 × 10, numerado, rotura 30-50 N</t>
        </is>
      </c>
      <c r="K157" s="32" t="inlineStr">
        <is>
          <t>Compra</t>
        </is>
      </c>
      <c r="L157" s="32" t="inlineStr">
        <is>
          <t>Sí</t>
        </is>
      </c>
      <c r="M157" s="17" t="inlineStr">
        <is>
          <t>SonFuertes (vía Papelera Damián)</t>
        </is>
      </c>
      <c r="N157" s="17" t="inlineStr">
        <is>
          <t>Precinter S.R.L.</t>
        </is>
      </c>
      <c r="O157" s="17" t="inlineStr">
        <is>
          <t>20 Presurización (T05)</t>
        </is>
      </c>
      <c r="P157" s="17" t="inlineStr">
        <is>
          <t>IRAM 3523 3.3.2 · IRAM 3517-2:2020 9.4.13</t>
        </is>
      </c>
      <c r="Q157" s="32" t="inlineStr">
        <is>
          <t>P</t>
        </is>
      </c>
      <c r="R157" s="32" t="inlineStr">
        <is>
          <t>FL_DES_ABC_5kg</t>
        </is>
      </c>
      <c r="S157" s="17" t="inlineStr">
        <is>
          <t>id. FLAMA y lote</t>
        </is>
      </c>
    </row>
    <row r="158">
      <c r="A158" s="29" t="inlineStr">
        <is>
          <t>FL_MAT_ABC_5kg</t>
        </is>
      </c>
      <c r="B158" s="29" t="n">
        <v>1</v>
      </c>
      <c r="C158" s="29" t="inlineStr">
        <is>
          <t>ABC5-S8</t>
        </is>
      </c>
      <c r="D158" s="30" t="inlineStr">
        <is>
          <t xml:space="preserve">    Soporte (accesorio de montaje)</t>
        </is>
      </c>
      <c r="E158" s="29" t="n">
        <v>1</v>
      </c>
      <c r="F158" s="29" t="inlineStr">
        <is>
          <t>u</t>
        </is>
      </c>
      <c r="G158" s="31" t="n"/>
      <c r="H158" s="31">
        <f>H159</f>
        <v/>
      </c>
      <c r="I158" s="29" t="n"/>
      <c r="J158" s="30" t="n"/>
      <c r="K158" s="29" t="inlineStr">
        <is>
          <t>Compra</t>
        </is>
      </c>
      <c r="L158" s="29" t="n"/>
      <c r="M158" s="30" t="n"/>
      <c r="N158" s="30" t="n"/>
      <c r="O158" s="30" t="inlineStr">
        <is>
          <t>23 Embalaje (va dentro de la caja)</t>
        </is>
      </c>
      <c r="P158" s="30" t="inlineStr">
        <is>
          <t>IRAM 3517-2 7.4</t>
        </is>
      </c>
      <c r="Q158" s="29" t="n"/>
      <c r="R158" s="29" t="n"/>
      <c r="S158" s="30" t="n"/>
    </row>
    <row r="159">
      <c r="A159" s="32" t="inlineStr">
        <is>
          <t>FL_MAT_ABC_5kg</t>
        </is>
      </c>
      <c r="B159" s="32" t="n">
        <v>2</v>
      </c>
      <c r="C159" s="32" t="inlineStr">
        <is>
          <t>ABC5-I5</t>
        </is>
      </c>
      <c r="D159" s="17" t="inlineStr">
        <is>
          <t xml:space="preserve">        Soporte de pared (FL_ACC_01)</t>
        </is>
      </c>
      <c r="E159" s="32" t="n">
        <v>1</v>
      </c>
      <c r="F159" s="32" t="inlineStr">
        <is>
          <t>u</t>
        </is>
      </c>
      <c r="G159" s="33" t="n">
        <v>0.29</v>
      </c>
      <c r="H159" s="33">
        <f>E159*G159</f>
        <v/>
      </c>
      <c r="I159" s="32" t="inlineStr">
        <is>
          <t>Chapa acero SAE 1010 e=2 pintada</t>
        </is>
      </c>
      <c r="J159" s="17" t="inlineStr">
        <is>
          <t>placa 60 × 180, ala con ranura Ø cuello + 3</t>
        </is>
      </c>
      <c r="K159" s="32" t="inlineStr">
        <is>
          <t>Compra</t>
        </is>
      </c>
      <c r="L159" s="32" t="inlineStr">
        <is>
          <t>Sí</t>
        </is>
      </c>
      <c r="M159" s="17" t="inlineStr">
        <is>
          <t>Maxiseguridad</t>
        </is>
      </c>
      <c r="N159" s="17" t="inlineStr">
        <is>
          <t>CM Representaciones</t>
        </is>
      </c>
      <c r="O159" s="17" t="inlineStr">
        <is>
          <t>23 Embalaje</t>
        </is>
      </c>
      <c r="P159" s="17" t="inlineStr">
        <is>
          <t>IRAM 3517-2 7.4</t>
        </is>
      </c>
      <c r="Q159" s="32" t="inlineStr">
        <is>
          <t>P</t>
        </is>
      </c>
      <c r="R159" s="32" t="inlineStr">
        <is>
          <t>FL_ACC_01</t>
        </is>
      </c>
      <c r="S159" s="17" t="n"/>
    </row>
    <row r="160">
      <c r="A160" s="32" t="inlineStr">
        <is>
          <t>FL_MAT_ABC_5kg</t>
        </is>
      </c>
      <c r="B160" s="32" t="n">
        <v>2</v>
      </c>
      <c r="C160" s="32" t="inlineStr">
        <is>
          <t>ABC5-I6</t>
        </is>
      </c>
      <c r="D160" s="17" t="inlineStr">
        <is>
          <t xml:space="preserve">        Tornillo y tarugo de fijación</t>
        </is>
      </c>
      <c r="E160" s="32" t="n">
        <v>2</v>
      </c>
      <c r="F160" s="32" t="inlineStr">
        <is>
          <t>u</t>
        </is>
      </c>
      <c r="G160" s="33" t="n"/>
      <c r="H160" s="33" t="n"/>
      <c r="I160" s="32" t="inlineStr">
        <is>
          <t>Acero cincado / nylon</t>
        </is>
      </c>
      <c r="J160" s="17" t="inlineStr">
        <is>
          <t>2 agujeros Ø8,5 del plano FL_ACC_01 → tornillo M8 + tarugo</t>
        </is>
      </c>
      <c r="K160" s="32" t="inlineStr">
        <is>
          <t>Compra</t>
        </is>
      </c>
      <c r="L160" s="32" t="inlineStr">
        <is>
          <t>Sí</t>
        </is>
      </c>
      <c r="M160" s="17" t="inlineStr">
        <is>
          <t>Würth Argentina</t>
        </is>
      </c>
      <c r="N160" s="17" t="inlineStr">
        <is>
          <t>-</t>
        </is>
      </c>
      <c r="O160" s="17" t="inlineStr">
        <is>
          <t>23 Embalaje</t>
        </is>
      </c>
      <c r="P160" s="17" t="n"/>
      <c r="Q160" s="32" t="inlineStr">
        <is>
          <t>P</t>
        </is>
      </c>
      <c r="R160" s="32" t="inlineStr">
        <is>
          <t>FL_ACC_01</t>
        </is>
      </c>
      <c r="S160" s="17" t="n"/>
    </row>
    <row r="161">
      <c r="A161" s="32" t="inlineStr">
        <is>
          <t>FL_MAT_ABC_5kg</t>
        </is>
      </c>
      <c r="B161" s="32" t="n">
        <v>2</v>
      </c>
      <c r="C161" s="32" t="inlineStr">
        <is>
          <t>ABC5-I8</t>
        </is>
      </c>
      <c r="D161" s="17" t="inlineStr">
        <is>
          <t xml:space="preserve">        Soporte opcional (pared o vehicular, según pedido)</t>
        </is>
      </c>
      <c r="E161" s="32" t="n">
        <v>0</v>
      </c>
      <c r="F161" s="32" t="inlineStr">
        <is>
          <t>u</t>
        </is>
      </c>
      <c r="G161" s="33" t="n"/>
      <c r="H161" s="33" t="n"/>
      <c r="I161" s="32" t="inlineStr">
        <is>
          <t>-</t>
        </is>
      </c>
      <c r="J161" s="17" t="inlineStr">
        <is>
          <t>-</t>
        </is>
      </c>
      <c r="K161" s="32" t="inlineStr">
        <is>
          <t>Compra</t>
        </is>
      </c>
      <c r="L161" s="32" t="inlineStr">
        <is>
          <t>Sí</t>
        </is>
      </c>
      <c r="M161" s="17" t="inlineStr">
        <is>
          <t>Maxiseguridad</t>
        </is>
      </c>
      <c r="N161" s="17" t="inlineStr">
        <is>
          <t>CM Representaciones</t>
        </is>
      </c>
      <c r="O161" s="17" t="n"/>
      <c r="P161" s="17" t="inlineStr">
        <is>
          <t>IRAM 3517-2 7.4</t>
        </is>
      </c>
      <c r="Q161" s="32" t="inlineStr">
        <is>
          <t>N</t>
        </is>
      </c>
      <c r="R161" s="32" t="n"/>
      <c r="S161" s="17" t="inlineStr">
        <is>
          <t>Sólo si el pedido lo incluye</t>
        </is>
      </c>
    </row>
    <row r="162">
      <c r="A162" s="29" t="inlineStr">
        <is>
          <t>FL_MAT_ABC_5kg</t>
        </is>
      </c>
      <c r="B162" s="29" t="n">
        <v>1</v>
      </c>
      <c r="C162" s="29" t="inlineStr">
        <is>
          <t>ABC5-S7</t>
        </is>
      </c>
      <c r="D162" s="30" t="inlineStr">
        <is>
          <t xml:space="preserve">    Embalaje</t>
        </is>
      </c>
      <c r="E162" s="29" t="n">
        <v>1</v>
      </c>
      <c r="F162" s="29" t="inlineStr">
        <is>
          <t>u</t>
        </is>
      </c>
      <c r="G162" s="31" t="n"/>
      <c r="H162" s="31">
        <f>H166</f>
        <v/>
      </c>
      <c r="I162" s="29" t="n"/>
      <c r="J162" s="30" t="n"/>
      <c r="K162" s="29" t="inlineStr">
        <is>
          <t>Compra</t>
        </is>
      </c>
      <c r="L162" s="29" t="n"/>
      <c r="M162" s="30" t="n"/>
      <c r="N162" s="30" t="n"/>
      <c r="O162" s="30" t="inlineStr">
        <is>
          <t>23 Embalaje -&gt; 24 envolvedora (T11)</t>
        </is>
      </c>
      <c r="P162" s="30" t="n"/>
      <c r="Q162" s="29" t="n"/>
      <c r="R162" s="29" t="n"/>
      <c r="S162" s="30" t="n"/>
    </row>
    <row r="163">
      <c r="A163" s="32" t="inlineStr">
        <is>
          <t>FL_MAT_ABC_5kg</t>
        </is>
      </c>
      <c r="B163" s="32" t="n">
        <v>2</v>
      </c>
      <c r="C163" s="32" t="inlineStr">
        <is>
          <t>ABC5-E1</t>
        </is>
      </c>
      <c r="D163" s="17" t="inlineStr">
        <is>
          <t xml:space="preserve">        Caja de cartón corrugado simple</t>
        </is>
      </c>
      <c r="E163" s="32" t="n">
        <v>1</v>
      </c>
      <c r="F163" s="32" t="inlineStr">
        <is>
          <t>u</t>
        </is>
      </c>
      <c r="G163" s="33" t="n"/>
      <c r="H163" s="33" t="n"/>
      <c r="I163" s="32" t="inlineStr">
        <is>
          <t>Cartón corrugado</t>
        </is>
      </c>
      <c r="J163" s="17" t="inlineStr">
        <is>
          <t>244 × 187 × 455 interior (envolvente del plano + 15 por lado)</t>
        </is>
      </c>
      <c r="K163" s="32" t="inlineStr">
        <is>
          <t>Compra</t>
        </is>
      </c>
      <c r="L163" s="32" t="inlineStr">
        <is>
          <t>Sí</t>
        </is>
      </c>
      <c r="M163" s="17" t="inlineStr">
        <is>
          <t>Maxipack</t>
        </is>
      </c>
      <c r="N163" s="17" t="inlineStr">
        <is>
          <t>Cartocan</t>
        </is>
      </c>
      <c r="O163" s="17" t="inlineStr">
        <is>
          <t>23 Embalaje</t>
        </is>
      </c>
      <c r="P163" s="17" t="n"/>
      <c r="Q163" s="32" t="inlineStr">
        <is>
          <t>P</t>
        </is>
      </c>
      <c r="R163" s="32" t="n"/>
      <c r="S163" s="17" t="inlineStr">
        <is>
          <t>Medida del plano</t>
        </is>
      </c>
    </row>
    <row r="164">
      <c r="A164" s="32" t="inlineStr">
        <is>
          <t>FL_MAT_ABC_5kg</t>
        </is>
      </c>
      <c r="B164" s="32" t="n">
        <v>2</v>
      </c>
      <c r="C164" s="32" t="inlineStr">
        <is>
          <t>ABC5-E2</t>
        </is>
      </c>
      <c r="D164" s="17" t="inlineStr">
        <is>
          <t xml:space="preserve">        Instructivo de uso y mantenimiento</t>
        </is>
      </c>
      <c r="E164" s="32" t="n">
        <v>1</v>
      </c>
      <c r="F164" s="32" t="inlineStr">
        <is>
          <t>u</t>
        </is>
      </c>
      <c r="G164" s="33" t="n"/>
      <c r="H164" s="33" t="n"/>
      <c r="I164" s="32" t="inlineStr">
        <is>
          <t>Papel</t>
        </is>
      </c>
      <c r="J164" s="17" t="inlineStr">
        <is>
          <t>A5</t>
        </is>
      </c>
      <c r="K164" s="32" t="inlineStr">
        <is>
          <t>Compra</t>
        </is>
      </c>
      <c r="L164" s="32" t="inlineStr">
        <is>
          <t>Sí</t>
        </is>
      </c>
      <c r="M164" s="17" t="inlineStr">
        <is>
          <t>Astuprint</t>
        </is>
      </c>
      <c r="N164" s="17" t="inlineStr">
        <is>
          <t>-</t>
        </is>
      </c>
      <c r="O164" s="17" t="inlineStr">
        <is>
          <t>23 Embalaje</t>
        </is>
      </c>
      <c r="P164" s="17" t="n"/>
      <c r="Q164" s="32" t="inlineStr">
        <is>
          <t>I</t>
        </is>
      </c>
      <c r="R164" s="32" t="n"/>
      <c r="S164" s="17" t="inlineStr">
        <is>
          <t>Decisión comercial de FLAMA (las instrucciones de uso obligatorias van en la etiqueta, IRAM 3534)</t>
        </is>
      </c>
    </row>
    <row r="165">
      <c r="A165" s="32" t="inlineStr">
        <is>
          <t>FL_MAT_ABC_5kg</t>
        </is>
      </c>
      <c r="B165" s="32" t="n">
        <v>2</v>
      </c>
      <c r="C165" s="32" t="inlineStr">
        <is>
          <t>ABC5-E3</t>
        </is>
      </c>
      <c r="D165" s="17" t="inlineStr">
        <is>
          <t xml:space="preserve">        Pallet 1200 × 1000 (fracción)</t>
        </is>
      </c>
      <c r="E165" s="32" t="n">
        <v>0.0139</v>
      </c>
      <c r="F165" s="32" t="inlineStr">
        <is>
          <t>u</t>
        </is>
      </c>
      <c r="G165" s="33" t="n"/>
      <c r="H165" s="33" t="n"/>
      <c r="I165" s="32" t="inlineStr">
        <is>
          <t>Madera</t>
        </is>
      </c>
      <c r="J165" s="17" t="inlineStr">
        <is>
          <t>72 u por pallet</t>
        </is>
      </c>
      <c r="K165" s="32" t="inlineStr">
        <is>
          <t>Compra</t>
        </is>
      </c>
      <c r="L165" s="32" t="inlineStr">
        <is>
          <t>Sí</t>
        </is>
      </c>
      <c r="M165" s="17" t="inlineStr">
        <is>
          <t>IndusPallets</t>
        </is>
      </c>
      <c r="N165" s="17" t="inlineStr">
        <is>
          <t>-</t>
        </is>
      </c>
      <c r="O165" s="17" t="inlineStr">
        <is>
          <t>23 Embalaje</t>
        </is>
      </c>
      <c r="P165" s="17" t="n"/>
      <c r="Q165" s="32" t="inlineStr">
        <is>
          <t>C</t>
        </is>
      </c>
      <c r="R165" s="32" t="n"/>
      <c r="S165" s="17" t="inlineStr">
        <is>
          <t>u por pallet = acomodo de la caja (plano) en 1200 × 1000 × 1450 de alto</t>
        </is>
      </c>
    </row>
    <row r="166">
      <c r="A166" s="37" t="inlineStr">
        <is>
          <t>FL_MAT_ABC_5kg</t>
        </is>
      </c>
      <c r="B166" s="37" t="n">
        <v>2</v>
      </c>
      <c r="C166" s="37" t="inlineStr">
        <is>
          <t>ABC5-E4</t>
        </is>
      </c>
      <c r="D166" s="18" t="inlineStr">
        <is>
          <t xml:space="preserve">        Film stretch (fracción del pallet)</t>
        </is>
      </c>
      <c r="E166" s="37" t="n">
        <v>0.0017</v>
      </c>
      <c r="F166" s="37" t="inlineStr">
        <is>
          <t>kg</t>
        </is>
      </c>
      <c r="G166" s="38" t="n">
        <v>1</v>
      </c>
      <c r="H166" s="38">
        <f>E166*G166</f>
        <v/>
      </c>
      <c r="I166" s="37" t="inlineStr">
        <is>
          <t>PE lineal 23 µm</t>
        </is>
      </c>
      <c r="J166" s="18" t="inlineStr">
        <is>
          <t>0,12 kg por pallet / 72 u</t>
        </is>
      </c>
      <c r="K166" s="37" t="inlineStr">
        <is>
          <t>Compra</t>
        </is>
      </c>
      <c r="L166" s="37" t="inlineStr">
        <is>
          <t>Sí</t>
        </is>
      </c>
      <c r="M166" s="18" t="inlineStr">
        <is>
          <t>MV Embalajes</t>
        </is>
      </c>
      <c r="N166" s="18" t="inlineStr">
        <is>
          <t>Embalpack</t>
        </is>
      </c>
      <c r="O166" s="18" t="inlineStr">
        <is>
          <t>24 Envolvedora (T11)</t>
        </is>
      </c>
      <c r="P166" s="18" t="n"/>
      <c r="Q166" s="37" t="inlineStr">
        <is>
          <t>C</t>
        </is>
      </c>
      <c r="R166" s="37" t="n"/>
      <c r="S166"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67">
      <c r="A167" s="32" t="inlineStr">
        <is>
          <t>FL_MAT_ABC_5kg</t>
        </is>
      </c>
      <c r="B167" s="32" t="n">
        <v>2</v>
      </c>
      <c r="C167" s="32" t="inlineStr">
        <is>
          <t>ABC5-E5</t>
        </is>
      </c>
      <c r="D167" s="17" t="inlineStr">
        <is>
          <t xml:space="preserve">        Etiqueta de pallet (lote y destino, fracción)</t>
        </is>
      </c>
      <c r="E167" s="32" t="n">
        <v>0.0139</v>
      </c>
      <c r="F167" s="32" t="inlineStr">
        <is>
          <t>u</t>
        </is>
      </c>
      <c r="G167" s="33" t="n"/>
      <c r="H167" s="33" t="n"/>
      <c r="I167" s="32" t="inlineStr">
        <is>
          <t>Papel térmico</t>
        </is>
      </c>
      <c r="J167" s="17" t="inlineStr">
        <is>
          <t>100 × 150</t>
        </is>
      </c>
      <c r="K167" s="32" t="inlineStr">
        <is>
          <t>Compra</t>
        </is>
      </c>
      <c r="L167" s="32" t="inlineStr">
        <is>
          <t>Sí</t>
        </is>
      </c>
      <c r="M167" s="17" t="inlineStr">
        <is>
          <t>Astuprint</t>
        </is>
      </c>
      <c r="N167" s="17" t="inlineStr">
        <is>
          <t>Multilabel Argentina S.A.</t>
        </is>
      </c>
      <c r="O167" s="17" t="inlineStr">
        <is>
          <t>24 Envolvedora</t>
        </is>
      </c>
      <c r="P167" s="17" t="n"/>
      <c r="Q167" s="32" t="inlineStr">
        <is>
          <t>C</t>
        </is>
      </c>
      <c r="R167" s="32" t="n"/>
      <c r="S167" s="17" t="n"/>
    </row>
    <row r="168">
      <c r="A168" s="37" t="inlineStr">
        <is>
          <t>FL_MAT_ABC_5kg</t>
        </is>
      </c>
      <c r="B168" s="37" t="n">
        <v>2</v>
      </c>
      <c r="C168" s="37" t="inlineStr">
        <is>
          <t>ABC5-E6</t>
        </is>
      </c>
      <c r="D168" s="18" t="inlineStr">
        <is>
          <t xml:space="preserve">        Cinta de embalaje PP 48 mm (cierre de la caja)</t>
        </is>
      </c>
      <c r="E168" s="37" t="n">
        <v>0.767</v>
      </c>
      <c r="F168" s="37" t="inlineStr">
        <is>
          <t>m</t>
        </is>
      </c>
      <c r="G168" s="38" t="n"/>
      <c r="H168" s="38" t="n"/>
      <c r="I168" s="37" t="inlineStr">
        <is>
          <t>Polipropileno con adhesivo acrílico</t>
        </is>
      </c>
      <c r="J168" s="18" t="inlineStr">
        <is>
          <t>cierre en I arriba y abajo: 2 × (244 + 2 × 70 de solapa)</t>
        </is>
      </c>
      <c r="K168" s="37" t="inlineStr">
        <is>
          <t>Compra</t>
        </is>
      </c>
      <c r="L168" s="37" t="inlineStr">
        <is>
          <t>Sí</t>
        </is>
      </c>
      <c r="M168" s="18" t="inlineStr">
        <is>
          <t>MV Embalajes</t>
        </is>
      </c>
      <c r="N168" s="18" t="inlineStr">
        <is>
          <t>Embalpack</t>
        </is>
      </c>
      <c r="O168" s="18" t="inlineStr">
        <is>
          <t>23 Embalaje</t>
        </is>
      </c>
      <c r="P168" s="18" t="n"/>
      <c r="Q168" s="37" t="inlineStr">
        <is>
          <t>C</t>
        </is>
      </c>
      <c r="R168" s="37" t="n"/>
      <c r="S168" s="18" t="inlineStr">
        <is>
          <t>Solapa de 70 mm por lado: práctica de cierre de cajas (medir en la línea)</t>
        </is>
      </c>
    </row>
    <row r="169">
      <c r="A169" s="32" t="inlineStr">
        <is>
          <t>FL_MAT_ABC_5kg</t>
        </is>
      </c>
      <c r="B169" s="32" t="n">
        <v>2</v>
      </c>
      <c r="C169" s="32" t="inlineStr">
        <is>
          <t>ABC5-E7</t>
        </is>
      </c>
      <c r="D169" s="17" t="inlineStr">
        <is>
          <t xml:space="preserve">        Esquineros de cartón 50 × 50 × 1200 (fracción del pallet)</t>
        </is>
      </c>
      <c r="E169" s="32" t="n">
        <v>0.0556</v>
      </c>
      <c r="F169" s="32" t="inlineStr">
        <is>
          <t>u</t>
        </is>
      </c>
      <c r="G169" s="33" t="n"/>
      <c r="H169" s="33" t="n"/>
      <c r="I169" s="32" t="inlineStr">
        <is>
          <t>Cartón</t>
        </is>
      </c>
      <c r="J169" s="17" t="inlineStr">
        <is>
          <t>4 por pallet / 72 u</t>
        </is>
      </c>
      <c r="K169" s="32" t="inlineStr">
        <is>
          <t>Compra</t>
        </is>
      </c>
      <c r="L169" s="32" t="inlineStr">
        <is>
          <t>Sí</t>
        </is>
      </c>
      <c r="M169" s="17" t="inlineStr">
        <is>
          <t>Maxipack</t>
        </is>
      </c>
      <c r="N169" s="17" t="inlineStr">
        <is>
          <t>Cartocan</t>
        </is>
      </c>
      <c r="O169" s="17" t="inlineStr">
        <is>
          <t>24 Envolvedora (T11)</t>
        </is>
      </c>
      <c r="P169" s="17" t="n"/>
      <c r="Q169" s="32" t="inlineStr">
        <is>
          <t>C</t>
        </is>
      </c>
      <c r="R169" s="32" t="n"/>
      <c r="S169" s="17" t="inlineStr">
        <is>
          <t>Planilla MP-64</t>
        </is>
      </c>
    </row>
    <row r="170">
      <c r="A170" s="26" t="inlineStr">
        <is>
          <t>FL_MAT_ABC_10kg</t>
        </is>
      </c>
      <c r="B170" s="26" t="n">
        <v>0</v>
      </c>
      <c r="C170" s="26" t="inlineStr">
        <is>
          <t>FL_MAT_ABC_10kg</t>
        </is>
      </c>
      <c r="D170" s="27" t="inlineStr">
        <is>
          <t>Extintor ABC 10 kg</t>
        </is>
      </c>
      <c r="E170" s="26" t="n">
        <v>1</v>
      </c>
      <c r="F170" s="26" t="inlineStr">
        <is>
          <t>u</t>
        </is>
      </c>
      <c r="G170" s="28" t="n"/>
      <c r="H170" s="28" t="n"/>
      <c r="I170" s="26" t="n"/>
      <c r="J170" s="27" t="n"/>
      <c r="K170" s="26" t="n"/>
      <c r="L170" s="26" t="n"/>
      <c r="M170" s="27" t="n"/>
      <c r="N170" s="27" t="n"/>
      <c r="O170" s="27" t="n"/>
      <c r="P170" s="27" t="inlineStr">
        <is>
          <t>IRAM 3523</t>
        </is>
      </c>
      <c r="Q170" s="26" t="inlineStr">
        <is>
          <t>P</t>
        </is>
      </c>
      <c r="R170" s="26" t="inlineStr">
        <is>
          <t>FL_MAT_ABC_10kg</t>
        </is>
      </c>
      <c r="S170" s="27" t="inlineStr">
        <is>
          <t>Fabricación propia</t>
        </is>
      </c>
    </row>
    <row r="171">
      <c r="A171" s="29" t="inlineStr">
        <is>
          <t>FL_MAT_ABC_10kg</t>
        </is>
      </c>
      <c r="B171" s="29" t="n">
        <v>1</v>
      </c>
      <c r="C171" s="29" t="inlineStr">
        <is>
          <t>FL_REC_ABC_10kg</t>
        </is>
      </c>
      <c r="D171" s="30" t="inlineStr">
        <is>
          <t xml:space="preserve">    Recipiente (cilindro)</t>
        </is>
      </c>
      <c r="E171" s="29" t="n">
        <v>1</v>
      </c>
      <c r="F171" s="29" t="inlineStr">
        <is>
          <t>u</t>
        </is>
      </c>
      <c r="G171" s="31" t="n"/>
      <c r="H171" s="31">
        <f>H172+H174+H176+H178+H179</f>
        <v/>
      </c>
      <c r="I171" s="29" t="n"/>
      <c r="J171" s="30" t="n"/>
      <c r="K171" s="29" t="inlineStr">
        <is>
          <t>Fabricación</t>
        </is>
      </c>
      <c r="L171" s="29" t="n"/>
      <c r="M171" s="30" t="n"/>
      <c r="N171" s="30" t="n"/>
      <c r="O171" s="30" t="n"/>
      <c r="P171" s="30" t="inlineStr">
        <is>
          <t>IRAM 3523 / 3550 (recipiente)</t>
        </is>
      </c>
      <c r="Q171" s="29" t="inlineStr">
        <is>
          <t>P</t>
        </is>
      </c>
      <c r="R171" s="29" t="inlineStr">
        <is>
          <t>FL_REC_ABC_10kg</t>
        </is>
      </c>
      <c r="S171" s="30" t="n"/>
    </row>
    <row r="172">
      <c r="A172" s="32" t="inlineStr">
        <is>
          <t>FL_MAT_ABC_10kg</t>
        </is>
      </c>
      <c r="B172" s="32" t="n">
        <v>2</v>
      </c>
      <c r="C172" s="32" t="inlineStr">
        <is>
          <t>ABC10-01</t>
        </is>
      </c>
      <c r="D172" s="17" t="inlineStr">
        <is>
          <t xml:space="preserve">        Cuerpo (virola)</t>
        </is>
      </c>
      <c r="E172" s="32" t="n">
        <v>1</v>
      </c>
      <c r="F172" s="32" t="inlineStr">
        <is>
          <t>u</t>
        </is>
      </c>
      <c r="G172" s="33" t="n">
        <v>4.3636</v>
      </c>
      <c r="H172" s="33">
        <f>E172*G172</f>
        <v/>
      </c>
      <c r="I172" s="32" t="inlineStr">
        <is>
          <t>Chapa LAF IRAM-IAS U 500-05 e=2</t>
        </is>
      </c>
      <c r="J172" s="17" t="inlineStr">
        <is>
          <t>Ø181,5 × e2 × 493,1 de alto; desarrollo 563,9 × 493,1</t>
        </is>
      </c>
      <c r="K172" s="32" t="inlineStr">
        <is>
          <t>Fabricación</t>
        </is>
      </c>
      <c r="L172" s="32" t="inlineStr">
        <is>
          <t>No</t>
        </is>
      </c>
      <c r="M172" s="17" t="n"/>
      <c r="N172" s="17" t="n"/>
      <c r="O172" s="17" t="inlineStr">
        <is>
          <t>1 Guillotina -&gt; 3 cilindrado -&gt; 4 soldadura longitudinal -&gt; 9 encastre del fondo -&gt; 10 bordoneado</t>
        </is>
      </c>
      <c r="P172" s="17" t="n"/>
      <c r="Q172" s="32" t="inlineStr">
        <is>
          <t>P</t>
        </is>
      </c>
      <c r="R172" s="32" t="inlineStr">
        <is>
          <t>FL_DES_ABC_10kg</t>
        </is>
      </c>
      <c r="S172" s="17" t="inlineStr">
        <is>
          <t>costura long. MAG</t>
        </is>
      </c>
    </row>
    <row r="173">
      <c r="A173" s="34" t="inlineStr">
        <is>
          <t>FL_MAT_ABC_10kg</t>
        </is>
      </c>
      <c r="B173" s="34" t="n">
        <v>3</v>
      </c>
      <c r="C173" s="34" t="inlineStr">
        <is>
          <t>MP-HOJA</t>
        </is>
      </c>
      <c r="D173" s="35" t="inlineStr">
        <is>
          <t xml:space="preserve">            Recorte de hoja LAF 1500 × 3000 e=2</t>
        </is>
      </c>
      <c r="E173" s="34" t="n">
        <v>1</v>
      </c>
      <c r="F173" s="34" t="inlineStr">
        <is>
          <t>u</t>
        </is>
      </c>
      <c r="G173" s="36" t="n">
        <v>4.71</v>
      </c>
      <c r="H173" s="36">
        <f>E173*G173</f>
        <v/>
      </c>
      <c r="I173" s="34" t="inlineStr">
        <is>
          <t>Chapa LAF IRAM-IAS U 500-05 LAF</t>
        </is>
      </c>
      <c r="J173" s="35" t="inlineStr">
        <is>
          <t>495 × 563 (aprovech. 92,9 %)</t>
        </is>
      </c>
      <c r="K173" s="34" t="inlineStr">
        <is>
          <t>Compra</t>
        </is>
      </c>
      <c r="L173" s="34" t="inlineStr">
        <is>
          <t>Sí</t>
        </is>
      </c>
      <c r="M173" s="35" t="inlineStr">
        <is>
          <t>Pradecon S.A.</t>
        </is>
      </c>
      <c r="N173" s="35" t="inlineStr">
        <is>
          <t>Pacheco Chapas</t>
        </is>
      </c>
      <c r="O173" s="35" t="inlineStr">
        <is>
          <t>AL-1H paquetes de hojas</t>
        </is>
      </c>
      <c r="P173" s="35" t="n"/>
      <c r="Q173" s="34" t="inlineStr">
        <is>
          <t>L</t>
        </is>
      </c>
      <c r="R173" s="34" t="inlineStr">
        <is>
          <t>FL_PI_04 h2</t>
        </is>
      </c>
      <c r="S173" s="35" t="n"/>
    </row>
    <row r="174">
      <c r="A174" s="32" t="inlineStr">
        <is>
          <t>FL_MAT_ABC_10kg</t>
        </is>
      </c>
      <c r="B174" s="32" t="n">
        <v>2</v>
      </c>
      <c r="C174" s="32" t="inlineStr">
        <is>
          <t>ABC10-02</t>
        </is>
      </c>
      <c r="D174" s="17" t="inlineStr">
        <is>
          <t xml:space="preserve">        Cúpula</t>
        </is>
      </c>
      <c r="E174" s="32" t="n">
        <v>1</v>
      </c>
      <c r="F174" s="32" t="inlineStr">
        <is>
          <t>u</t>
        </is>
      </c>
      <c r="G174" s="33" t="n">
        <v>0.501</v>
      </c>
      <c r="H174" s="33">
        <f>E174*G174</f>
        <v/>
      </c>
      <c r="I174" s="32" t="inlineStr">
        <is>
          <t>Chapa LAF IRAM-IAS U 500-05 e=1,6</t>
        </is>
      </c>
      <c r="J174" s="17" t="inlineStr">
        <is>
          <t>Ø181,5 × e1,6 × 61,4 de alto; disco Ø258</t>
        </is>
      </c>
      <c r="K174" s="32" t="inlineStr">
        <is>
          <t>Fabricación</t>
        </is>
      </c>
      <c r="L174" s="32" t="inlineStr">
        <is>
          <t>No</t>
        </is>
      </c>
      <c r="M174" s="17" t="n"/>
      <c r="N174" s="17" t="n"/>
      <c r="O174" s="17" t="inlineStr">
        <is>
          <t>6 Desbobinado + embutido (M06-M08) -&gt; numerado de cúpula (micropercusión, en arco junto al cuello) -&gt; 8 soldadura de cuello</t>
        </is>
      </c>
      <c r="P174" s="17" t="n"/>
      <c r="Q174" s="32" t="inlineStr">
        <is>
          <t>P</t>
        </is>
      </c>
      <c r="R174" s="32" t="inlineStr">
        <is>
          <t>FL_DES_ABC_10kg</t>
        </is>
      </c>
      <c r="S174" s="17" t="inlineStr">
        <is>
          <t>embutida</t>
        </is>
      </c>
    </row>
    <row r="175">
      <c r="A175" s="34" t="inlineStr">
        <is>
          <t>FL_MAT_ABC_10kg</t>
        </is>
      </c>
      <c r="B175" s="34" t="n">
        <v>3</v>
      </c>
      <c r="C175" s="34" t="inlineStr">
        <is>
          <t>MP-FLEJE</t>
        </is>
      </c>
      <c r="D175" s="35" t="inlineStr">
        <is>
          <t xml:space="preserve">            Fleje e=1,6 × 300 (paso 261)</t>
        </is>
      </c>
      <c r="E175" s="34" t="n">
        <v>0.261</v>
      </c>
      <c r="F175" s="34" t="inlineStr">
        <is>
          <t>m</t>
        </is>
      </c>
      <c r="G175" s="36" t="n">
        <v>3.768</v>
      </c>
      <c r="H175" s="36">
        <f>E175*G175</f>
        <v/>
      </c>
      <c r="I175" s="34" t="inlineStr">
        <is>
          <t>Fleje SAE 1010</t>
        </is>
      </c>
      <c r="J175" s="35" t="inlineStr">
        <is>
          <t>disco Ø258 (kg por m de fleje)</t>
        </is>
      </c>
      <c r="K175" s="34" t="inlineStr">
        <is>
          <t>Compra</t>
        </is>
      </c>
      <c r="L175" s="34" t="inlineStr">
        <is>
          <t>Sí</t>
        </is>
      </c>
      <c r="M175" s="35" t="inlineStr">
        <is>
          <t>Pacheco Chapas</t>
        </is>
      </c>
      <c r="N175" s="35" t="inlineStr">
        <is>
          <t>Pradecon S.A.</t>
        </is>
      </c>
      <c r="O175" s="35" t="inlineStr">
        <is>
          <t>AL-1F porta-flejes</t>
        </is>
      </c>
      <c r="P175" s="35" t="n"/>
      <c r="Q175" s="34" t="inlineStr">
        <is>
          <t>L</t>
        </is>
      </c>
      <c r="R175" s="34" t="inlineStr">
        <is>
          <t>FL_PI_04 h2</t>
        </is>
      </c>
      <c r="S175" s="35" t="n"/>
    </row>
    <row r="176">
      <c r="A176" s="32" t="inlineStr">
        <is>
          <t>FL_MAT_ABC_10kg</t>
        </is>
      </c>
      <c r="B176" s="32" t="n">
        <v>2</v>
      </c>
      <c r="C176" s="32" t="inlineStr">
        <is>
          <t>ABC10-03</t>
        </is>
      </c>
      <c r="D176" s="17" t="inlineStr">
        <is>
          <t xml:space="preserve">        Fondo</t>
        </is>
      </c>
      <c r="E176" s="32" t="n">
        <v>1</v>
      </c>
      <c r="F176" s="32" t="inlineStr">
        <is>
          <t>u</t>
        </is>
      </c>
      <c r="G176" s="33" t="n">
        <v>0.5084</v>
      </c>
      <c r="H176" s="33">
        <f>E176*G176</f>
        <v/>
      </c>
      <c r="I176" s="32" t="inlineStr">
        <is>
          <t>Chapa LAF IRAM-IAS U 500-05 e=2</t>
        </is>
      </c>
      <c r="J176" s="17" t="inlineStr">
        <is>
          <t>Ø181,5 × e2 × 21,7 de alto; disco Ø205</t>
        </is>
      </c>
      <c r="K176" s="32" t="inlineStr">
        <is>
          <t>Fabricación</t>
        </is>
      </c>
      <c r="L176" s="32" t="inlineStr">
        <is>
          <t>No</t>
        </is>
      </c>
      <c r="M176" s="17" t="n"/>
      <c r="N176" s="17" t="n"/>
      <c r="O176" s="17" t="inlineStr">
        <is>
          <t>6 Desbobinado + embutido (M06-M08)</t>
        </is>
      </c>
      <c r="P176" s="17" t="n"/>
      <c r="Q176" s="32" t="inlineStr">
        <is>
          <t>P</t>
        </is>
      </c>
      <c r="R176" s="32" t="inlineStr">
        <is>
          <t>FL_DES_ABC_10kg</t>
        </is>
      </c>
      <c r="S176" s="17" t="inlineStr">
        <is>
          <t>embutido</t>
        </is>
      </c>
    </row>
    <row r="177">
      <c r="A177" s="34" t="inlineStr">
        <is>
          <t>FL_MAT_ABC_10kg</t>
        </is>
      </c>
      <c r="B177" s="34" t="n">
        <v>3</v>
      </c>
      <c r="C177" s="34" t="inlineStr">
        <is>
          <t>MP-FLEJE</t>
        </is>
      </c>
      <c r="D177" s="35" t="inlineStr">
        <is>
          <t xml:space="preserve">            Fleje e=2 × 249 (paso 208)</t>
        </is>
      </c>
      <c r="E177" s="34" t="n">
        <v>0.208</v>
      </c>
      <c r="F177" s="34" t="inlineStr">
        <is>
          <t>m</t>
        </is>
      </c>
      <c r="G177" s="36" t="n">
        <v>3.909</v>
      </c>
      <c r="H177" s="36">
        <f>E177*G177</f>
        <v/>
      </c>
      <c r="I177" s="34" t="inlineStr">
        <is>
          <t>Fleje SAE 1010</t>
        </is>
      </c>
      <c r="J177" s="35" t="inlineStr">
        <is>
          <t>disco Ø205 (kg por m de fleje)</t>
        </is>
      </c>
      <c r="K177" s="34" t="inlineStr">
        <is>
          <t>Compra</t>
        </is>
      </c>
      <c r="L177" s="34" t="inlineStr">
        <is>
          <t>Sí</t>
        </is>
      </c>
      <c r="M177" s="35" t="inlineStr">
        <is>
          <t>Pacheco Chapas</t>
        </is>
      </c>
      <c r="N177" s="35" t="inlineStr">
        <is>
          <t>Pradecon S.A.</t>
        </is>
      </c>
      <c r="O177" s="35" t="inlineStr">
        <is>
          <t>AL-1F porta-flejes</t>
        </is>
      </c>
      <c r="P177" s="35" t="n"/>
      <c r="Q177" s="34" t="inlineStr">
        <is>
          <t>L</t>
        </is>
      </c>
      <c r="R177" s="34" t="inlineStr">
        <is>
          <t>FL_PI_04 h2</t>
        </is>
      </c>
      <c r="S177" s="35" t="n"/>
    </row>
    <row r="178">
      <c r="A178" s="32" t="inlineStr">
        <is>
          <t>FL_MAT_ABC_10kg</t>
        </is>
      </c>
      <c r="B178" s="32" t="n">
        <v>2</v>
      </c>
      <c r="C178" s="32" t="inlineStr">
        <is>
          <t>ABC10-04</t>
        </is>
      </c>
      <c r="D178" s="17" t="inlineStr">
        <is>
          <t xml:space="preserve">        Cuello roscado</t>
        </is>
      </c>
      <c r="E178" s="32" t="n">
        <v>1</v>
      </c>
      <c r="F178" s="32" t="inlineStr">
        <is>
          <t>u</t>
        </is>
      </c>
      <c r="G178" s="33" t="n">
        <v>0.0541</v>
      </c>
      <c r="H178" s="33">
        <f>E178*G178</f>
        <v/>
      </c>
      <c r="I178" s="32" t="inlineStr">
        <is>
          <t>Acero SAE 1010</t>
        </is>
      </c>
      <c r="J178" s="17" t="inlineStr">
        <is>
          <t>Ø36,8 × 14 de alto, rosca M30x1,5, asiento Ø35</t>
        </is>
      </c>
      <c r="K178" s="32" t="inlineStr">
        <is>
          <t>Compra (mecanizado, Eli-Met)</t>
        </is>
      </c>
      <c r="L178" s="32" t="inlineStr">
        <is>
          <t>Sí</t>
        </is>
      </c>
      <c r="M178" s="17" t="inlineStr">
        <is>
          <t>Eli-Met</t>
        </is>
      </c>
      <c r="N178" s="17" t="inlineStr">
        <is>
          <t>-</t>
        </is>
      </c>
      <c r="O178" s="17" t="inlineStr">
        <is>
          <t>Compra -&gt; 8 soldadura de cuello</t>
        </is>
      </c>
      <c r="P178" s="17" t="n"/>
      <c r="Q178" s="32" t="inlineStr">
        <is>
          <t>P</t>
        </is>
      </c>
      <c r="R178" s="32" t="inlineStr">
        <is>
          <t>FL_DES_ABC_10kg</t>
        </is>
      </c>
      <c r="S178" s="17" t="inlineStr">
        <is>
          <t>M30x1,5</t>
        </is>
      </c>
    </row>
    <row r="179">
      <c r="A179" s="37" t="inlineStr">
        <is>
          <t>FL_MAT_ABC_10kg</t>
        </is>
      </c>
      <c r="B179" s="37" t="n">
        <v>2</v>
      </c>
      <c r="C179" s="37" t="inlineStr">
        <is>
          <t>ABC10-C1</t>
        </is>
      </c>
      <c r="D179" s="18" t="inlineStr">
        <is>
          <t xml:space="preserve">        Alambre MAG ER70S-6 Ø0,9 (AWS A5.18)</t>
        </is>
      </c>
      <c r="E179" s="37" t="n">
        <v>0.0985</v>
      </c>
      <c r="F179" s="37" t="inlineStr">
        <is>
          <t>kg</t>
        </is>
      </c>
      <c r="G179" s="38" t="n">
        <v>0.95</v>
      </c>
      <c r="H179" s="38">
        <f>E179*G179</f>
        <v/>
      </c>
      <c r="I179" s="37" t="inlineStr">
        <is>
          <t>ER70S-6</t>
        </is>
      </c>
      <c r="J179" s="18" t="inlineStr">
        <is>
          <t>metal depositado de los cordones del plano 94 g / rendimiento 0,95</t>
        </is>
      </c>
      <c r="K179" s="37" t="inlineStr">
        <is>
          <t>Compra</t>
        </is>
      </c>
      <c r="L179" s="37" t="inlineStr">
        <is>
          <t>Sí</t>
        </is>
      </c>
      <c r="M179" s="18" t="inlineStr">
        <is>
          <t>Conarco (ESAB Argentina)</t>
        </is>
      </c>
      <c r="N179" s="18" t="inlineStr">
        <is>
          <t>-</t>
        </is>
      </c>
      <c r="O179" s="18" t="inlineStr">
        <is>
          <t>4 sold. long. / 8 cuello / 11 circunferencial</t>
        </is>
      </c>
      <c r="P179" s="18" t="inlineStr">
        <is>
          <t>IRAM 3523 3.2.4.2 · IRAM 3550 4.1.2</t>
        </is>
      </c>
      <c r="Q179" s="37" t="inlineStr">
        <is>
          <t>C</t>
        </is>
      </c>
      <c r="R179" s="37" t="n"/>
      <c r="S17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80">
      <c r="A180" s="37" t="inlineStr">
        <is>
          <t>FL_MAT_ABC_10kg</t>
        </is>
      </c>
      <c r="B180" s="37" t="n">
        <v>2</v>
      </c>
      <c r="C180" s="37" t="inlineStr">
        <is>
          <t>ABC10-C2</t>
        </is>
      </c>
      <c r="D180" s="18" t="inlineStr">
        <is>
          <t xml:space="preserve">        Gas de protección MAG Arcal 21 / ARCAL Speed (Ar + 8 % CO₂, M20)</t>
        </is>
      </c>
      <c r="E180" s="37" t="n">
        <v>40.8</v>
      </c>
      <c r="F180" s="37" t="inlineStr">
        <is>
          <t>L</t>
        </is>
      </c>
      <c r="G180" s="38" t="n"/>
      <c r="H180" s="38" t="n"/>
      <c r="I180" s="37" t="inlineStr">
        <is>
          <t>EN ISO 14175 M20-ArC-8</t>
        </is>
      </c>
      <c r="J180" s="18" t="inlineStr">
        <is>
          <t>14 L/min × 2,92 min de arco (cordones 1.749 mm: long. 493 + circ. 1.140 + cuello 116, a 600 mm/min)</t>
        </is>
      </c>
      <c r="K180" s="37" t="inlineStr">
        <is>
          <t>Compra</t>
        </is>
      </c>
      <c r="L180" s="37" t="inlineStr">
        <is>
          <t>Sí</t>
        </is>
      </c>
      <c r="M180" s="18" t="inlineStr">
        <is>
          <t>Air Liquide Argentina - sucursal Piñeyro</t>
        </is>
      </c>
      <c r="N180" s="18" t="inlineStr">
        <is>
          <t>Gogniat</t>
        </is>
      </c>
      <c r="O180" s="18" t="inlineStr">
        <is>
          <t>Colector SC</t>
        </is>
      </c>
      <c r="P180" s="18" t="inlineStr">
        <is>
          <t>IRAM 3523 3.2.4.2 · IRAM 3550 3.2.2.2</t>
        </is>
      </c>
      <c r="Q180" s="37" t="inlineStr">
        <is>
          <t>C</t>
        </is>
      </c>
      <c r="R180" s="37" t="n"/>
      <c r="S18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81">
      <c r="A181" s="37" t="inlineStr">
        <is>
          <t>FL_MAT_ABC_10kg</t>
        </is>
      </c>
      <c r="B181" s="37" t="n">
        <v>2</v>
      </c>
      <c r="C181" s="37" t="inlineStr">
        <is>
          <t>ABC10-C3</t>
        </is>
      </c>
      <c r="D181" s="18" t="inlineStr">
        <is>
          <t xml:space="preserve">        Granalla de acero S330 / S390 (ISO 11124-3, SAE J444)</t>
        </is>
      </c>
      <c r="E181" s="37" t="n">
        <v>0.08</v>
      </c>
      <c r="F181" s="37" t="inlineStr">
        <is>
          <t>kg</t>
        </is>
      </c>
      <c r="G181" s="38" t="n"/>
      <c r="H181" s="38" t="n"/>
      <c r="I181" s="37" t="inlineStr">
        <is>
          <t>Granalla esférica alto C</t>
        </is>
      </c>
      <c r="J181" s="18" t="inlineStr">
        <is>
          <t>0,35 m² a Sa 2½ (ISO 8501-1); 3,4 kg/h ÷ 42,5 u/h</t>
        </is>
      </c>
      <c r="K181" s="37" t="inlineStr">
        <is>
          <t>Compra</t>
        </is>
      </c>
      <c r="L181" s="37" t="inlineStr">
        <is>
          <t>Sí</t>
        </is>
      </c>
      <c r="M181" s="18" t="inlineStr">
        <is>
          <t>CyM Materiales</t>
        </is>
      </c>
      <c r="N181" s="18" t="inlineStr">
        <is>
          <t>Roca Ingeniería</t>
        </is>
      </c>
      <c r="O181" s="18" t="inlineStr">
        <is>
          <t>14 Granallado (B08)</t>
        </is>
      </c>
      <c r="P181" s="18" t="inlineStr">
        <is>
          <t>DOC-01</t>
        </is>
      </c>
      <c r="Q181" s="37" t="inlineStr">
        <is>
          <t>C</t>
        </is>
      </c>
      <c r="R181" s="37" t="n"/>
      <c r="S181" s="18" t="inlineStr">
        <is>
          <t>Consumo (desgaste) por turbina ≈ HP / 2 lb/h (The Fabricator, «aspectos básicos del granallado por turbina»): G-100 con 2 × 7,5 HP = 7,5 lb/h = 3,4 kg/h; ritmo 340 u por turno (Getweld) = 42,5 u/h.</t>
        </is>
      </c>
    </row>
    <row r="182">
      <c r="A182" s="32" t="inlineStr">
        <is>
          <t>FL_MAT_ABC_10kg</t>
        </is>
      </c>
      <c r="B182" s="32" t="n">
        <v>2</v>
      </c>
      <c r="C182" s="32" t="inlineStr">
        <is>
          <t>ABC10-C4</t>
        </is>
      </c>
      <c r="D182" s="17" t="inlineStr">
        <is>
          <t xml:space="preserve">        Servicio de pintura en polvo al horno, rojo 03-1-050</t>
        </is>
      </c>
      <c r="E182" s="32" t="n">
        <v>1</v>
      </c>
      <c r="F182" s="32" t="inlineStr">
        <is>
          <t>u</t>
        </is>
      </c>
      <c r="G182" s="33" t="n"/>
      <c r="H182" s="33" t="n"/>
      <c r="I182" s="32" t="inlineStr">
        <is>
          <t>Servicio tercerizado</t>
        </is>
      </c>
      <c r="J182" s="17" t="inlineStr">
        <is>
          <t>superficie exterior 0,35 m²</t>
        </is>
      </c>
      <c r="K182" s="32" t="inlineStr">
        <is>
          <t>Compra (servicio)</t>
        </is>
      </c>
      <c r="L182" s="32" t="inlineStr">
        <is>
          <t>Sí</t>
        </is>
      </c>
      <c r="M182" s="17" t="inlineStr">
        <is>
          <t>Prymax</t>
        </is>
      </c>
      <c r="N182" s="17" t="inlineStr">
        <is>
          <t>Pintor de carros (cotización por mensaje)</t>
        </is>
      </c>
      <c r="O182" s="17" t="inlineStr">
        <is>
          <t>17 Pintura tercerizada</t>
        </is>
      </c>
      <c r="P182" s="17" t="inlineStr">
        <is>
          <t>IRAM 3523 5.3 / IRAM 3550 3.11 · IRAM 121</t>
        </is>
      </c>
      <c r="Q182" s="32" t="inlineStr">
        <is>
          <t>Q</t>
        </is>
      </c>
      <c r="R182" s="32" t="n"/>
      <c r="S182" s="17" t="inlineStr">
        <is>
          <t>Q-PRYMAX (precio por cilindro); exigir informe de niebla salina del sistema de pintura; tercerización aceptada por el Ministerio (Res. 349/07 art. 18)</t>
        </is>
      </c>
    </row>
    <row r="183">
      <c r="A183" s="29" t="inlineStr">
        <is>
          <t>FL_MAT_ABC_10kg</t>
        </is>
      </c>
      <c r="B183" s="29" t="n">
        <v>1</v>
      </c>
      <c r="C183" s="29" t="inlineStr">
        <is>
          <t>ABC10-S2</t>
        </is>
      </c>
      <c r="D183" s="30" t="inlineStr">
        <is>
          <t xml:space="preserve">    Conjunto de válvula</t>
        </is>
      </c>
      <c r="E183" s="29" t="n">
        <v>1</v>
      </c>
      <c r="F183" s="29" t="inlineStr">
        <is>
          <t>u</t>
        </is>
      </c>
      <c r="G183" s="31" t="n"/>
      <c r="H183" s="31">
        <f>H184+H185+H186+H188+H189+H190+H191+H192+H193+H194+H195</f>
        <v/>
      </c>
      <c r="I183" s="29" t="n"/>
      <c r="J183" s="30" t="n"/>
      <c r="K183" s="29" t="inlineStr">
        <is>
          <t>Compra / armado</t>
        </is>
      </c>
      <c r="L183" s="29" t="n"/>
      <c r="M183" s="30" t="n"/>
      <c r="N183" s="30" t="n"/>
      <c r="O183" s="30" t="n"/>
      <c r="P183" s="30" t="inlineStr">
        <is>
          <t>Manómetro IRAM 3533</t>
        </is>
      </c>
      <c r="Q183" s="29" t="inlineStr">
        <is>
          <t>P</t>
        </is>
      </c>
      <c r="R183" s="29" t="inlineStr">
        <is>
          <t>FL_DES_ABC_10kg</t>
        </is>
      </c>
      <c r="S183" s="30" t="n"/>
    </row>
    <row r="184">
      <c r="A184" s="32" t="inlineStr">
        <is>
          <t>FL_MAT_ABC_10kg</t>
        </is>
      </c>
      <c r="B184" s="32" t="n">
        <v>2</v>
      </c>
      <c r="C184" s="32" t="inlineStr">
        <is>
          <t>ABC10-05</t>
        </is>
      </c>
      <c r="D184" s="17" t="inlineStr">
        <is>
          <t xml:space="preserve">        Espiga roscada</t>
        </is>
      </c>
      <c r="E184" s="32" t="n">
        <v>1</v>
      </c>
      <c r="F184" s="32" t="inlineStr">
        <is>
          <t>u</t>
        </is>
      </c>
      <c r="G184" s="33" t="n">
        <v>0.0245</v>
      </c>
      <c r="H184" s="33">
        <f>E184*G184</f>
        <v/>
      </c>
      <c r="I184" s="32" t="inlineStr">
        <is>
          <t>Latón forjado</t>
        </is>
      </c>
      <c r="J184" s="17" t="inlineStr">
        <is>
          <t>29,8 × 29,8 × 10,8</t>
        </is>
      </c>
      <c r="K184" s="32" t="inlineStr">
        <is>
          <t>Incluido en válvula HZ</t>
        </is>
      </c>
      <c r="L184" s="32" t="inlineStr">
        <is>
          <t>No</t>
        </is>
      </c>
      <c r="M184" s="17" t="n"/>
      <c r="N184" s="17" t="n"/>
      <c r="O184" s="17" t="inlineStr">
        <is>
          <t>19 Ensamblaje de válvula (T03/T04)</t>
        </is>
      </c>
      <c r="P184" s="17" t="n"/>
      <c r="Q184" s="32" t="inlineStr">
        <is>
          <t>P</t>
        </is>
      </c>
      <c r="R184" s="32" t="inlineStr">
        <is>
          <t>FL_DES_ABC_10kg</t>
        </is>
      </c>
      <c r="S184" s="17" t="n"/>
    </row>
    <row r="185">
      <c r="A185" s="32" t="inlineStr">
        <is>
          <t>FL_MAT_ABC_10kg</t>
        </is>
      </c>
      <c r="B185" s="32" t="n">
        <v>2</v>
      </c>
      <c r="C185" s="32" t="inlineStr">
        <is>
          <t>ABC10-06</t>
        </is>
      </c>
      <c r="D185" s="17" t="inlineStr">
        <is>
          <t xml:space="preserve">        Collarín de válvula</t>
        </is>
      </c>
      <c r="E185" s="32" t="n">
        <v>1</v>
      </c>
      <c r="F185" s="32" t="inlineStr">
        <is>
          <t>u</t>
        </is>
      </c>
      <c r="G185" s="33" t="n">
        <v>0.0053</v>
      </c>
      <c r="H185" s="33">
        <f>E185*G185</f>
        <v/>
      </c>
      <c r="I185" s="32" t="inlineStr">
        <is>
          <t>Latón forjado</t>
        </is>
      </c>
      <c r="J185" s="17" t="inlineStr">
        <is>
          <t>27,2 × 27,2 × 4,1</t>
        </is>
      </c>
      <c r="K185" s="32" t="inlineStr">
        <is>
          <t>Incluido en válvula HZ</t>
        </is>
      </c>
      <c r="L185" s="32" t="inlineStr">
        <is>
          <t>No</t>
        </is>
      </c>
      <c r="M185" s="17" t="n"/>
      <c r="N185" s="17" t="n"/>
      <c r="O185" s="17" t="inlineStr">
        <is>
          <t>19 Ensamblaje de válvula (T03/T04)</t>
        </is>
      </c>
      <c r="P185" s="17" t="n"/>
      <c r="Q185" s="32" t="inlineStr">
        <is>
          <t>P</t>
        </is>
      </c>
      <c r="R185" s="32" t="inlineStr">
        <is>
          <t>FL_DES_ABC_10kg</t>
        </is>
      </c>
      <c r="S185" s="17" t="n"/>
    </row>
    <row r="186">
      <c r="A186" s="32" t="inlineStr">
        <is>
          <t>FL_MAT_ABC_10kg</t>
        </is>
      </c>
      <c r="B186" s="32" t="n">
        <v>2</v>
      </c>
      <c r="C186" s="32" t="inlineStr">
        <is>
          <t>ABC10-07</t>
        </is>
      </c>
      <c r="D186" s="17" t="inlineStr">
        <is>
          <t xml:space="preserve">        Cuerpo de válvula</t>
        </is>
      </c>
      <c r="E186" s="32" t="n">
        <v>1</v>
      </c>
      <c r="F186" s="32" t="inlineStr">
        <is>
          <t>u</t>
        </is>
      </c>
      <c r="G186" s="33" t="n">
        <v>0.1328</v>
      </c>
      <c r="H186" s="33">
        <f>E186*G186</f>
        <v/>
      </c>
      <c r="I186" s="32" t="inlineStr">
        <is>
          <t>Latón forjado</t>
        </is>
      </c>
      <c r="J186" s="17" t="inlineStr">
        <is>
          <t>43,9 × 32 × 24,5</t>
        </is>
      </c>
      <c r="K186" s="32" t="inlineStr">
        <is>
          <t>Incluido en válvula HZ</t>
        </is>
      </c>
      <c r="L186" s="32" t="inlineStr">
        <is>
          <t>No</t>
        </is>
      </c>
      <c r="M186" s="17" t="n"/>
      <c r="N186" s="17" t="n"/>
      <c r="O186" s="17" t="inlineStr">
        <is>
          <t>19 Ensamblaje de válvula (T03/T04)</t>
        </is>
      </c>
      <c r="P186" s="17" t="n"/>
      <c r="Q186" s="32" t="inlineStr">
        <is>
          <t>P</t>
        </is>
      </c>
      <c r="R186" s="32" t="inlineStr">
        <is>
          <t>FL_DES_ABC_10kg</t>
        </is>
      </c>
      <c r="S186" s="17" t="n"/>
    </row>
    <row r="187">
      <c r="A187" s="41" t="inlineStr">
        <is>
          <t>FL_MAT_ABC_10kg</t>
        </is>
      </c>
      <c r="B187" s="41" t="n">
        <v>2</v>
      </c>
      <c r="C187" s="41" t="inlineStr">
        <is>
          <t>ABC10-08</t>
        </is>
      </c>
      <c r="D187" s="42" t="inlineStr">
        <is>
          <t xml:space="preserve">        Manómetro</t>
        </is>
      </c>
      <c r="E187" s="41" t="n">
        <v>1</v>
      </c>
      <c r="F187" s="41" t="inlineStr">
        <is>
          <t>u</t>
        </is>
      </c>
      <c r="G187" s="43" t="n"/>
      <c r="H187" s="43" t="n"/>
      <c r="I187" s="41" t="inlineStr">
        <is>
          <t>Comercial</t>
        </is>
      </c>
      <c r="J187" s="42" t="inlineStr">
        <is>
          <t>Ø36 esfera, rango 0-3,5 MPa, sector verde en 1,4</t>
        </is>
      </c>
      <c r="K187" s="41" t="inlineStr">
        <is>
          <t>Compra</t>
        </is>
      </c>
      <c r="L187" s="41" t="inlineStr">
        <is>
          <t>Sí</t>
        </is>
      </c>
      <c r="M187" s="42" t="inlineStr">
        <is>
          <t>Yukon / MatafuegosYa S.R.L.</t>
        </is>
      </c>
      <c r="N187" s="42" t="inlineStr">
        <is>
          <t>Matafuegos Iglesias</t>
        </is>
      </c>
      <c r="O187" s="42" t="inlineStr">
        <is>
          <t>19 Ensamblaje de válvula (T03/T04)</t>
        </is>
      </c>
      <c r="P187" s="42" t="inlineStr">
        <is>
          <t>IRAM 3533</t>
        </is>
      </c>
      <c r="Q187" s="41" t="inlineStr">
        <is>
          <t>P</t>
        </is>
      </c>
      <c r="R187" s="41" t="inlineStr">
        <is>
          <t>FL_DES_ABC_10kg</t>
        </is>
      </c>
      <c r="S187" s="42" t="inlineStr">
        <is>
          <t>Pieza comercial; sello IRAM 3533; peso: completar con la ficha del proveedor (no afecta el MRP)</t>
        </is>
      </c>
    </row>
    <row r="188">
      <c r="A188" s="32" t="inlineStr">
        <is>
          <t>FL_MAT_ABC_10kg</t>
        </is>
      </c>
      <c r="B188" s="32" t="n">
        <v>2</v>
      </c>
      <c r="C188" s="32" t="inlineStr">
        <is>
          <t>ABC10-09</t>
        </is>
      </c>
      <c r="D188" s="17" t="inlineStr">
        <is>
          <t xml:space="preserve">        Vástago</t>
        </is>
      </c>
      <c r="E188" s="32" t="n">
        <v>1</v>
      </c>
      <c r="F188" s="32" t="inlineStr">
        <is>
          <t>u</t>
        </is>
      </c>
      <c r="G188" s="33" t="n">
        <v>0.0137</v>
      </c>
      <c r="H188" s="33">
        <f>E188*G188</f>
        <v/>
      </c>
      <c r="I188" s="32" t="inlineStr">
        <is>
          <t>Latón</t>
        </is>
      </c>
      <c r="J188" s="17" t="inlineStr">
        <is>
          <t>35,6 × 14 × 14</t>
        </is>
      </c>
      <c r="K188" s="32" t="inlineStr">
        <is>
          <t>Incluido en válvula HZ</t>
        </is>
      </c>
      <c r="L188" s="32" t="inlineStr">
        <is>
          <t>No</t>
        </is>
      </c>
      <c r="M188" s="17" t="n"/>
      <c r="N188" s="17" t="n"/>
      <c r="O188" s="17" t="inlineStr">
        <is>
          <t>19 Ensamblaje de válvula (T03/T04)</t>
        </is>
      </c>
      <c r="P188" s="17" t="n"/>
      <c r="Q188" s="32" t="inlineStr">
        <is>
          <t>P</t>
        </is>
      </c>
      <c r="R188" s="32" t="inlineStr">
        <is>
          <t>FL_DES_ABC_10kg</t>
        </is>
      </c>
      <c r="S188" s="17" t="inlineStr">
        <is>
          <t>con junta tórica</t>
        </is>
      </c>
    </row>
    <row r="189">
      <c r="A189" s="32" t="inlineStr">
        <is>
          <t>FL_MAT_ABC_10kg</t>
        </is>
      </c>
      <c r="B189" s="32" t="n">
        <v>2</v>
      </c>
      <c r="C189" s="32" t="inlineStr">
        <is>
          <t>ABC10-10</t>
        </is>
      </c>
      <c r="D189" s="17" t="inlineStr">
        <is>
          <t xml:space="preserve">        Resorte de válvula</t>
        </is>
      </c>
      <c r="E189" s="32" t="n">
        <v>1</v>
      </c>
      <c r="F189" s="32" t="inlineStr">
        <is>
          <t>u</t>
        </is>
      </c>
      <c r="G189" s="33" t="n">
        <v>0.0049</v>
      </c>
      <c r="H189" s="33">
        <f>E189*G189</f>
        <v/>
      </c>
      <c r="I189" s="32" t="inlineStr">
        <is>
          <t>Alambre acero inox. AISI 302</t>
        </is>
      </c>
      <c r="J189" s="17" t="inlineStr">
        <is>
          <t>28,8 × 17,3 × 17,3</t>
        </is>
      </c>
      <c r="K189" s="32" t="inlineStr">
        <is>
          <t>Incluido en válvula HZ</t>
        </is>
      </c>
      <c r="L189" s="32" t="inlineStr">
        <is>
          <t>No</t>
        </is>
      </c>
      <c r="M189" s="17" t="n"/>
      <c r="N189" s="17" t="n"/>
      <c r="O189" s="17" t="inlineStr">
        <is>
          <t>19 Ensamblaje de válvula (T03/T04)</t>
        </is>
      </c>
      <c r="P189" s="17" t="n"/>
      <c r="Q189" s="32" t="inlineStr">
        <is>
          <t>P</t>
        </is>
      </c>
      <c r="R189" s="32" t="inlineStr">
        <is>
          <t>FL_DES_ABC_10kg</t>
        </is>
      </c>
      <c r="S189" s="17" t="inlineStr">
        <is>
          <t>cierre del vástago</t>
        </is>
      </c>
    </row>
    <row r="190">
      <c r="A190" s="32" t="inlineStr">
        <is>
          <t>FL_MAT_ABC_10kg</t>
        </is>
      </c>
      <c r="B190" s="32" t="n">
        <v>2</v>
      </c>
      <c r="C190" s="32" t="inlineStr">
        <is>
          <t>ABC10-11</t>
        </is>
      </c>
      <c r="D190" s="17" t="inlineStr">
        <is>
          <t xml:space="preserve">        Eje de palanca</t>
        </is>
      </c>
      <c r="E190" s="32" t="n">
        <v>1</v>
      </c>
      <c r="F190" s="32" t="inlineStr">
        <is>
          <t>u</t>
        </is>
      </c>
      <c r="G190" s="33" t="n">
        <v>0.0033</v>
      </c>
      <c r="H190" s="33">
        <f>E190*G190</f>
        <v/>
      </c>
      <c r="I190" s="32" t="inlineStr">
        <is>
          <t>Acero inox. AISI 304</t>
        </is>
      </c>
      <c r="J190" s="17" t="inlineStr">
        <is>
          <t>33 × 4 × 4</t>
        </is>
      </c>
      <c r="K190" s="32" t="inlineStr">
        <is>
          <t>Incluido en válvula HZ</t>
        </is>
      </c>
      <c r="L190" s="32" t="inlineStr">
        <is>
          <t>No</t>
        </is>
      </c>
      <c r="M190" s="17" t="n"/>
      <c r="N190" s="17" t="n"/>
      <c r="O190" s="17" t="inlineStr">
        <is>
          <t>19 Ensamblaje de válvula (T03/T04)</t>
        </is>
      </c>
      <c r="P190" s="17" t="n"/>
      <c r="Q190" s="32" t="inlineStr">
        <is>
          <t>P</t>
        </is>
      </c>
      <c r="R190" s="32" t="inlineStr">
        <is>
          <t>FL_DES_ABC_10kg</t>
        </is>
      </c>
      <c r="S190" s="17" t="n"/>
    </row>
    <row r="191">
      <c r="A191" s="32" t="inlineStr">
        <is>
          <t>FL_MAT_ABC_10kg</t>
        </is>
      </c>
      <c r="B191" s="32" t="n">
        <v>2</v>
      </c>
      <c r="C191" s="32" t="inlineStr">
        <is>
          <t>ABC10-12</t>
        </is>
      </c>
      <c r="D191" s="17" t="inlineStr">
        <is>
          <t xml:space="preserve">        Pasador de seguridad</t>
        </is>
      </c>
      <c r="E191" s="32" t="n">
        <v>1</v>
      </c>
      <c r="F191" s="32" t="inlineStr">
        <is>
          <t>u</t>
        </is>
      </c>
      <c r="G191" s="33" t="n">
        <v>0.0055</v>
      </c>
      <c r="H191" s="33">
        <f>E191*G191</f>
        <v/>
      </c>
      <c r="I191" s="32" t="inlineStr">
        <is>
          <t>Alambre acero inox. AISI 304</t>
        </is>
      </c>
      <c r="J191" s="17" t="inlineStr">
        <is>
          <t>45,9 × 21 × 20,8</t>
        </is>
      </c>
      <c r="K191" s="32" t="inlineStr">
        <is>
          <t>Incluido en válvula HZ</t>
        </is>
      </c>
      <c r="L191" s="32" t="inlineStr">
        <is>
          <t>No</t>
        </is>
      </c>
      <c r="M191" s="17" t="n"/>
      <c r="N191" s="17" t="n"/>
      <c r="O191" s="17" t="inlineStr">
        <is>
          <t>19 Ensamblaje de válvula (T03/T04)</t>
        </is>
      </c>
      <c r="P191" s="17" t="n"/>
      <c r="Q191" s="32" t="inlineStr">
        <is>
          <t>P</t>
        </is>
      </c>
      <c r="R191" s="32" t="inlineStr">
        <is>
          <t>FL_DES_ABC_10kg</t>
        </is>
      </c>
      <c r="S191" s="17" t="inlineStr">
        <is>
          <t>con precinto</t>
        </is>
      </c>
    </row>
    <row r="192">
      <c r="A192" s="32" t="inlineStr">
        <is>
          <t>FL_MAT_ABC_10kg</t>
        </is>
      </c>
      <c r="B192" s="32" t="n">
        <v>2</v>
      </c>
      <c r="C192" s="32" t="inlineStr">
        <is>
          <t>ABC10-13</t>
        </is>
      </c>
      <c r="D192" s="17" t="inlineStr">
        <is>
          <t xml:space="preserve">        Manija de accionamiento</t>
        </is>
      </c>
      <c r="E192" s="32" t="n">
        <v>1</v>
      </c>
      <c r="F192" s="32" t="inlineStr">
        <is>
          <t>u</t>
        </is>
      </c>
      <c r="G192" s="33" t="n">
        <v>0.0959</v>
      </c>
      <c r="H192" s="33">
        <f>E192*G192</f>
        <v/>
      </c>
      <c r="I192" s="32" t="inlineStr">
        <is>
          <t>Chapa acero SAE 1010 pintada</t>
        </is>
      </c>
      <c r="J192" s="17" t="inlineStr">
        <is>
          <t>124,6 × 31 × 29,3</t>
        </is>
      </c>
      <c r="K192" s="32" t="inlineStr">
        <is>
          <t>Incluido en válvula HZ</t>
        </is>
      </c>
      <c r="L192" s="32" t="inlineStr">
        <is>
          <t>No</t>
        </is>
      </c>
      <c r="M192" s="17" t="n"/>
      <c r="N192" s="17" t="n"/>
      <c r="O192" s="17" t="inlineStr">
        <is>
          <t>19 Ensamblaje de válvula (T03/T04)</t>
        </is>
      </c>
      <c r="P192" s="17" t="n"/>
      <c r="Q192" s="32" t="inlineStr">
        <is>
          <t>P</t>
        </is>
      </c>
      <c r="R192" s="32" t="inlineStr">
        <is>
          <t>FL_DES_ABC_10kg</t>
        </is>
      </c>
      <c r="S192" s="17" t="n"/>
    </row>
    <row r="193">
      <c r="A193" s="32" t="inlineStr">
        <is>
          <t>FL_MAT_ABC_10kg</t>
        </is>
      </c>
      <c r="B193" s="32" t="n">
        <v>2</v>
      </c>
      <c r="C193" s="32" t="inlineStr">
        <is>
          <t>ABC10-14</t>
        </is>
      </c>
      <c r="D193" s="17" t="inlineStr">
        <is>
          <t xml:space="preserve">        Manija de transporte</t>
        </is>
      </c>
      <c r="E193" s="32" t="n">
        <v>1</v>
      </c>
      <c r="F193" s="32" t="inlineStr">
        <is>
          <t>u</t>
        </is>
      </c>
      <c r="G193" s="33" t="n">
        <v>0.0757</v>
      </c>
      <c r="H193" s="33">
        <f>E193*G193</f>
        <v/>
      </c>
      <c r="I193" s="32" t="inlineStr">
        <is>
          <t>Chapa acero SAE 1010 pintada</t>
        </is>
      </c>
      <c r="J193" s="17" t="inlineStr">
        <is>
          <t>102,6 × 35 × 25,4</t>
        </is>
      </c>
      <c r="K193" s="32" t="inlineStr">
        <is>
          <t>Incluido en válvula HZ</t>
        </is>
      </c>
      <c r="L193" s="32" t="inlineStr">
        <is>
          <t>No</t>
        </is>
      </c>
      <c r="M193" s="17" t="n"/>
      <c r="N193" s="17" t="n"/>
      <c r="O193" s="17" t="inlineStr">
        <is>
          <t>19 Ensamblaje de válvula (T03/T04)</t>
        </is>
      </c>
      <c r="P193" s="17" t="n"/>
      <c r="Q193" s="32" t="inlineStr">
        <is>
          <t>P</t>
        </is>
      </c>
      <c r="R193" s="32" t="inlineStr">
        <is>
          <t>FL_DES_ABC_10kg</t>
        </is>
      </c>
      <c r="S193" s="17" t="n"/>
    </row>
    <row r="194">
      <c r="A194" s="32" t="inlineStr">
        <is>
          <t>FL_MAT_ABC_10kg</t>
        </is>
      </c>
      <c r="B194" s="32" t="n">
        <v>2</v>
      </c>
      <c r="C194" s="32" t="inlineStr">
        <is>
          <t>ABC10-15</t>
        </is>
      </c>
      <c r="D194" s="17" t="inlineStr">
        <is>
          <t xml:space="preserve">        Caño de pesca (sifón)</t>
        </is>
      </c>
      <c r="E194" s="32" t="n">
        <v>1</v>
      </c>
      <c r="F194" s="32" t="inlineStr">
        <is>
          <t>u</t>
        </is>
      </c>
      <c r="G194" s="33" t="n">
        <v>0.0688</v>
      </c>
      <c r="H194" s="33">
        <f>E194*G194</f>
        <v/>
      </c>
      <c r="I194" s="32" t="inlineStr">
        <is>
          <t>Tubo PVC rígido</t>
        </is>
      </c>
      <c r="J194" s="17" t="inlineStr">
        <is>
          <t>Ø21,3 × 526,9 de largo</t>
        </is>
      </c>
      <c r="K194" s="32" t="inlineStr">
        <is>
          <t>Incluido en válvula HZ</t>
        </is>
      </c>
      <c r="L194" s="32" t="inlineStr">
        <is>
          <t>No</t>
        </is>
      </c>
      <c r="M194" s="17" t="n"/>
      <c r="N194" s="17" t="n"/>
      <c r="O194" s="17" t="inlineStr">
        <is>
          <t>19 Ensamblaje de válvula (T03/T04)</t>
        </is>
      </c>
      <c r="P194" s="17" t="n"/>
      <c r="Q194" s="32" t="inlineStr">
        <is>
          <t>P</t>
        </is>
      </c>
      <c r="R194" s="32" t="inlineStr">
        <is>
          <t>FL_DES_ABC_10kg</t>
        </is>
      </c>
      <c r="S194" s="17" t="n"/>
    </row>
    <row r="195">
      <c r="A195" s="32" t="inlineStr">
        <is>
          <t>FL_MAT_ABC_10kg</t>
        </is>
      </c>
      <c r="B195" s="32" t="n">
        <v>2</v>
      </c>
      <c r="C195" s="32" t="inlineStr">
        <is>
          <t>ABC10-25</t>
        </is>
      </c>
      <c r="D195" s="17" t="inlineStr">
        <is>
          <t xml:space="preserve">        Junta tórica de asiento</t>
        </is>
      </c>
      <c r="E195" s="32" t="n">
        <v>1</v>
      </c>
      <c r="F195" s="32" t="inlineStr">
        <is>
          <t>u</t>
        </is>
      </c>
      <c r="G195" s="33" t="n">
        <v>0.001</v>
      </c>
      <c r="H195" s="33">
        <f>E195*G195</f>
        <v/>
      </c>
      <c r="I195" s="32" t="inlineStr">
        <is>
          <t>NBR 70 Shore A</t>
        </is>
      </c>
      <c r="J195" s="17" t="inlineStr">
        <is>
          <t>Ø32,8 ext. × cordón 3</t>
        </is>
      </c>
      <c r="K195" s="32" t="inlineStr">
        <is>
          <t>Compra</t>
        </is>
      </c>
      <c r="L195" s="32" t="inlineStr">
        <is>
          <t>Sí</t>
        </is>
      </c>
      <c r="M195" s="17" t="inlineStr">
        <is>
          <t>Argensold</t>
        </is>
      </c>
      <c r="N195" s="17" t="inlineStr">
        <is>
          <t>Matafuegos Iglesias</t>
        </is>
      </c>
      <c r="O195" s="17" t="inlineStr">
        <is>
          <t>19 Ensamblaje de válvula (T03/T04)</t>
        </is>
      </c>
      <c r="P195" s="17" t="n"/>
      <c r="Q195" s="32" t="inlineStr">
        <is>
          <t>P</t>
        </is>
      </c>
      <c r="R195" s="32" t="inlineStr">
        <is>
          <t>FL_DES_ABC_10kg</t>
        </is>
      </c>
      <c r="S195" s="17" t="inlineStr">
        <is>
          <t>cambio c/recarga</t>
        </is>
      </c>
    </row>
    <row r="196">
      <c r="A196" s="32" t="inlineStr">
        <is>
          <t>FL_MAT_ABC_10kg</t>
        </is>
      </c>
      <c r="B196" s="32" t="n">
        <v>2</v>
      </c>
      <c r="C196" s="32" t="inlineStr">
        <is>
          <t>ABC10-K2</t>
        </is>
      </c>
      <c r="D196" s="17" t="inlineStr">
        <is>
          <t xml:space="preserve">        Válvula HZ armada M-30 c/resorte y tubo 7/8</t>
        </is>
      </c>
      <c r="E196" s="32" t="n">
        <v>1</v>
      </c>
      <c r="F196" s="32" t="inlineStr">
        <is>
          <t>u</t>
        </is>
      </c>
      <c r="G196" s="33" t="n"/>
      <c r="H196" s="33" t="n"/>
      <c r="I196" s="32" t="inlineStr">
        <is>
          <t>Latón forjado (HZ)</t>
        </is>
      </c>
      <c r="J196" s="17" t="inlineStr">
        <is>
          <t>rosca M30x1,5</t>
        </is>
      </c>
      <c r="K196" s="32" t="inlineStr">
        <is>
          <t>Compra</t>
        </is>
      </c>
      <c r="L196" s="32" t="inlineStr">
        <is>
          <t>Sí</t>
        </is>
      </c>
      <c r="M196" s="17" t="inlineStr">
        <is>
          <t>Polvex S.R.L. / Sancibrao</t>
        </is>
      </c>
      <c r="N196" s="17" t="inlineStr">
        <is>
          <t>Mozart S.R.L.</t>
        </is>
      </c>
      <c r="O196" s="17" t="inlineStr">
        <is>
          <t>19 Ensamblaje de válvula</t>
        </is>
      </c>
      <c r="P196" s="17" t="inlineStr">
        <is>
          <t>IRAM 3523 3.3</t>
        </is>
      </c>
      <c r="Q196" s="32" t="inlineStr">
        <is>
          <t>Q</t>
        </is>
      </c>
      <c r="R196" s="32" t="inlineStr">
        <is>
          <t>FL_DES_ABC_10kg</t>
        </is>
      </c>
      <c r="S196" s="17" t="inlineStr">
        <is>
          <t>Lista de precios HZ (Q-AGENTES); plano Fadesa usa válvula HZ (R-FADESA). Trae las piezas marcadas «Incluido en válvula HZ»</t>
        </is>
      </c>
    </row>
    <row r="197">
      <c r="A197" s="32" t="inlineStr">
        <is>
          <t>FL_MAT_ABC_10kg</t>
        </is>
      </c>
      <c r="B197" s="32" t="n">
        <v>2</v>
      </c>
      <c r="C197" s="32" t="inlineStr">
        <is>
          <t>ABC10-V2</t>
        </is>
      </c>
      <c r="D197" s="17" t="inlineStr">
        <is>
          <t xml:space="preserve">        Resorte de retorno del vástago</t>
        </is>
      </c>
      <c r="E197" s="32" t="n">
        <v>1</v>
      </c>
      <c r="F197" s="32" t="inlineStr">
        <is>
          <t>u</t>
        </is>
      </c>
      <c r="G197" s="33" t="n"/>
      <c r="H197" s="33" t="n"/>
      <c r="I197" s="32" t="inlineStr">
        <is>
          <t>Acero para resortes</t>
        </is>
      </c>
      <c r="J197" s="17" t="inlineStr">
        <is>
          <t>incluido en la válvula</t>
        </is>
      </c>
      <c r="K197" s="32" t="inlineStr">
        <is>
          <t>Incluido en válvula HZ</t>
        </is>
      </c>
      <c r="L197" s="32" t="inlineStr">
        <is>
          <t>No</t>
        </is>
      </c>
      <c r="M197" s="17" t="n"/>
      <c r="N197" s="17" t="n"/>
      <c r="O197" s="17" t="inlineStr">
        <is>
          <t>19 Ensamblaje</t>
        </is>
      </c>
      <c r="P197" s="17" t="n"/>
      <c r="Q197" s="32" t="inlineStr">
        <is>
          <t>Q</t>
        </is>
      </c>
      <c r="R197" s="32" t="n"/>
      <c r="S197" s="17" t="inlineStr">
        <is>
          <t>Lista de precios HZ: válvula «c/resorte» (Q-AGENTES)</t>
        </is>
      </c>
    </row>
    <row r="198">
      <c r="A198" s="32" t="inlineStr">
        <is>
          <t>FL_MAT_ABC_10kg</t>
        </is>
      </c>
      <c r="B198" s="32" t="n">
        <v>2</v>
      </c>
      <c r="C198" s="32" t="inlineStr">
        <is>
          <t>ABC10-V3</t>
        </is>
      </c>
      <c r="D198" s="17" t="inlineStr">
        <is>
          <t xml:space="preserve">        Junta tórica del vástago</t>
        </is>
      </c>
      <c r="E198" s="32" t="n">
        <v>1</v>
      </c>
      <c r="F198" s="32" t="inlineStr">
        <is>
          <t>u</t>
        </is>
      </c>
      <c r="G198" s="33" t="n"/>
      <c r="H198" s="33" t="n"/>
      <c r="I198" s="32" t="inlineStr">
        <is>
          <t>NBR 70 Shore A</t>
        </is>
      </c>
      <c r="J198" s="17" t="inlineStr">
        <is>
          <t>incluida en la válvula</t>
        </is>
      </c>
      <c r="K198" s="32" t="inlineStr">
        <is>
          <t>Incluido en válvula HZ</t>
        </is>
      </c>
      <c r="L198" s="32" t="inlineStr">
        <is>
          <t>No</t>
        </is>
      </c>
      <c r="M198" s="17" t="n"/>
      <c r="N198" s="17" t="n"/>
      <c r="O198" s="17" t="inlineStr">
        <is>
          <t>19 Ensamblaje</t>
        </is>
      </c>
      <c r="P198" s="17" t="n"/>
      <c r="Q198" s="32" t="inlineStr">
        <is>
          <t>P</t>
        </is>
      </c>
      <c r="R198" s="32" t="n"/>
      <c r="S198" s="17" t="inlineStr">
        <is>
          <t>Figura en el plano como «vástago con junta tórica»</t>
        </is>
      </c>
    </row>
    <row r="199">
      <c r="A199" s="29" t="inlineStr">
        <is>
          <t>FL_MAT_ABC_10kg</t>
        </is>
      </c>
      <c r="B199" s="29" t="n">
        <v>1</v>
      </c>
      <c r="C199" s="29" t="inlineStr">
        <is>
          <t>ABC10-S3</t>
        </is>
      </c>
      <c r="D199" s="30" t="inlineStr">
        <is>
          <t xml:space="preserve">    Dispositivo de descarga</t>
        </is>
      </c>
      <c r="E199" s="29" t="n">
        <v>1</v>
      </c>
      <c r="F199" s="29" t="inlineStr">
        <is>
          <t>u</t>
        </is>
      </c>
      <c r="G199" s="31" t="n"/>
      <c r="H199" s="31">
        <f>H200+H201+H202+H203</f>
        <v/>
      </c>
      <c r="I199" s="29" t="n"/>
      <c r="J199" s="30" t="n"/>
      <c r="K199" s="29" t="inlineStr">
        <is>
          <t>Compra / armado</t>
        </is>
      </c>
      <c r="L199" s="29" t="n"/>
      <c r="M199" s="30" t="n"/>
      <c r="N199" s="30" t="n"/>
      <c r="O199" s="30" t="n"/>
      <c r="P199" s="30" t="n"/>
      <c r="Q199" s="29" t="inlineStr">
        <is>
          <t>P</t>
        </is>
      </c>
      <c r="R199" s="29" t="inlineStr">
        <is>
          <t>FL_DES_ABC_10kg</t>
        </is>
      </c>
      <c r="S199" s="30" t="n"/>
    </row>
    <row r="200">
      <c r="A200" s="32" t="inlineStr">
        <is>
          <t>FL_MAT_ABC_10kg</t>
        </is>
      </c>
      <c r="B200" s="32" t="n">
        <v>2</v>
      </c>
      <c r="C200" s="32" t="inlineStr">
        <is>
          <t>ABC10-16</t>
        </is>
      </c>
      <c r="D200" s="17" t="inlineStr">
        <is>
          <t xml:space="preserve">        Racor de manguera</t>
        </is>
      </c>
      <c r="E200" s="32" t="n">
        <v>1</v>
      </c>
      <c r="F200" s="32" t="inlineStr">
        <is>
          <t>u</t>
        </is>
      </c>
      <c r="G200" s="33" t="n">
        <v>0.0394</v>
      </c>
      <c r="H200" s="33">
        <f>E200*G200</f>
        <v/>
      </c>
      <c r="I200" s="32" t="inlineStr">
        <is>
          <t>Latón</t>
        </is>
      </c>
      <c r="J200" s="17" t="inlineStr">
        <is>
          <t>19,4 × 18,8 × 18,8</t>
        </is>
      </c>
      <c r="K200" s="32" t="inlineStr">
        <is>
          <t>Compra</t>
        </is>
      </c>
      <c r="L200" s="32" t="inlineStr">
        <is>
          <t>Sí</t>
        </is>
      </c>
      <c r="M200" s="17" t="inlineStr">
        <is>
          <t>Yukon / MatafuegosYa S.R.L.</t>
        </is>
      </c>
      <c r="N200" s="17" t="inlineStr">
        <is>
          <t>Matafuegos Iglesias</t>
        </is>
      </c>
      <c r="O200" s="17" t="inlineStr">
        <is>
          <t>19 Ensamblaje (T03/T04)</t>
        </is>
      </c>
      <c r="P200" s="17" t="n"/>
      <c r="Q200" s="32" t="inlineStr">
        <is>
          <t>P</t>
        </is>
      </c>
      <c r="R200" s="32" t="inlineStr">
        <is>
          <t>FL_DES_ABC_10kg</t>
        </is>
      </c>
      <c r="S200" s="17" t="n"/>
    </row>
    <row r="201">
      <c r="A201" s="32" t="inlineStr">
        <is>
          <t>FL_MAT_ABC_10kg</t>
        </is>
      </c>
      <c r="B201" s="32" t="n">
        <v>2</v>
      </c>
      <c r="C201" s="32" t="inlineStr">
        <is>
          <t>ABC10-17</t>
        </is>
      </c>
      <c r="D201" s="17" t="inlineStr">
        <is>
          <t xml:space="preserve">        Manguera</t>
        </is>
      </c>
      <c r="E201" s="32" t="n">
        <v>1</v>
      </c>
      <c r="F201" s="32" t="inlineStr">
        <is>
          <t>u</t>
        </is>
      </c>
      <c r="G201" s="33" t="n">
        <v>0.08</v>
      </c>
      <c r="H201" s="33">
        <f>E201*G201</f>
        <v/>
      </c>
      <c r="I201" s="32" t="inlineStr">
        <is>
          <t>Caucho sintético</t>
        </is>
      </c>
      <c r="J201" s="17" t="inlineStr">
        <is>
          <t>Ø16 × 518 de largo desarrollado</t>
        </is>
      </c>
      <c r="K201" s="32" t="inlineStr">
        <is>
          <t>Compra</t>
        </is>
      </c>
      <c r="L201" s="32" t="inlineStr">
        <is>
          <t>Sí</t>
        </is>
      </c>
      <c r="M201" s="17" t="inlineStr">
        <is>
          <t>Yukon / MatafuegosYa S.R.L.</t>
        </is>
      </c>
      <c r="N201" s="17" t="inlineStr">
        <is>
          <t>Matafuegos Iglesias</t>
        </is>
      </c>
      <c r="O201" s="17" t="inlineStr">
        <is>
          <t>19 Ensamblaje (T03/T04)</t>
        </is>
      </c>
      <c r="P201" s="17" t="n"/>
      <c r="Q201" s="32" t="inlineStr">
        <is>
          <t>P</t>
        </is>
      </c>
      <c r="R201" s="32" t="inlineStr">
        <is>
          <t>FL_DES_ABC_10kg</t>
        </is>
      </c>
      <c r="S201" s="17" t="n"/>
    </row>
    <row r="202">
      <c r="A202" s="32" t="inlineStr">
        <is>
          <t>FL_MAT_ABC_10kg</t>
        </is>
      </c>
      <c r="B202" s="32" t="n">
        <v>2</v>
      </c>
      <c r="C202" s="32" t="inlineStr">
        <is>
          <t>ABC10-18</t>
        </is>
      </c>
      <c r="D202" s="17" t="inlineStr">
        <is>
          <t xml:space="preserve">        Tobera con portatobera</t>
        </is>
      </c>
      <c r="E202" s="32" t="n">
        <v>1</v>
      </c>
      <c r="F202" s="32" t="inlineStr">
        <is>
          <t>u</t>
        </is>
      </c>
      <c r="G202" s="33" t="n">
        <v>0.0168</v>
      </c>
      <c r="H202" s="33">
        <f>E202*G202</f>
        <v/>
      </c>
      <c r="I202" s="32" t="inlineStr">
        <is>
          <t>Polipropileno</t>
        </is>
      </c>
      <c r="J202" s="17" t="inlineStr">
        <is>
          <t>73,5 × 19,9 × 19,9</t>
        </is>
      </c>
      <c r="K202" s="32" t="inlineStr">
        <is>
          <t>Compra</t>
        </is>
      </c>
      <c r="L202" s="32" t="inlineStr">
        <is>
          <t>Sí</t>
        </is>
      </c>
      <c r="M202" s="17" t="inlineStr">
        <is>
          <t>Yukon / MatafuegosYa S.R.L.</t>
        </is>
      </c>
      <c r="N202" s="17" t="inlineStr">
        <is>
          <t>Matafuegos Iglesias</t>
        </is>
      </c>
      <c r="O202" s="17" t="inlineStr">
        <is>
          <t>19 Ensamblaje (T03/T04)</t>
        </is>
      </c>
      <c r="P202" s="17" t="n"/>
      <c r="Q202" s="32" t="inlineStr">
        <is>
          <t>P</t>
        </is>
      </c>
      <c r="R202" s="32" t="inlineStr">
        <is>
          <t>FL_DES_ABC_10kg</t>
        </is>
      </c>
      <c r="S202" s="17" t="n"/>
    </row>
    <row r="203">
      <c r="A203" s="32" t="inlineStr">
        <is>
          <t>FL_MAT_ABC_10kg</t>
        </is>
      </c>
      <c r="B203" s="32" t="n">
        <v>2</v>
      </c>
      <c r="C203" s="32" t="inlineStr">
        <is>
          <t>ABC10-19</t>
        </is>
      </c>
      <c r="D203" s="17" t="inlineStr">
        <is>
          <t xml:space="preserve">        Suncho portatobera</t>
        </is>
      </c>
      <c r="E203" s="32" t="n">
        <v>1</v>
      </c>
      <c r="F203" s="32" t="inlineStr">
        <is>
          <t>u</t>
        </is>
      </c>
      <c r="G203" s="33" t="n">
        <v>0.1097</v>
      </c>
      <c r="H203" s="33">
        <f>E203*G203</f>
        <v/>
      </c>
      <c r="I203" s="32" t="inlineStr">
        <is>
          <t>Fleje acero SAE 1010 pintado</t>
        </is>
      </c>
      <c r="J203" s="17" t="inlineStr">
        <is>
          <t>195,1 × 185,1 × 14,4</t>
        </is>
      </c>
      <c r="K203" s="32" t="inlineStr">
        <is>
          <t>Compra (estructura)</t>
        </is>
      </c>
      <c r="L203" s="32" t="inlineStr">
        <is>
          <t>Sí</t>
        </is>
      </c>
      <c r="M203" s="17" t="inlineStr">
        <is>
          <t>Yukon / MatafuegosYa S.R.L.</t>
        </is>
      </c>
      <c r="N203" s="17" t="inlineStr">
        <is>
          <t>Matafuegos Iglesias</t>
        </is>
      </c>
      <c r="O203" s="17" t="inlineStr">
        <is>
          <t>19 Ensamblaje (T03/T04)</t>
        </is>
      </c>
      <c r="P203" s="17" t="n"/>
      <c r="Q203" s="32" t="inlineStr">
        <is>
          <t>P</t>
        </is>
      </c>
      <c r="R203" s="32" t="inlineStr">
        <is>
          <t>FL_DES_ABC_10kg</t>
        </is>
      </c>
      <c r="S203" s="17" t="n"/>
    </row>
    <row r="204">
      <c r="A204" s="29" t="inlineStr">
        <is>
          <t>FL_MAT_ABC_10kg</t>
        </is>
      </c>
      <c r="B204" s="29" t="n">
        <v>1</v>
      </c>
      <c r="C204" s="29" t="inlineStr">
        <is>
          <t>ABC10-S5</t>
        </is>
      </c>
      <c r="D204" s="30" t="inlineStr">
        <is>
          <t xml:space="preserve">    Carga: agente extintor y gas impulsor</t>
        </is>
      </c>
      <c r="E204" s="29" t="n">
        <v>1</v>
      </c>
      <c r="F204" s="29" t="inlineStr">
        <is>
          <t>u</t>
        </is>
      </c>
      <c r="G204" s="31" t="n"/>
      <c r="H204" s="31">
        <f>H205+H206</f>
        <v/>
      </c>
      <c r="I204" s="29" t="n"/>
      <c r="J204" s="30" t="n"/>
      <c r="K204" s="29" t="inlineStr">
        <is>
          <t>Carga en planta</t>
        </is>
      </c>
      <c r="L204" s="29" t="n"/>
      <c r="M204" s="30" t="n"/>
      <c r="N204" s="30" t="n"/>
      <c r="O204" s="30" t="inlineStr">
        <is>
          <t>18 Carga de polvo (T01) / C8 (T02)</t>
        </is>
      </c>
      <c r="P204" s="30" t="n"/>
      <c r="Q204" s="29" t="n"/>
      <c r="R204" s="29" t="n"/>
      <c r="S204" s="30" t="n"/>
    </row>
    <row r="205">
      <c r="A205" s="32" t="inlineStr">
        <is>
          <t>FL_MAT_ABC_10kg</t>
        </is>
      </c>
      <c r="B205" s="32" t="n">
        <v>2</v>
      </c>
      <c r="C205" s="32" t="inlineStr">
        <is>
          <t>ABC10-A1</t>
        </is>
      </c>
      <c r="D205" s="17" t="inlineStr">
        <is>
          <t xml:space="preserve">        Polvo químico seco ABC 60 (Sello IRAM 3569)</t>
        </is>
      </c>
      <c r="E205" s="32" t="n">
        <v>10.15</v>
      </c>
      <c r="F205" s="32" t="inlineStr">
        <is>
          <t>kg</t>
        </is>
      </c>
      <c r="G205" s="33" t="n">
        <v>1</v>
      </c>
      <c r="H205" s="33">
        <f>E205*G205</f>
        <v/>
      </c>
      <c r="I205" s="32" t="inlineStr">
        <is>
          <t>Polvo químico seco ABC 60 (Sello IRAM 3569)</t>
        </is>
      </c>
      <c r="J205" s="17" t="inlineStr">
        <is>
          <t>nominal 10 kg; tolerancia 0 / +300 g (IRAM 3517-2:2020 tabla 3 · IRAM 3523 tabla II)</t>
        </is>
      </c>
      <c r="K205" s="32" t="inlineStr">
        <is>
          <t>Compra</t>
        </is>
      </c>
      <c r="L205" s="32" t="inlineStr">
        <is>
          <t>Sí</t>
        </is>
      </c>
      <c r="M205" s="17" t="inlineStr">
        <is>
          <t>DEM S.A. (DEMSA)</t>
        </is>
      </c>
      <c r="N205" s="17" t="inlineStr">
        <is>
          <t>Polvex S.R.L. / Sancibrao</t>
        </is>
      </c>
      <c r="O205" s="17" t="inlineStr">
        <is>
          <t>SP-1 almacén previo a la carga</t>
        </is>
      </c>
      <c r="P205" s="17" t="inlineStr">
        <is>
          <t>IRAM 3569</t>
        </is>
      </c>
      <c r="Q205" s="32" t="inlineStr">
        <is>
          <t>N</t>
        </is>
      </c>
      <c r="R205" s="32" t="n"/>
      <c r="S205" s="17" t="inlineStr">
        <is>
          <t>Composición declarada del polvo ABC 60: MAP 60 % (IRAM 3569: 57-63 %) = 6,09 kg MAP + 3,756 kg sulfato de amonio + 0,305 kg aditivos · potencial de referencia 6A-60B:C (licencia Drago con DEM-60/90, L-DRAGO) · Decisión: DEMSA principal (sello IRAM 3569 y potencial de referencia); Polvex/Sancibrao alternativa sujeta a sello IRAM 3569 y ensayo de tipo de FLAMA (IRAM 3542/3543) · alternativa ABC 90: 10A-60B:C · Lote único por extintor; prohibido mezclar ABC con BC (3517-2 9.9.1.6)</t>
        </is>
      </c>
    </row>
    <row r="206">
      <c r="A206" s="37" t="inlineStr">
        <is>
          <t>FL_MAT_ABC_10kg</t>
        </is>
      </c>
      <c r="B206" s="37" t="n">
        <v>2</v>
      </c>
      <c r="C206" s="37" t="inlineStr">
        <is>
          <t>ABC10-A2</t>
        </is>
      </c>
      <c r="D206" s="18" t="inlineStr">
        <is>
          <t xml:space="preserve">        Gas impulsor: N₂</t>
        </is>
      </c>
      <c r="E206" s="37" t="n">
        <v>0.0588</v>
      </c>
      <c r="F206" s="37" t="inlineStr">
        <is>
          <t>kg</t>
        </is>
      </c>
      <c r="G206" s="38" t="n">
        <v>1</v>
      </c>
      <c r="H206" s="38">
        <f>E206*G206</f>
        <v/>
      </c>
      <c r="I206" s="37" t="inlineStr">
        <is>
          <t>N₂</t>
        </is>
      </c>
      <c r="J206" s="18" t="inlineStr">
        <is>
          <t>47,1 L normales para 1,4 MPa a 20 °C en 3,41 dm³ libres</t>
        </is>
      </c>
      <c r="K206" s="37" t="inlineStr">
        <is>
          <t>Compra</t>
        </is>
      </c>
      <c r="L206" s="37" t="inlineStr">
        <is>
          <t>Sí</t>
        </is>
      </c>
      <c r="M206" s="18" t="inlineStr">
        <is>
          <t>Air Liquide Argentina - sucursal Piñeyro</t>
        </is>
      </c>
      <c r="N206" s="18" t="inlineStr">
        <is>
          <t>Gogniat</t>
        </is>
      </c>
      <c r="O206" s="18" t="inlineStr">
        <is>
          <t>20 Presurización (T05) / C10</t>
        </is>
      </c>
      <c r="P206" s="18" t="inlineStr">
        <is>
          <t>IRAM 3517-2 9.4.9 (tabla 2) · IRAM 3523 2.3 y 3.10</t>
        </is>
      </c>
      <c r="Q206" s="37" t="inlineStr">
        <is>
          <t>C</t>
        </is>
      </c>
      <c r="R206" s="37" t="n"/>
      <c r="S206" s="18" t="inlineStr">
        <is>
          <t>N₂ ≥ 99,8 %, H₂O ≤ 40 ppm (Q-N2, Air Liquide) · volumen libre con ρ empacada mínima 1,1 kg/dm³ (NOM-104-STPS-2001); confirmar con descarga ≥ 85 % (IRAM 3523 4.9.1)</t>
        </is>
      </c>
    </row>
    <row r="207">
      <c r="A207" s="29" t="inlineStr">
        <is>
          <t>FL_MAT_ABC_10kg</t>
        </is>
      </c>
      <c r="B207" s="29" t="n">
        <v>1</v>
      </c>
      <c r="C207" s="29" t="inlineStr">
        <is>
          <t>ABC10-S6</t>
        </is>
      </c>
      <c r="D207" s="30" t="inlineStr">
        <is>
          <t xml:space="preserve">    Identificación y precinto</t>
        </is>
      </c>
      <c r="E207" s="29" t="n">
        <v>1</v>
      </c>
      <c r="F207" s="29" t="inlineStr">
        <is>
          <t>u</t>
        </is>
      </c>
      <c r="G207" s="31" t="n"/>
      <c r="H207" s="31">
        <f>H208+H209+H210+H211+H212+H213+H214</f>
        <v/>
      </c>
      <c r="I207" s="29" t="n"/>
      <c r="J207" s="30" t="n"/>
      <c r="K207" s="29" t="inlineStr">
        <is>
          <t>Compra</t>
        </is>
      </c>
      <c r="L207" s="29" t="n"/>
      <c r="M207" s="30" t="n"/>
      <c r="N207" s="30" t="n"/>
      <c r="O207" s="30" t="inlineStr">
        <is>
          <t>22 Etiquetado (T07)</t>
        </is>
      </c>
      <c r="P207" s="30" t="n"/>
      <c r="Q207" s="29" t="n"/>
      <c r="R207" s="29" t="n"/>
      <c r="S207" s="30" t="n"/>
    </row>
    <row r="208">
      <c r="A208" s="32" t="inlineStr">
        <is>
          <t>FL_MAT_ABC_10kg</t>
        </is>
      </c>
      <c r="B208" s="32" t="n">
        <v>2</v>
      </c>
      <c r="C208" s="32" t="inlineStr">
        <is>
          <t>ABC10-20</t>
        </is>
      </c>
      <c r="D208" s="17" t="inlineStr">
        <is>
          <t xml:space="preserve">        Etiqueta / placa de características</t>
        </is>
      </c>
      <c r="E208" s="32" t="n">
        <v>1</v>
      </c>
      <c r="F208" s="32" t="inlineStr">
        <is>
          <t>u</t>
        </is>
      </c>
      <c r="G208" s="33" t="n">
        <v>0.0322</v>
      </c>
      <c r="H208" s="33">
        <f>E208*G208</f>
        <v/>
      </c>
      <c r="I208" s="32" t="inlineStr">
        <is>
          <t>Vinilo autoadhesivo laminado</t>
        </is>
      </c>
      <c r="J208" s="17" t="inlineStr">
        <is>
          <t>343 × 224 (desarrollo × alto: panel central 108° + 2 alas laterales), e ≈ 0,3, laminado UV</t>
        </is>
      </c>
      <c r="K208" s="32" t="inlineStr">
        <is>
          <t>Compra</t>
        </is>
      </c>
      <c r="L208" s="32" t="inlineStr">
        <is>
          <t>Sí</t>
        </is>
      </c>
      <c r="M208" s="17" t="inlineStr">
        <is>
          <t>Astuprint</t>
        </is>
      </c>
      <c r="N208" s="17" t="inlineStr">
        <is>
          <t>Multilabel Argentina S.A.</t>
        </is>
      </c>
      <c r="O208" s="17" t="inlineStr">
        <is>
          <t>22 Etiquetado (T07)</t>
        </is>
      </c>
      <c r="P208" s="17" t="inlineStr">
        <is>
          <t>IRAM 3534 · IRAM 3523 cap. 5 · relevamiento de mercado</t>
        </is>
      </c>
      <c r="Q208" s="32" t="inlineStr">
        <is>
          <t>P</t>
        </is>
      </c>
      <c r="R208" s="32" t="inlineStr">
        <is>
          <t>FL_DES_ABC_10kg</t>
        </is>
      </c>
      <c r="S208" s="17" t="inlineStr">
        <is>
          <t>IRAM 3534</t>
        </is>
      </c>
    </row>
    <row r="209">
      <c r="A209" s="32" t="inlineStr">
        <is>
          <t>FL_MAT_ABC_10kg</t>
        </is>
      </c>
      <c r="B209" s="32" t="n">
        <v>2</v>
      </c>
      <c r="C209" s="32" t="inlineStr">
        <is>
          <t>ABC10-21</t>
        </is>
      </c>
      <c r="D209" s="17" t="inlineStr">
        <is>
          <t xml:space="preserve">        Oblea de fabricación (PBA)</t>
        </is>
      </c>
      <c r="E209" s="32" t="n">
        <v>1</v>
      </c>
      <c r="F209" s="32" t="inlineStr">
        <is>
          <t>u</t>
        </is>
      </c>
      <c r="G209" s="33" t="n">
        <v>0.0009</v>
      </c>
      <c r="H209" s="33">
        <f>E209*G209</f>
        <v/>
      </c>
      <c r="I209" s="32" t="inlineStr">
        <is>
          <t>Papel de seguridad autodestructible</t>
        </is>
      </c>
      <c r="J209" s="17" t="inlineStr">
        <is>
          <t>Ø46 (Res. OPDS 522/07), numerada, autodestructible</t>
        </is>
      </c>
      <c r="K209" s="32" t="inlineStr">
        <is>
          <t>Compra</t>
        </is>
      </c>
      <c r="L209" s="32" t="inlineStr">
        <is>
          <t>Sí</t>
        </is>
      </c>
      <c r="M209" s="17" t="inlineStr">
        <is>
          <t>Ministerio de Ambiente PBA (ex OPDS)</t>
        </is>
      </c>
      <c r="N209" s="17" t="inlineStr">
        <is>
          <t>-</t>
        </is>
      </c>
      <c r="O209" s="17" t="inlineStr">
        <is>
          <t>22 Etiquetado (T07)</t>
        </is>
      </c>
      <c r="P209" s="17" t="inlineStr">
        <is>
          <t>Res. OPDS 522/07 anexos 1, 2 y 6</t>
        </is>
      </c>
      <c r="Q209" s="32" t="inlineStr">
        <is>
          <t>P</t>
        </is>
      </c>
      <c r="R209" s="32" t="inlineStr">
        <is>
          <t>FL_DES_ABC_10kg</t>
        </is>
      </c>
      <c r="S209" s="17" t="inlineStr">
        <is>
          <t>Res. 522/07</t>
        </is>
      </c>
    </row>
    <row r="210">
      <c r="A210" s="32" t="inlineStr">
        <is>
          <t>FL_MAT_ABC_10kg</t>
        </is>
      </c>
      <c r="B210" s="32" t="n">
        <v>2</v>
      </c>
      <c r="C210" s="32" t="inlineStr">
        <is>
          <t>ABC10-22</t>
        </is>
      </c>
      <c r="D210" s="17" t="inlineStr">
        <is>
          <t xml:space="preserve">        Estampilla IRAM de conformidad</t>
        </is>
      </c>
      <c r="E210" s="32" t="n">
        <v>1</v>
      </c>
      <c r="F210" s="32" t="inlineStr">
        <is>
          <t>u</t>
        </is>
      </c>
      <c r="G210" s="33" t="n">
        <v>0.001</v>
      </c>
      <c r="H210" s="33">
        <f>E210*G210</f>
        <v/>
      </c>
      <c r="I210" s="32" t="inlineStr">
        <is>
          <t>Provista por IRAM (Anexo R)</t>
        </is>
      </c>
      <c r="J210" s="17" t="inlineStr">
        <is>
          <t>60 × 40</t>
        </is>
      </c>
      <c r="K210" s="32" t="inlineStr">
        <is>
          <t>Compra</t>
        </is>
      </c>
      <c r="L210" s="32" t="inlineStr">
        <is>
          <t>Sí</t>
        </is>
      </c>
      <c r="M210" s="17" t="inlineStr">
        <is>
          <t>IRAM - Instituto Argentino de Normalización</t>
        </is>
      </c>
      <c r="N210" s="17" t="inlineStr">
        <is>
          <t>-</t>
        </is>
      </c>
      <c r="O210" s="17" t="inlineStr">
        <is>
          <t>22 Etiquetado (T07)</t>
        </is>
      </c>
      <c r="P210" s="17" t="inlineStr">
        <is>
          <t>IRAM Anexo R (DC-PG-129)</t>
        </is>
      </c>
      <c r="Q210" s="32" t="inlineStr">
        <is>
          <t>P</t>
        </is>
      </c>
      <c r="R210" s="32" t="inlineStr">
        <is>
          <t>FL_DES_ABC_10kg</t>
        </is>
      </c>
      <c r="S210" s="17" t="inlineStr">
        <is>
          <t>numerada</t>
        </is>
      </c>
    </row>
    <row r="211">
      <c r="A211" s="32" t="inlineStr">
        <is>
          <t>FL_MAT_ABC_10kg</t>
        </is>
      </c>
      <c r="B211" s="32" t="n">
        <v>2</v>
      </c>
      <c r="C211" s="32" t="inlineStr">
        <is>
          <t>ABC10-23</t>
        </is>
      </c>
      <c r="D211" s="17" t="inlineStr">
        <is>
          <t xml:space="preserve">        Tarjeta de identificación AGC (CABA)</t>
        </is>
      </c>
      <c r="E211" s="32" t="n">
        <v>1</v>
      </c>
      <c r="F211" s="32" t="inlineStr">
        <is>
          <t>u</t>
        </is>
      </c>
      <c r="G211" s="33" t="n">
        <v>0.0032</v>
      </c>
      <c r="H211" s="33">
        <f>E211*G211</f>
        <v/>
      </c>
      <c r="I211" s="32" t="inlineStr">
        <is>
          <t>Etiqueta autoadhesiva emitida por la AGC</t>
        </is>
      </c>
      <c r="J211" s="17" t="inlineStr">
        <is>
          <t>140 × 55</t>
        </is>
      </c>
      <c r="K211" s="32" t="inlineStr">
        <is>
          <t>Compra</t>
        </is>
      </c>
      <c r="L211" s="32" t="inlineStr">
        <is>
          <t>Sí</t>
        </is>
      </c>
      <c r="M211" s="17" t="inlineStr">
        <is>
          <t>Agencia Gubernamental de Control (CABA)</t>
        </is>
      </c>
      <c r="N211" s="17" t="inlineStr">
        <is>
          <t>-</t>
        </is>
      </c>
      <c r="O211" s="17" t="inlineStr">
        <is>
          <t>22 Etiquetado (T07)</t>
        </is>
      </c>
      <c r="P211" s="17" t="inlineStr">
        <is>
          <t>Ordenanza 40.473 art. 6 · Res. AGC 32/15</t>
        </is>
      </c>
      <c r="Q211" s="32" t="inlineStr">
        <is>
          <t>P</t>
        </is>
      </c>
      <c r="R211" s="32" t="inlineStr">
        <is>
          <t>FL_DES_ABC_10kg</t>
        </is>
      </c>
      <c r="S211" s="17" t="inlineStr">
        <is>
          <t>sólo destino CABA</t>
        </is>
      </c>
    </row>
    <row r="212">
      <c r="A212" s="32" t="inlineStr">
        <is>
          <t>FL_MAT_ABC_10kg</t>
        </is>
      </c>
      <c r="B212" s="32" t="n">
        <v>2</v>
      </c>
      <c r="C212" s="32" t="inlineStr">
        <is>
          <t>ABC10-24</t>
        </is>
      </c>
      <c r="D212" s="17" t="inlineStr">
        <is>
          <t xml:space="preserve">        Etiqueta de n° de serie GS1</t>
        </is>
      </c>
      <c r="E212" s="32" t="n">
        <v>1</v>
      </c>
      <c r="F212" s="32" t="inlineStr">
        <is>
          <t>u</t>
        </is>
      </c>
      <c r="G212" s="33" t="n">
        <v>0.0005</v>
      </c>
      <c r="H212" s="33">
        <f>E212*G212</f>
        <v/>
      </c>
      <c r="I212" s="32" t="inlineStr">
        <is>
          <t>Poliéster autoadhesivo impreso térmico</t>
        </is>
      </c>
      <c r="J212" s="17" t="inlineStr">
        <is>
          <t>45 × 25</t>
        </is>
      </c>
      <c r="K212" s="32" t="inlineStr">
        <is>
          <t>Compra</t>
        </is>
      </c>
      <c r="L212" s="32" t="inlineStr">
        <is>
          <t>Sí</t>
        </is>
      </c>
      <c r="M212" s="17" t="inlineStr">
        <is>
          <t>Astuprint</t>
        </is>
      </c>
      <c r="N212" s="17" t="inlineStr">
        <is>
          <t>GS1 Argentina</t>
        </is>
      </c>
      <c r="O212" s="17" t="inlineStr">
        <is>
          <t>22 Etiquetado (T07)</t>
        </is>
      </c>
      <c r="P212" s="17" t="inlineStr">
        <is>
          <t>GS1 Argentina (GTIN 779) · trazabilidad IRAM 3523 5.1</t>
        </is>
      </c>
      <c r="Q212" s="32" t="inlineStr">
        <is>
          <t>P</t>
        </is>
      </c>
      <c r="R212" s="32" t="inlineStr">
        <is>
          <t>FL_DES_ABC_10kg</t>
        </is>
      </c>
      <c r="S212" s="17" t="inlineStr">
        <is>
          <t>QR GTIN + serie</t>
        </is>
      </c>
    </row>
    <row r="213">
      <c r="A213" s="32" t="inlineStr">
        <is>
          <t>FL_MAT_ABC_10kg</t>
        </is>
      </c>
      <c r="B213" s="32" t="n">
        <v>2</v>
      </c>
      <c r="C213" s="32" t="inlineStr">
        <is>
          <t>ABC10-26</t>
        </is>
      </c>
      <c r="D213" s="17" t="inlineStr">
        <is>
          <t xml:space="preserve">        Faja de garantía válvula-cuello</t>
        </is>
      </c>
      <c r="E213" s="32" t="n">
        <v>1</v>
      </c>
      <c r="F213" s="32" t="inlineStr">
        <is>
          <t>u</t>
        </is>
      </c>
      <c r="G213" s="33" t="n">
        <v>0.0001</v>
      </c>
      <c r="H213" s="33">
        <f>E213*G213</f>
        <v/>
      </c>
      <c r="I213" s="32" t="inlineStr">
        <is>
          <t>Vinilo destructible rayado rojo/blanco</t>
        </is>
      </c>
      <c r="J213" s="17" t="inlineStr">
        <is>
          <t>22 × 22 (ancho × largo desarrollado), pegada sobre la unión: cuerpo de la válvula, tuerca y cuello</t>
        </is>
      </c>
      <c r="K213" s="32" t="inlineStr">
        <is>
          <t>Compra</t>
        </is>
      </c>
      <c r="L213" s="32" t="inlineStr">
        <is>
          <t>Sí</t>
        </is>
      </c>
      <c r="M213" s="17" t="inlineStr">
        <is>
          <t>Astuprint</t>
        </is>
      </c>
      <c r="N213" s="17" t="inlineStr">
        <is>
          <t>Multilabel Argentina S.A.</t>
        </is>
      </c>
      <c r="O213" s="17" t="inlineStr">
        <is>
          <t>22 Etiquetado (T07)</t>
        </is>
      </c>
      <c r="P213" s="17" t="inlineStr">
        <is>
          <t>Sin norma: práctica de mercado (garantía de fábrica)</t>
        </is>
      </c>
      <c r="Q213" s="32" t="inlineStr">
        <is>
          <t>P</t>
        </is>
      </c>
      <c r="R213" s="32" t="inlineStr">
        <is>
          <t>FL_DES_ABC_10kg</t>
        </is>
      </c>
      <c r="S213" s="17" t="inlineStr">
        <is>
          <t>nuevo sin abrir</t>
        </is>
      </c>
    </row>
    <row r="214">
      <c r="A214" s="32" t="inlineStr">
        <is>
          <t>FL_MAT_ABC_10kg</t>
        </is>
      </c>
      <c r="B214" s="32" t="n">
        <v>2</v>
      </c>
      <c r="C214" s="32" t="inlineStr">
        <is>
          <t>ABC10-27</t>
        </is>
      </c>
      <c r="D214" s="17" t="inlineStr">
        <is>
          <t xml:space="preserve">        Precinto de fábrica</t>
        </is>
      </c>
      <c r="E214" s="32" t="n">
        <v>1</v>
      </c>
      <c r="F214" s="32" t="inlineStr">
        <is>
          <t>u</t>
        </is>
      </c>
      <c r="G214" s="33" t="n">
        <v>0.0002</v>
      </c>
      <c r="H214" s="33">
        <f>E214*G214</f>
        <v/>
      </c>
      <c r="I214" s="32" t="inlineStr">
        <is>
          <t>Polipropileno color</t>
        </is>
      </c>
      <c r="J214" s="17" t="inlineStr">
        <is>
          <t>Ø5 × 10, numerado, rotura 30-50 N</t>
        </is>
      </c>
      <c r="K214" s="32" t="inlineStr">
        <is>
          <t>Compra</t>
        </is>
      </c>
      <c r="L214" s="32" t="inlineStr">
        <is>
          <t>Sí</t>
        </is>
      </c>
      <c r="M214" s="17" t="inlineStr">
        <is>
          <t>SonFuertes (vía Papelera Damián)</t>
        </is>
      </c>
      <c r="N214" s="17" t="inlineStr">
        <is>
          <t>Precinter S.R.L.</t>
        </is>
      </c>
      <c r="O214" s="17" t="inlineStr">
        <is>
          <t>20 Presurización (T05)</t>
        </is>
      </c>
      <c r="P214" s="17" t="inlineStr">
        <is>
          <t>IRAM 3523 3.3.2 · IRAM 3517-2:2020 9.4.13</t>
        </is>
      </c>
      <c r="Q214" s="32" t="inlineStr">
        <is>
          <t>P</t>
        </is>
      </c>
      <c r="R214" s="32" t="inlineStr">
        <is>
          <t>FL_DES_ABC_10kg</t>
        </is>
      </c>
      <c r="S214" s="17" t="inlineStr">
        <is>
          <t>id. FLAMA y lote</t>
        </is>
      </c>
    </row>
    <row r="215">
      <c r="A215" s="29" t="inlineStr">
        <is>
          <t>FL_MAT_ABC_10kg</t>
        </is>
      </c>
      <c r="B215" s="29" t="n">
        <v>1</v>
      </c>
      <c r="C215" s="29" t="inlineStr">
        <is>
          <t>ABC10-S8</t>
        </is>
      </c>
      <c r="D215" s="30" t="inlineStr">
        <is>
          <t xml:space="preserve">    Soporte (accesorio de montaje)</t>
        </is>
      </c>
      <c r="E215" s="29" t="n">
        <v>1</v>
      </c>
      <c r="F215" s="29" t="inlineStr">
        <is>
          <t>u</t>
        </is>
      </c>
      <c r="G215" s="31" t="n"/>
      <c r="H215" s="31">
        <f>H216</f>
        <v/>
      </c>
      <c r="I215" s="29" t="n"/>
      <c r="J215" s="30" t="n"/>
      <c r="K215" s="29" t="inlineStr">
        <is>
          <t>Compra</t>
        </is>
      </c>
      <c r="L215" s="29" t="n"/>
      <c r="M215" s="30" t="n"/>
      <c r="N215" s="30" t="n"/>
      <c r="O215" s="30" t="inlineStr">
        <is>
          <t>23 Embalaje (va dentro de la caja)</t>
        </is>
      </c>
      <c r="P215" s="30" t="inlineStr">
        <is>
          <t>IRAM 3517-2 7.4</t>
        </is>
      </c>
      <c r="Q215" s="29" t="n"/>
      <c r="R215" s="29" t="n"/>
      <c r="S215" s="30" t="n"/>
    </row>
    <row r="216">
      <c r="A216" s="32" t="inlineStr">
        <is>
          <t>FL_MAT_ABC_10kg</t>
        </is>
      </c>
      <c r="B216" s="32" t="n">
        <v>2</v>
      </c>
      <c r="C216" s="32" t="inlineStr">
        <is>
          <t>ABC10-I5</t>
        </is>
      </c>
      <c r="D216" s="17" t="inlineStr">
        <is>
          <t xml:space="preserve">        Soporte de pared (FL_ACC_01)</t>
        </is>
      </c>
      <c r="E216" s="32" t="n">
        <v>1</v>
      </c>
      <c r="F216" s="32" t="inlineStr">
        <is>
          <t>u</t>
        </is>
      </c>
      <c r="G216" s="33" t="n">
        <v>0.319</v>
      </c>
      <c r="H216" s="33">
        <f>E216*G216</f>
        <v/>
      </c>
      <c r="I216" s="32" t="inlineStr">
        <is>
          <t>Chapa acero SAE 1010 e=2 pintada</t>
        </is>
      </c>
      <c r="J216" s="17" t="inlineStr">
        <is>
          <t>placa 60 × 180, ala con ranura Ø cuello + 3</t>
        </is>
      </c>
      <c r="K216" s="32" t="inlineStr">
        <is>
          <t>Compra</t>
        </is>
      </c>
      <c r="L216" s="32" t="inlineStr">
        <is>
          <t>Sí</t>
        </is>
      </c>
      <c r="M216" s="17" t="inlineStr">
        <is>
          <t>Maxiseguridad</t>
        </is>
      </c>
      <c r="N216" s="17" t="inlineStr">
        <is>
          <t>CM Representaciones</t>
        </is>
      </c>
      <c r="O216" s="17" t="inlineStr">
        <is>
          <t>23 Embalaje</t>
        </is>
      </c>
      <c r="P216" s="17" t="inlineStr">
        <is>
          <t>IRAM 3517-2 7.4</t>
        </is>
      </c>
      <c r="Q216" s="32" t="inlineStr">
        <is>
          <t>P</t>
        </is>
      </c>
      <c r="R216" s="32" t="inlineStr">
        <is>
          <t>FL_ACC_01</t>
        </is>
      </c>
      <c r="S216" s="17" t="n"/>
    </row>
    <row r="217">
      <c r="A217" s="32" t="inlineStr">
        <is>
          <t>FL_MAT_ABC_10kg</t>
        </is>
      </c>
      <c r="B217" s="32" t="n">
        <v>2</v>
      </c>
      <c r="C217" s="32" t="inlineStr">
        <is>
          <t>ABC10-I6</t>
        </is>
      </c>
      <c r="D217" s="17" t="inlineStr">
        <is>
          <t xml:space="preserve">        Tornillo y tarugo de fijación</t>
        </is>
      </c>
      <c r="E217" s="32" t="n">
        <v>2</v>
      </c>
      <c r="F217" s="32" t="inlineStr">
        <is>
          <t>u</t>
        </is>
      </c>
      <c r="G217" s="33" t="n"/>
      <c r="H217" s="33" t="n"/>
      <c r="I217" s="32" t="inlineStr">
        <is>
          <t>Acero cincado / nylon</t>
        </is>
      </c>
      <c r="J217" s="17" t="inlineStr">
        <is>
          <t>2 agujeros Ø8,5 del plano FL_ACC_01 → tornillo M8 + tarugo</t>
        </is>
      </c>
      <c r="K217" s="32" t="inlineStr">
        <is>
          <t>Compra</t>
        </is>
      </c>
      <c r="L217" s="32" t="inlineStr">
        <is>
          <t>Sí</t>
        </is>
      </c>
      <c r="M217" s="17" t="inlineStr">
        <is>
          <t>Würth Argentina</t>
        </is>
      </c>
      <c r="N217" s="17" t="inlineStr">
        <is>
          <t>-</t>
        </is>
      </c>
      <c r="O217" s="17" t="inlineStr">
        <is>
          <t>23 Embalaje</t>
        </is>
      </c>
      <c r="P217" s="17" t="n"/>
      <c r="Q217" s="32" t="inlineStr">
        <is>
          <t>P</t>
        </is>
      </c>
      <c r="R217" s="32" t="inlineStr">
        <is>
          <t>FL_ACC_01</t>
        </is>
      </c>
      <c r="S217" s="17" t="n"/>
    </row>
    <row r="218">
      <c r="A218" s="32" t="inlineStr">
        <is>
          <t>FL_MAT_ABC_10kg</t>
        </is>
      </c>
      <c r="B218" s="32" t="n">
        <v>2</v>
      </c>
      <c r="C218" s="32" t="inlineStr">
        <is>
          <t>ABC10-I8</t>
        </is>
      </c>
      <c r="D218" s="17" t="inlineStr">
        <is>
          <t xml:space="preserve">        Soporte opcional (pared o vehicular, según pedido)</t>
        </is>
      </c>
      <c r="E218" s="32" t="n">
        <v>0</v>
      </c>
      <c r="F218" s="32" t="inlineStr">
        <is>
          <t>u</t>
        </is>
      </c>
      <c r="G218" s="33" t="n"/>
      <c r="H218" s="33" t="n"/>
      <c r="I218" s="32" t="inlineStr">
        <is>
          <t>-</t>
        </is>
      </c>
      <c r="J218" s="17" t="inlineStr">
        <is>
          <t>-</t>
        </is>
      </c>
      <c r="K218" s="32" t="inlineStr">
        <is>
          <t>Compra</t>
        </is>
      </c>
      <c r="L218" s="32" t="inlineStr">
        <is>
          <t>Sí</t>
        </is>
      </c>
      <c r="M218" s="17" t="inlineStr">
        <is>
          <t>Maxiseguridad</t>
        </is>
      </c>
      <c r="N218" s="17" t="inlineStr">
        <is>
          <t>CM Representaciones</t>
        </is>
      </c>
      <c r="O218" s="17" t="n"/>
      <c r="P218" s="17" t="inlineStr">
        <is>
          <t>IRAM 3517-2 7.4</t>
        </is>
      </c>
      <c r="Q218" s="32" t="inlineStr">
        <is>
          <t>N</t>
        </is>
      </c>
      <c r="R218" s="32" t="n"/>
      <c r="S218" s="17" t="inlineStr">
        <is>
          <t>Sólo si el pedido lo incluye</t>
        </is>
      </c>
    </row>
    <row r="219">
      <c r="A219" s="29" t="inlineStr">
        <is>
          <t>FL_MAT_ABC_10kg</t>
        </is>
      </c>
      <c r="B219" s="29" t="n">
        <v>1</v>
      </c>
      <c r="C219" s="29" t="inlineStr">
        <is>
          <t>ABC10-S7</t>
        </is>
      </c>
      <c r="D219" s="30" t="inlineStr">
        <is>
          <t xml:space="preserve">    Embalaje</t>
        </is>
      </c>
      <c r="E219" s="29" t="n">
        <v>1</v>
      </c>
      <c r="F219" s="29" t="inlineStr">
        <is>
          <t>u</t>
        </is>
      </c>
      <c r="G219" s="31" t="n"/>
      <c r="H219" s="31">
        <f>H223</f>
        <v/>
      </c>
      <c r="I219" s="29" t="n"/>
      <c r="J219" s="30" t="n"/>
      <c r="K219" s="29" t="inlineStr">
        <is>
          <t>Compra</t>
        </is>
      </c>
      <c r="L219" s="29" t="n"/>
      <c r="M219" s="30" t="n"/>
      <c r="N219" s="30" t="n"/>
      <c r="O219" s="30" t="inlineStr">
        <is>
          <t>23 Embalaje -&gt; 24 envolvedora (T11)</t>
        </is>
      </c>
      <c r="P219" s="30" t="n"/>
      <c r="Q219" s="29" t="n"/>
      <c r="R219" s="29" t="n"/>
      <c r="S219" s="30" t="n"/>
    </row>
    <row r="220">
      <c r="A220" s="32" t="inlineStr">
        <is>
          <t>FL_MAT_ABC_10kg</t>
        </is>
      </c>
      <c r="B220" s="32" t="n">
        <v>2</v>
      </c>
      <c r="C220" s="32" t="inlineStr">
        <is>
          <t>ABC10-E1</t>
        </is>
      </c>
      <c r="D220" s="17" t="inlineStr">
        <is>
          <t xml:space="preserve">        Caja de cartón corrugado doble</t>
        </is>
      </c>
      <c r="E220" s="32" t="n">
        <v>1</v>
      </c>
      <c r="F220" s="32" t="inlineStr">
        <is>
          <t>u</t>
        </is>
      </c>
      <c r="G220" s="33" t="n"/>
      <c r="H220" s="33" t="n"/>
      <c r="I220" s="32" t="inlineStr">
        <is>
          <t>Cartón corrugado</t>
        </is>
      </c>
      <c r="J220" s="17" t="inlineStr">
        <is>
          <t>258 × 215 × 628 interior (envolvente del plano + 15 por lado)</t>
        </is>
      </c>
      <c r="K220" s="32" t="inlineStr">
        <is>
          <t>Compra</t>
        </is>
      </c>
      <c r="L220" s="32" t="inlineStr">
        <is>
          <t>Sí</t>
        </is>
      </c>
      <c r="M220" s="17" t="inlineStr">
        <is>
          <t>Maxipack</t>
        </is>
      </c>
      <c r="N220" s="17" t="inlineStr">
        <is>
          <t>Cartocan</t>
        </is>
      </c>
      <c r="O220" s="17" t="inlineStr">
        <is>
          <t>23 Embalaje</t>
        </is>
      </c>
      <c r="P220" s="17" t="n"/>
      <c r="Q220" s="32" t="inlineStr">
        <is>
          <t>P</t>
        </is>
      </c>
      <c r="R220" s="32" t="n"/>
      <c r="S220" s="17" t="inlineStr">
        <is>
          <t>Medida del plano</t>
        </is>
      </c>
    </row>
    <row r="221">
      <c r="A221" s="32" t="inlineStr">
        <is>
          <t>FL_MAT_ABC_10kg</t>
        </is>
      </c>
      <c r="B221" s="32" t="n">
        <v>2</v>
      </c>
      <c r="C221" s="32" t="inlineStr">
        <is>
          <t>ABC10-E2</t>
        </is>
      </c>
      <c r="D221" s="17" t="inlineStr">
        <is>
          <t xml:space="preserve">        Instructivo de uso y mantenimiento</t>
        </is>
      </c>
      <c r="E221" s="32" t="n">
        <v>1</v>
      </c>
      <c r="F221" s="32" t="inlineStr">
        <is>
          <t>u</t>
        </is>
      </c>
      <c r="G221" s="33" t="n"/>
      <c r="H221" s="33" t="n"/>
      <c r="I221" s="32" t="inlineStr">
        <is>
          <t>Papel</t>
        </is>
      </c>
      <c r="J221" s="17" t="inlineStr">
        <is>
          <t>A5</t>
        </is>
      </c>
      <c r="K221" s="32" t="inlineStr">
        <is>
          <t>Compra</t>
        </is>
      </c>
      <c r="L221" s="32" t="inlineStr">
        <is>
          <t>Sí</t>
        </is>
      </c>
      <c r="M221" s="17" t="inlineStr">
        <is>
          <t>Astuprint</t>
        </is>
      </c>
      <c r="N221" s="17" t="inlineStr">
        <is>
          <t>-</t>
        </is>
      </c>
      <c r="O221" s="17" t="inlineStr">
        <is>
          <t>23 Embalaje</t>
        </is>
      </c>
      <c r="P221" s="17" t="n"/>
      <c r="Q221" s="32" t="inlineStr">
        <is>
          <t>I</t>
        </is>
      </c>
      <c r="R221" s="32" t="n"/>
      <c r="S221" s="17" t="inlineStr">
        <is>
          <t>Decisión comercial de FLAMA (las instrucciones de uso obligatorias van en la etiqueta, IRAM 3534)</t>
        </is>
      </c>
    </row>
    <row r="222">
      <c r="A222" s="32" t="inlineStr">
        <is>
          <t>FL_MAT_ABC_10kg</t>
        </is>
      </c>
      <c r="B222" s="32" t="n">
        <v>2</v>
      </c>
      <c r="C222" s="32" t="inlineStr">
        <is>
          <t>ABC10-E3</t>
        </is>
      </c>
      <c r="D222" s="17" t="inlineStr">
        <is>
          <t xml:space="preserve">        Pallet 1200 × 1000 (fracción)</t>
        </is>
      </c>
      <c r="E222" s="32" t="n">
        <v>0.0312</v>
      </c>
      <c r="F222" s="32" t="inlineStr">
        <is>
          <t>u</t>
        </is>
      </c>
      <c r="G222" s="33" t="n"/>
      <c r="H222" s="33" t="n"/>
      <c r="I222" s="32" t="inlineStr">
        <is>
          <t>Madera</t>
        </is>
      </c>
      <c r="J222" s="17" t="inlineStr">
        <is>
          <t>32 u por pallet</t>
        </is>
      </c>
      <c r="K222" s="32" t="inlineStr">
        <is>
          <t>Compra</t>
        </is>
      </c>
      <c r="L222" s="32" t="inlineStr">
        <is>
          <t>Sí</t>
        </is>
      </c>
      <c r="M222" s="17" t="inlineStr">
        <is>
          <t>IndusPallets</t>
        </is>
      </c>
      <c r="N222" s="17" t="inlineStr">
        <is>
          <t>-</t>
        </is>
      </c>
      <c r="O222" s="17" t="inlineStr">
        <is>
          <t>23 Embalaje</t>
        </is>
      </c>
      <c r="P222" s="17" t="n"/>
      <c r="Q222" s="32" t="inlineStr">
        <is>
          <t>C</t>
        </is>
      </c>
      <c r="R222" s="32" t="n"/>
      <c r="S222" s="17" t="inlineStr">
        <is>
          <t>u por pallet = acomodo de la caja (plano) en 1200 × 1000 × 1450 de alto</t>
        </is>
      </c>
    </row>
    <row r="223">
      <c r="A223" s="37" t="inlineStr">
        <is>
          <t>FL_MAT_ABC_10kg</t>
        </is>
      </c>
      <c r="B223" s="37" t="n">
        <v>2</v>
      </c>
      <c r="C223" s="37" t="inlineStr">
        <is>
          <t>ABC10-E4</t>
        </is>
      </c>
      <c r="D223" s="18" t="inlineStr">
        <is>
          <t xml:space="preserve">        Film stretch (fracción del pallet)</t>
        </is>
      </c>
      <c r="E223" s="37" t="n">
        <v>0.0037</v>
      </c>
      <c r="F223" s="37" t="inlineStr">
        <is>
          <t>kg</t>
        </is>
      </c>
      <c r="G223" s="38" t="n">
        <v>1</v>
      </c>
      <c r="H223" s="38">
        <f>E223*G223</f>
        <v/>
      </c>
      <c r="I223" s="37" t="inlineStr">
        <is>
          <t>PE lineal 23 µm</t>
        </is>
      </c>
      <c r="J223" s="18" t="inlineStr">
        <is>
          <t>0,12 kg por pallet / 32 u</t>
        </is>
      </c>
      <c r="K223" s="37" t="inlineStr">
        <is>
          <t>Compra</t>
        </is>
      </c>
      <c r="L223" s="37" t="inlineStr">
        <is>
          <t>Sí</t>
        </is>
      </c>
      <c r="M223" s="18" t="inlineStr">
        <is>
          <t>MV Embalajes</t>
        </is>
      </c>
      <c r="N223" s="18" t="inlineStr">
        <is>
          <t>Embalpack</t>
        </is>
      </c>
      <c r="O223" s="18" t="inlineStr">
        <is>
          <t>24 Envolvedora (T11)</t>
        </is>
      </c>
      <c r="P223" s="18" t="n"/>
      <c r="Q223" s="37" t="inlineStr">
        <is>
          <t>C</t>
        </is>
      </c>
      <c r="R223" s="37" t="n"/>
      <c r="S223"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224">
      <c r="A224" s="32" t="inlineStr">
        <is>
          <t>FL_MAT_ABC_10kg</t>
        </is>
      </c>
      <c r="B224" s="32" t="n">
        <v>2</v>
      </c>
      <c r="C224" s="32" t="inlineStr">
        <is>
          <t>ABC10-E5</t>
        </is>
      </c>
      <c r="D224" s="17" t="inlineStr">
        <is>
          <t xml:space="preserve">        Etiqueta de pallet (lote y destino, fracción)</t>
        </is>
      </c>
      <c r="E224" s="32" t="n">
        <v>0.0312</v>
      </c>
      <c r="F224" s="32" t="inlineStr">
        <is>
          <t>u</t>
        </is>
      </c>
      <c r="G224" s="33" t="n"/>
      <c r="H224" s="33" t="n"/>
      <c r="I224" s="32" t="inlineStr">
        <is>
          <t>Papel térmico</t>
        </is>
      </c>
      <c r="J224" s="17" t="inlineStr">
        <is>
          <t>100 × 150</t>
        </is>
      </c>
      <c r="K224" s="32" t="inlineStr">
        <is>
          <t>Compra</t>
        </is>
      </c>
      <c r="L224" s="32" t="inlineStr">
        <is>
          <t>Sí</t>
        </is>
      </c>
      <c r="M224" s="17" t="inlineStr">
        <is>
          <t>Astuprint</t>
        </is>
      </c>
      <c r="N224" s="17" t="inlineStr">
        <is>
          <t>Multilabel Argentina S.A.</t>
        </is>
      </c>
      <c r="O224" s="17" t="inlineStr">
        <is>
          <t>24 Envolvedora</t>
        </is>
      </c>
      <c r="P224" s="17" t="n"/>
      <c r="Q224" s="32" t="inlineStr">
        <is>
          <t>C</t>
        </is>
      </c>
      <c r="R224" s="32" t="n"/>
      <c r="S224" s="17" t="n"/>
    </row>
    <row r="225">
      <c r="A225" s="37" t="inlineStr">
        <is>
          <t>FL_MAT_ABC_10kg</t>
        </is>
      </c>
      <c r="B225" s="37" t="n">
        <v>2</v>
      </c>
      <c r="C225" s="37" t="inlineStr">
        <is>
          <t>ABC10-E6</t>
        </is>
      </c>
      <c r="D225" s="18" t="inlineStr">
        <is>
          <t xml:space="preserve">        Cinta de embalaje PP 48 mm (cierre de la caja)</t>
        </is>
      </c>
      <c r="E225" s="37" t="n">
        <v>0.796</v>
      </c>
      <c r="F225" s="37" t="inlineStr">
        <is>
          <t>m</t>
        </is>
      </c>
      <c r="G225" s="38" t="n"/>
      <c r="H225" s="38" t="n"/>
      <c r="I225" s="37" t="inlineStr">
        <is>
          <t>Polipropileno con adhesivo acrílico</t>
        </is>
      </c>
      <c r="J225" s="18" t="inlineStr">
        <is>
          <t>cierre en I arriba y abajo: 2 × (258 + 2 × 70 de solapa)</t>
        </is>
      </c>
      <c r="K225" s="37" t="inlineStr">
        <is>
          <t>Compra</t>
        </is>
      </c>
      <c r="L225" s="37" t="inlineStr">
        <is>
          <t>Sí</t>
        </is>
      </c>
      <c r="M225" s="18" t="inlineStr">
        <is>
          <t>MV Embalajes</t>
        </is>
      </c>
      <c r="N225" s="18" t="inlineStr">
        <is>
          <t>Embalpack</t>
        </is>
      </c>
      <c r="O225" s="18" t="inlineStr">
        <is>
          <t>23 Embalaje</t>
        </is>
      </c>
      <c r="P225" s="18" t="n"/>
      <c r="Q225" s="37" t="inlineStr">
        <is>
          <t>C</t>
        </is>
      </c>
      <c r="R225" s="37" t="n"/>
      <c r="S225" s="18" t="inlineStr">
        <is>
          <t>Solapa de 70 mm por lado: práctica de cierre de cajas (medir en la línea)</t>
        </is>
      </c>
    </row>
    <row r="226">
      <c r="A226" s="32" t="inlineStr">
        <is>
          <t>FL_MAT_ABC_10kg</t>
        </is>
      </c>
      <c r="B226" s="32" t="n">
        <v>2</v>
      </c>
      <c r="C226" s="32" t="inlineStr">
        <is>
          <t>ABC10-E7</t>
        </is>
      </c>
      <c r="D226" s="17" t="inlineStr">
        <is>
          <t xml:space="preserve">        Esquineros de cartón 50 × 50 × 1200 (fracción del pallet)</t>
        </is>
      </c>
      <c r="E226" s="32" t="n">
        <v>0.125</v>
      </c>
      <c r="F226" s="32" t="inlineStr">
        <is>
          <t>u</t>
        </is>
      </c>
      <c r="G226" s="33" t="n"/>
      <c r="H226" s="33" t="n"/>
      <c r="I226" s="32" t="inlineStr">
        <is>
          <t>Cartón</t>
        </is>
      </c>
      <c r="J226" s="17" t="inlineStr">
        <is>
          <t>4 por pallet / 32 u</t>
        </is>
      </c>
      <c r="K226" s="32" t="inlineStr">
        <is>
          <t>Compra</t>
        </is>
      </c>
      <c r="L226" s="32" t="inlineStr">
        <is>
          <t>Sí</t>
        </is>
      </c>
      <c r="M226" s="17" t="inlineStr">
        <is>
          <t>Maxipack</t>
        </is>
      </c>
      <c r="N226" s="17" t="inlineStr">
        <is>
          <t>Cartocan</t>
        </is>
      </c>
      <c r="O226" s="17" t="inlineStr">
        <is>
          <t>24 Envolvedora (T11)</t>
        </is>
      </c>
      <c r="P226" s="17" t="n"/>
      <c r="Q226" s="32" t="inlineStr">
        <is>
          <t>C</t>
        </is>
      </c>
      <c r="R226" s="32" t="n"/>
      <c r="S226" s="17" t="inlineStr">
        <is>
          <t>Planilla MP-64</t>
        </is>
      </c>
    </row>
    <row r="227">
      <c r="A227" s="26" t="inlineStr">
        <is>
          <t>FL_MAT_AGUA_10l</t>
        </is>
      </c>
      <c r="B227" s="26" t="n">
        <v>0</v>
      </c>
      <c r="C227" s="26" t="inlineStr">
        <is>
          <t>FL_MAT_AGUA_10l</t>
        </is>
      </c>
      <c r="D227" s="27" t="inlineStr">
        <is>
          <t>Extintor Agua 10 l</t>
        </is>
      </c>
      <c r="E227" s="26" t="n">
        <v>1</v>
      </c>
      <c r="F227" s="26" t="inlineStr">
        <is>
          <t>u</t>
        </is>
      </c>
      <c r="G227" s="28" t="n"/>
      <c r="H227" s="28" t="n"/>
      <c r="I227" s="26" t="n"/>
      <c r="J227" s="27" t="n"/>
      <c r="K227" s="26" t="n"/>
      <c r="L227" s="26" t="n"/>
      <c r="M227" s="27" t="n"/>
      <c r="N227" s="27" t="n"/>
      <c r="O227" s="27" t="n"/>
      <c r="P227" s="27" t="inlineStr">
        <is>
          <t>IRAM 3525</t>
        </is>
      </c>
      <c r="Q227" s="26" t="inlineStr">
        <is>
          <t>P</t>
        </is>
      </c>
      <c r="R227" s="26" t="inlineStr">
        <is>
          <t>FL_MAT_AGUA_10l</t>
        </is>
      </c>
      <c r="S227" s="27" t="inlineStr">
        <is>
          <t>Revendido: se compra terminado al fabricante con Sello IRAM; las piezas internas quedan como referencia (no entran en MRP)</t>
        </is>
      </c>
    </row>
    <row r="228">
      <c r="A228" s="29" t="inlineStr">
        <is>
          <t>FL_MAT_AGUA_10l</t>
        </is>
      </c>
      <c r="B228" s="29" t="n">
        <v>1</v>
      </c>
      <c r="C228" s="29" t="inlineStr">
        <is>
          <t>AGUA10-S0</t>
        </is>
      </c>
      <c r="D228" s="30" t="inlineStr">
        <is>
          <t xml:space="preserve">    Equipo terminado comprado (fabricante con Sello IRAM)</t>
        </is>
      </c>
      <c r="E228" s="29" t="n">
        <v>1</v>
      </c>
      <c r="F228" s="29" t="inlineStr">
        <is>
          <t>u</t>
        </is>
      </c>
      <c r="G228" s="31" t="n"/>
      <c r="H228" s="31" t="n"/>
      <c r="I228" s="29" t="n"/>
      <c r="J228" s="30" t="n"/>
      <c r="K228" s="29" t="inlineStr">
        <is>
          <t>Compra</t>
        </is>
      </c>
      <c r="L228" s="29" t="inlineStr">
        <is>
          <t>Sí</t>
        </is>
      </c>
      <c r="M228" s="30" t="inlineStr">
        <is>
          <t>Matafuegos Georgia - venta mayorista</t>
        </is>
      </c>
      <c r="N228" s="30" t="inlineStr">
        <is>
          <t>Drago (Luis Pasquinelli e Hijos S.A.)</t>
        </is>
      </c>
      <c r="O228" s="30" t="inlineStr">
        <is>
          <t>Recepción y control de ingreso (SP-1)</t>
        </is>
      </c>
      <c r="P228" s="30" t="inlineStr">
        <is>
          <t>IRAM 3525</t>
        </is>
      </c>
      <c r="Q228" s="29" t="inlineStr">
        <is>
          <t>I</t>
        </is>
      </c>
      <c r="R228" s="29" t="inlineStr">
        <is>
          <t>FL_MAT_AGUA_10l</t>
        </is>
      </c>
      <c r="S228" s="30" t="inlineStr">
        <is>
          <t>Única fila de compra del revendido (más la tarjeta AGC si el destino es CABA)</t>
        </is>
      </c>
    </row>
    <row r="229">
      <c r="A229" s="29" t="inlineStr">
        <is>
          <t>FL_MAT_AGUA_10l</t>
        </is>
      </c>
      <c r="B229" s="29" t="n">
        <v>1</v>
      </c>
      <c r="C229" s="29" t="inlineStr">
        <is>
          <t>AGUA10-S1</t>
        </is>
      </c>
      <c r="D229" s="30" t="inlineStr">
        <is>
          <t xml:space="preserve">    Recipiente (cilindro)</t>
        </is>
      </c>
      <c r="E229" s="29" t="n">
        <v>1</v>
      </c>
      <c r="F229" s="29" t="inlineStr">
        <is>
          <t>u</t>
        </is>
      </c>
      <c r="G229" s="31" t="n"/>
      <c r="H229" s="31">
        <f>H230+H231+H232+H233</f>
        <v/>
      </c>
      <c r="I229" s="29" t="n"/>
      <c r="J229" s="30" t="n"/>
      <c r="K229" s="29" t="inlineStr">
        <is>
          <t>Compra / armado</t>
        </is>
      </c>
      <c r="L229" s="29" t="n"/>
      <c r="M229" s="30" t="n"/>
      <c r="N229" s="30" t="n"/>
      <c r="O229" s="30" t="n"/>
      <c r="P229" s="30" t="inlineStr">
        <is>
          <t>IRAM 3523 / 3550 (recipiente)</t>
        </is>
      </c>
      <c r="Q229" s="29" t="inlineStr">
        <is>
          <t>P</t>
        </is>
      </c>
      <c r="R229" s="29" t="inlineStr">
        <is>
          <t>FL_DES_AGUA_10l</t>
        </is>
      </c>
      <c r="S229" s="30" t="n"/>
    </row>
    <row r="230">
      <c r="A230" s="32" t="inlineStr">
        <is>
          <t>FL_MAT_AGUA_10l</t>
        </is>
      </c>
      <c r="B230" s="32" t="n">
        <v>2</v>
      </c>
      <c r="C230" s="32" t="inlineStr">
        <is>
          <t>AGUA10-01</t>
        </is>
      </c>
      <c r="D230" s="17" t="inlineStr">
        <is>
          <t xml:space="preserve">        Cuerpo (virola)</t>
        </is>
      </c>
      <c r="E230" s="32" t="n">
        <v>1</v>
      </c>
      <c r="F230" s="32" t="inlineStr">
        <is>
          <t>u</t>
        </is>
      </c>
      <c r="G230" s="33" t="n">
        <v>1.8173</v>
      </c>
      <c r="H230" s="33">
        <f>E230*G230</f>
        <v/>
      </c>
      <c r="I230" s="32" t="inlineStr">
        <is>
          <t>Chapa acero inox. AISI 304 e=0,8</t>
        </is>
      </c>
      <c r="J230" s="17" t="inlineStr">
        <is>
          <t>Ø190 × e0,8 × 482 de alto; desarrollo 594,4 × 482</t>
        </is>
      </c>
      <c r="K230" s="32" t="inlineStr">
        <is>
          <t>Compra (en el conjunto)</t>
        </is>
      </c>
      <c r="L230" s="32" t="inlineStr">
        <is>
          <t>No</t>
        </is>
      </c>
      <c r="M230" s="17" t="n"/>
      <c r="N230" s="17" t="n"/>
      <c r="O230" s="17" t="inlineStr">
        <is>
          <t>S4 - se compra terminado (tercerizado con sello IRAM)</t>
        </is>
      </c>
      <c r="P230" s="17" t="n"/>
      <c r="Q230" s="32" t="inlineStr">
        <is>
          <t>P</t>
        </is>
      </c>
      <c r="R230" s="32" t="inlineStr">
        <is>
          <t>FL_DES_AGUA_10l</t>
        </is>
      </c>
      <c r="S230" s="17" t="inlineStr">
        <is>
          <t>costura long. TIG</t>
        </is>
      </c>
    </row>
    <row r="231">
      <c r="A231" s="32" t="inlineStr">
        <is>
          <t>FL_MAT_AGUA_10l</t>
        </is>
      </c>
      <c r="B231" s="32" t="n">
        <v>2</v>
      </c>
      <c r="C231" s="32" t="inlineStr">
        <is>
          <t>AGUA10-02</t>
        </is>
      </c>
      <c r="D231" s="17" t="inlineStr">
        <is>
          <t xml:space="preserve">        Cúpula</t>
        </is>
      </c>
      <c r="E231" s="32" t="n">
        <v>1</v>
      </c>
      <c r="F231" s="32" t="inlineStr">
        <is>
          <t>u</t>
        </is>
      </c>
      <c r="G231" s="33" t="n">
        <v>0.2669</v>
      </c>
      <c r="H231" s="33">
        <f>E231*G231</f>
        <v/>
      </c>
      <c r="I231" s="32" t="inlineStr">
        <is>
          <t>Chapa acero inox. AISI 304 e=0,8</t>
        </is>
      </c>
      <c r="J231" s="17" t="inlineStr">
        <is>
          <t>Ø190 × e0,8 × 59,1 de alto; disco Ø238,4</t>
        </is>
      </c>
      <c r="K231" s="32" t="inlineStr">
        <is>
          <t>Compra (en el conjunto)</t>
        </is>
      </c>
      <c r="L231" s="32" t="inlineStr">
        <is>
          <t>No</t>
        </is>
      </c>
      <c r="M231" s="17" t="n"/>
      <c r="N231" s="17" t="n"/>
      <c r="O231" s="17" t="inlineStr">
        <is>
          <t>S4 - se compra terminado (tercerizado con sello IRAM)</t>
        </is>
      </c>
      <c r="P231" s="17" t="n"/>
      <c r="Q231" s="32" t="inlineStr">
        <is>
          <t>P</t>
        </is>
      </c>
      <c r="R231" s="32" t="inlineStr">
        <is>
          <t>FL_DES_AGUA_10l</t>
        </is>
      </c>
      <c r="S231" s="17" t="inlineStr">
        <is>
          <t>embutida</t>
        </is>
      </c>
    </row>
    <row r="232">
      <c r="A232" s="32" t="inlineStr">
        <is>
          <t>FL_MAT_AGUA_10l</t>
        </is>
      </c>
      <c r="B232" s="32" t="n">
        <v>2</v>
      </c>
      <c r="C232" s="32" t="inlineStr">
        <is>
          <t>AGUA10-03</t>
        </is>
      </c>
      <c r="D232" s="17" t="inlineStr">
        <is>
          <t xml:space="preserve">        Fondo</t>
        </is>
      </c>
      <c r="E232" s="32" t="n">
        <v>1</v>
      </c>
      <c r="F232" s="32" t="inlineStr">
        <is>
          <t>u</t>
        </is>
      </c>
      <c r="G232" s="33" t="n">
        <v>0.2299</v>
      </c>
      <c r="H232" s="33">
        <f>E232*G232</f>
        <v/>
      </c>
      <c r="I232" s="32" t="inlineStr">
        <is>
          <t>Chapa acero inox. AISI 304 e=0,8</t>
        </is>
      </c>
      <c r="J232" s="17" t="inlineStr">
        <is>
          <t>Ø190 × e0,8 × 20 de alto; disco Ø221,3</t>
        </is>
      </c>
      <c r="K232" s="32" t="inlineStr">
        <is>
          <t>Compra (en el conjunto)</t>
        </is>
      </c>
      <c r="L232" s="32" t="inlineStr">
        <is>
          <t>No</t>
        </is>
      </c>
      <c r="M232" s="17" t="n"/>
      <c r="N232" s="17" t="n"/>
      <c r="O232" s="17" t="inlineStr">
        <is>
          <t>S4 - se compra terminado (tercerizado con sello IRAM)</t>
        </is>
      </c>
      <c r="P232" s="17" t="n"/>
      <c r="Q232" s="32" t="inlineStr">
        <is>
          <t>P</t>
        </is>
      </c>
      <c r="R232" s="32" t="inlineStr">
        <is>
          <t>FL_DES_AGUA_10l</t>
        </is>
      </c>
      <c r="S232" s="17" t="inlineStr">
        <is>
          <t>embutido</t>
        </is>
      </c>
    </row>
    <row r="233">
      <c r="A233" s="32" t="inlineStr">
        <is>
          <t>FL_MAT_AGUA_10l</t>
        </is>
      </c>
      <c r="B233" s="32" t="n">
        <v>2</v>
      </c>
      <c r="C233" s="32" t="inlineStr">
        <is>
          <t>AGUA10-04</t>
        </is>
      </c>
      <c r="D233" s="17" t="inlineStr">
        <is>
          <t xml:space="preserve">        Cuello roscado</t>
        </is>
      </c>
      <c r="E233" s="32" t="n">
        <v>1</v>
      </c>
      <c r="F233" s="32" t="inlineStr">
        <is>
          <t>u</t>
        </is>
      </c>
      <c r="G233" s="33" t="n">
        <v>0.0539</v>
      </c>
      <c r="H233" s="33">
        <f>E233*G233</f>
        <v/>
      </c>
      <c r="I233" s="32" t="inlineStr">
        <is>
          <t>Acero inox. AISI 304</t>
        </is>
      </c>
      <c r="J233" s="17" t="inlineStr">
        <is>
          <t>Ø37 × 14 de alto, rosca M30x1,5, asiento Ø35</t>
        </is>
      </c>
      <c r="K233" s="32" t="inlineStr">
        <is>
          <t>Compra (en el conjunto)</t>
        </is>
      </c>
      <c r="L233" s="32" t="inlineStr">
        <is>
          <t>No</t>
        </is>
      </c>
      <c r="M233" s="17" t="n"/>
      <c r="N233" s="17" t="n"/>
      <c r="O233" s="17" t="inlineStr">
        <is>
          <t>S4 - se compra terminado (tercerizado con sello IRAM)</t>
        </is>
      </c>
      <c r="P233" s="17" t="n"/>
      <c r="Q233" s="32" t="inlineStr">
        <is>
          <t>P</t>
        </is>
      </c>
      <c r="R233" s="32" t="inlineStr">
        <is>
          <t>FL_DES_AGUA_10l</t>
        </is>
      </c>
      <c r="S233" s="17" t="inlineStr">
        <is>
          <t>M30x1,5</t>
        </is>
      </c>
    </row>
    <row r="234">
      <c r="A234" s="29" t="inlineStr">
        <is>
          <t>FL_MAT_AGUA_10l</t>
        </is>
      </c>
      <c r="B234" s="29" t="n">
        <v>1</v>
      </c>
      <c r="C234" s="29" t="inlineStr">
        <is>
          <t>AGUA10-S2</t>
        </is>
      </c>
      <c r="D234" s="30" t="inlineStr">
        <is>
          <t xml:space="preserve">    Conjunto de válvula</t>
        </is>
      </c>
      <c r="E234" s="29" t="n">
        <v>1</v>
      </c>
      <c r="F234" s="29" t="inlineStr">
        <is>
          <t>u</t>
        </is>
      </c>
      <c r="G234" s="31" t="n"/>
      <c r="H234" s="31">
        <f>H235+H236+H237+H239+H240+H241+H242+H243+H244+H245+H246+H247</f>
        <v/>
      </c>
      <c r="I234" s="29" t="n"/>
      <c r="J234" s="30" t="n"/>
      <c r="K234" s="29" t="inlineStr">
        <is>
          <t>Compra / armado</t>
        </is>
      </c>
      <c r="L234" s="29" t="n"/>
      <c r="M234" s="30" t="n"/>
      <c r="N234" s="30" t="n"/>
      <c r="O234" s="30" t="n"/>
      <c r="P234" s="30" t="inlineStr">
        <is>
          <t>Manómetro IRAM 3533</t>
        </is>
      </c>
      <c r="Q234" s="29" t="inlineStr">
        <is>
          <t>P</t>
        </is>
      </c>
      <c r="R234" s="29" t="inlineStr">
        <is>
          <t>FL_DES_AGUA_10l</t>
        </is>
      </c>
      <c r="S234" s="30" t="n"/>
    </row>
    <row r="235">
      <c r="A235" s="32" t="inlineStr">
        <is>
          <t>FL_MAT_AGUA_10l</t>
        </is>
      </c>
      <c r="B235" s="32" t="n">
        <v>2</v>
      </c>
      <c r="C235" s="32" t="inlineStr">
        <is>
          <t>AGUA10-05</t>
        </is>
      </c>
      <c r="D235" s="17" t="inlineStr">
        <is>
          <t xml:space="preserve">        Espiga roscada</t>
        </is>
      </c>
      <c r="E235" s="32" t="n">
        <v>1</v>
      </c>
      <c r="F235" s="32" t="inlineStr">
        <is>
          <t>u</t>
        </is>
      </c>
      <c r="G235" s="33" t="n">
        <v>0.0245</v>
      </c>
      <c r="H235" s="33">
        <f>E235*G235</f>
        <v/>
      </c>
      <c r="I235" s="32" t="inlineStr">
        <is>
          <t>Latón forjado</t>
        </is>
      </c>
      <c r="J235" s="17" t="inlineStr">
        <is>
          <t>29,8 × 29,8 × 10,8</t>
        </is>
      </c>
      <c r="K235" s="32" t="inlineStr">
        <is>
          <t>Compra (en el conjunto)</t>
        </is>
      </c>
      <c r="L235" s="32" t="inlineStr">
        <is>
          <t>No</t>
        </is>
      </c>
      <c r="M235" s="17" t="n"/>
      <c r="N235" s="17" t="n"/>
      <c r="O235" s="17" t="inlineStr">
        <is>
          <t>S4 - se compra terminado (tercerizado con sello IRAM)</t>
        </is>
      </c>
      <c r="P235" s="17" t="n"/>
      <c r="Q235" s="32" t="inlineStr">
        <is>
          <t>P</t>
        </is>
      </c>
      <c r="R235" s="32" t="inlineStr">
        <is>
          <t>FL_DES_AGUA_10l</t>
        </is>
      </c>
      <c r="S235" s="17" t="n"/>
    </row>
    <row r="236">
      <c r="A236" s="32" t="inlineStr">
        <is>
          <t>FL_MAT_AGUA_10l</t>
        </is>
      </c>
      <c r="B236" s="32" t="n">
        <v>2</v>
      </c>
      <c r="C236" s="32" t="inlineStr">
        <is>
          <t>AGUA10-06</t>
        </is>
      </c>
      <c r="D236" s="17" t="inlineStr">
        <is>
          <t xml:space="preserve">        Collarín de válvula</t>
        </is>
      </c>
      <c r="E236" s="32" t="n">
        <v>1</v>
      </c>
      <c r="F236" s="32" t="inlineStr">
        <is>
          <t>u</t>
        </is>
      </c>
      <c r="G236" s="33" t="n">
        <v>0.0053</v>
      </c>
      <c r="H236" s="33">
        <f>E236*G236</f>
        <v/>
      </c>
      <c r="I236" s="32" t="inlineStr">
        <is>
          <t>Latón forjado</t>
        </is>
      </c>
      <c r="J236" s="17" t="inlineStr">
        <is>
          <t>27,2 × 27,2 × 4,1</t>
        </is>
      </c>
      <c r="K236" s="32" t="inlineStr">
        <is>
          <t>Compra (en el conjunto)</t>
        </is>
      </c>
      <c r="L236" s="32" t="inlineStr">
        <is>
          <t>No</t>
        </is>
      </c>
      <c r="M236" s="17" t="n"/>
      <c r="N236" s="17" t="n"/>
      <c r="O236" s="17" t="inlineStr">
        <is>
          <t>S4 - se compra terminado (tercerizado con sello IRAM)</t>
        </is>
      </c>
      <c r="P236" s="17" t="n"/>
      <c r="Q236" s="32" t="inlineStr">
        <is>
          <t>P</t>
        </is>
      </c>
      <c r="R236" s="32" t="inlineStr">
        <is>
          <t>FL_DES_AGUA_10l</t>
        </is>
      </c>
      <c r="S236" s="17" t="n"/>
    </row>
    <row r="237">
      <c r="A237" s="32" t="inlineStr">
        <is>
          <t>FL_MAT_AGUA_10l</t>
        </is>
      </c>
      <c r="B237" s="32" t="n">
        <v>2</v>
      </c>
      <c r="C237" s="32" t="inlineStr">
        <is>
          <t>AGUA10-07</t>
        </is>
      </c>
      <c r="D237" s="17" t="inlineStr">
        <is>
          <t xml:space="preserve">        Cuerpo de válvula</t>
        </is>
      </c>
      <c r="E237" s="32" t="n">
        <v>1</v>
      </c>
      <c r="F237" s="32" t="inlineStr">
        <is>
          <t>u</t>
        </is>
      </c>
      <c r="G237" s="33" t="n">
        <v>0.1328</v>
      </c>
      <c r="H237" s="33">
        <f>E237*G237</f>
        <v/>
      </c>
      <c r="I237" s="32" t="inlineStr">
        <is>
          <t>Latón forjado</t>
        </is>
      </c>
      <c r="J237" s="17" t="inlineStr">
        <is>
          <t>43,9 × 32 × 24,5</t>
        </is>
      </c>
      <c r="K237" s="32" t="inlineStr">
        <is>
          <t>Compra (en el conjunto)</t>
        </is>
      </c>
      <c r="L237" s="32" t="inlineStr">
        <is>
          <t>No</t>
        </is>
      </c>
      <c r="M237" s="17" t="n"/>
      <c r="N237" s="17" t="n"/>
      <c r="O237" s="17" t="inlineStr">
        <is>
          <t>S4 - se compra terminado (tercerizado con sello IRAM)</t>
        </is>
      </c>
      <c r="P237" s="17" t="n"/>
      <c r="Q237" s="32" t="inlineStr">
        <is>
          <t>P</t>
        </is>
      </c>
      <c r="R237" s="32" t="inlineStr">
        <is>
          <t>FL_DES_AGUA_10l</t>
        </is>
      </c>
      <c r="S237" s="17" t="n"/>
    </row>
    <row r="238">
      <c r="A238" s="32" t="inlineStr">
        <is>
          <t>FL_MAT_AGUA_10l</t>
        </is>
      </c>
      <c r="B238" s="32" t="n">
        <v>2</v>
      </c>
      <c r="C238" s="32" t="inlineStr">
        <is>
          <t>AGUA10-08</t>
        </is>
      </c>
      <c r="D238" s="17" t="inlineStr">
        <is>
          <t xml:space="preserve">        Manómetro</t>
        </is>
      </c>
      <c r="E238" s="32" t="n">
        <v>1</v>
      </c>
      <c r="F238" s="32" t="inlineStr">
        <is>
          <t>u</t>
        </is>
      </c>
      <c r="G238" s="33" t="n"/>
      <c r="H238" s="33" t="n"/>
      <c r="I238" s="32" t="inlineStr">
        <is>
          <t>Comercial</t>
        </is>
      </c>
      <c r="J238" s="17" t="inlineStr">
        <is>
          <t>Ø36 esfera, rango 0-2 MPa, sector verde en 0,8</t>
        </is>
      </c>
      <c r="K238" s="32" t="inlineStr">
        <is>
          <t>Compra (en el conjunto)</t>
        </is>
      </c>
      <c r="L238" s="32" t="inlineStr">
        <is>
          <t>No</t>
        </is>
      </c>
      <c r="M238" s="17" t="n"/>
      <c r="N238" s="17" t="n"/>
      <c r="O238" s="17" t="inlineStr">
        <is>
          <t>S4 - se compra terminado (tercerizado con sello IRAM)</t>
        </is>
      </c>
      <c r="P238" s="17" t="inlineStr">
        <is>
          <t>IRAM 3533</t>
        </is>
      </c>
      <c r="Q238" s="32" t="inlineStr">
        <is>
          <t>P</t>
        </is>
      </c>
      <c r="R238" s="32" t="inlineStr">
        <is>
          <t>FL_DES_AGUA_10l</t>
        </is>
      </c>
      <c r="S238" s="17" t="inlineStr">
        <is>
          <t>Pieza comercial; sello IRAM 3533; peso: completar con la ficha del proveedor (no afecta el MRP)</t>
        </is>
      </c>
    </row>
    <row r="239">
      <c r="A239" s="32" t="inlineStr">
        <is>
          <t>FL_MAT_AGUA_10l</t>
        </is>
      </c>
      <c r="B239" s="32" t="n">
        <v>2</v>
      </c>
      <c r="C239" s="32" t="inlineStr">
        <is>
          <t>AGUA10-09</t>
        </is>
      </c>
      <c r="D239" s="17" t="inlineStr">
        <is>
          <t xml:space="preserve">        Vástago</t>
        </is>
      </c>
      <c r="E239" s="32" t="n">
        <v>1</v>
      </c>
      <c r="F239" s="32" t="inlineStr">
        <is>
          <t>u</t>
        </is>
      </c>
      <c r="G239" s="33" t="n">
        <v>0.0137</v>
      </c>
      <c r="H239" s="33">
        <f>E239*G239</f>
        <v/>
      </c>
      <c r="I239" s="32" t="inlineStr">
        <is>
          <t>Latón</t>
        </is>
      </c>
      <c r="J239" s="17" t="inlineStr">
        <is>
          <t>35,6 × 14 × 14</t>
        </is>
      </c>
      <c r="K239" s="32" t="inlineStr">
        <is>
          <t>Compra (en el conjunto)</t>
        </is>
      </c>
      <c r="L239" s="32" t="inlineStr">
        <is>
          <t>No</t>
        </is>
      </c>
      <c r="M239" s="17" t="n"/>
      <c r="N239" s="17" t="n"/>
      <c r="O239" s="17" t="inlineStr">
        <is>
          <t>S4 - se compra terminado (tercerizado con sello IRAM)</t>
        </is>
      </c>
      <c r="P239" s="17" t="n"/>
      <c r="Q239" s="32" t="inlineStr">
        <is>
          <t>P</t>
        </is>
      </c>
      <c r="R239" s="32" t="inlineStr">
        <is>
          <t>FL_DES_AGUA_10l</t>
        </is>
      </c>
      <c r="S239" s="17" t="inlineStr">
        <is>
          <t>con junta tórica</t>
        </is>
      </c>
    </row>
    <row r="240">
      <c r="A240" s="32" t="inlineStr">
        <is>
          <t>FL_MAT_AGUA_10l</t>
        </is>
      </c>
      <c r="B240" s="32" t="n">
        <v>2</v>
      </c>
      <c r="C240" s="32" t="inlineStr">
        <is>
          <t>AGUA10-10</t>
        </is>
      </c>
      <c r="D240" s="17" t="inlineStr">
        <is>
          <t xml:space="preserve">        Resorte de válvula</t>
        </is>
      </c>
      <c r="E240" s="32" t="n">
        <v>1</v>
      </c>
      <c r="F240" s="32" t="inlineStr">
        <is>
          <t>u</t>
        </is>
      </c>
      <c r="G240" s="33" t="n">
        <v>0.0049</v>
      </c>
      <c r="H240" s="33">
        <f>E240*G240</f>
        <v/>
      </c>
      <c r="I240" s="32" t="inlineStr">
        <is>
          <t>Alambre acero inox. AISI 302</t>
        </is>
      </c>
      <c r="J240" s="17" t="inlineStr">
        <is>
          <t>28,8 × 17,3 × 17,3</t>
        </is>
      </c>
      <c r="K240" s="32" t="inlineStr">
        <is>
          <t>Compra (en el conjunto)</t>
        </is>
      </c>
      <c r="L240" s="32" t="inlineStr">
        <is>
          <t>No</t>
        </is>
      </c>
      <c r="M240" s="17" t="n"/>
      <c r="N240" s="17" t="n"/>
      <c r="O240" s="17" t="inlineStr">
        <is>
          <t>S4 - se compra terminado (tercerizado con sello IRAM)</t>
        </is>
      </c>
      <c r="P240" s="17" t="n"/>
      <c r="Q240" s="32" t="inlineStr">
        <is>
          <t>P</t>
        </is>
      </c>
      <c r="R240" s="32" t="inlineStr">
        <is>
          <t>FL_DES_AGUA_10l</t>
        </is>
      </c>
      <c r="S240" s="17" t="inlineStr">
        <is>
          <t>cierre del vástago</t>
        </is>
      </c>
    </row>
    <row r="241">
      <c r="A241" s="32" t="inlineStr">
        <is>
          <t>FL_MAT_AGUA_10l</t>
        </is>
      </c>
      <c r="B241" s="32" t="n">
        <v>2</v>
      </c>
      <c r="C241" s="32" t="inlineStr">
        <is>
          <t>AGUA10-11</t>
        </is>
      </c>
      <c r="D241" s="17" t="inlineStr">
        <is>
          <t xml:space="preserve">        Eje de palanca</t>
        </is>
      </c>
      <c r="E241" s="32" t="n">
        <v>1</v>
      </c>
      <c r="F241" s="32" t="inlineStr">
        <is>
          <t>u</t>
        </is>
      </c>
      <c r="G241" s="33" t="n">
        <v>0.0033</v>
      </c>
      <c r="H241" s="33">
        <f>E241*G241</f>
        <v/>
      </c>
      <c r="I241" s="32" t="inlineStr">
        <is>
          <t>Acero inox. AISI 304</t>
        </is>
      </c>
      <c r="J241" s="17" t="inlineStr">
        <is>
          <t>33 × 4 × 4</t>
        </is>
      </c>
      <c r="K241" s="32" t="inlineStr">
        <is>
          <t>Compra (en el conjunto)</t>
        </is>
      </c>
      <c r="L241" s="32" t="inlineStr">
        <is>
          <t>No</t>
        </is>
      </c>
      <c r="M241" s="17" t="n"/>
      <c r="N241" s="17" t="n"/>
      <c r="O241" s="17" t="inlineStr">
        <is>
          <t>S4 - se compra terminado (tercerizado con sello IRAM)</t>
        </is>
      </c>
      <c r="P241" s="17" t="n"/>
      <c r="Q241" s="32" t="inlineStr">
        <is>
          <t>P</t>
        </is>
      </c>
      <c r="R241" s="32" t="inlineStr">
        <is>
          <t>FL_DES_AGUA_10l</t>
        </is>
      </c>
      <c r="S241" s="17" t="n"/>
    </row>
    <row r="242">
      <c r="A242" s="32" t="inlineStr">
        <is>
          <t>FL_MAT_AGUA_10l</t>
        </is>
      </c>
      <c r="B242" s="32" t="n">
        <v>2</v>
      </c>
      <c r="C242" s="32" t="inlineStr">
        <is>
          <t>AGUA10-12</t>
        </is>
      </c>
      <c r="D242" s="17" t="inlineStr">
        <is>
          <t xml:space="preserve">        Pasador de seguridad</t>
        </is>
      </c>
      <c r="E242" s="32" t="n">
        <v>1</v>
      </c>
      <c r="F242" s="32" t="inlineStr">
        <is>
          <t>u</t>
        </is>
      </c>
      <c r="G242" s="33" t="n">
        <v>0.0055</v>
      </c>
      <c r="H242" s="33">
        <f>E242*G242</f>
        <v/>
      </c>
      <c r="I242" s="32" t="inlineStr">
        <is>
          <t>Alambre acero inox. AISI 304</t>
        </is>
      </c>
      <c r="J242" s="17" t="inlineStr">
        <is>
          <t>45,9 × 21 × 20,8</t>
        </is>
      </c>
      <c r="K242" s="32" t="inlineStr">
        <is>
          <t>Compra (en el conjunto)</t>
        </is>
      </c>
      <c r="L242" s="32" t="inlineStr">
        <is>
          <t>No</t>
        </is>
      </c>
      <c r="M242" s="17" t="n"/>
      <c r="N242" s="17" t="n"/>
      <c r="O242" s="17" t="inlineStr">
        <is>
          <t>S4 - se compra terminado (tercerizado con sello IRAM)</t>
        </is>
      </c>
      <c r="P242" s="17" t="n"/>
      <c r="Q242" s="32" t="inlineStr">
        <is>
          <t>P</t>
        </is>
      </c>
      <c r="R242" s="32" t="inlineStr">
        <is>
          <t>FL_DES_AGUA_10l</t>
        </is>
      </c>
      <c r="S242" s="17" t="inlineStr">
        <is>
          <t>con precinto</t>
        </is>
      </c>
    </row>
    <row r="243">
      <c r="A243" s="32" t="inlineStr">
        <is>
          <t>FL_MAT_AGUA_10l</t>
        </is>
      </c>
      <c r="B243" s="32" t="n">
        <v>2</v>
      </c>
      <c r="C243" s="32" t="inlineStr">
        <is>
          <t>AGUA10-13</t>
        </is>
      </c>
      <c r="D243" s="17" t="inlineStr">
        <is>
          <t xml:space="preserve">        Manija de accionamiento</t>
        </is>
      </c>
      <c r="E243" s="32" t="n">
        <v>1</v>
      </c>
      <c r="F243" s="32" t="inlineStr">
        <is>
          <t>u</t>
        </is>
      </c>
      <c r="G243" s="33" t="n">
        <v>0.0959</v>
      </c>
      <c r="H243" s="33">
        <f>E243*G243</f>
        <v/>
      </c>
      <c r="I243" s="32" t="inlineStr">
        <is>
          <t>Chapa acero SAE 1010 pintada</t>
        </is>
      </c>
      <c r="J243" s="17" t="inlineStr">
        <is>
          <t>124,6 × 31 × 29,3</t>
        </is>
      </c>
      <c r="K243" s="32" t="inlineStr">
        <is>
          <t>Compra (en el conjunto)</t>
        </is>
      </c>
      <c r="L243" s="32" t="inlineStr">
        <is>
          <t>No</t>
        </is>
      </c>
      <c r="M243" s="17" t="n"/>
      <c r="N243" s="17" t="n"/>
      <c r="O243" s="17" t="inlineStr">
        <is>
          <t>S4 - se compra terminado (tercerizado con sello IRAM)</t>
        </is>
      </c>
      <c r="P243" s="17" t="n"/>
      <c r="Q243" s="32" t="inlineStr">
        <is>
          <t>P</t>
        </is>
      </c>
      <c r="R243" s="32" t="inlineStr">
        <is>
          <t>FL_DES_AGUA_10l</t>
        </is>
      </c>
      <c r="S243" s="17" t="n"/>
    </row>
    <row r="244">
      <c r="A244" s="32" t="inlineStr">
        <is>
          <t>FL_MAT_AGUA_10l</t>
        </is>
      </c>
      <c r="B244" s="32" t="n">
        <v>2</v>
      </c>
      <c r="C244" s="32" t="inlineStr">
        <is>
          <t>AGUA10-14</t>
        </is>
      </c>
      <c r="D244" s="17" t="inlineStr">
        <is>
          <t xml:space="preserve">        Manija de transporte</t>
        </is>
      </c>
      <c r="E244" s="32" t="n">
        <v>1</v>
      </c>
      <c r="F244" s="32" t="inlineStr">
        <is>
          <t>u</t>
        </is>
      </c>
      <c r="G244" s="33" t="n">
        <v>0.0757</v>
      </c>
      <c r="H244" s="33">
        <f>E244*G244</f>
        <v/>
      </c>
      <c r="I244" s="32" t="inlineStr">
        <is>
          <t>Chapa acero SAE 1010 pintada</t>
        </is>
      </c>
      <c r="J244" s="17" t="inlineStr">
        <is>
          <t>102,6 × 35 × 25,4</t>
        </is>
      </c>
      <c r="K244" s="32" t="inlineStr">
        <is>
          <t>Compra (en el conjunto)</t>
        </is>
      </c>
      <c r="L244" s="32" t="inlineStr">
        <is>
          <t>No</t>
        </is>
      </c>
      <c r="M244" s="17" t="n"/>
      <c r="N244" s="17" t="n"/>
      <c r="O244" s="17" t="inlineStr">
        <is>
          <t>S4 - se compra terminado (tercerizado con sello IRAM)</t>
        </is>
      </c>
      <c r="P244" s="17" t="n"/>
      <c r="Q244" s="32" t="inlineStr">
        <is>
          <t>P</t>
        </is>
      </c>
      <c r="R244" s="32" t="inlineStr">
        <is>
          <t>FL_DES_AGUA_10l</t>
        </is>
      </c>
      <c r="S244" s="17" t="n"/>
    </row>
    <row r="245">
      <c r="A245" s="32" t="inlineStr">
        <is>
          <t>FL_MAT_AGUA_10l</t>
        </is>
      </c>
      <c r="B245" s="32" t="n">
        <v>2</v>
      </c>
      <c r="C245" s="32" t="inlineStr">
        <is>
          <t>AGUA10-15</t>
        </is>
      </c>
      <c r="D245" s="17" t="inlineStr">
        <is>
          <t xml:space="preserve">        Caño de pesca (sifón)</t>
        </is>
      </c>
      <c r="E245" s="32" t="n">
        <v>1</v>
      </c>
      <c r="F245" s="32" t="inlineStr">
        <is>
          <t>u</t>
        </is>
      </c>
      <c r="G245" s="33" t="n">
        <v>0.0433</v>
      </c>
      <c r="H245" s="33">
        <f>E245*G245</f>
        <v/>
      </c>
      <c r="I245" s="32" t="inlineStr">
        <is>
          <t>Tubo polipropileno</t>
        </is>
      </c>
      <c r="J245" s="17" t="inlineStr">
        <is>
          <t>Ø21,3 × 515,5 de largo</t>
        </is>
      </c>
      <c r="K245" s="32" t="inlineStr">
        <is>
          <t>Compra (en el conjunto)</t>
        </is>
      </c>
      <c r="L245" s="32" t="inlineStr">
        <is>
          <t>No</t>
        </is>
      </c>
      <c r="M245" s="17" t="n"/>
      <c r="N245" s="17" t="n"/>
      <c r="O245" s="17" t="inlineStr">
        <is>
          <t>S4 - se compra terminado (tercerizado con sello IRAM)</t>
        </is>
      </c>
      <c r="P245" s="17" t="n"/>
      <c r="Q245" s="32" t="inlineStr">
        <is>
          <t>P</t>
        </is>
      </c>
      <c r="R245" s="32" t="inlineStr">
        <is>
          <t>FL_DES_AGUA_10l</t>
        </is>
      </c>
      <c r="S245" s="17" t="n"/>
    </row>
    <row r="246">
      <c r="A246" s="32" t="inlineStr">
        <is>
          <t>FL_MAT_AGUA_10l</t>
        </is>
      </c>
      <c r="B246" s="32" t="n">
        <v>2</v>
      </c>
      <c r="C246" s="32" t="inlineStr">
        <is>
          <t>AGUA10-16</t>
        </is>
      </c>
      <c r="D246" s="17" t="inlineStr">
        <is>
          <t xml:space="preserve">        Filtro del tubo de pesca</t>
        </is>
      </c>
      <c r="E246" s="32" t="n">
        <v>1</v>
      </c>
      <c r="F246" s="32" t="inlineStr">
        <is>
          <t>u</t>
        </is>
      </c>
      <c r="G246" s="33" t="n">
        <v>0.0015</v>
      </c>
      <c r="H246" s="33">
        <f>E246*G246</f>
        <v/>
      </c>
      <c r="I246" s="32" t="inlineStr">
        <is>
          <t>Polipropileno perforado</t>
        </is>
      </c>
      <c r="J246" s="17" t="inlineStr">
        <is>
          <t>25 × 24,3 × 24,3</t>
        </is>
      </c>
      <c r="K246" s="32" t="inlineStr">
        <is>
          <t>Compra (en el conjunto)</t>
        </is>
      </c>
      <c r="L246" s="32" t="inlineStr">
        <is>
          <t>No</t>
        </is>
      </c>
      <c r="M246" s="17" t="n"/>
      <c r="N246" s="17" t="n"/>
      <c r="O246" s="17" t="inlineStr">
        <is>
          <t>S4 - se compra terminado (tercerizado con sello IRAM)</t>
        </is>
      </c>
      <c r="P246" s="17" t="n"/>
      <c r="Q246" s="32" t="inlineStr">
        <is>
          <t>P</t>
        </is>
      </c>
      <c r="R246" s="32" t="inlineStr">
        <is>
          <t>FL_DES_AGUA_10l</t>
        </is>
      </c>
      <c r="S246" s="17" t="inlineStr">
        <is>
          <t>área ≥ 10 × boquilla</t>
        </is>
      </c>
    </row>
    <row r="247">
      <c r="A247" s="32" t="inlineStr">
        <is>
          <t>FL_MAT_AGUA_10l</t>
        </is>
      </c>
      <c r="B247" s="32" t="n">
        <v>2</v>
      </c>
      <c r="C247" s="32" t="inlineStr">
        <is>
          <t>AGUA10-26</t>
        </is>
      </c>
      <c r="D247" s="17" t="inlineStr">
        <is>
          <t xml:space="preserve">        Junta tórica de asiento</t>
        </is>
      </c>
      <c r="E247" s="32" t="n">
        <v>1</v>
      </c>
      <c r="F247" s="32" t="inlineStr">
        <is>
          <t>u</t>
        </is>
      </c>
      <c r="G247" s="33" t="n">
        <v>0.001</v>
      </c>
      <c r="H247" s="33">
        <f>E247*G247</f>
        <v/>
      </c>
      <c r="I247" s="32" t="inlineStr">
        <is>
          <t>NBR 70 Shore A</t>
        </is>
      </c>
      <c r="J247" s="17" t="inlineStr">
        <is>
          <t>Ø32,8 ext. × cordón 3</t>
        </is>
      </c>
      <c r="K247" s="32" t="inlineStr">
        <is>
          <t>Compra (en el conjunto)</t>
        </is>
      </c>
      <c r="L247" s="32" t="inlineStr">
        <is>
          <t>No</t>
        </is>
      </c>
      <c r="M247" s="17" t="n"/>
      <c r="N247" s="17" t="n"/>
      <c r="O247" s="17" t="inlineStr">
        <is>
          <t>S4 - se compra terminado (tercerizado con sello IRAM)</t>
        </is>
      </c>
      <c r="P247" s="17" t="n"/>
      <c r="Q247" s="32" t="inlineStr">
        <is>
          <t>P</t>
        </is>
      </c>
      <c r="R247" s="32" t="inlineStr">
        <is>
          <t>FL_DES_AGUA_10l</t>
        </is>
      </c>
      <c r="S247" s="17" t="inlineStr">
        <is>
          <t>cambio c/recarga</t>
        </is>
      </c>
    </row>
    <row r="248">
      <c r="A248" s="32" t="inlineStr">
        <is>
          <t>FL_MAT_AGUA_10l</t>
        </is>
      </c>
      <c r="B248" s="32" t="n">
        <v>2</v>
      </c>
      <c r="C248" s="32" t="inlineStr">
        <is>
          <t>AGUA10-V2</t>
        </is>
      </c>
      <c r="D248" s="17" t="inlineStr">
        <is>
          <t xml:space="preserve">        Resorte de retorno del vástago</t>
        </is>
      </c>
      <c r="E248" s="32" t="n">
        <v>1</v>
      </c>
      <c r="F248" s="32" t="inlineStr">
        <is>
          <t>u</t>
        </is>
      </c>
      <c r="G248" s="33" t="n"/>
      <c r="H248" s="33" t="n"/>
      <c r="I248" s="32" t="inlineStr">
        <is>
          <t>Acero para resortes</t>
        </is>
      </c>
      <c r="J248" s="17" t="inlineStr">
        <is>
          <t>incluido en la válvula</t>
        </is>
      </c>
      <c r="K248" s="32" t="inlineStr">
        <is>
          <t>Compra (en el conjunto)</t>
        </is>
      </c>
      <c r="L248" s="32" t="inlineStr">
        <is>
          <t>No</t>
        </is>
      </c>
      <c r="M248" s="17" t="n"/>
      <c r="N248" s="17" t="n"/>
      <c r="O248" s="17" t="inlineStr">
        <is>
          <t>19 Ensamblaje</t>
        </is>
      </c>
      <c r="P248" s="17" t="n"/>
      <c r="Q248" s="32" t="inlineStr">
        <is>
          <t>Q</t>
        </is>
      </c>
      <c r="R248" s="32" t="n"/>
      <c r="S248" s="17" t="inlineStr">
        <is>
          <t>Lista de precios HZ: válvula «c/resorte» (Q-AGENTES)</t>
        </is>
      </c>
    </row>
    <row r="249">
      <c r="A249" s="32" t="inlineStr">
        <is>
          <t>FL_MAT_AGUA_10l</t>
        </is>
      </c>
      <c r="B249" s="32" t="n">
        <v>2</v>
      </c>
      <c r="C249" s="32" t="inlineStr">
        <is>
          <t>AGUA10-V3</t>
        </is>
      </c>
      <c r="D249" s="17" t="inlineStr">
        <is>
          <t xml:space="preserve">        Junta tórica del vástago</t>
        </is>
      </c>
      <c r="E249" s="32" t="n">
        <v>1</v>
      </c>
      <c r="F249" s="32" t="inlineStr">
        <is>
          <t>u</t>
        </is>
      </c>
      <c r="G249" s="33" t="n"/>
      <c r="H249" s="33" t="n"/>
      <c r="I249" s="32" t="inlineStr">
        <is>
          <t>NBR 70 Shore A</t>
        </is>
      </c>
      <c r="J249" s="17" t="inlineStr">
        <is>
          <t>incluida en la válvula</t>
        </is>
      </c>
      <c r="K249" s="32" t="inlineStr">
        <is>
          <t>Compra (en el conjunto)</t>
        </is>
      </c>
      <c r="L249" s="32" t="inlineStr">
        <is>
          <t>No</t>
        </is>
      </c>
      <c r="M249" s="17" t="n"/>
      <c r="N249" s="17" t="n"/>
      <c r="O249" s="17" t="inlineStr">
        <is>
          <t>19 Ensamblaje</t>
        </is>
      </c>
      <c r="P249" s="17" t="n"/>
      <c r="Q249" s="32" t="inlineStr">
        <is>
          <t>P</t>
        </is>
      </c>
      <c r="R249" s="32" t="n"/>
      <c r="S249" s="17" t="inlineStr">
        <is>
          <t>Figura en el plano como «vástago con junta tórica»</t>
        </is>
      </c>
    </row>
    <row r="250">
      <c r="A250" s="29" t="inlineStr">
        <is>
          <t>FL_MAT_AGUA_10l</t>
        </is>
      </c>
      <c r="B250" s="29" t="n">
        <v>1</v>
      </c>
      <c r="C250" s="29" t="inlineStr">
        <is>
          <t>AGUA10-S3</t>
        </is>
      </c>
      <c r="D250" s="30" t="inlineStr">
        <is>
          <t xml:space="preserve">    Dispositivo de descarga</t>
        </is>
      </c>
      <c r="E250" s="29" t="n">
        <v>1</v>
      </c>
      <c r="F250" s="29" t="inlineStr">
        <is>
          <t>u</t>
        </is>
      </c>
      <c r="G250" s="31" t="n"/>
      <c r="H250" s="31">
        <f>H251+H252+H253+H254</f>
        <v/>
      </c>
      <c r="I250" s="29" t="n"/>
      <c r="J250" s="30" t="n"/>
      <c r="K250" s="29" t="inlineStr">
        <is>
          <t>Compra / armado</t>
        </is>
      </c>
      <c r="L250" s="29" t="n"/>
      <c r="M250" s="30" t="n"/>
      <c r="N250" s="30" t="n"/>
      <c r="O250" s="30" t="n"/>
      <c r="P250" s="30" t="n"/>
      <c r="Q250" s="29" t="inlineStr">
        <is>
          <t>P</t>
        </is>
      </c>
      <c r="R250" s="29" t="inlineStr">
        <is>
          <t>FL_DES_AGUA_10l</t>
        </is>
      </c>
      <c r="S250" s="30" t="n"/>
    </row>
    <row r="251">
      <c r="A251" s="32" t="inlineStr">
        <is>
          <t>FL_MAT_AGUA_10l</t>
        </is>
      </c>
      <c r="B251" s="32" t="n">
        <v>2</v>
      </c>
      <c r="C251" s="32" t="inlineStr">
        <is>
          <t>AGUA10-17</t>
        </is>
      </c>
      <c r="D251" s="17" t="inlineStr">
        <is>
          <t xml:space="preserve">        Racor de manguera</t>
        </is>
      </c>
      <c r="E251" s="32" t="n">
        <v>1</v>
      </c>
      <c r="F251" s="32" t="inlineStr">
        <is>
          <t>u</t>
        </is>
      </c>
      <c r="G251" s="33" t="n">
        <v>0.0258</v>
      </c>
      <c r="H251" s="33">
        <f>E251*G251</f>
        <v/>
      </c>
      <c r="I251" s="32" t="inlineStr">
        <is>
          <t>Latón</t>
        </is>
      </c>
      <c r="J251" s="17" t="inlineStr">
        <is>
          <t>18 × 18 × 12</t>
        </is>
      </c>
      <c r="K251" s="32" t="inlineStr">
        <is>
          <t>Compra (en el conjunto)</t>
        </is>
      </c>
      <c r="L251" s="32" t="inlineStr">
        <is>
          <t>No</t>
        </is>
      </c>
      <c r="M251" s="17" t="n"/>
      <c r="N251" s="17" t="n"/>
      <c r="O251" s="17" t="inlineStr">
        <is>
          <t>S4 - se compra terminado (tercerizado con sello IRAM)</t>
        </is>
      </c>
      <c r="P251" s="17" t="n"/>
      <c r="Q251" s="32" t="inlineStr">
        <is>
          <t>P</t>
        </is>
      </c>
      <c r="R251" s="32" t="inlineStr">
        <is>
          <t>FL_DES_AGUA_10l</t>
        </is>
      </c>
      <c r="S251" s="17" t="n"/>
    </row>
    <row r="252">
      <c r="A252" s="32" t="inlineStr">
        <is>
          <t>FL_MAT_AGUA_10l</t>
        </is>
      </c>
      <c r="B252" s="32" t="n">
        <v>2</v>
      </c>
      <c r="C252" s="32" t="inlineStr">
        <is>
          <t>AGUA10-18</t>
        </is>
      </c>
      <c r="D252" s="17" t="inlineStr">
        <is>
          <t xml:space="preserve">        Manguera</t>
        </is>
      </c>
      <c r="E252" s="32" t="n">
        <v>1</v>
      </c>
      <c r="F252" s="32" t="inlineStr">
        <is>
          <t>u</t>
        </is>
      </c>
      <c r="G252" s="33" t="n">
        <v>0.07679999999999999</v>
      </c>
      <c r="H252" s="33">
        <f>E252*G252</f>
        <v/>
      </c>
      <c r="I252" s="32" t="inlineStr">
        <is>
          <t>Caucho sintético</t>
        </is>
      </c>
      <c r="J252" s="17" t="inlineStr">
        <is>
          <t>Ø16 × 497 de largo desarrollado</t>
        </is>
      </c>
      <c r="K252" s="32" t="inlineStr">
        <is>
          <t>Compra (en el conjunto)</t>
        </is>
      </c>
      <c r="L252" s="32" t="inlineStr">
        <is>
          <t>No</t>
        </is>
      </c>
      <c r="M252" s="17" t="n"/>
      <c r="N252" s="17" t="n"/>
      <c r="O252" s="17" t="inlineStr">
        <is>
          <t>S4 - se compra terminado (tercerizado con sello IRAM)</t>
        </is>
      </c>
      <c r="P252" s="17" t="n"/>
      <c r="Q252" s="32" t="inlineStr">
        <is>
          <t>P</t>
        </is>
      </c>
      <c r="R252" s="32" t="inlineStr">
        <is>
          <t>FL_DES_AGUA_10l</t>
        </is>
      </c>
      <c r="S252" s="17" t="n"/>
    </row>
    <row r="253">
      <c r="A253" s="32" t="inlineStr">
        <is>
          <t>FL_MAT_AGUA_10l</t>
        </is>
      </c>
      <c r="B253" s="32" t="n">
        <v>2</v>
      </c>
      <c r="C253" s="32" t="inlineStr">
        <is>
          <t>AGUA10-19</t>
        </is>
      </c>
      <c r="D253" s="17" t="inlineStr">
        <is>
          <t xml:space="preserve">        Tobera de chorro pleno</t>
        </is>
      </c>
      <c r="E253" s="32" t="n">
        <v>1</v>
      </c>
      <c r="F253" s="32" t="inlineStr">
        <is>
          <t>u</t>
        </is>
      </c>
      <c r="G253" s="33" t="n">
        <v>0.0219</v>
      </c>
      <c r="H253" s="33">
        <f>E253*G253</f>
        <v/>
      </c>
      <c r="I253" s="32" t="inlineStr">
        <is>
          <t>Polipropileno</t>
        </is>
      </c>
      <c r="J253" s="17" t="inlineStr">
        <is>
          <t>85 × 22 × 22</t>
        </is>
      </c>
      <c r="K253" s="32" t="inlineStr">
        <is>
          <t>Compra (en el conjunto)</t>
        </is>
      </c>
      <c r="L253" s="32" t="inlineStr">
        <is>
          <t>No</t>
        </is>
      </c>
      <c r="M253" s="17" t="n"/>
      <c r="N253" s="17" t="n"/>
      <c r="O253" s="17" t="inlineStr">
        <is>
          <t>S4 - se compra terminado (tercerizado con sello IRAM)</t>
        </is>
      </c>
      <c r="P253" s="17" t="n"/>
      <c r="Q253" s="32" t="inlineStr">
        <is>
          <t>P</t>
        </is>
      </c>
      <c r="R253" s="32" t="inlineStr">
        <is>
          <t>FL_DES_AGUA_10l</t>
        </is>
      </c>
      <c r="S253" s="17" t="n"/>
    </row>
    <row r="254">
      <c r="A254" s="32" t="inlineStr">
        <is>
          <t>FL_MAT_AGUA_10l</t>
        </is>
      </c>
      <c r="B254" s="32" t="n">
        <v>2</v>
      </c>
      <c r="C254" s="32" t="inlineStr">
        <is>
          <t>AGUA10-20</t>
        </is>
      </c>
      <c r="D254" s="17" t="inlineStr">
        <is>
          <t xml:space="preserve">        Suncho portatobera</t>
        </is>
      </c>
      <c r="E254" s="32" t="n">
        <v>1</v>
      </c>
      <c r="F254" s="32" t="inlineStr">
        <is>
          <t>u</t>
        </is>
      </c>
      <c r="G254" s="33" t="n">
        <v>0.1324</v>
      </c>
      <c r="H254" s="33">
        <f>E254*G254</f>
        <v/>
      </c>
      <c r="I254" s="32" t="inlineStr">
        <is>
          <t>Fleje acero SAE 1010 pintado</t>
        </is>
      </c>
      <c r="J254" s="17" t="inlineStr">
        <is>
          <t>197,3 × 193,6 × 18</t>
        </is>
      </c>
      <c r="K254" s="32" t="inlineStr">
        <is>
          <t>Compra (en el conjunto)</t>
        </is>
      </c>
      <c r="L254" s="32" t="inlineStr">
        <is>
          <t>No</t>
        </is>
      </c>
      <c r="M254" s="17" t="n"/>
      <c r="N254" s="17" t="n"/>
      <c r="O254" s="17" t="inlineStr">
        <is>
          <t>S4 - se compra terminado (tercerizado con sello IRAM)</t>
        </is>
      </c>
      <c r="P254" s="17" t="n"/>
      <c r="Q254" s="32" t="inlineStr">
        <is>
          <t>P</t>
        </is>
      </c>
      <c r="R254" s="32" t="inlineStr">
        <is>
          <t>FL_DES_AGUA_10l</t>
        </is>
      </c>
      <c r="S254" s="17" t="n"/>
    </row>
    <row r="255">
      <c r="A255" s="29" t="inlineStr">
        <is>
          <t>FL_MAT_AGUA_10l</t>
        </is>
      </c>
      <c r="B255" s="29" t="n">
        <v>1</v>
      </c>
      <c r="C255" s="29" t="inlineStr">
        <is>
          <t>AGUA10-S5</t>
        </is>
      </c>
      <c r="D255" s="30" t="inlineStr">
        <is>
          <t xml:space="preserve">    Carga: agente extintor y gas impulsor</t>
        </is>
      </c>
      <c r="E255" s="29" t="n">
        <v>1</v>
      </c>
      <c r="F255" s="29" t="inlineStr">
        <is>
          <t>u</t>
        </is>
      </c>
      <c r="G255" s="31" t="n"/>
      <c r="H255" s="31">
        <f>H256+H257</f>
        <v/>
      </c>
      <c r="I255" s="29" t="n"/>
      <c r="J255" s="30" t="n"/>
      <c r="K255" s="29" t="inlineStr">
        <is>
          <t>Compra</t>
        </is>
      </c>
      <c r="L255" s="29" t="n"/>
      <c r="M255" s="30" t="n"/>
      <c r="N255" s="30" t="n"/>
      <c r="O255" s="30" t="n"/>
      <c r="P255" s="30" t="n"/>
      <c r="Q255" s="29" t="n"/>
      <c r="R255" s="29" t="n"/>
      <c r="S255" s="30" t="n"/>
    </row>
    <row r="256">
      <c r="A256" s="32" t="inlineStr">
        <is>
          <t>FL_MAT_AGUA_10l</t>
        </is>
      </c>
      <c r="B256" s="32" t="n">
        <v>2</v>
      </c>
      <c r="C256" s="32" t="inlineStr">
        <is>
          <t>AGUA10-A1</t>
        </is>
      </c>
      <c r="D256" s="17" t="inlineStr">
        <is>
          <t xml:space="preserve">        Agua</t>
        </is>
      </c>
      <c r="E256" s="32" t="n">
        <v>10</v>
      </c>
      <c r="F256" s="32" t="inlineStr">
        <is>
          <t>L</t>
        </is>
      </c>
      <c r="G256" s="33" t="n">
        <v>1</v>
      </c>
      <c r="H256" s="33">
        <f>E256*G256</f>
        <v/>
      </c>
      <c r="I256" s="32" t="inlineStr">
        <is>
          <t>Agua</t>
        </is>
      </c>
      <c r="J256" s="17" t="inlineStr">
        <is>
          <t>nominal 10 L; tolerancia ± 3 % (IRAM 3517-2:2020 tabla 3)</t>
        </is>
      </c>
      <c r="K256" s="32" t="inlineStr">
        <is>
          <t>Compra</t>
        </is>
      </c>
      <c r="L256" s="32" t="inlineStr">
        <is>
          <t>No</t>
        </is>
      </c>
      <c r="M256" s="17" t="n"/>
      <c r="N256" s="17" t="n"/>
      <c r="O256" s="17" t="inlineStr">
        <is>
          <t>SP-1 almacén previo a la carga</t>
        </is>
      </c>
      <c r="P256" s="17" t="inlineStr">
        <is>
          <t>-</t>
        </is>
      </c>
      <c r="Q256" s="32" t="inlineStr">
        <is>
          <t>N</t>
        </is>
      </c>
      <c r="R256" s="32" t="n"/>
      <c r="S256" s="17" t="n"/>
    </row>
    <row r="257">
      <c r="A257" s="32" t="inlineStr">
        <is>
          <t>FL_MAT_AGUA_10l</t>
        </is>
      </c>
      <c r="B257" s="32" t="n">
        <v>2</v>
      </c>
      <c r="C257" s="32" t="inlineStr">
        <is>
          <t>AGUA10-A2</t>
        </is>
      </c>
      <c r="D257" s="17" t="inlineStr">
        <is>
          <t xml:space="preserve">        Gas impulsor: Aire comprimido</t>
        </is>
      </c>
      <c r="E257" s="32" t="n">
        <v>0.0427</v>
      </c>
      <c r="F257" s="32" t="inlineStr">
        <is>
          <t>kg</t>
        </is>
      </c>
      <c r="G257" s="33" t="n">
        <v>1</v>
      </c>
      <c r="H257" s="33">
        <f>E257*G257</f>
        <v/>
      </c>
      <c r="I257" s="32" t="inlineStr">
        <is>
          <t>Aire comprimido</t>
        </is>
      </c>
      <c r="J257" s="17" t="inlineStr">
        <is>
          <t>33 L normales para 0,8 MPa a 20 °C en 3,98 dm³ libres</t>
        </is>
      </c>
      <c r="K257" s="32" t="inlineStr">
        <is>
          <t>Compra</t>
        </is>
      </c>
      <c r="L257" s="32" t="inlineStr">
        <is>
          <t>No</t>
        </is>
      </c>
      <c r="M257" s="17" t="n"/>
      <c r="N257" s="17" t="n"/>
      <c r="O257" s="17" t="inlineStr">
        <is>
          <t>20 Presurización (T05) / C10</t>
        </is>
      </c>
      <c r="P257" s="17" t="inlineStr">
        <is>
          <t>IRAM 3517-2 9.4.9 (tabla 2) · IRAM 3523 2.3 y 3.10</t>
        </is>
      </c>
      <c r="Q257" s="32" t="inlineStr">
        <is>
          <t>C</t>
        </is>
      </c>
      <c r="R257" s="32" t="n"/>
      <c r="S257" s="17" t="inlineStr">
        <is>
          <t>Batería en SP-1; punto de rocío ≤ -56,7 °C para gases limpios</t>
        </is>
      </c>
    </row>
    <row r="258">
      <c r="A258" s="29" t="inlineStr">
        <is>
          <t>FL_MAT_AGUA_10l</t>
        </is>
      </c>
      <c r="B258" s="29" t="n">
        <v>1</v>
      </c>
      <c r="C258" s="29" t="inlineStr">
        <is>
          <t>AGUA10-S6</t>
        </is>
      </c>
      <c r="D258" s="30" t="inlineStr">
        <is>
          <t xml:space="preserve">    Identificación y precinto</t>
        </is>
      </c>
      <c r="E258" s="29" t="n">
        <v>1</v>
      </c>
      <c r="F258" s="29" t="inlineStr">
        <is>
          <t>u</t>
        </is>
      </c>
      <c r="G258" s="31" t="n"/>
      <c r="H258" s="31">
        <f>H259+H260+H261+H262+H263+H264+H265</f>
        <v/>
      </c>
      <c r="I258" s="29" t="n"/>
      <c r="J258" s="30" t="n"/>
      <c r="K258" s="29" t="inlineStr">
        <is>
          <t>Compra</t>
        </is>
      </c>
      <c r="L258" s="29" t="n"/>
      <c r="M258" s="30" t="n"/>
      <c r="N258" s="30" t="n"/>
      <c r="O258" s="30" t="inlineStr">
        <is>
          <t>22 Etiquetado (T07)</t>
        </is>
      </c>
      <c r="P258" s="30" t="n"/>
      <c r="Q258" s="29" t="n"/>
      <c r="R258" s="29" t="n"/>
      <c r="S258" s="30" t="n"/>
    </row>
    <row r="259">
      <c r="A259" s="32" t="inlineStr">
        <is>
          <t>FL_MAT_AGUA_10l</t>
        </is>
      </c>
      <c r="B259" s="32" t="n">
        <v>2</v>
      </c>
      <c r="C259" s="32" t="inlineStr">
        <is>
          <t>AGUA10-21</t>
        </is>
      </c>
      <c r="D259" s="17" t="inlineStr">
        <is>
          <t xml:space="preserve">        Etiqueta / placa de características</t>
        </is>
      </c>
      <c r="E259" s="32" t="n">
        <v>1</v>
      </c>
      <c r="F259" s="32" t="inlineStr">
        <is>
          <t>u</t>
        </is>
      </c>
      <c r="G259" s="33" t="n">
        <v>0.0288</v>
      </c>
      <c r="H259" s="33">
        <f>E259*G259</f>
        <v/>
      </c>
      <c r="I259" s="32" t="inlineStr">
        <is>
          <t>Vinilo autoadhesivo laminado</t>
        </is>
      </c>
      <c r="J259" s="17" t="inlineStr">
        <is>
          <t>359 × 191 (desarrollo × alto: panel central 108° + 2 alas laterales), e ≈ 0,3, laminado UV</t>
        </is>
      </c>
      <c r="K259" s="32" t="inlineStr">
        <is>
          <t>Compra</t>
        </is>
      </c>
      <c r="L259" s="32" t="inlineStr">
        <is>
          <t>No</t>
        </is>
      </c>
      <c r="M259" s="17" t="n"/>
      <c r="N259" s="17" t="n"/>
      <c r="O259" s="17" t="inlineStr">
        <is>
          <t>22 Etiquetado (T07)</t>
        </is>
      </c>
      <c r="P259" s="17" t="inlineStr">
        <is>
          <t>IRAM 3534 · IRAM 3525 cap. 5 · relevamiento de mercado</t>
        </is>
      </c>
      <c r="Q259" s="32" t="inlineStr">
        <is>
          <t>P</t>
        </is>
      </c>
      <c r="R259" s="32" t="inlineStr">
        <is>
          <t>FL_DES_AGUA_10l</t>
        </is>
      </c>
      <c r="S259" s="17" t="inlineStr">
        <is>
          <t>IRAM 3534</t>
        </is>
      </c>
    </row>
    <row r="260">
      <c r="A260" s="32" t="inlineStr">
        <is>
          <t>FL_MAT_AGUA_10l</t>
        </is>
      </c>
      <c r="B260" s="32" t="n">
        <v>2</v>
      </c>
      <c r="C260" s="32" t="inlineStr">
        <is>
          <t>AGUA10-22</t>
        </is>
      </c>
      <c r="D260" s="17" t="inlineStr">
        <is>
          <t xml:space="preserve">        Oblea de fabricación (PBA)</t>
        </is>
      </c>
      <c r="E260" s="32" t="n">
        <v>1</v>
      </c>
      <c r="F260" s="32" t="inlineStr">
        <is>
          <t>u</t>
        </is>
      </c>
      <c r="G260" s="33" t="n">
        <v>0.0009</v>
      </c>
      <c r="H260" s="33">
        <f>E260*G260</f>
        <v/>
      </c>
      <c r="I260" s="32" t="inlineStr">
        <is>
          <t>Papel de seguridad autodestructible</t>
        </is>
      </c>
      <c r="J260" s="17" t="inlineStr">
        <is>
          <t>Ø46 (Res. OPDS 522/07), numerada, autodestructible</t>
        </is>
      </c>
      <c r="K260" s="32" t="inlineStr">
        <is>
          <t>Compra</t>
        </is>
      </c>
      <c r="L260" s="32" t="inlineStr">
        <is>
          <t>No</t>
        </is>
      </c>
      <c r="M260" s="17" t="n"/>
      <c r="N260" s="17" t="n"/>
      <c r="O260" s="17" t="inlineStr">
        <is>
          <t>22 Etiquetado (T07)</t>
        </is>
      </c>
      <c r="P260" s="17" t="inlineStr">
        <is>
          <t>Res. OPDS 522/07 anexos 1, 2 y 6</t>
        </is>
      </c>
      <c r="Q260" s="32" t="inlineStr">
        <is>
          <t>P</t>
        </is>
      </c>
      <c r="R260" s="32" t="inlineStr">
        <is>
          <t>FL_DES_AGUA_10l</t>
        </is>
      </c>
      <c r="S260" s="17" t="inlineStr">
        <is>
          <t>Res. 522/07</t>
        </is>
      </c>
    </row>
    <row r="261">
      <c r="A261" s="32" t="inlineStr">
        <is>
          <t>FL_MAT_AGUA_10l</t>
        </is>
      </c>
      <c r="B261" s="32" t="n">
        <v>2</v>
      </c>
      <c r="C261" s="32" t="inlineStr">
        <is>
          <t>AGUA10-23</t>
        </is>
      </c>
      <c r="D261" s="17" t="inlineStr">
        <is>
          <t xml:space="preserve">        Estampilla IRAM de conformidad</t>
        </is>
      </c>
      <c r="E261" s="32" t="n">
        <v>1</v>
      </c>
      <c r="F261" s="32" t="inlineStr">
        <is>
          <t>u</t>
        </is>
      </c>
      <c r="G261" s="33" t="n">
        <v>0.001</v>
      </c>
      <c r="H261" s="33">
        <f>E261*G261</f>
        <v/>
      </c>
      <c r="I261" s="32" t="inlineStr">
        <is>
          <t>Provista por IRAM (Anexo R)</t>
        </is>
      </c>
      <c r="J261" s="17" t="inlineStr">
        <is>
          <t>60 × 40</t>
        </is>
      </c>
      <c r="K261" s="32" t="inlineStr">
        <is>
          <t>Compra</t>
        </is>
      </c>
      <c r="L261" s="32" t="inlineStr">
        <is>
          <t>No</t>
        </is>
      </c>
      <c r="M261" s="17" t="n"/>
      <c r="N261" s="17" t="n"/>
      <c r="O261" s="17" t="inlineStr">
        <is>
          <t>22 Etiquetado (T07)</t>
        </is>
      </c>
      <c r="P261" s="17" t="inlineStr">
        <is>
          <t>IRAM Anexo R (DC-PG-129)</t>
        </is>
      </c>
      <c r="Q261" s="32" t="inlineStr">
        <is>
          <t>P</t>
        </is>
      </c>
      <c r="R261" s="32" t="inlineStr">
        <is>
          <t>FL_DES_AGUA_10l</t>
        </is>
      </c>
      <c r="S261" s="17" t="inlineStr">
        <is>
          <t>numerada</t>
        </is>
      </c>
    </row>
    <row r="262">
      <c r="A262" s="32" t="inlineStr">
        <is>
          <t>FL_MAT_AGUA_10l</t>
        </is>
      </c>
      <c r="B262" s="32" t="n">
        <v>2</v>
      </c>
      <c r="C262" s="32" t="inlineStr">
        <is>
          <t>AGUA10-24</t>
        </is>
      </c>
      <c r="D262" s="17" t="inlineStr">
        <is>
          <t xml:space="preserve">        Tarjeta de identificación AGC (CABA)</t>
        </is>
      </c>
      <c r="E262" s="32" t="n">
        <v>1</v>
      </c>
      <c r="F262" s="32" t="inlineStr">
        <is>
          <t>u</t>
        </is>
      </c>
      <c r="G262" s="33" t="n">
        <v>0.0032</v>
      </c>
      <c r="H262" s="33">
        <f>E262*G262</f>
        <v/>
      </c>
      <c r="I262" s="32" t="inlineStr">
        <is>
          <t>Etiqueta autoadhesiva emitida por la AGC</t>
        </is>
      </c>
      <c r="J262" s="17" t="inlineStr">
        <is>
          <t>140 × 55</t>
        </is>
      </c>
      <c r="K262" s="32" t="inlineStr">
        <is>
          <t>Compra</t>
        </is>
      </c>
      <c r="L262" s="32" t="inlineStr">
        <is>
          <t>Sí</t>
        </is>
      </c>
      <c r="M262" s="17" t="inlineStr">
        <is>
          <t>Agencia Gubernamental de Control (CABA)</t>
        </is>
      </c>
      <c r="N262" s="17" t="inlineStr">
        <is>
          <t>-</t>
        </is>
      </c>
      <c r="O262" s="17" t="inlineStr">
        <is>
          <t>22 Etiquetado (T07)</t>
        </is>
      </c>
      <c r="P262" s="17" t="inlineStr">
        <is>
          <t>Ordenanza 40.473 art. 6 · Res. AGC 32/15</t>
        </is>
      </c>
      <c r="Q262" s="32" t="inlineStr">
        <is>
          <t>P</t>
        </is>
      </c>
      <c r="R262" s="32" t="inlineStr">
        <is>
          <t>FL_DES_AGUA_10l</t>
        </is>
      </c>
      <c r="S262" s="17" t="inlineStr">
        <is>
          <t>sólo destino CABA; sólo destino CABA</t>
        </is>
      </c>
    </row>
    <row r="263">
      <c r="A263" s="32" t="inlineStr">
        <is>
          <t>FL_MAT_AGUA_10l</t>
        </is>
      </c>
      <c r="B263" s="32" t="n">
        <v>2</v>
      </c>
      <c r="C263" s="32" t="inlineStr">
        <is>
          <t>AGUA10-25</t>
        </is>
      </c>
      <c r="D263" s="17" t="inlineStr">
        <is>
          <t xml:space="preserve">        Etiqueta de n° de serie GS1</t>
        </is>
      </c>
      <c r="E263" s="32" t="n">
        <v>1</v>
      </c>
      <c r="F263" s="32" t="inlineStr">
        <is>
          <t>u</t>
        </is>
      </c>
      <c r="G263" s="33" t="n">
        <v>0.0005</v>
      </c>
      <c r="H263" s="33">
        <f>E263*G263</f>
        <v/>
      </c>
      <c r="I263" s="32" t="inlineStr">
        <is>
          <t>Poliéster autoadhesivo impreso térmico</t>
        </is>
      </c>
      <c r="J263" s="17" t="inlineStr">
        <is>
          <t>45 × 25</t>
        </is>
      </c>
      <c r="K263" s="32" t="inlineStr">
        <is>
          <t>Compra</t>
        </is>
      </c>
      <c r="L263" s="32" t="inlineStr">
        <is>
          <t>No</t>
        </is>
      </c>
      <c r="M263" s="17" t="n"/>
      <c r="N263" s="17" t="n"/>
      <c r="O263" s="17" t="inlineStr">
        <is>
          <t>22 Etiquetado (T07)</t>
        </is>
      </c>
      <c r="P263" s="17" t="inlineStr">
        <is>
          <t>GS1 Argentina (GTIN 779) · trazabilidad IRAM 3523 5.1</t>
        </is>
      </c>
      <c r="Q263" s="32" t="inlineStr">
        <is>
          <t>P</t>
        </is>
      </c>
      <c r="R263" s="32" t="inlineStr">
        <is>
          <t>FL_DES_AGUA_10l</t>
        </is>
      </c>
      <c r="S263" s="17" t="inlineStr">
        <is>
          <t>QR GTIN + serie</t>
        </is>
      </c>
    </row>
    <row r="264">
      <c r="A264" s="32" t="inlineStr">
        <is>
          <t>FL_MAT_AGUA_10l</t>
        </is>
      </c>
      <c r="B264" s="32" t="n">
        <v>2</v>
      </c>
      <c r="C264" s="32" t="inlineStr">
        <is>
          <t>AGUA10-27</t>
        </is>
      </c>
      <c r="D264" s="17" t="inlineStr">
        <is>
          <t xml:space="preserve">        Faja de garantía válvula-cuello</t>
        </is>
      </c>
      <c r="E264" s="32" t="n">
        <v>1</v>
      </c>
      <c r="F264" s="32" t="inlineStr">
        <is>
          <t>u</t>
        </is>
      </c>
      <c r="G264" s="33" t="n">
        <v>0.0001</v>
      </c>
      <c r="H264" s="33">
        <f>E264*G264</f>
        <v/>
      </c>
      <c r="I264" s="32" t="inlineStr">
        <is>
          <t>Vinilo destructible rayado rojo/blanco</t>
        </is>
      </c>
      <c r="J264" s="17" t="inlineStr">
        <is>
          <t>22 × 22 (ancho × largo desarrollado), pegada sobre la unión: cuerpo de la válvula, tuerca y cuello</t>
        </is>
      </c>
      <c r="K264" s="32" t="inlineStr">
        <is>
          <t>Compra</t>
        </is>
      </c>
      <c r="L264" s="32" t="inlineStr">
        <is>
          <t>No</t>
        </is>
      </c>
      <c r="M264" s="17" t="n"/>
      <c r="N264" s="17" t="n"/>
      <c r="O264" s="17" t="inlineStr">
        <is>
          <t>22 Etiquetado (T07)</t>
        </is>
      </c>
      <c r="P264" s="17" t="inlineStr">
        <is>
          <t>Sin norma: práctica de mercado (garantía de fábrica)</t>
        </is>
      </c>
      <c r="Q264" s="32" t="inlineStr">
        <is>
          <t>P</t>
        </is>
      </c>
      <c r="R264" s="32" t="inlineStr">
        <is>
          <t>FL_DES_AGUA_10l</t>
        </is>
      </c>
      <c r="S264" s="17" t="inlineStr">
        <is>
          <t>nuevo sin abrir</t>
        </is>
      </c>
    </row>
    <row r="265">
      <c r="A265" s="32" t="inlineStr">
        <is>
          <t>FL_MAT_AGUA_10l</t>
        </is>
      </c>
      <c r="B265" s="32" t="n">
        <v>2</v>
      </c>
      <c r="C265" s="32" t="inlineStr">
        <is>
          <t>AGUA10-28</t>
        </is>
      </c>
      <c r="D265" s="17" t="inlineStr">
        <is>
          <t xml:space="preserve">        Precinto de fábrica</t>
        </is>
      </c>
      <c r="E265" s="32" t="n">
        <v>1</v>
      </c>
      <c r="F265" s="32" t="inlineStr">
        <is>
          <t>u</t>
        </is>
      </c>
      <c r="G265" s="33" t="n">
        <v>0.0002</v>
      </c>
      <c r="H265" s="33">
        <f>E265*G265</f>
        <v/>
      </c>
      <c r="I265" s="32" t="inlineStr">
        <is>
          <t>Polipropileno color</t>
        </is>
      </c>
      <c r="J265" s="17" t="inlineStr">
        <is>
          <t>Ø5 × 10, numerado, rotura 30-50 N</t>
        </is>
      </c>
      <c r="K265" s="32" t="inlineStr">
        <is>
          <t>Compra</t>
        </is>
      </c>
      <c r="L265" s="32" t="inlineStr">
        <is>
          <t>No</t>
        </is>
      </c>
      <c r="M265" s="17" t="n"/>
      <c r="N265" s="17" t="n"/>
      <c r="O265" s="17" t="inlineStr">
        <is>
          <t>20 Presurización (T05)</t>
        </is>
      </c>
      <c r="P265" s="17" t="inlineStr">
        <is>
          <t>IRAM 3523 3.3.2 · IRAM 3517-2:2020 9.4.13</t>
        </is>
      </c>
      <c r="Q265" s="32" t="inlineStr">
        <is>
          <t>P</t>
        </is>
      </c>
      <c r="R265" s="32" t="inlineStr">
        <is>
          <t>FL_DES_AGUA_10l</t>
        </is>
      </c>
      <c r="S265" s="17" t="inlineStr">
        <is>
          <t>id. FLAMA y lote</t>
        </is>
      </c>
    </row>
    <row r="266">
      <c r="A266" s="29" t="inlineStr">
        <is>
          <t>FL_MAT_AGUA_10l</t>
        </is>
      </c>
      <c r="B266" s="29" t="n">
        <v>1</v>
      </c>
      <c r="C266" s="29" t="inlineStr">
        <is>
          <t>AGUA10-S8</t>
        </is>
      </c>
      <c r="D266" s="30" t="inlineStr">
        <is>
          <t xml:space="preserve">    Soporte (accesorio de montaje)</t>
        </is>
      </c>
      <c r="E266" s="29" t="n">
        <v>1</v>
      </c>
      <c r="F266" s="29" t="inlineStr">
        <is>
          <t>u</t>
        </is>
      </c>
      <c r="G266" s="31" t="n"/>
      <c r="H266" s="31">
        <f>H267</f>
        <v/>
      </c>
      <c r="I266" s="29" t="n"/>
      <c r="J266" s="30" t="n"/>
      <c r="K266" s="29" t="inlineStr">
        <is>
          <t>Compra</t>
        </is>
      </c>
      <c r="L266" s="29" t="n"/>
      <c r="M266" s="30" t="n"/>
      <c r="N266" s="30" t="n"/>
      <c r="O266" s="30" t="inlineStr">
        <is>
          <t>23 Embalaje (va dentro de la caja)</t>
        </is>
      </c>
      <c r="P266" s="30" t="inlineStr">
        <is>
          <t>IRAM 3517-2 7.4</t>
        </is>
      </c>
      <c r="Q266" s="29" t="n"/>
      <c r="R266" s="29" t="n"/>
      <c r="S266" s="30" t="n"/>
    </row>
    <row r="267">
      <c r="A267" s="32" t="inlineStr">
        <is>
          <t>FL_MAT_AGUA_10l</t>
        </is>
      </c>
      <c r="B267" s="32" t="n">
        <v>2</v>
      </c>
      <c r="C267" s="32" t="inlineStr">
        <is>
          <t>AGUA10-I5</t>
        </is>
      </c>
      <c r="D267" s="17" t="inlineStr">
        <is>
          <t xml:space="preserve">        Soporte de pared (FL_ACC_01)</t>
        </is>
      </c>
      <c r="E267" s="32" t="n">
        <v>1</v>
      </c>
      <c r="F267" s="32" t="inlineStr">
        <is>
          <t>u</t>
        </is>
      </c>
      <c r="G267" s="33" t="n">
        <v>0.327</v>
      </c>
      <c r="H267" s="33">
        <f>E267*G267</f>
        <v/>
      </c>
      <c r="I267" s="32" t="inlineStr">
        <is>
          <t>Chapa acero SAE 1010 e=2 pintada</t>
        </is>
      </c>
      <c r="J267" s="17" t="inlineStr">
        <is>
          <t>placa 60 × 180, ala con ranura Ø cuello + 3</t>
        </is>
      </c>
      <c r="K267" s="32" t="inlineStr">
        <is>
          <t>Compra</t>
        </is>
      </c>
      <c r="L267" s="32" t="inlineStr">
        <is>
          <t>No</t>
        </is>
      </c>
      <c r="M267" s="17" t="n"/>
      <c r="N267" s="17" t="n"/>
      <c r="O267" s="17" t="inlineStr">
        <is>
          <t>23 Embalaje</t>
        </is>
      </c>
      <c r="P267" s="17" t="inlineStr">
        <is>
          <t>IRAM 3517-2 7.4</t>
        </is>
      </c>
      <c r="Q267" s="32" t="inlineStr">
        <is>
          <t>P</t>
        </is>
      </c>
      <c r="R267" s="32" t="inlineStr">
        <is>
          <t>FL_ACC_01</t>
        </is>
      </c>
      <c r="S267" s="17" t="n"/>
    </row>
    <row r="268">
      <c r="A268" s="32" t="inlineStr">
        <is>
          <t>FL_MAT_AGUA_10l</t>
        </is>
      </c>
      <c r="B268" s="32" t="n">
        <v>2</v>
      </c>
      <c r="C268" s="32" t="inlineStr">
        <is>
          <t>AGUA10-I6</t>
        </is>
      </c>
      <c r="D268" s="17" t="inlineStr">
        <is>
          <t xml:space="preserve">        Tornillo y tarugo de fijación</t>
        </is>
      </c>
      <c r="E268" s="32" t="n">
        <v>2</v>
      </c>
      <c r="F268" s="32" t="inlineStr">
        <is>
          <t>u</t>
        </is>
      </c>
      <c r="G268" s="33" t="n"/>
      <c r="H268" s="33" t="n"/>
      <c r="I268" s="32" t="inlineStr">
        <is>
          <t>Acero cincado / nylon</t>
        </is>
      </c>
      <c r="J268" s="17" t="inlineStr">
        <is>
          <t>2 agujeros Ø8,5 del plano FL_ACC_01 → tornillo M8 + tarugo</t>
        </is>
      </c>
      <c r="K268" s="32" t="inlineStr">
        <is>
          <t>Compra</t>
        </is>
      </c>
      <c r="L268" s="32" t="inlineStr">
        <is>
          <t>No</t>
        </is>
      </c>
      <c r="M268" s="17" t="n"/>
      <c r="N268" s="17" t="n"/>
      <c r="O268" s="17" t="inlineStr">
        <is>
          <t>23 Embalaje</t>
        </is>
      </c>
      <c r="P268" s="17" t="n"/>
      <c r="Q268" s="32" t="inlineStr">
        <is>
          <t>P</t>
        </is>
      </c>
      <c r="R268" s="32" t="inlineStr">
        <is>
          <t>FL_ACC_01</t>
        </is>
      </c>
      <c r="S268" s="17" t="n"/>
    </row>
    <row r="269">
      <c r="A269" s="29" t="inlineStr">
        <is>
          <t>FL_MAT_AGUA_10l</t>
        </is>
      </c>
      <c r="B269" s="29" t="n">
        <v>1</v>
      </c>
      <c r="C269" s="29" t="inlineStr">
        <is>
          <t>AGUA10-S7</t>
        </is>
      </c>
      <c r="D269" s="30" t="inlineStr">
        <is>
          <t xml:space="preserve">    Embalaje</t>
        </is>
      </c>
      <c r="E269" s="29" t="n">
        <v>1</v>
      </c>
      <c r="F269" s="29" t="inlineStr">
        <is>
          <t>u</t>
        </is>
      </c>
      <c r="G269" s="31" t="n"/>
      <c r="H269" s="31">
        <f>H273</f>
        <v/>
      </c>
      <c r="I269" s="29" t="n"/>
      <c r="J269" s="30" t="n"/>
      <c r="K269" s="29" t="inlineStr">
        <is>
          <t>Compra</t>
        </is>
      </c>
      <c r="L269" s="29" t="n"/>
      <c r="M269" s="30" t="n"/>
      <c r="N269" s="30" t="n"/>
      <c r="O269" s="30" t="inlineStr">
        <is>
          <t>23 Embalaje -&gt; 24 envolvedora (T11)</t>
        </is>
      </c>
      <c r="P269" s="30" t="n"/>
      <c r="Q269" s="29" t="n"/>
      <c r="R269" s="29" t="n"/>
      <c r="S269" s="30" t="n"/>
    </row>
    <row r="270">
      <c r="A270" s="32" t="inlineStr">
        <is>
          <t>FL_MAT_AGUA_10l</t>
        </is>
      </c>
      <c r="B270" s="32" t="n">
        <v>2</v>
      </c>
      <c r="C270" s="32" t="inlineStr">
        <is>
          <t>AGUA10-E1</t>
        </is>
      </c>
      <c r="D270" s="17" t="inlineStr">
        <is>
          <t xml:space="preserve">        Caja de cartón corrugado doble</t>
        </is>
      </c>
      <c r="E270" s="32" t="n">
        <v>1</v>
      </c>
      <c r="F270" s="32" t="inlineStr">
        <is>
          <t>u</t>
        </is>
      </c>
      <c r="G270" s="33" t="n"/>
      <c r="H270" s="33" t="n"/>
      <c r="I270" s="32" t="inlineStr">
        <is>
          <t>Cartón corrugado</t>
        </is>
      </c>
      <c r="J270" s="17" t="inlineStr">
        <is>
          <t>258 × 224 × 614 interior (envolvente del plano + 15 por lado)</t>
        </is>
      </c>
      <c r="K270" s="32" t="inlineStr">
        <is>
          <t>Compra</t>
        </is>
      </c>
      <c r="L270" s="32" t="inlineStr">
        <is>
          <t>No</t>
        </is>
      </c>
      <c r="M270" s="17" t="n"/>
      <c r="N270" s="17" t="n"/>
      <c r="O270" s="17" t="inlineStr">
        <is>
          <t>23 Embalaje</t>
        </is>
      </c>
      <c r="P270" s="17" t="n"/>
      <c r="Q270" s="32" t="inlineStr">
        <is>
          <t>P</t>
        </is>
      </c>
      <c r="R270" s="32" t="n"/>
      <c r="S270" s="17" t="inlineStr">
        <is>
          <t>Medida del plano</t>
        </is>
      </c>
    </row>
    <row r="271">
      <c r="A271" s="32" t="inlineStr">
        <is>
          <t>FL_MAT_AGUA_10l</t>
        </is>
      </c>
      <c r="B271" s="32" t="n">
        <v>2</v>
      </c>
      <c r="C271" s="32" t="inlineStr">
        <is>
          <t>AGUA10-E2</t>
        </is>
      </c>
      <c r="D271" s="17" t="inlineStr">
        <is>
          <t xml:space="preserve">        Instructivo de uso y mantenimiento</t>
        </is>
      </c>
      <c r="E271" s="32" t="n">
        <v>1</v>
      </c>
      <c r="F271" s="32" t="inlineStr">
        <is>
          <t>u</t>
        </is>
      </c>
      <c r="G271" s="33" t="n"/>
      <c r="H271" s="33" t="n"/>
      <c r="I271" s="32" t="inlineStr">
        <is>
          <t>Papel</t>
        </is>
      </c>
      <c r="J271" s="17" t="inlineStr">
        <is>
          <t>A5</t>
        </is>
      </c>
      <c r="K271" s="32" t="inlineStr">
        <is>
          <t>Compra</t>
        </is>
      </c>
      <c r="L271" s="32" t="inlineStr">
        <is>
          <t>No</t>
        </is>
      </c>
      <c r="M271" s="17" t="n"/>
      <c r="N271" s="17" t="n"/>
      <c r="O271" s="17" t="inlineStr">
        <is>
          <t>23 Embalaje</t>
        </is>
      </c>
      <c r="P271" s="17" t="n"/>
      <c r="Q271" s="32" t="inlineStr">
        <is>
          <t>I</t>
        </is>
      </c>
      <c r="R271" s="32" t="n"/>
      <c r="S271" s="17" t="inlineStr">
        <is>
          <t>Decisión comercial de FLAMA (las instrucciones de uso obligatorias van en la etiqueta, IRAM 3534)</t>
        </is>
      </c>
    </row>
    <row r="272">
      <c r="A272" s="32" t="inlineStr">
        <is>
          <t>FL_MAT_AGUA_10l</t>
        </is>
      </c>
      <c r="B272" s="32" t="n">
        <v>2</v>
      </c>
      <c r="C272" s="32" t="inlineStr">
        <is>
          <t>AGUA10-E3</t>
        </is>
      </c>
      <c r="D272" s="17" t="inlineStr">
        <is>
          <t xml:space="preserve">        Pallet 1200 × 1000 (fracción)</t>
        </is>
      </c>
      <c r="E272" s="32" t="n">
        <v>0.0312</v>
      </c>
      <c r="F272" s="32" t="inlineStr">
        <is>
          <t>u</t>
        </is>
      </c>
      <c r="G272" s="33" t="n"/>
      <c r="H272" s="33" t="n"/>
      <c r="I272" s="32" t="inlineStr">
        <is>
          <t>Madera</t>
        </is>
      </c>
      <c r="J272" s="17" t="inlineStr">
        <is>
          <t>32 u por pallet</t>
        </is>
      </c>
      <c r="K272" s="32" t="inlineStr">
        <is>
          <t>Compra</t>
        </is>
      </c>
      <c r="L272" s="32" t="inlineStr">
        <is>
          <t>No</t>
        </is>
      </c>
      <c r="M272" s="17" t="n"/>
      <c r="N272" s="17" t="n"/>
      <c r="O272" s="17" t="inlineStr">
        <is>
          <t>23 Embalaje</t>
        </is>
      </c>
      <c r="P272" s="17" t="n"/>
      <c r="Q272" s="32" t="inlineStr">
        <is>
          <t>C</t>
        </is>
      </c>
      <c r="R272" s="32" t="n"/>
      <c r="S272" s="17" t="inlineStr">
        <is>
          <t>u por pallet = acomodo de la caja (plano) en 1200 × 1000 × 1450 de alto</t>
        </is>
      </c>
    </row>
    <row r="273">
      <c r="A273" s="32" t="inlineStr">
        <is>
          <t>FL_MAT_AGUA_10l</t>
        </is>
      </c>
      <c r="B273" s="32" t="n">
        <v>2</v>
      </c>
      <c r="C273" s="32" t="inlineStr">
        <is>
          <t>AGUA10-E4</t>
        </is>
      </c>
      <c r="D273" s="17" t="inlineStr">
        <is>
          <t xml:space="preserve">        Film stretch (fracción del pallet)</t>
        </is>
      </c>
      <c r="E273" s="32" t="n">
        <v>0.0037</v>
      </c>
      <c r="F273" s="32" t="inlineStr">
        <is>
          <t>kg</t>
        </is>
      </c>
      <c r="G273" s="33" t="n">
        <v>1</v>
      </c>
      <c r="H273" s="33">
        <f>E273*G273</f>
        <v/>
      </c>
      <c r="I273" s="32" t="inlineStr">
        <is>
          <t>PE lineal 23 µm</t>
        </is>
      </c>
      <c r="J273" s="17" t="inlineStr">
        <is>
          <t>0,12 kg por pallet / 32 u</t>
        </is>
      </c>
      <c r="K273" s="32" t="inlineStr">
        <is>
          <t>Compra</t>
        </is>
      </c>
      <c r="L273" s="32" t="inlineStr">
        <is>
          <t>No</t>
        </is>
      </c>
      <c r="M273" s="17" t="n"/>
      <c r="N273" s="17" t="n"/>
      <c r="O273" s="17" t="inlineStr">
        <is>
          <t>24 Envolvedora (T11)</t>
        </is>
      </c>
      <c r="P273" s="17" t="n"/>
      <c r="Q273" s="32" t="inlineStr">
        <is>
          <t>C</t>
        </is>
      </c>
      <c r="R273" s="32" t="n"/>
      <c r="S273"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274">
      <c r="A274" s="32" t="inlineStr">
        <is>
          <t>FL_MAT_AGUA_10l</t>
        </is>
      </c>
      <c r="B274" s="32" t="n">
        <v>2</v>
      </c>
      <c r="C274" s="32" t="inlineStr">
        <is>
          <t>AGUA10-E5</t>
        </is>
      </c>
      <c r="D274" s="17" t="inlineStr">
        <is>
          <t xml:space="preserve">        Etiqueta de pallet (lote y destino, fracción)</t>
        </is>
      </c>
      <c r="E274" s="32" t="n">
        <v>0.0312</v>
      </c>
      <c r="F274" s="32" t="inlineStr">
        <is>
          <t>u</t>
        </is>
      </c>
      <c r="G274" s="33" t="n"/>
      <c r="H274" s="33" t="n"/>
      <c r="I274" s="32" t="inlineStr">
        <is>
          <t>Papel térmico</t>
        </is>
      </c>
      <c r="J274" s="17" t="inlineStr">
        <is>
          <t>100 × 150</t>
        </is>
      </c>
      <c r="K274" s="32" t="inlineStr">
        <is>
          <t>Compra</t>
        </is>
      </c>
      <c r="L274" s="32" t="inlineStr">
        <is>
          <t>No</t>
        </is>
      </c>
      <c r="M274" s="17" t="n"/>
      <c r="N274" s="17" t="n"/>
      <c r="O274" s="17" t="inlineStr">
        <is>
          <t>24 Envolvedora</t>
        </is>
      </c>
      <c r="P274" s="17" t="n"/>
      <c r="Q274" s="32" t="inlineStr">
        <is>
          <t>C</t>
        </is>
      </c>
      <c r="R274" s="32" t="n"/>
      <c r="S274" s="17" t="n"/>
    </row>
    <row r="275">
      <c r="A275" s="32" t="inlineStr">
        <is>
          <t>FL_MAT_AGUA_10l</t>
        </is>
      </c>
      <c r="B275" s="32" t="n">
        <v>2</v>
      </c>
      <c r="C275" s="32" t="inlineStr">
        <is>
          <t>AGUA10-E6</t>
        </is>
      </c>
      <c r="D275" s="17" t="inlineStr">
        <is>
          <t xml:space="preserve">        Cinta de embalaje PP 48 mm (cierre de la caja)</t>
        </is>
      </c>
      <c r="E275" s="32" t="n">
        <v>0.797</v>
      </c>
      <c r="F275" s="32" t="inlineStr">
        <is>
          <t>m</t>
        </is>
      </c>
      <c r="G275" s="33" t="n"/>
      <c r="H275" s="33" t="n"/>
      <c r="I275" s="32" t="inlineStr">
        <is>
          <t>Polipropileno con adhesivo acrílico</t>
        </is>
      </c>
      <c r="J275" s="17" t="inlineStr">
        <is>
          <t>cierre en I arriba y abajo: 2 × (258 + 2 × 70 de solapa)</t>
        </is>
      </c>
      <c r="K275" s="32" t="inlineStr">
        <is>
          <t>Compra</t>
        </is>
      </c>
      <c r="L275" s="32" t="inlineStr">
        <is>
          <t>No</t>
        </is>
      </c>
      <c r="M275" s="17" t="n"/>
      <c r="N275" s="17" t="n"/>
      <c r="O275" s="17" t="inlineStr">
        <is>
          <t>23 Embalaje</t>
        </is>
      </c>
      <c r="P275" s="17" t="n"/>
      <c r="Q275" s="32" t="inlineStr">
        <is>
          <t>C</t>
        </is>
      </c>
      <c r="R275" s="32" t="n"/>
      <c r="S275" s="17" t="inlineStr">
        <is>
          <t>Solapa de 70 mm por lado: práctica de cierre de cajas (medir en la línea)</t>
        </is>
      </c>
    </row>
    <row r="276">
      <c r="A276" s="32" t="inlineStr">
        <is>
          <t>FL_MAT_AGUA_10l</t>
        </is>
      </c>
      <c r="B276" s="32" t="n">
        <v>2</v>
      </c>
      <c r="C276" s="32" t="inlineStr">
        <is>
          <t>AGUA10-E7</t>
        </is>
      </c>
      <c r="D276" s="17" t="inlineStr">
        <is>
          <t xml:space="preserve">        Esquineros de cartón 50 × 50 × 1200 (fracción del pallet)</t>
        </is>
      </c>
      <c r="E276" s="32" t="n">
        <v>0.125</v>
      </c>
      <c r="F276" s="32" t="inlineStr">
        <is>
          <t>u</t>
        </is>
      </c>
      <c r="G276" s="33" t="n"/>
      <c r="H276" s="33" t="n"/>
      <c r="I276" s="32" t="inlineStr">
        <is>
          <t>Cartón</t>
        </is>
      </c>
      <c r="J276" s="17" t="inlineStr">
        <is>
          <t>4 por pallet / 32 u</t>
        </is>
      </c>
      <c r="K276" s="32" t="inlineStr">
        <is>
          <t>Compra</t>
        </is>
      </c>
      <c r="L276" s="32" t="inlineStr">
        <is>
          <t>No</t>
        </is>
      </c>
      <c r="M276" s="17" t="n"/>
      <c r="N276" s="17" t="n"/>
      <c r="O276" s="17" t="inlineStr">
        <is>
          <t>24 Envolvedora (T11)</t>
        </is>
      </c>
      <c r="P276" s="17" t="n"/>
      <c r="Q276" s="32" t="inlineStr">
        <is>
          <t>C</t>
        </is>
      </c>
      <c r="R276" s="32" t="n"/>
      <c r="S276" s="17" t="inlineStr">
        <is>
          <t>Planilla MP-64</t>
        </is>
      </c>
    </row>
    <row r="277">
      <c r="A277" s="26" t="inlineStr">
        <is>
          <t>FL_MAT_AFFF_10l</t>
        </is>
      </c>
      <c r="B277" s="26" t="n">
        <v>0</v>
      </c>
      <c r="C277" s="26" t="inlineStr">
        <is>
          <t>FL_MAT_AFFF_10l</t>
        </is>
      </c>
      <c r="D277" s="27" t="inlineStr">
        <is>
          <t>Extintor AFFF 10 l</t>
        </is>
      </c>
      <c r="E277" s="26" t="n">
        <v>1</v>
      </c>
      <c r="F277" s="26" t="inlineStr">
        <is>
          <t>u</t>
        </is>
      </c>
      <c r="G277" s="28" t="n"/>
      <c r="H277" s="28" t="n"/>
      <c r="I277" s="26" t="n"/>
      <c r="J277" s="27" t="n"/>
      <c r="K277" s="26" t="n"/>
      <c r="L277" s="26" t="n"/>
      <c r="M277" s="27" t="n"/>
      <c r="N277" s="27" t="n"/>
      <c r="O277" s="27" t="n"/>
      <c r="P277" s="27" t="inlineStr">
        <is>
          <t>IRAM 3527</t>
        </is>
      </c>
      <c r="Q277" s="26" t="inlineStr">
        <is>
          <t>P</t>
        </is>
      </c>
      <c r="R277" s="26" t="inlineStr">
        <is>
          <t>FL_MAT_AFFF_10l</t>
        </is>
      </c>
      <c r="S277" s="27" t="inlineStr">
        <is>
          <t>Revendido: se compra terminado al fabricante con Sello IRAM; las piezas internas quedan como referencia (no entran en MRP)</t>
        </is>
      </c>
    </row>
    <row r="278">
      <c r="A278" s="29" t="inlineStr">
        <is>
          <t>FL_MAT_AFFF_10l</t>
        </is>
      </c>
      <c r="B278" s="29" t="n">
        <v>1</v>
      </c>
      <c r="C278" s="29" t="inlineStr">
        <is>
          <t>AFFF10-S0</t>
        </is>
      </c>
      <c r="D278" s="30" t="inlineStr">
        <is>
          <t xml:space="preserve">    Equipo terminado comprado (fabricante con Sello IRAM)</t>
        </is>
      </c>
      <c r="E278" s="29" t="n">
        <v>1</v>
      </c>
      <c r="F278" s="29" t="inlineStr">
        <is>
          <t>u</t>
        </is>
      </c>
      <c r="G278" s="31" t="n"/>
      <c r="H278" s="31" t="n"/>
      <c r="I278" s="29" t="n"/>
      <c r="J278" s="30" t="n"/>
      <c r="K278" s="29" t="inlineStr">
        <is>
          <t>Compra</t>
        </is>
      </c>
      <c r="L278" s="29" t="inlineStr">
        <is>
          <t>Sí</t>
        </is>
      </c>
      <c r="M278" s="30" t="inlineStr">
        <is>
          <t>Matafuegos Georgia - venta mayorista</t>
        </is>
      </c>
      <c r="N278" s="30" t="inlineStr">
        <is>
          <t>Drago (Luis Pasquinelli e Hijos S.A.)</t>
        </is>
      </c>
      <c r="O278" s="30" t="inlineStr">
        <is>
          <t>Recepción y control de ingreso (SP-1)</t>
        </is>
      </c>
      <c r="P278" s="30" t="inlineStr">
        <is>
          <t>IRAM 3527</t>
        </is>
      </c>
      <c r="Q278" s="29" t="inlineStr">
        <is>
          <t>I</t>
        </is>
      </c>
      <c r="R278" s="29" t="inlineStr">
        <is>
          <t>FL_MAT_AFFF_10l</t>
        </is>
      </c>
      <c r="S278" s="30" t="inlineStr">
        <is>
          <t>Única fila de compra del revendido (más la tarjeta AGC si el destino es CABA)</t>
        </is>
      </c>
    </row>
    <row r="279">
      <c r="A279" s="29" t="inlineStr">
        <is>
          <t>FL_MAT_AFFF_10l</t>
        </is>
      </c>
      <c r="B279" s="29" t="n">
        <v>1</v>
      </c>
      <c r="C279" s="29" t="inlineStr">
        <is>
          <t>AFFF10-S1</t>
        </is>
      </c>
      <c r="D279" s="30" t="inlineStr">
        <is>
          <t xml:space="preserve">    Recipiente (cilindro)</t>
        </is>
      </c>
      <c r="E279" s="29" t="n">
        <v>1</v>
      </c>
      <c r="F279" s="29" t="inlineStr">
        <is>
          <t>u</t>
        </is>
      </c>
      <c r="G279" s="31" t="n"/>
      <c r="H279" s="31">
        <f>H280+H281+H282+H283</f>
        <v/>
      </c>
      <c r="I279" s="29" t="n"/>
      <c r="J279" s="30" t="n"/>
      <c r="K279" s="29" t="inlineStr">
        <is>
          <t>Compra / armado</t>
        </is>
      </c>
      <c r="L279" s="29" t="n"/>
      <c r="M279" s="30" t="n"/>
      <c r="N279" s="30" t="n"/>
      <c r="O279" s="30" t="n"/>
      <c r="P279" s="30" t="inlineStr">
        <is>
          <t>IRAM 3523 / 3550 (recipiente)</t>
        </is>
      </c>
      <c r="Q279" s="29" t="inlineStr">
        <is>
          <t>P</t>
        </is>
      </c>
      <c r="R279" s="29" t="inlineStr">
        <is>
          <t>FL_DES_AFFF_10l</t>
        </is>
      </c>
      <c r="S279" s="30" t="n"/>
    </row>
    <row r="280">
      <c r="A280" s="32" t="inlineStr">
        <is>
          <t>FL_MAT_AFFF_10l</t>
        </is>
      </c>
      <c r="B280" s="32" t="n">
        <v>2</v>
      </c>
      <c r="C280" s="32" t="inlineStr">
        <is>
          <t>AFFF10-01</t>
        </is>
      </c>
      <c r="D280" s="17" t="inlineStr">
        <is>
          <t xml:space="preserve">        Cuerpo (virola)</t>
        </is>
      </c>
      <c r="E280" s="32" t="n">
        <v>1</v>
      </c>
      <c r="F280" s="32" t="inlineStr">
        <is>
          <t>u</t>
        </is>
      </c>
      <c r="G280" s="33" t="n">
        <v>1.8173</v>
      </c>
      <c r="H280" s="33">
        <f>E280*G280</f>
        <v/>
      </c>
      <c r="I280" s="32" t="inlineStr">
        <is>
          <t>Chapa acero inox. AISI 304 e=0,8</t>
        </is>
      </c>
      <c r="J280" s="17" t="inlineStr">
        <is>
          <t>Ø190 × e0,8 × 482 de alto; desarrollo 594,4 × 482</t>
        </is>
      </c>
      <c r="K280" s="32" t="inlineStr">
        <is>
          <t>Compra (en el conjunto)</t>
        </is>
      </c>
      <c r="L280" s="32" t="inlineStr">
        <is>
          <t>No</t>
        </is>
      </c>
      <c r="M280" s="17" t="n"/>
      <c r="N280" s="17" t="n"/>
      <c r="O280" s="17" t="inlineStr">
        <is>
          <t>S4 - se compra terminado (tercerizado con sello IRAM)</t>
        </is>
      </c>
      <c r="P280" s="17" t="n"/>
      <c r="Q280" s="32" t="inlineStr">
        <is>
          <t>P</t>
        </is>
      </c>
      <c r="R280" s="32" t="inlineStr">
        <is>
          <t>FL_DES_AFFF_10l</t>
        </is>
      </c>
      <c r="S280" s="17" t="inlineStr">
        <is>
          <t>costura long. TIG</t>
        </is>
      </c>
    </row>
    <row r="281">
      <c r="A281" s="32" t="inlineStr">
        <is>
          <t>FL_MAT_AFFF_10l</t>
        </is>
      </c>
      <c r="B281" s="32" t="n">
        <v>2</v>
      </c>
      <c r="C281" s="32" t="inlineStr">
        <is>
          <t>AFFF10-02</t>
        </is>
      </c>
      <c r="D281" s="17" t="inlineStr">
        <is>
          <t xml:space="preserve">        Cúpula</t>
        </is>
      </c>
      <c r="E281" s="32" t="n">
        <v>1</v>
      </c>
      <c r="F281" s="32" t="inlineStr">
        <is>
          <t>u</t>
        </is>
      </c>
      <c r="G281" s="33" t="n">
        <v>0.2669</v>
      </c>
      <c r="H281" s="33">
        <f>E281*G281</f>
        <v/>
      </c>
      <c r="I281" s="32" t="inlineStr">
        <is>
          <t>Chapa acero inox. AISI 304 e=0,8</t>
        </is>
      </c>
      <c r="J281" s="17" t="inlineStr">
        <is>
          <t>Ø190 × e0,8 × 59,1 de alto; disco Ø238,4</t>
        </is>
      </c>
      <c r="K281" s="32" t="inlineStr">
        <is>
          <t>Compra (en el conjunto)</t>
        </is>
      </c>
      <c r="L281" s="32" t="inlineStr">
        <is>
          <t>No</t>
        </is>
      </c>
      <c r="M281" s="17" t="n"/>
      <c r="N281" s="17" t="n"/>
      <c r="O281" s="17" t="inlineStr">
        <is>
          <t>S4 - se compra terminado (tercerizado con sello IRAM)</t>
        </is>
      </c>
      <c r="P281" s="17" t="n"/>
      <c r="Q281" s="32" t="inlineStr">
        <is>
          <t>P</t>
        </is>
      </c>
      <c r="R281" s="32" t="inlineStr">
        <is>
          <t>FL_DES_AFFF_10l</t>
        </is>
      </c>
      <c r="S281" s="17" t="inlineStr">
        <is>
          <t>embutida</t>
        </is>
      </c>
    </row>
    <row r="282">
      <c r="A282" s="32" t="inlineStr">
        <is>
          <t>FL_MAT_AFFF_10l</t>
        </is>
      </c>
      <c r="B282" s="32" t="n">
        <v>2</v>
      </c>
      <c r="C282" s="32" t="inlineStr">
        <is>
          <t>AFFF10-03</t>
        </is>
      </c>
      <c r="D282" s="17" t="inlineStr">
        <is>
          <t xml:space="preserve">        Fondo</t>
        </is>
      </c>
      <c r="E282" s="32" t="n">
        <v>1</v>
      </c>
      <c r="F282" s="32" t="inlineStr">
        <is>
          <t>u</t>
        </is>
      </c>
      <c r="G282" s="33" t="n">
        <v>0.2299</v>
      </c>
      <c r="H282" s="33">
        <f>E282*G282</f>
        <v/>
      </c>
      <c r="I282" s="32" t="inlineStr">
        <is>
          <t>Chapa acero inox. AISI 304 e=0,8</t>
        </is>
      </c>
      <c r="J282" s="17" t="inlineStr">
        <is>
          <t>Ø190 × e0,8 × 20 de alto; disco Ø221,3</t>
        </is>
      </c>
      <c r="K282" s="32" t="inlineStr">
        <is>
          <t>Compra (en el conjunto)</t>
        </is>
      </c>
      <c r="L282" s="32" t="inlineStr">
        <is>
          <t>No</t>
        </is>
      </c>
      <c r="M282" s="17" t="n"/>
      <c r="N282" s="17" t="n"/>
      <c r="O282" s="17" t="inlineStr">
        <is>
          <t>S4 - se compra terminado (tercerizado con sello IRAM)</t>
        </is>
      </c>
      <c r="P282" s="17" t="n"/>
      <c r="Q282" s="32" t="inlineStr">
        <is>
          <t>P</t>
        </is>
      </c>
      <c r="R282" s="32" t="inlineStr">
        <is>
          <t>FL_DES_AFFF_10l</t>
        </is>
      </c>
      <c r="S282" s="17" t="inlineStr">
        <is>
          <t>embutido</t>
        </is>
      </c>
    </row>
    <row r="283">
      <c r="A283" s="32" t="inlineStr">
        <is>
          <t>FL_MAT_AFFF_10l</t>
        </is>
      </c>
      <c r="B283" s="32" t="n">
        <v>2</v>
      </c>
      <c r="C283" s="32" t="inlineStr">
        <is>
          <t>AFFF10-04</t>
        </is>
      </c>
      <c r="D283" s="17" t="inlineStr">
        <is>
          <t xml:space="preserve">        Cuello roscado</t>
        </is>
      </c>
      <c r="E283" s="32" t="n">
        <v>1</v>
      </c>
      <c r="F283" s="32" t="inlineStr">
        <is>
          <t>u</t>
        </is>
      </c>
      <c r="G283" s="33" t="n">
        <v>0.0539</v>
      </c>
      <c r="H283" s="33">
        <f>E283*G283</f>
        <v/>
      </c>
      <c r="I283" s="32" t="inlineStr">
        <is>
          <t>Acero inox. AISI 304</t>
        </is>
      </c>
      <c r="J283" s="17" t="inlineStr">
        <is>
          <t>Ø37 × 14 de alto, rosca M30x1,5, asiento Ø35</t>
        </is>
      </c>
      <c r="K283" s="32" t="inlineStr">
        <is>
          <t>Compra (en el conjunto)</t>
        </is>
      </c>
      <c r="L283" s="32" t="inlineStr">
        <is>
          <t>No</t>
        </is>
      </c>
      <c r="M283" s="17" t="n"/>
      <c r="N283" s="17" t="n"/>
      <c r="O283" s="17" t="inlineStr">
        <is>
          <t>S4 - se compra terminado (tercerizado con sello IRAM)</t>
        </is>
      </c>
      <c r="P283" s="17" t="n"/>
      <c r="Q283" s="32" t="inlineStr">
        <is>
          <t>P</t>
        </is>
      </c>
      <c r="R283" s="32" t="inlineStr">
        <is>
          <t>FL_DES_AFFF_10l</t>
        </is>
      </c>
      <c r="S283" s="17" t="inlineStr">
        <is>
          <t>M30x1,5</t>
        </is>
      </c>
    </row>
    <row r="284">
      <c r="A284" s="29" t="inlineStr">
        <is>
          <t>FL_MAT_AFFF_10l</t>
        </is>
      </c>
      <c r="B284" s="29" t="n">
        <v>1</v>
      </c>
      <c r="C284" s="29" t="inlineStr">
        <is>
          <t>AFFF10-S2</t>
        </is>
      </c>
      <c r="D284" s="30" t="inlineStr">
        <is>
          <t xml:space="preserve">    Conjunto de válvula</t>
        </is>
      </c>
      <c r="E284" s="29" t="n">
        <v>1</v>
      </c>
      <c r="F284" s="29" t="inlineStr">
        <is>
          <t>u</t>
        </is>
      </c>
      <c r="G284" s="31" t="n"/>
      <c r="H284" s="31">
        <f>H285+H286+H287+H289+H290+H291+H292+H293+H294+H295+H296+H297</f>
        <v/>
      </c>
      <c r="I284" s="29" t="n"/>
      <c r="J284" s="30" t="n"/>
      <c r="K284" s="29" t="inlineStr">
        <is>
          <t>Compra / armado</t>
        </is>
      </c>
      <c r="L284" s="29" t="n"/>
      <c r="M284" s="30" t="n"/>
      <c r="N284" s="30" t="n"/>
      <c r="O284" s="30" t="n"/>
      <c r="P284" s="30" t="inlineStr">
        <is>
          <t>Manómetro IRAM 3533</t>
        </is>
      </c>
      <c r="Q284" s="29" t="inlineStr">
        <is>
          <t>P</t>
        </is>
      </c>
      <c r="R284" s="29" t="inlineStr">
        <is>
          <t>FL_DES_AFFF_10l</t>
        </is>
      </c>
      <c r="S284" s="30" t="n"/>
    </row>
    <row r="285">
      <c r="A285" s="32" t="inlineStr">
        <is>
          <t>FL_MAT_AFFF_10l</t>
        </is>
      </c>
      <c r="B285" s="32" t="n">
        <v>2</v>
      </c>
      <c r="C285" s="32" t="inlineStr">
        <is>
          <t>AFFF10-05</t>
        </is>
      </c>
      <c r="D285" s="17" t="inlineStr">
        <is>
          <t xml:space="preserve">        Espiga roscada</t>
        </is>
      </c>
      <c r="E285" s="32" t="n">
        <v>1</v>
      </c>
      <c r="F285" s="32" t="inlineStr">
        <is>
          <t>u</t>
        </is>
      </c>
      <c r="G285" s="33" t="n">
        <v>0.0245</v>
      </c>
      <c r="H285" s="33">
        <f>E285*G285</f>
        <v/>
      </c>
      <c r="I285" s="32" t="inlineStr">
        <is>
          <t>Latón forjado</t>
        </is>
      </c>
      <c r="J285" s="17" t="inlineStr">
        <is>
          <t>29,8 × 29,8 × 10,8</t>
        </is>
      </c>
      <c r="K285" s="32" t="inlineStr">
        <is>
          <t>Compra (en el conjunto)</t>
        </is>
      </c>
      <c r="L285" s="32" t="inlineStr">
        <is>
          <t>No</t>
        </is>
      </c>
      <c r="M285" s="17" t="n"/>
      <c r="N285" s="17" t="n"/>
      <c r="O285" s="17" t="inlineStr">
        <is>
          <t>S4 - se compra terminado (tercerizado con sello IRAM)</t>
        </is>
      </c>
      <c r="P285" s="17" t="n"/>
      <c r="Q285" s="32" t="inlineStr">
        <is>
          <t>P</t>
        </is>
      </c>
      <c r="R285" s="32" t="inlineStr">
        <is>
          <t>FL_DES_AFFF_10l</t>
        </is>
      </c>
      <c r="S285" s="17" t="n"/>
    </row>
    <row r="286">
      <c r="A286" s="32" t="inlineStr">
        <is>
          <t>FL_MAT_AFFF_10l</t>
        </is>
      </c>
      <c r="B286" s="32" t="n">
        <v>2</v>
      </c>
      <c r="C286" s="32" t="inlineStr">
        <is>
          <t>AFFF10-06</t>
        </is>
      </c>
      <c r="D286" s="17" t="inlineStr">
        <is>
          <t xml:space="preserve">        Collarín de válvula</t>
        </is>
      </c>
      <c r="E286" s="32" t="n">
        <v>1</v>
      </c>
      <c r="F286" s="32" t="inlineStr">
        <is>
          <t>u</t>
        </is>
      </c>
      <c r="G286" s="33" t="n">
        <v>0.0053</v>
      </c>
      <c r="H286" s="33">
        <f>E286*G286</f>
        <v/>
      </c>
      <c r="I286" s="32" t="inlineStr">
        <is>
          <t>Latón forjado</t>
        </is>
      </c>
      <c r="J286" s="17" t="inlineStr">
        <is>
          <t>27,2 × 27,2 × 4,1</t>
        </is>
      </c>
      <c r="K286" s="32" t="inlineStr">
        <is>
          <t>Compra (en el conjunto)</t>
        </is>
      </c>
      <c r="L286" s="32" t="inlineStr">
        <is>
          <t>No</t>
        </is>
      </c>
      <c r="M286" s="17" t="n"/>
      <c r="N286" s="17" t="n"/>
      <c r="O286" s="17" t="inlineStr">
        <is>
          <t>S4 - se compra terminado (tercerizado con sello IRAM)</t>
        </is>
      </c>
      <c r="P286" s="17" t="n"/>
      <c r="Q286" s="32" t="inlineStr">
        <is>
          <t>P</t>
        </is>
      </c>
      <c r="R286" s="32" t="inlineStr">
        <is>
          <t>FL_DES_AFFF_10l</t>
        </is>
      </c>
      <c r="S286" s="17" t="n"/>
    </row>
    <row r="287">
      <c r="A287" s="32" t="inlineStr">
        <is>
          <t>FL_MAT_AFFF_10l</t>
        </is>
      </c>
      <c r="B287" s="32" t="n">
        <v>2</v>
      </c>
      <c r="C287" s="32" t="inlineStr">
        <is>
          <t>AFFF10-07</t>
        </is>
      </c>
      <c r="D287" s="17" t="inlineStr">
        <is>
          <t xml:space="preserve">        Cuerpo de válvula</t>
        </is>
      </c>
      <c r="E287" s="32" t="n">
        <v>1</v>
      </c>
      <c r="F287" s="32" t="inlineStr">
        <is>
          <t>u</t>
        </is>
      </c>
      <c r="G287" s="33" t="n">
        <v>0.1328</v>
      </c>
      <c r="H287" s="33">
        <f>E287*G287</f>
        <v/>
      </c>
      <c r="I287" s="32" t="inlineStr">
        <is>
          <t>Latón forjado</t>
        </is>
      </c>
      <c r="J287" s="17" t="inlineStr">
        <is>
          <t>43,9 × 32 × 24,5</t>
        </is>
      </c>
      <c r="K287" s="32" t="inlineStr">
        <is>
          <t>Compra (en el conjunto)</t>
        </is>
      </c>
      <c r="L287" s="32" t="inlineStr">
        <is>
          <t>No</t>
        </is>
      </c>
      <c r="M287" s="17" t="n"/>
      <c r="N287" s="17" t="n"/>
      <c r="O287" s="17" t="inlineStr">
        <is>
          <t>S4 - se compra terminado (tercerizado con sello IRAM)</t>
        </is>
      </c>
      <c r="P287" s="17" t="n"/>
      <c r="Q287" s="32" t="inlineStr">
        <is>
          <t>P</t>
        </is>
      </c>
      <c r="R287" s="32" t="inlineStr">
        <is>
          <t>FL_DES_AFFF_10l</t>
        </is>
      </c>
      <c r="S287" s="17" t="n"/>
    </row>
    <row r="288">
      <c r="A288" s="32" t="inlineStr">
        <is>
          <t>FL_MAT_AFFF_10l</t>
        </is>
      </c>
      <c r="B288" s="32" t="n">
        <v>2</v>
      </c>
      <c r="C288" s="32" t="inlineStr">
        <is>
          <t>AFFF10-08</t>
        </is>
      </c>
      <c r="D288" s="17" t="inlineStr">
        <is>
          <t xml:space="preserve">        Manómetro</t>
        </is>
      </c>
      <c r="E288" s="32" t="n">
        <v>1</v>
      </c>
      <c r="F288" s="32" t="inlineStr">
        <is>
          <t>u</t>
        </is>
      </c>
      <c r="G288" s="33" t="n"/>
      <c r="H288" s="33" t="n"/>
      <c r="I288" s="32" t="inlineStr">
        <is>
          <t>Comercial</t>
        </is>
      </c>
      <c r="J288" s="17" t="inlineStr">
        <is>
          <t>Ø36 esfera, rango 0-2 MPa, sector verde en 0,8</t>
        </is>
      </c>
      <c r="K288" s="32" t="inlineStr">
        <is>
          <t>Compra (en el conjunto)</t>
        </is>
      </c>
      <c r="L288" s="32" t="inlineStr">
        <is>
          <t>No</t>
        </is>
      </c>
      <c r="M288" s="17" t="n"/>
      <c r="N288" s="17" t="n"/>
      <c r="O288" s="17" t="inlineStr">
        <is>
          <t>S4 - se compra terminado (tercerizado con sello IRAM)</t>
        </is>
      </c>
      <c r="P288" s="17" t="inlineStr">
        <is>
          <t>IRAM 3533</t>
        </is>
      </c>
      <c r="Q288" s="32" t="inlineStr">
        <is>
          <t>P</t>
        </is>
      </c>
      <c r="R288" s="32" t="inlineStr">
        <is>
          <t>FL_DES_AFFF_10l</t>
        </is>
      </c>
      <c r="S288" s="17" t="inlineStr">
        <is>
          <t>Pieza comercial; sello IRAM 3533; peso: completar con la ficha del proveedor (no afecta el MRP)</t>
        </is>
      </c>
    </row>
    <row r="289">
      <c r="A289" s="32" t="inlineStr">
        <is>
          <t>FL_MAT_AFFF_10l</t>
        </is>
      </c>
      <c r="B289" s="32" t="n">
        <v>2</v>
      </c>
      <c r="C289" s="32" t="inlineStr">
        <is>
          <t>AFFF10-09</t>
        </is>
      </c>
      <c r="D289" s="17" t="inlineStr">
        <is>
          <t xml:space="preserve">        Vástago</t>
        </is>
      </c>
      <c r="E289" s="32" t="n">
        <v>1</v>
      </c>
      <c r="F289" s="32" t="inlineStr">
        <is>
          <t>u</t>
        </is>
      </c>
      <c r="G289" s="33" t="n">
        <v>0.0137</v>
      </c>
      <c r="H289" s="33">
        <f>E289*G289</f>
        <v/>
      </c>
      <c r="I289" s="32" t="inlineStr">
        <is>
          <t>Latón</t>
        </is>
      </c>
      <c r="J289" s="17" t="inlineStr">
        <is>
          <t>35,6 × 14 × 14</t>
        </is>
      </c>
      <c r="K289" s="32" t="inlineStr">
        <is>
          <t>Compra (en el conjunto)</t>
        </is>
      </c>
      <c r="L289" s="32" t="inlineStr">
        <is>
          <t>No</t>
        </is>
      </c>
      <c r="M289" s="17" t="n"/>
      <c r="N289" s="17" t="n"/>
      <c r="O289" s="17" t="inlineStr">
        <is>
          <t>S4 - se compra terminado (tercerizado con sello IRAM)</t>
        </is>
      </c>
      <c r="P289" s="17" t="n"/>
      <c r="Q289" s="32" t="inlineStr">
        <is>
          <t>P</t>
        </is>
      </c>
      <c r="R289" s="32" t="inlineStr">
        <is>
          <t>FL_DES_AFFF_10l</t>
        </is>
      </c>
      <c r="S289" s="17" t="inlineStr">
        <is>
          <t>con junta tórica</t>
        </is>
      </c>
    </row>
    <row r="290">
      <c r="A290" s="32" t="inlineStr">
        <is>
          <t>FL_MAT_AFFF_10l</t>
        </is>
      </c>
      <c r="B290" s="32" t="n">
        <v>2</v>
      </c>
      <c r="C290" s="32" t="inlineStr">
        <is>
          <t>AFFF10-10</t>
        </is>
      </c>
      <c r="D290" s="17" t="inlineStr">
        <is>
          <t xml:space="preserve">        Resorte de válvula</t>
        </is>
      </c>
      <c r="E290" s="32" t="n">
        <v>1</v>
      </c>
      <c r="F290" s="32" t="inlineStr">
        <is>
          <t>u</t>
        </is>
      </c>
      <c r="G290" s="33" t="n">
        <v>0.0049</v>
      </c>
      <c r="H290" s="33">
        <f>E290*G290</f>
        <v/>
      </c>
      <c r="I290" s="32" t="inlineStr">
        <is>
          <t>Alambre acero inox. AISI 302</t>
        </is>
      </c>
      <c r="J290" s="17" t="inlineStr">
        <is>
          <t>28,8 × 17,3 × 17,3</t>
        </is>
      </c>
      <c r="K290" s="32" t="inlineStr">
        <is>
          <t>Compra (en el conjunto)</t>
        </is>
      </c>
      <c r="L290" s="32" t="inlineStr">
        <is>
          <t>No</t>
        </is>
      </c>
      <c r="M290" s="17" t="n"/>
      <c r="N290" s="17" t="n"/>
      <c r="O290" s="17" t="inlineStr">
        <is>
          <t>S4 - se compra terminado (tercerizado con sello IRAM)</t>
        </is>
      </c>
      <c r="P290" s="17" t="n"/>
      <c r="Q290" s="32" t="inlineStr">
        <is>
          <t>P</t>
        </is>
      </c>
      <c r="R290" s="32" t="inlineStr">
        <is>
          <t>FL_DES_AFFF_10l</t>
        </is>
      </c>
      <c r="S290" s="17" t="inlineStr">
        <is>
          <t>cierre del vástago</t>
        </is>
      </c>
    </row>
    <row r="291">
      <c r="A291" s="32" t="inlineStr">
        <is>
          <t>FL_MAT_AFFF_10l</t>
        </is>
      </c>
      <c r="B291" s="32" t="n">
        <v>2</v>
      </c>
      <c r="C291" s="32" t="inlineStr">
        <is>
          <t>AFFF10-11</t>
        </is>
      </c>
      <c r="D291" s="17" t="inlineStr">
        <is>
          <t xml:space="preserve">        Eje de palanca</t>
        </is>
      </c>
      <c r="E291" s="32" t="n">
        <v>1</v>
      </c>
      <c r="F291" s="32" t="inlineStr">
        <is>
          <t>u</t>
        </is>
      </c>
      <c r="G291" s="33" t="n">
        <v>0.0033</v>
      </c>
      <c r="H291" s="33">
        <f>E291*G291</f>
        <v/>
      </c>
      <c r="I291" s="32" t="inlineStr">
        <is>
          <t>Acero inox. AISI 304</t>
        </is>
      </c>
      <c r="J291" s="17" t="inlineStr">
        <is>
          <t>33 × 4 × 4</t>
        </is>
      </c>
      <c r="K291" s="32" t="inlineStr">
        <is>
          <t>Compra (en el conjunto)</t>
        </is>
      </c>
      <c r="L291" s="32" t="inlineStr">
        <is>
          <t>No</t>
        </is>
      </c>
      <c r="M291" s="17" t="n"/>
      <c r="N291" s="17" t="n"/>
      <c r="O291" s="17" t="inlineStr">
        <is>
          <t>S4 - se compra terminado (tercerizado con sello IRAM)</t>
        </is>
      </c>
      <c r="P291" s="17" t="n"/>
      <c r="Q291" s="32" t="inlineStr">
        <is>
          <t>P</t>
        </is>
      </c>
      <c r="R291" s="32" t="inlineStr">
        <is>
          <t>FL_DES_AFFF_10l</t>
        </is>
      </c>
      <c r="S291" s="17" t="n"/>
    </row>
    <row r="292">
      <c r="A292" s="32" t="inlineStr">
        <is>
          <t>FL_MAT_AFFF_10l</t>
        </is>
      </c>
      <c r="B292" s="32" t="n">
        <v>2</v>
      </c>
      <c r="C292" s="32" t="inlineStr">
        <is>
          <t>AFFF10-12</t>
        </is>
      </c>
      <c r="D292" s="17" t="inlineStr">
        <is>
          <t xml:space="preserve">        Pasador de seguridad</t>
        </is>
      </c>
      <c r="E292" s="32" t="n">
        <v>1</v>
      </c>
      <c r="F292" s="32" t="inlineStr">
        <is>
          <t>u</t>
        </is>
      </c>
      <c r="G292" s="33" t="n">
        <v>0.0055</v>
      </c>
      <c r="H292" s="33">
        <f>E292*G292</f>
        <v/>
      </c>
      <c r="I292" s="32" t="inlineStr">
        <is>
          <t>Alambre acero inox. AISI 304</t>
        </is>
      </c>
      <c r="J292" s="17" t="inlineStr">
        <is>
          <t>45,9 × 21 × 20,8</t>
        </is>
      </c>
      <c r="K292" s="32" t="inlineStr">
        <is>
          <t>Compra (en el conjunto)</t>
        </is>
      </c>
      <c r="L292" s="32" t="inlineStr">
        <is>
          <t>No</t>
        </is>
      </c>
      <c r="M292" s="17" t="n"/>
      <c r="N292" s="17" t="n"/>
      <c r="O292" s="17" t="inlineStr">
        <is>
          <t>S4 - se compra terminado (tercerizado con sello IRAM)</t>
        </is>
      </c>
      <c r="P292" s="17" t="n"/>
      <c r="Q292" s="32" t="inlineStr">
        <is>
          <t>P</t>
        </is>
      </c>
      <c r="R292" s="32" t="inlineStr">
        <is>
          <t>FL_DES_AFFF_10l</t>
        </is>
      </c>
      <c r="S292" s="17" t="inlineStr">
        <is>
          <t>con precinto</t>
        </is>
      </c>
    </row>
    <row r="293">
      <c r="A293" s="32" t="inlineStr">
        <is>
          <t>FL_MAT_AFFF_10l</t>
        </is>
      </c>
      <c r="B293" s="32" t="n">
        <v>2</v>
      </c>
      <c r="C293" s="32" t="inlineStr">
        <is>
          <t>AFFF10-13</t>
        </is>
      </c>
      <c r="D293" s="17" t="inlineStr">
        <is>
          <t xml:space="preserve">        Manija de accionamiento</t>
        </is>
      </c>
      <c r="E293" s="32" t="n">
        <v>1</v>
      </c>
      <c r="F293" s="32" t="inlineStr">
        <is>
          <t>u</t>
        </is>
      </c>
      <c r="G293" s="33" t="n">
        <v>0.0959</v>
      </c>
      <c r="H293" s="33">
        <f>E293*G293</f>
        <v/>
      </c>
      <c r="I293" s="32" t="inlineStr">
        <is>
          <t>Chapa acero SAE 1010 pintada</t>
        </is>
      </c>
      <c r="J293" s="17" t="inlineStr">
        <is>
          <t>124,6 × 31 × 29,3</t>
        </is>
      </c>
      <c r="K293" s="32" t="inlineStr">
        <is>
          <t>Compra (en el conjunto)</t>
        </is>
      </c>
      <c r="L293" s="32" t="inlineStr">
        <is>
          <t>No</t>
        </is>
      </c>
      <c r="M293" s="17" t="n"/>
      <c r="N293" s="17" t="n"/>
      <c r="O293" s="17" t="inlineStr">
        <is>
          <t>S4 - se compra terminado (tercerizado con sello IRAM)</t>
        </is>
      </c>
      <c r="P293" s="17" t="n"/>
      <c r="Q293" s="32" t="inlineStr">
        <is>
          <t>P</t>
        </is>
      </c>
      <c r="R293" s="32" t="inlineStr">
        <is>
          <t>FL_DES_AFFF_10l</t>
        </is>
      </c>
      <c r="S293" s="17" t="n"/>
    </row>
    <row r="294">
      <c r="A294" s="32" t="inlineStr">
        <is>
          <t>FL_MAT_AFFF_10l</t>
        </is>
      </c>
      <c r="B294" s="32" t="n">
        <v>2</v>
      </c>
      <c r="C294" s="32" t="inlineStr">
        <is>
          <t>AFFF10-14</t>
        </is>
      </c>
      <c r="D294" s="17" t="inlineStr">
        <is>
          <t xml:space="preserve">        Manija de transporte</t>
        </is>
      </c>
      <c r="E294" s="32" t="n">
        <v>1</v>
      </c>
      <c r="F294" s="32" t="inlineStr">
        <is>
          <t>u</t>
        </is>
      </c>
      <c r="G294" s="33" t="n">
        <v>0.0757</v>
      </c>
      <c r="H294" s="33">
        <f>E294*G294</f>
        <v/>
      </c>
      <c r="I294" s="32" t="inlineStr">
        <is>
          <t>Chapa acero SAE 1010 pintada</t>
        </is>
      </c>
      <c r="J294" s="17" t="inlineStr">
        <is>
          <t>102,6 × 35 × 25,4</t>
        </is>
      </c>
      <c r="K294" s="32" t="inlineStr">
        <is>
          <t>Compra (en el conjunto)</t>
        </is>
      </c>
      <c r="L294" s="32" t="inlineStr">
        <is>
          <t>No</t>
        </is>
      </c>
      <c r="M294" s="17" t="n"/>
      <c r="N294" s="17" t="n"/>
      <c r="O294" s="17" t="inlineStr">
        <is>
          <t>S4 - se compra terminado (tercerizado con sello IRAM)</t>
        </is>
      </c>
      <c r="P294" s="17" t="n"/>
      <c r="Q294" s="32" t="inlineStr">
        <is>
          <t>P</t>
        </is>
      </c>
      <c r="R294" s="32" t="inlineStr">
        <is>
          <t>FL_DES_AFFF_10l</t>
        </is>
      </c>
      <c r="S294" s="17" t="n"/>
    </row>
    <row r="295">
      <c r="A295" s="32" t="inlineStr">
        <is>
          <t>FL_MAT_AFFF_10l</t>
        </is>
      </c>
      <c r="B295" s="32" t="n">
        <v>2</v>
      </c>
      <c r="C295" s="32" t="inlineStr">
        <is>
          <t>AFFF10-15</t>
        </is>
      </c>
      <c r="D295" s="17" t="inlineStr">
        <is>
          <t xml:space="preserve">        Caño de pesca (sifón)</t>
        </is>
      </c>
      <c r="E295" s="32" t="n">
        <v>1</v>
      </c>
      <c r="F295" s="32" t="inlineStr">
        <is>
          <t>u</t>
        </is>
      </c>
      <c r="G295" s="33" t="n">
        <v>0.0433</v>
      </c>
      <c r="H295" s="33">
        <f>E295*G295</f>
        <v/>
      </c>
      <c r="I295" s="32" t="inlineStr">
        <is>
          <t>Tubo polipropileno</t>
        </is>
      </c>
      <c r="J295" s="17" t="inlineStr">
        <is>
          <t>Ø21,3 × 515,5 de largo</t>
        </is>
      </c>
      <c r="K295" s="32" t="inlineStr">
        <is>
          <t>Compra (en el conjunto)</t>
        </is>
      </c>
      <c r="L295" s="32" t="inlineStr">
        <is>
          <t>No</t>
        </is>
      </c>
      <c r="M295" s="17" t="n"/>
      <c r="N295" s="17" t="n"/>
      <c r="O295" s="17" t="inlineStr">
        <is>
          <t>S4 - se compra terminado (tercerizado con sello IRAM)</t>
        </is>
      </c>
      <c r="P295" s="17" t="n"/>
      <c r="Q295" s="32" t="inlineStr">
        <is>
          <t>P</t>
        </is>
      </c>
      <c r="R295" s="32" t="inlineStr">
        <is>
          <t>FL_DES_AFFF_10l</t>
        </is>
      </c>
      <c r="S295" s="17" t="n"/>
    </row>
    <row r="296">
      <c r="A296" s="32" t="inlineStr">
        <is>
          <t>FL_MAT_AFFF_10l</t>
        </is>
      </c>
      <c r="B296" s="32" t="n">
        <v>2</v>
      </c>
      <c r="C296" s="32" t="inlineStr">
        <is>
          <t>AFFF10-16</t>
        </is>
      </c>
      <c r="D296" s="17" t="inlineStr">
        <is>
          <t xml:space="preserve">        Filtro del tubo de pesca</t>
        </is>
      </c>
      <c r="E296" s="32" t="n">
        <v>1</v>
      </c>
      <c r="F296" s="32" t="inlineStr">
        <is>
          <t>u</t>
        </is>
      </c>
      <c r="G296" s="33" t="n">
        <v>0.0015</v>
      </c>
      <c r="H296" s="33">
        <f>E296*G296</f>
        <v/>
      </c>
      <c r="I296" s="32" t="inlineStr">
        <is>
          <t>Polipropileno perforado</t>
        </is>
      </c>
      <c r="J296" s="17" t="inlineStr">
        <is>
          <t>25 × 24,3 × 24,3</t>
        </is>
      </c>
      <c r="K296" s="32" t="inlineStr">
        <is>
          <t>Compra (en el conjunto)</t>
        </is>
      </c>
      <c r="L296" s="32" t="inlineStr">
        <is>
          <t>No</t>
        </is>
      </c>
      <c r="M296" s="17" t="n"/>
      <c r="N296" s="17" t="n"/>
      <c r="O296" s="17" t="inlineStr">
        <is>
          <t>S4 - se compra terminado (tercerizado con sello IRAM)</t>
        </is>
      </c>
      <c r="P296" s="17" t="n"/>
      <c r="Q296" s="32" t="inlineStr">
        <is>
          <t>P</t>
        </is>
      </c>
      <c r="R296" s="32" t="inlineStr">
        <is>
          <t>FL_DES_AFFF_10l</t>
        </is>
      </c>
      <c r="S296" s="17" t="inlineStr">
        <is>
          <t>área ≥ 10 × boquilla</t>
        </is>
      </c>
    </row>
    <row r="297">
      <c r="A297" s="32" t="inlineStr">
        <is>
          <t>FL_MAT_AFFF_10l</t>
        </is>
      </c>
      <c r="B297" s="32" t="n">
        <v>2</v>
      </c>
      <c r="C297" s="32" t="inlineStr">
        <is>
          <t>AFFF10-26</t>
        </is>
      </c>
      <c r="D297" s="17" t="inlineStr">
        <is>
          <t xml:space="preserve">        Junta tórica de asiento</t>
        </is>
      </c>
      <c r="E297" s="32" t="n">
        <v>1</v>
      </c>
      <c r="F297" s="32" t="inlineStr">
        <is>
          <t>u</t>
        </is>
      </c>
      <c r="G297" s="33" t="n">
        <v>0.001</v>
      </c>
      <c r="H297" s="33">
        <f>E297*G297</f>
        <v/>
      </c>
      <c r="I297" s="32" t="inlineStr">
        <is>
          <t>NBR 70 Shore A</t>
        </is>
      </c>
      <c r="J297" s="17" t="inlineStr">
        <is>
          <t>Ø32,8 ext. × cordón 3</t>
        </is>
      </c>
      <c r="K297" s="32" t="inlineStr">
        <is>
          <t>Compra (en el conjunto)</t>
        </is>
      </c>
      <c r="L297" s="32" t="inlineStr">
        <is>
          <t>No</t>
        </is>
      </c>
      <c r="M297" s="17" t="n"/>
      <c r="N297" s="17" t="n"/>
      <c r="O297" s="17" t="inlineStr">
        <is>
          <t>S4 - se compra terminado (tercerizado con sello IRAM)</t>
        </is>
      </c>
      <c r="P297" s="17" t="n"/>
      <c r="Q297" s="32" t="inlineStr">
        <is>
          <t>P</t>
        </is>
      </c>
      <c r="R297" s="32" t="inlineStr">
        <is>
          <t>FL_DES_AFFF_10l</t>
        </is>
      </c>
      <c r="S297" s="17" t="inlineStr">
        <is>
          <t>cambio c/recarga</t>
        </is>
      </c>
    </row>
    <row r="298">
      <c r="A298" s="32" t="inlineStr">
        <is>
          <t>FL_MAT_AFFF_10l</t>
        </is>
      </c>
      <c r="B298" s="32" t="n">
        <v>2</v>
      </c>
      <c r="C298" s="32" t="inlineStr">
        <is>
          <t>AFFF10-V2</t>
        </is>
      </c>
      <c r="D298" s="17" t="inlineStr">
        <is>
          <t xml:space="preserve">        Resorte de retorno del vástago</t>
        </is>
      </c>
      <c r="E298" s="32" t="n">
        <v>1</v>
      </c>
      <c r="F298" s="32" t="inlineStr">
        <is>
          <t>u</t>
        </is>
      </c>
      <c r="G298" s="33" t="n"/>
      <c r="H298" s="33" t="n"/>
      <c r="I298" s="32" t="inlineStr">
        <is>
          <t>Acero para resortes</t>
        </is>
      </c>
      <c r="J298" s="17" t="inlineStr">
        <is>
          <t>incluido en la válvula</t>
        </is>
      </c>
      <c r="K298" s="32" t="inlineStr">
        <is>
          <t>Compra (en el conjunto)</t>
        </is>
      </c>
      <c r="L298" s="32" t="inlineStr">
        <is>
          <t>No</t>
        </is>
      </c>
      <c r="M298" s="17" t="n"/>
      <c r="N298" s="17" t="n"/>
      <c r="O298" s="17" t="inlineStr">
        <is>
          <t>19 Ensamblaje</t>
        </is>
      </c>
      <c r="P298" s="17" t="n"/>
      <c r="Q298" s="32" t="inlineStr">
        <is>
          <t>Q</t>
        </is>
      </c>
      <c r="R298" s="32" t="n"/>
      <c r="S298" s="17" t="inlineStr">
        <is>
          <t>Lista de precios HZ: válvula «c/resorte» (Q-AGENTES)</t>
        </is>
      </c>
    </row>
    <row r="299">
      <c r="A299" s="32" t="inlineStr">
        <is>
          <t>FL_MAT_AFFF_10l</t>
        </is>
      </c>
      <c r="B299" s="32" t="n">
        <v>2</v>
      </c>
      <c r="C299" s="32" t="inlineStr">
        <is>
          <t>AFFF10-V3</t>
        </is>
      </c>
      <c r="D299" s="17" t="inlineStr">
        <is>
          <t xml:space="preserve">        Junta tórica del vástago</t>
        </is>
      </c>
      <c r="E299" s="32" t="n">
        <v>1</v>
      </c>
      <c r="F299" s="32" t="inlineStr">
        <is>
          <t>u</t>
        </is>
      </c>
      <c r="G299" s="33" t="n"/>
      <c r="H299" s="33" t="n"/>
      <c r="I299" s="32" t="inlineStr">
        <is>
          <t>NBR 70 Shore A</t>
        </is>
      </c>
      <c r="J299" s="17" t="inlineStr">
        <is>
          <t>incluida en la válvula</t>
        </is>
      </c>
      <c r="K299" s="32" t="inlineStr">
        <is>
          <t>Compra (en el conjunto)</t>
        </is>
      </c>
      <c r="L299" s="32" t="inlineStr">
        <is>
          <t>No</t>
        </is>
      </c>
      <c r="M299" s="17" t="n"/>
      <c r="N299" s="17" t="n"/>
      <c r="O299" s="17" t="inlineStr">
        <is>
          <t>19 Ensamblaje</t>
        </is>
      </c>
      <c r="P299" s="17" t="n"/>
      <c r="Q299" s="32" t="inlineStr">
        <is>
          <t>P</t>
        </is>
      </c>
      <c r="R299" s="32" t="n"/>
      <c r="S299" s="17" t="inlineStr">
        <is>
          <t>Figura en el plano como «vástago con junta tórica»</t>
        </is>
      </c>
    </row>
    <row r="300">
      <c r="A300" s="29" t="inlineStr">
        <is>
          <t>FL_MAT_AFFF_10l</t>
        </is>
      </c>
      <c r="B300" s="29" t="n">
        <v>1</v>
      </c>
      <c r="C300" s="29" t="inlineStr">
        <is>
          <t>AFFF10-S3</t>
        </is>
      </c>
      <c r="D300" s="30" t="inlineStr">
        <is>
          <t xml:space="preserve">    Dispositivo de descarga</t>
        </is>
      </c>
      <c r="E300" s="29" t="n">
        <v>1</v>
      </c>
      <c r="F300" s="29" t="inlineStr">
        <is>
          <t>u</t>
        </is>
      </c>
      <c r="G300" s="31" t="n"/>
      <c r="H300" s="31">
        <f>H301+H302+H303+H304</f>
        <v/>
      </c>
      <c r="I300" s="29" t="n"/>
      <c r="J300" s="30" t="n"/>
      <c r="K300" s="29" t="inlineStr">
        <is>
          <t>Compra / armado</t>
        </is>
      </c>
      <c r="L300" s="29" t="n"/>
      <c r="M300" s="30" t="n"/>
      <c r="N300" s="30" t="n"/>
      <c r="O300" s="30" t="n"/>
      <c r="P300" s="30" t="n"/>
      <c r="Q300" s="29" t="inlineStr">
        <is>
          <t>P</t>
        </is>
      </c>
      <c r="R300" s="29" t="inlineStr">
        <is>
          <t>FL_DES_AFFF_10l</t>
        </is>
      </c>
      <c r="S300" s="30" t="n"/>
    </row>
    <row r="301">
      <c r="A301" s="32" t="inlineStr">
        <is>
          <t>FL_MAT_AFFF_10l</t>
        </is>
      </c>
      <c r="B301" s="32" t="n">
        <v>2</v>
      </c>
      <c r="C301" s="32" t="inlineStr">
        <is>
          <t>AFFF10-17</t>
        </is>
      </c>
      <c r="D301" s="17" t="inlineStr">
        <is>
          <t xml:space="preserve">        Racor de manguera</t>
        </is>
      </c>
      <c r="E301" s="32" t="n">
        <v>1</v>
      </c>
      <c r="F301" s="32" t="inlineStr">
        <is>
          <t>u</t>
        </is>
      </c>
      <c r="G301" s="33" t="n">
        <v>0.0258</v>
      </c>
      <c r="H301" s="33">
        <f>E301*G301</f>
        <v/>
      </c>
      <c r="I301" s="32" t="inlineStr">
        <is>
          <t>Latón</t>
        </is>
      </c>
      <c r="J301" s="17" t="inlineStr">
        <is>
          <t>18 × 18 × 12</t>
        </is>
      </c>
      <c r="K301" s="32" t="inlineStr">
        <is>
          <t>Compra (en el conjunto)</t>
        </is>
      </c>
      <c r="L301" s="32" t="inlineStr">
        <is>
          <t>No</t>
        </is>
      </c>
      <c r="M301" s="17" t="n"/>
      <c r="N301" s="17" t="n"/>
      <c r="O301" s="17" t="inlineStr">
        <is>
          <t>S4 - se compra terminado (tercerizado con sello IRAM)</t>
        </is>
      </c>
      <c r="P301" s="17" t="n"/>
      <c r="Q301" s="32" t="inlineStr">
        <is>
          <t>P</t>
        </is>
      </c>
      <c r="R301" s="32" t="inlineStr">
        <is>
          <t>FL_DES_AFFF_10l</t>
        </is>
      </c>
      <c r="S301" s="17" t="n"/>
    </row>
    <row r="302">
      <c r="A302" s="32" t="inlineStr">
        <is>
          <t>FL_MAT_AFFF_10l</t>
        </is>
      </c>
      <c r="B302" s="32" t="n">
        <v>2</v>
      </c>
      <c r="C302" s="32" t="inlineStr">
        <is>
          <t>AFFF10-18</t>
        </is>
      </c>
      <c r="D302" s="17" t="inlineStr">
        <is>
          <t xml:space="preserve">        Manguera</t>
        </is>
      </c>
      <c r="E302" s="32" t="n">
        <v>1</v>
      </c>
      <c r="F302" s="32" t="inlineStr">
        <is>
          <t>u</t>
        </is>
      </c>
      <c r="G302" s="33" t="n">
        <v>0.0549</v>
      </c>
      <c r="H302" s="33">
        <f>E302*G302</f>
        <v/>
      </c>
      <c r="I302" s="32" t="inlineStr">
        <is>
          <t>Caucho sintético</t>
        </is>
      </c>
      <c r="J302" s="17" t="inlineStr">
        <is>
          <t>Ø16 × 355 de largo desarrollado</t>
        </is>
      </c>
      <c r="K302" s="32" t="inlineStr">
        <is>
          <t>Compra (en el conjunto)</t>
        </is>
      </c>
      <c r="L302" s="32" t="inlineStr">
        <is>
          <t>No</t>
        </is>
      </c>
      <c r="M302" s="17" t="n"/>
      <c r="N302" s="17" t="n"/>
      <c r="O302" s="17" t="inlineStr">
        <is>
          <t>S4 - se compra terminado (tercerizado con sello IRAM)</t>
        </is>
      </c>
      <c r="P302" s="17" t="n"/>
      <c r="Q302" s="32" t="inlineStr">
        <is>
          <t>P</t>
        </is>
      </c>
      <c r="R302" s="32" t="inlineStr">
        <is>
          <t>FL_DES_AFFF_10l</t>
        </is>
      </c>
      <c r="S302" s="17" t="n"/>
    </row>
    <row r="303">
      <c r="A303" s="32" t="inlineStr">
        <is>
          <t>FL_MAT_AFFF_10l</t>
        </is>
      </c>
      <c r="B303" s="32" t="n">
        <v>2</v>
      </c>
      <c r="C303" s="32" t="inlineStr">
        <is>
          <t>AFFF10-19</t>
        </is>
      </c>
      <c r="D303" s="17" t="inlineStr">
        <is>
          <t xml:space="preserve">        Lanza espumígena</t>
        </is>
      </c>
      <c r="E303" s="32" t="n">
        <v>1</v>
      </c>
      <c r="F303" s="32" t="inlineStr">
        <is>
          <t>u</t>
        </is>
      </c>
      <c r="G303" s="33" t="n">
        <v>0.051</v>
      </c>
      <c r="H303" s="33">
        <f>E303*G303</f>
        <v/>
      </c>
      <c r="I303" s="32" t="inlineStr">
        <is>
          <t>Polipropileno</t>
        </is>
      </c>
      <c r="J303" s="17" t="inlineStr">
        <is>
          <t>210 × 32 × 32</t>
        </is>
      </c>
      <c r="K303" s="32" t="inlineStr">
        <is>
          <t>Compra (en el conjunto)</t>
        </is>
      </c>
      <c r="L303" s="32" t="inlineStr">
        <is>
          <t>No</t>
        </is>
      </c>
      <c r="M303" s="17" t="n"/>
      <c r="N303" s="17" t="n"/>
      <c r="O303" s="17" t="inlineStr">
        <is>
          <t>S4 - se compra terminado (tercerizado con sello IRAM)</t>
        </is>
      </c>
      <c r="P303" s="17" t="n"/>
      <c r="Q303" s="32" t="inlineStr">
        <is>
          <t>P</t>
        </is>
      </c>
      <c r="R303" s="32" t="inlineStr">
        <is>
          <t>FL_DES_AFFF_10l</t>
        </is>
      </c>
      <c r="S303" s="17" t="n"/>
    </row>
    <row r="304">
      <c r="A304" s="32" t="inlineStr">
        <is>
          <t>FL_MAT_AFFF_10l</t>
        </is>
      </c>
      <c r="B304" s="32" t="n">
        <v>2</v>
      </c>
      <c r="C304" s="32" t="inlineStr">
        <is>
          <t>AFFF10-20</t>
        </is>
      </c>
      <c r="D304" s="17" t="inlineStr">
        <is>
          <t xml:space="preserve">        Suncho portatobera</t>
        </is>
      </c>
      <c r="E304" s="32" t="n">
        <v>1</v>
      </c>
      <c r="F304" s="32" t="inlineStr">
        <is>
          <t>u</t>
        </is>
      </c>
      <c r="G304" s="33" t="n">
        <v>0.132</v>
      </c>
      <c r="H304" s="33">
        <f>E304*G304</f>
        <v/>
      </c>
      <c r="I304" s="32" t="inlineStr">
        <is>
          <t>Fleje acero SAE 1010 pintado</t>
        </is>
      </c>
      <c r="J304" s="17" t="inlineStr">
        <is>
          <t>196,8 × 193,6 × 18</t>
        </is>
      </c>
      <c r="K304" s="32" t="inlineStr">
        <is>
          <t>Compra (en el conjunto)</t>
        </is>
      </c>
      <c r="L304" s="32" t="inlineStr">
        <is>
          <t>No</t>
        </is>
      </c>
      <c r="M304" s="17" t="n"/>
      <c r="N304" s="17" t="n"/>
      <c r="O304" s="17" t="inlineStr">
        <is>
          <t>S4 - se compra terminado (tercerizado con sello IRAM)</t>
        </is>
      </c>
      <c r="P304" s="17" t="n"/>
      <c r="Q304" s="32" t="inlineStr">
        <is>
          <t>P</t>
        </is>
      </c>
      <c r="R304" s="32" t="inlineStr">
        <is>
          <t>FL_DES_AFFF_10l</t>
        </is>
      </c>
      <c r="S304" s="17" t="n"/>
    </row>
    <row r="305">
      <c r="A305" s="29" t="inlineStr">
        <is>
          <t>FL_MAT_AFFF_10l</t>
        </is>
      </c>
      <c r="B305" s="29" t="n">
        <v>1</v>
      </c>
      <c r="C305" s="29" t="inlineStr">
        <is>
          <t>AFFF10-S5</t>
        </is>
      </c>
      <c r="D305" s="30" t="inlineStr">
        <is>
          <t xml:space="preserve">    Carga: agente extintor y gas impulsor</t>
        </is>
      </c>
      <c r="E305" s="29" t="n">
        <v>1</v>
      </c>
      <c r="F305" s="29" t="inlineStr">
        <is>
          <t>u</t>
        </is>
      </c>
      <c r="G305" s="31" t="n"/>
      <c r="H305" s="31">
        <f>H306+H307+H308</f>
        <v/>
      </c>
      <c r="I305" s="29" t="n"/>
      <c r="J305" s="30" t="n"/>
      <c r="K305" s="29" t="inlineStr">
        <is>
          <t>Compra</t>
        </is>
      </c>
      <c r="L305" s="29" t="n"/>
      <c r="M305" s="30" t="n"/>
      <c r="N305" s="30" t="n"/>
      <c r="O305" s="30" t="n"/>
      <c r="P305" s="30" t="n"/>
      <c r="Q305" s="29" t="n"/>
      <c r="R305" s="29" t="n"/>
      <c r="S305" s="30" t="n"/>
    </row>
    <row r="306">
      <c r="A306" s="32" t="inlineStr">
        <is>
          <t>FL_MAT_AFFF_10l</t>
        </is>
      </c>
      <c r="B306" s="32" t="n">
        <v>2</v>
      </c>
      <c r="C306" s="32" t="inlineStr">
        <is>
          <t>AFFF10-A1</t>
        </is>
      </c>
      <c r="D306" s="17" t="inlineStr">
        <is>
          <t xml:space="preserve">        Agua potable (premezcla)</t>
        </is>
      </c>
      <c r="E306" s="32" t="n">
        <v>9.699999999999999</v>
      </c>
      <c r="F306" s="32" t="inlineStr">
        <is>
          <t>L</t>
        </is>
      </c>
      <c r="G306" s="33" t="n">
        <v>1</v>
      </c>
      <c r="H306" s="33">
        <f>E306*G306</f>
        <v/>
      </c>
      <c r="I306" s="32" t="inlineStr">
        <is>
          <t>Agua</t>
        </is>
      </c>
      <c r="J306" s="17" t="inlineStr">
        <is>
          <t>97 % de 10 L; tolerancia ± 3 %</t>
        </is>
      </c>
      <c r="K306" s="32" t="inlineStr">
        <is>
          <t>Red</t>
        </is>
      </c>
      <c r="L306" s="32" t="inlineStr">
        <is>
          <t>No</t>
        </is>
      </c>
      <c r="M306" s="17" t="n"/>
      <c r="N306" s="17" t="n"/>
      <c r="O306" s="17" t="inlineStr">
        <is>
          <t>SP-1 premezcla</t>
        </is>
      </c>
      <c r="P306" s="17" t="inlineStr">
        <is>
          <t>IRAM 3517-2:2020 tabla 3</t>
        </is>
      </c>
      <c r="Q306" s="32" t="inlineStr">
        <is>
          <t>N</t>
        </is>
      </c>
      <c r="R306" s="32" t="n"/>
      <c r="S306" s="17" t="n"/>
    </row>
    <row r="307">
      <c r="A307" s="32" t="inlineStr">
        <is>
          <t>FL_MAT_AFFF_10l</t>
        </is>
      </c>
      <c r="B307" s="32" t="n">
        <v>2</v>
      </c>
      <c r="C307" s="32" t="inlineStr">
        <is>
          <t>AFFF10-A1b</t>
        </is>
      </c>
      <c r="D307" s="17" t="inlineStr">
        <is>
          <t xml:space="preserve">        Concentrado espumígeno AFFF 3 % (IRAM 3515)</t>
        </is>
      </c>
      <c r="E307" s="32" t="n">
        <v>0.3</v>
      </c>
      <c r="F307" s="32" t="inlineStr">
        <is>
          <t>L</t>
        </is>
      </c>
      <c r="G307" s="33" t="n">
        <v>1.025</v>
      </c>
      <c r="H307" s="33">
        <f>E307*G307</f>
        <v/>
      </c>
      <c r="I307" s="32" t="inlineStr">
        <is>
          <t>Concentrado espumígeno AFFF 3 % (IRAM 3515)</t>
        </is>
      </c>
      <c r="J307" s="17" t="inlineStr">
        <is>
          <t>nominal 0,3 L; tolerancia ± 3 % (IRAM 3517-2:2020 tabla 3)</t>
        </is>
      </c>
      <c r="K307" s="32" t="inlineStr">
        <is>
          <t>Compra</t>
        </is>
      </c>
      <c r="L307" s="32" t="inlineStr">
        <is>
          <t>No</t>
        </is>
      </c>
      <c r="M307" s="17" t="n"/>
      <c r="N307" s="17" t="n"/>
      <c r="O307" s="17" t="inlineStr">
        <is>
          <t>SP-1 almacén previo a la carga</t>
        </is>
      </c>
      <c r="P307" s="17" t="inlineStr">
        <is>
          <t>IRAM 3515</t>
        </is>
      </c>
      <c r="Q307" s="32" t="inlineStr">
        <is>
          <t>N</t>
        </is>
      </c>
      <c r="R307" s="32" t="n"/>
      <c r="S307" s="17" t="n"/>
    </row>
    <row r="308">
      <c r="A308" s="32" t="inlineStr">
        <is>
          <t>FL_MAT_AFFF_10l</t>
        </is>
      </c>
      <c r="B308" s="32" t="n">
        <v>2</v>
      </c>
      <c r="C308" s="32" t="inlineStr">
        <is>
          <t>AFFF10-A2</t>
        </is>
      </c>
      <c r="D308" s="17" t="inlineStr">
        <is>
          <t xml:space="preserve">        Gas impulsor: Aire comprimido</t>
        </is>
      </c>
      <c r="E308" s="32" t="n">
        <v>0.0427</v>
      </c>
      <c r="F308" s="32" t="inlineStr">
        <is>
          <t>kg</t>
        </is>
      </c>
      <c r="G308" s="33" t="n">
        <v>1</v>
      </c>
      <c r="H308" s="33">
        <f>E308*G308</f>
        <v/>
      </c>
      <c r="I308" s="32" t="inlineStr">
        <is>
          <t>Aire comprimido</t>
        </is>
      </c>
      <c r="J308" s="17" t="inlineStr">
        <is>
          <t>33 L normales para 0,8 MPa a 20 °C en 3,98 dm³ libres</t>
        </is>
      </c>
      <c r="K308" s="32" t="inlineStr">
        <is>
          <t>Compra</t>
        </is>
      </c>
      <c r="L308" s="32" t="inlineStr">
        <is>
          <t>No</t>
        </is>
      </c>
      <c r="M308" s="17" t="n"/>
      <c r="N308" s="17" t="n"/>
      <c r="O308" s="17" t="inlineStr">
        <is>
          <t>20 Presurización (T05) / C10</t>
        </is>
      </c>
      <c r="P308" s="17" t="inlineStr">
        <is>
          <t>IRAM 3517-2 9.4.9 (tabla 2) · IRAM 3523 2.3 y 3.10</t>
        </is>
      </c>
      <c r="Q308" s="32" t="inlineStr">
        <is>
          <t>C</t>
        </is>
      </c>
      <c r="R308" s="32" t="n"/>
      <c r="S308" s="17" t="inlineStr">
        <is>
          <t>Batería en SP-1; punto de rocío ≤ -56,7 °C para gases limpios</t>
        </is>
      </c>
    </row>
    <row r="309">
      <c r="A309" s="29" t="inlineStr">
        <is>
          <t>FL_MAT_AFFF_10l</t>
        </is>
      </c>
      <c r="B309" s="29" t="n">
        <v>1</v>
      </c>
      <c r="C309" s="29" t="inlineStr">
        <is>
          <t>AFFF10-S6</t>
        </is>
      </c>
      <c r="D309" s="30" t="inlineStr">
        <is>
          <t xml:space="preserve">    Identificación y precinto</t>
        </is>
      </c>
      <c r="E309" s="29" t="n">
        <v>1</v>
      </c>
      <c r="F309" s="29" t="inlineStr">
        <is>
          <t>u</t>
        </is>
      </c>
      <c r="G309" s="31" t="n"/>
      <c r="H309" s="31">
        <f>H310+H311+H312+H313+H314+H315+H316</f>
        <v/>
      </c>
      <c r="I309" s="29" t="n"/>
      <c r="J309" s="30" t="n"/>
      <c r="K309" s="29" t="inlineStr">
        <is>
          <t>Compra</t>
        </is>
      </c>
      <c r="L309" s="29" t="n"/>
      <c r="M309" s="30" t="n"/>
      <c r="N309" s="30" t="n"/>
      <c r="O309" s="30" t="inlineStr">
        <is>
          <t>22 Etiquetado (T07)</t>
        </is>
      </c>
      <c r="P309" s="30" t="n"/>
      <c r="Q309" s="29" t="n"/>
      <c r="R309" s="29" t="n"/>
      <c r="S309" s="30" t="n"/>
    </row>
    <row r="310">
      <c r="A310" s="32" t="inlineStr">
        <is>
          <t>FL_MAT_AFFF_10l</t>
        </is>
      </c>
      <c r="B310" s="32" t="n">
        <v>2</v>
      </c>
      <c r="C310" s="32" t="inlineStr">
        <is>
          <t>AFFF10-21</t>
        </is>
      </c>
      <c r="D310" s="17" t="inlineStr">
        <is>
          <t xml:space="preserve">        Etiqueta / placa de características</t>
        </is>
      </c>
      <c r="E310" s="32" t="n">
        <v>1</v>
      </c>
      <c r="F310" s="32" t="inlineStr">
        <is>
          <t>u</t>
        </is>
      </c>
      <c r="G310" s="33" t="n">
        <v>0.0327</v>
      </c>
      <c r="H310" s="33">
        <f>E310*G310</f>
        <v/>
      </c>
      <c r="I310" s="32" t="inlineStr">
        <is>
          <t>Vinilo autoadhesivo laminado</t>
        </is>
      </c>
      <c r="J310" s="17" t="inlineStr">
        <is>
          <t>359 × 217 (desarrollo × alto: panel central 108° + 2 alas laterales), e ≈ 0,3, laminado UV</t>
        </is>
      </c>
      <c r="K310" s="32" t="inlineStr">
        <is>
          <t>Compra</t>
        </is>
      </c>
      <c r="L310" s="32" t="inlineStr">
        <is>
          <t>No</t>
        </is>
      </c>
      <c r="M310" s="17" t="n"/>
      <c r="N310" s="17" t="n"/>
      <c r="O310" s="17" t="inlineStr">
        <is>
          <t>22 Etiquetado (T07)</t>
        </is>
      </c>
      <c r="P310" s="17" t="inlineStr">
        <is>
          <t>IRAM 3534 · IRAM 3527 cap. 5 · relevamiento de mercado</t>
        </is>
      </c>
      <c r="Q310" s="32" t="inlineStr">
        <is>
          <t>P</t>
        </is>
      </c>
      <c r="R310" s="32" t="inlineStr">
        <is>
          <t>FL_DES_AFFF_10l</t>
        </is>
      </c>
      <c r="S310" s="17" t="inlineStr">
        <is>
          <t>IRAM 3534</t>
        </is>
      </c>
    </row>
    <row r="311">
      <c r="A311" s="32" t="inlineStr">
        <is>
          <t>FL_MAT_AFFF_10l</t>
        </is>
      </c>
      <c r="B311" s="32" t="n">
        <v>2</v>
      </c>
      <c r="C311" s="32" t="inlineStr">
        <is>
          <t>AFFF10-22</t>
        </is>
      </c>
      <c r="D311" s="17" t="inlineStr">
        <is>
          <t xml:space="preserve">        Oblea de fabricación (PBA)</t>
        </is>
      </c>
      <c r="E311" s="32" t="n">
        <v>1</v>
      </c>
      <c r="F311" s="32" t="inlineStr">
        <is>
          <t>u</t>
        </is>
      </c>
      <c r="G311" s="33" t="n">
        <v>0.0009</v>
      </c>
      <c r="H311" s="33">
        <f>E311*G311</f>
        <v/>
      </c>
      <c r="I311" s="32" t="inlineStr">
        <is>
          <t>Papel de seguridad autodestructible</t>
        </is>
      </c>
      <c r="J311" s="17" t="inlineStr">
        <is>
          <t>Ø46 (Res. OPDS 522/07), numerada, autodestructible</t>
        </is>
      </c>
      <c r="K311" s="32" t="inlineStr">
        <is>
          <t>Compra</t>
        </is>
      </c>
      <c r="L311" s="32" t="inlineStr">
        <is>
          <t>No</t>
        </is>
      </c>
      <c r="M311" s="17" t="n"/>
      <c r="N311" s="17" t="n"/>
      <c r="O311" s="17" t="inlineStr">
        <is>
          <t>22 Etiquetado (T07)</t>
        </is>
      </c>
      <c r="P311" s="17" t="inlineStr">
        <is>
          <t>Res. OPDS 522/07 anexos 1, 2 y 6</t>
        </is>
      </c>
      <c r="Q311" s="32" t="inlineStr">
        <is>
          <t>P</t>
        </is>
      </c>
      <c r="R311" s="32" t="inlineStr">
        <is>
          <t>FL_DES_AFFF_10l</t>
        </is>
      </c>
      <c r="S311" s="17" t="inlineStr">
        <is>
          <t>Res. 522/07</t>
        </is>
      </c>
    </row>
    <row r="312">
      <c r="A312" s="32" t="inlineStr">
        <is>
          <t>FL_MAT_AFFF_10l</t>
        </is>
      </c>
      <c r="B312" s="32" t="n">
        <v>2</v>
      </c>
      <c r="C312" s="32" t="inlineStr">
        <is>
          <t>AFFF10-23</t>
        </is>
      </c>
      <c r="D312" s="17" t="inlineStr">
        <is>
          <t xml:space="preserve">        Estampilla IRAM de conformidad</t>
        </is>
      </c>
      <c r="E312" s="32" t="n">
        <v>1</v>
      </c>
      <c r="F312" s="32" t="inlineStr">
        <is>
          <t>u</t>
        </is>
      </c>
      <c r="G312" s="33" t="n">
        <v>0.001</v>
      </c>
      <c r="H312" s="33">
        <f>E312*G312</f>
        <v/>
      </c>
      <c r="I312" s="32" t="inlineStr">
        <is>
          <t>Provista por IRAM (Anexo R)</t>
        </is>
      </c>
      <c r="J312" s="17" t="inlineStr">
        <is>
          <t>60 × 40</t>
        </is>
      </c>
      <c r="K312" s="32" t="inlineStr">
        <is>
          <t>Compra</t>
        </is>
      </c>
      <c r="L312" s="32" t="inlineStr">
        <is>
          <t>No</t>
        </is>
      </c>
      <c r="M312" s="17" t="n"/>
      <c r="N312" s="17" t="n"/>
      <c r="O312" s="17" t="inlineStr">
        <is>
          <t>22 Etiquetado (T07)</t>
        </is>
      </c>
      <c r="P312" s="17" t="inlineStr">
        <is>
          <t>IRAM Anexo R (DC-PG-129)</t>
        </is>
      </c>
      <c r="Q312" s="32" t="inlineStr">
        <is>
          <t>P</t>
        </is>
      </c>
      <c r="R312" s="32" t="inlineStr">
        <is>
          <t>FL_DES_AFFF_10l</t>
        </is>
      </c>
      <c r="S312" s="17" t="inlineStr">
        <is>
          <t>numerada</t>
        </is>
      </c>
    </row>
    <row r="313">
      <c r="A313" s="32" t="inlineStr">
        <is>
          <t>FL_MAT_AFFF_10l</t>
        </is>
      </c>
      <c r="B313" s="32" t="n">
        <v>2</v>
      </c>
      <c r="C313" s="32" t="inlineStr">
        <is>
          <t>AFFF10-24</t>
        </is>
      </c>
      <c r="D313" s="17" t="inlineStr">
        <is>
          <t xml:space="preserve">        Tarjeta de identificación AGC (CABA)</t>
        </is>
      </c>
      <c r="E313" s="32" t="n">
        <v>1</v>
      </c>
      <c r="F313" s="32" t="inlineStr">
        <is>
          <t>u</t>
        </is>
      </c>
      <c r="G313" s="33" t="n">
        <v>0.0032</v>
      </c>
      <c r="H313" s="33">
        <f>E313*G313</f>
        <v/>
      </c>
      <c r="I313" s="32" t="inlineStr">
        <is>
          <t>Etiqueta autoadhesiva emitida por la AGC</t>
        </is>
      </c>
      <c r="J313" s="17" t="inlineStr">
        <is>
          <t>140 × 55</t>
        </is>
      </c>
      <c r="K313" s="32" t="inlineStr">
        <is>
          <t>Compra</t>
        </is>
      </c>
      <c r="L313" s="32" t="inlineStr">
        <is>
          <t>Sí</t>
        </is>
      </c>
      <c r="M313" s="17" t="inlineStr">
        <is>
          <t>Agencia Gubernamental de Control (CABA)</t>
        </is>
      </c>
      <c r="N313" s="17" t="inlineStr">
        <is>
          <t>-</t>
        </is>
      </c>
      <c r="O313" s="17" t="inlineStr">
        <is>
          <t>22 Etiquetado (T07)</t>
        </is>
      </c>
      <c r="P313" s="17" t="inlineStr">
        <is>
          <t>Ordenanza 40.473 art. 6 · Res. AGC 32/15</t>
        </is>
      </c>
      <c r="Q313" s="32" t="inlineStr">
        <is>
          <t>P</t>
        </is>
      </c>
      <c r="R313" s="32" t="inlineStr">
        <is>
          <t>FL_DES_AFFF_10l</t>
        </is>
      </c>
      <c r="S313" s="17" t="inlineStr">
        <is>
          <t>sólo destino CABA; sólo destino CABA</t>
        </is>
      </c>
    </row>
    <row r="314">
      <c r="A314" s="32" t="inlineStr">
        <is>
          <t>FL_MAT_AFFF_10l</t>
        </is>
      </c>
      <c r="B314" s="32" t="n">
        <v>2</v>
      </c>
      <c r="C314" s="32" t="inlineStr">
        <is>
          <t>AFFF10-25</t>
        </is>
      </c>
      <c r="D314" s="17" t="inlineStr">
        <is>
          <t xml:space="preserve">        Etiqueta de n° de serie GS1</t>
        </is>
      </c>
      <c r="E314" s="32" t="n">
        <v>1</v>
      </c>
      <c r="F314" s="32" t="inlineStr">
        <is>
          <t>u</t>
        </is>
      </c>
      <c r="G314" s="33" t="n">
        <v>0.0005</v>
      </c>
      <c r="H314" s="33">
        <f>E314*G314</f>
        <v/>
      </c>
      <c r="I314" s="32" t="inlineStr">
        <is>
          <t>Poliéster autoadhesivo impreso térmico</t>
        </is>
      </c>
      <c r="J314" s="17" t="inlineStr">
        <is>
          <t>45 × 25</t>
        </is>
      </c>
      <c r="K314" s="32" t="inlineStr">
        <is>
          <t>Compra</t>
        </is>
      </c>
      <c r="L314" s="32" t="inlineStr">
        <is>
          <t>No</t>
        </is>
      </c>
      <c r="M314" s="17" t="n"/>
      <c r="N314" s="17" t="n"/>
      <c r="O314" s="17" t="inlineStr">
        <is>
          <t>22 Etiquetado (T07)</t>
        </is>
      </c>
      <c r="P314" s="17" t="inlineStr">
        <is>
          <t>GS1 Argentina (GTIN 779) · trazabilidad IRAM 3523 5.1</t>
        </is>
      </c>
      <c r="Q314" s="32" t="inlineStr">
        <is>
          <t>P</t>
        </is>
      </c>
      <c r="R314" s="32" t="inlineStr">
        <is>
          <t>FL_DES_AFFF_10l</t>
        </is>
      </c>
      <c r="S314" s="17" t="inlineStr">
        <is>
          <t>QR GTIN + serie</t>
        </is>
      </c>
    </row>
    <row r="315">
      <c r="A315" s="32" t="inlineStr">
        <is>
          <t>FL_MAT_AFFF_10l</t>
        </is>
      </c>
      <c r="B315" s="32" t="n">
        <v>2</v>
      </c>
      <c r="C315" s="32" t="inlineStr">
        <is>
          <t>AFFF10-27</t>
        </is>
      </c>
      <c r="D315" s="17" t="inlineStr">
        <is>
          <t xml:space="preserve">        Faja de garantía válvula-cuello</t>
        </is>
      </c>
      <c r="E315" s="32" t="n">
        <v>1</v>
      </c>
      <c r="F315" s="32" t="inlineStr">
        <is>
          <t>u</t>
        </is>
      </c>
      <c r="G315" s="33" t="n">
        <v>0.0001</v>
      </c>
      <c r="H315" s="33">
        <f>E315*G315</f>
        <v/>
      </c>
      <c r="I315" s="32" t="inlineStr">
        <is>
          <t>Vinilo destructible rayado rojo/blanco</t>
        </is>
      </c>
      <c r="J315" s="17" t="inlineStr">
        <is>
          <t>22 × 22 (ancho × largo desarrollado), pegada sobre la unión: cuerpo de la válvula, tuerca y cuello</t>
        </is>
      </c>
      <c r="K315" s="32" t="inlineStr">
        <is>
          <t>Compra</t>
        </is>
      </c>
      <c r="L315" s="32" t="inlineStr">
        <is>
          <t>No</t>
        </is>
      </c>
      <c r="M315" s="17" t="n"/>
      <c r="N315" s="17" t="n"/>
      <c r="O315" s="17" t="inlineStr">
        <is>
          <t>22 Etiquetado (T07)</t>
        </is>
      </c>
      <c r="P315" s="17" t="inlineStr">
        <is>
          <t>Sin norma: práctica de mercado (garantía de fábrica)</t>
        </is>
      </c>
      <c r="Q315" s="32" t="inlineStr">
        <is>
          <t>P</t>
        </is>
      </c>
      <c r="R315" s="32" t="inlineStr">
        <is>
          <t>FL_DES_AFFF_10l</t>
        </is>
      </c>
      <c r="S315" s="17" t="inlineStr">
        <is>
          <t>nuevo sin abrir</t>
        </is>
      </c>
    </row>
    <row r="316">
      <c r="A316" s="32" t="inlineStr">
        <is>
          <t>FL_MAT_AFFF_10l</t>
        </is>
      </c>
      <c r="B316" s="32" t="n">
        <v>2</v>
      </c>
      <c r="C316" s="32" t="inlineStr">
        <is>
          <t>AFFF10-28</t>
        </is>
      </c>
      <c r="D316" s="17" t="inlineStr">
        <is>
          <t xml:space="preserve">        Precinto de fábrica</t>
        </is>
      </c>
      <c r="E316" s="32" t="n">
        <v>1</v>
      </c>
      <c r="F316" s="32" t="inlineStr">
        <is>
          <t>u</t>
        </is>
      </c>
      <c r="G316" s="33" t="n">
        <v>0.0002</v>
      </c>
      <c r="H316" s="33">
        <f>E316*G316</f>
        <v/>
      </c>
      <c r="I316" s="32" t="inlineStr">
        <is>
          <t>Polipropileno color</t>
        </is>
      </c>
      <c r="J316" s="17" t="inlineStr">
        <is>
          <t>Ø5 × 10, numerado, rotura 30-50 N</t>
        </is>
      </c>
      <c r="K316" s="32" t="inlineStr">
        <is>
          <t>Compra</t>
        </is>
      </c>
      <c r="L316" s="32" t="inlineStr">
        <is>
          <t>No</t>
        </is>
      </c>
      <c r="M316" s="17" t="n"/>
      <c r="N316" s="17" t="n"/>
      <c r="O316" s="17" t="inlineStr">
        <is>
          <t>20 Presurización (T05)</t>
        </is>
      </c>
      <c r="P316" s="17" t="inlineStr">
        <is>
          <t>IRAM 3523 3.3.2 · IRAM 3517-2:2020 9.4.13</t>
        </is>
      </c>
      <c r="Q316" s="32" t="inlineStr">
        <is>
          <t>P</t>
        </is>
      </c>
      <c r="R316" s="32" t="inlineStr">
        <is>
          <t>FL_DES_AFFF_10l</t>
        </is>
      </c>
      <c r="S316" s="17" t="inlineStr">
        <is>
          <t>id. FLAMA y lote</t>
        </is>
      </c>
    </row>
    <row r="317">
      <c r="A317" s="29" t="inlineStr">
        <is>
          <t>FL_MAT_AFFF_10l</t>
        </is>
      </c>
      <c r="B317" s="29" t="n">
        <v>1</v>
      </c>
      <c r="C317" s="29" t="inlineStr">
        <is>
          <t>AFFF10-S8</t>
        </is>
      </c>
      <c r="D317" s="30" t="inlineStr">
        <is>
          <t xml:space="preserve">    Soporte (accesorio de montaje)</t>
        </is>
      </c>
      <c r="E317" s="29" t="n">
        <v>1</v>
      </c>
      <c r="F317" s="29" t="inlineStr">
        <is>
          <t>u</t>
        </is>
      </c>
      <c r="G317" s="31" t="n"/>
      <c r="H317" s="31">
        <f>H318</f>
        <v/>
      </c>
      <c r="I317" s="29" t="n"/>
      <c r="J317" s="30" t="n"/>
      <c r="K317" s="29" t="inlineStr">
        <is>
          <t>Compra</t>
        </is>
      </c>
      <c r="L317" s="29" t="n"/>
      <c r="M317" s="30" t="n"/>
      <c r="N317" s="30" t="n"/>
      <c r="O317" s="30" t="inlineStr">
        <is>
          <t>23 Embalaje (va dentro de la caja)</t>
        </is>
      </c>
      <c r="P317" s="30" t="inlineStr">
        <is>
          <t>IRAM 3517-2 7.4</t>
        </is>
      </c>
      <c r="Q317" s="29" t="n"/>
      <c r="R317" s="29" t="n"/>
      <c r="S317" s="30" t="n"/>
    </row>
    <row r="318">
      <c r="A318" s="32" t="inlineStr">
        <is>
          <t>FL_MAT_AFFF_10l</t>
        </is>
      </c>
      <c r="B318" s="32" t="n">
        <v>2</v>
      </c>
      <c r="C318" s="32" t="inlineStr">
        <is>
          <t>AFFF10-I5</t>
        </is>
      </c>
      <c r="D318" s="17" t="inlineStr">
        <is>
          <t xml:space="preserve">        Soporte de pared (FL_ACC_01)</t>
        </is>
      </c>
      <c r="E318" s="32" t="n">
        <v>1</v>
      </c>
      <c r="F318" s="32" t="inlineStr">
        <is>
          <t>u</t>
        </is>
      </c>
      <c r="G318" s="33" t="n">
        <v>0.327</v>
      </c>
      <c r="H318" s="33">
        <f>E318*G318</f>
        <v/>
      </c>
      <c r="I318" s="32" t="inlineStr">
        <is>
          <t>Chapa acero SAE 1010 e=2 pintada</t>
        </is>
      </c>
      <c r="J318" s="17" t="inlineStr">
        <is>
          <t>placa 60 × 180, ala con ranura Ø cuello + 3</t>
        </is>
      </c>
      <c r="K318" s="32" t="inlineStr">
        <is>
          <t>Compra</t>
        </is>
      </c>
      <c r="L318" s="32" t="inlineStr">
        <is>
          <t>No</t>
        </is>
      </c>
      <c r="M318" s="17" t="n"/>
      <c r="N318" s="17" t="n"/>
      <c r="O318" s="17" t="inlineStr">
        <is>
          <t>23 Embalaje</t>
        </is>
      </c>
      <c r="P318" s="17" t="inlineStr">
        <is>
          <t>IRAM 3517-2 7.4</t>
        </is>
      </c>
      <c r="Q318" s="32" t="inlineStr">
        <is>
          <t>P</t>
        </is>
      </c>
      <c r="R318" s="32" t="inlineStr">
        <is>
          <t>FL_ACC_01</t>
        </is>
      </c>
      <c r="S318" s="17" t="n"/>
    </row>
    <row r="319">
      <c r="A319" s="32" t="inlineStr">
        <is>
          <t>FL_MAT_AFFF_10l</t>
        </is>
      </c>
      <c r="B319" s="32" t="n">
        <v>2</v>
      </c>
      <c r="C319" s="32" t="inlineStr">
        <is>
          <t>AFFF10-I6</t>
        </is>
      </c>
      <c r="D319" s="17" t="inlineStr">
        <is>
          <t xml:space="preserve">        Tornillo y tarugo de fijación</t>
        </is>
      </c>
      <c r="E319" s="32" t="n">
        <v>2</v>
      </c>
      <c r="F319" s="32" t="inlineStr">
        <is>
          <t>u</t>
        </is>
      </c>
      <c r="G319" s="33" t="n"/>
      <c r="H319" s="33" t="n"/>
      <c r="I319" s="32" t="inlineStr">
        <is>
          <t>Acero cincado / nylon</t>
        </is>
      </c>
      <c r="J319" s="17" t="inlineStr">
        <is>
          <t>2 agujeros Ø8,5 del plano FL_ACC_01 → tornillo M8 + tarugo</t>
        </is>
      </c>
      <c r="K319" s="32" t="inlineStr">
        <is>
          <t>Compra</t>
        </is>
      </c>
      <c r="L319" s="32" t="inlineStr">
        <is>
          <t>No</t>
        </is>
      </c>
      <c r="M319" s="17" t="n"/>
      <c r="N319" s="17" t="n"/>
      <c r="O319" s="17" t="inlineStr">
        <is>
          <t>23 Embalaje</t>
        </is>
      </c>
      <c r="P319" s="17" t="n"/>
      <c r="Q319" s="32" t="inlineStr">
        <is>
          <t>P</t>
        </is>
      </c>
      <c r="R319" s="32" t="inlineStr">
        <is>
          <t>FL_ACC_01</t>
        </is>
      </c>
      <c r="S319" s="17" t="n"/>
    </row>
    <row r="320">
      <c r="A320" s="29" t="inlineStr">
        <is>
          <t>FL_MAT_AFFF_10l</t>
        </is>
      </c>
      <c r="B320" s="29" t="n">
        <v>1</v>
      </c>
      <c r="C320" s="29" t="inlineStr">
        <is>
          <t>AFFF10-S7</t>
        </is>
      </c>
      <c r="D320" s="30" t="inlineStr">
        <is>
          <t xml:space="preserve">    Embalaje</t>
        </is>
      </c>
      <c r="E320" s="29" t="n">
        <v>1</v>
      </c>
      <c r="F320" s="29" t="inlineStr">
        <is>
          <t>u</t>
        </is>
      </c>
      <c r="G320" s="31" t="n"/>
      <c r="H320" s="31">
        <f>H324</f>
        <v/>
      </c>
      <c r="I320" s="29" t="n"/>
      <c r="J320" s="30" t="n"/>
      <c r="K320" s="29" t="inlineStr">
        <is>
          <t>Compra</t>
        </is>
      </c>
      <c r="L320" s="29" t="n"/>
      <c r="M320" s="30" t="n"/>
      <c r="N320" s="30" t="n"/>
      <c r="O320" s="30" t="inlineStr">
        <is>
          <t>23 Embalaje -&gt; 24 envolvedora (T11)</t>
        </is>
      </c>
      <c r="P320" s="30" t="n"/>
      <c r="Q320" s="29" t="n"/>
      <c r="R320" s="29" t="n"/>
      <c r="S320" s="30" t="n"/>
    </row>
    <row r="321">
      <c r="A321" s="32" t="inlineStr">
        <is>
          <t>FL_MAT_AFFF_10l</t>
        </is>
      </c>
      <c r="B321" s="32" t="n">
        <v>2</v>
      </c>
      <c r="C321" s="32" t="inlineStr">
        <is>
          <t>AFFF10-E1</t>
        </is>
      </c>
      <c r="D321" s="17" t="inlineStr">
        <is>
          <t xml:space="preserve">        Caja de cartón corrugado doble</t>
        </is>
      </c>
      <c r="E321" s="32" t="n">
        <v>1</v>
      </c>
      <c r="F321" s="32" t="inlineStr">
        <is>
          <t>u</t>
        </is>
      </c>
      <c r="G321" s="33" t="n"/>
      <c r="H321" s="33" t="n"/>
      <c r="I321" s="32" t="inlineStr">
        <is>
          <t>Cartón corrugado</t>
        </is>
      </c>
      <c r="J321" s="17" t="inlineStr">
        <is>
          <t>268 × 224 × 614 interior (envolvente del plano + 15 por lado)</t>
        </is>
      </c>
      <c r="K321" s="32" t="inlineStr">
        <is>
          <t>Compra</t>
        </is>
      </c>
      <c r="L321" s="32" t="inlineStr">
        <is>
          <t>No</t>
        </is>
      </c>
      <c r="M321" s="17" t="n"/>
      <c r="N321" s="17" t="n"/>
      <c r="O321" s="17" t="inlineStr">
        <is>
          <t>23 Embalaje</t>
        </is>
      </c>
      <c r="P321" s="17" t="n"/>
      <c r="Q321" s="32" t="inlineStr">
        <is>
          <t>P</t>
        </is>
      </c>
      <c r="R321" s="32" t="n"/>
      <c r="S321" s="17" t="inlineStr">
        <is>
          <t>Medida del plano</t>
        </is>
      </c>
    </row>
    <row r="322">
      <c r="A322" s="32" t="inlineStr">
        <is>
          <t>FL_MAT_AFFF_10l</t>
        </is>
      </c>
      <c r="B322" s="32" t="n">
        <v>2</v>
      </c>
      <c r="C322" s="32" t="inlineStr">
        <is>
          <t>AFFF10-E2</t>
        </is>
      </c>
      <c r="D322" s="17" t="inlineStr">
        <is>
          <t xml:space="preserve">        Instructivo de uso y mantenimiento</t>
        </is>
      </c>
      <c r="E322" s="32" t="n">
        <v>1</v>
      </c>
      <c r="F322" s="32" t="inlineStr">
        <is>
          <t>u</t>
        </is>
      </c>
      <c r="G322" s="33" t="n"/>
      <c r="H322" s="33" t="n"/>
      <c r="I322" s="32" t="inlineStr">
        <is>
          <t>Papel</t>
        </is>
      </c>
      <c r="J322" s="17" t="inlineStr">
        <is>
          <t>A5</t>
        </is>
      </c>
      <c r="K322" s="32" t="inlineStr">
        <is>
          <t>Compra</t>
        </is>
      </c>
      <c r="L322" s="32" t="inlineStr">
        <is>
          <t>No</t>
        </is>
      </c>
      <c r="M322" s="17" t="n"/>
      <c r="N322" s="17" t="n"/>
      <c r="O322" s="17" t="inlineStr">
        <is>
          <t>23 Embalaje</t>
        </is>
      </c>
      <c r="P322" s="17" t="n"/>
      <c r="Q322" s="32" t="inlineStr">
        <is>
          <t>I</t>
        </is>
      </c>
      <c r="R322" s="32" t="n"/>
      <c r="S322" s="17" t="inlineStr">
        <is>
          <t>Decisión comercial de FLAMA (las instrucciones de uso obligatorias van en la etiqueta, IRAM 3534)</t>
        </is>
      </c>
    </row>
    <row r="323">
      <c r="A323" s="32" t="inlineStr">
        <is>
          <t>FL_MAT_AFFF_10l</t>
        </is>
      </c>
      <c r="B323" s="32" t="n">
        <v>2</v>
      </c>
      <c r="C323" s="32" t="inlineStr">
        <is>
          <t>AFFF10-E3</t>
        </is>
      </c>
      <c r="D323" s="17" t="inlineStr">
        <is>
          <t xml:space="preserve">        Pallet 1200 × 1000 (fracción)</t>
        </is>
      </c>
      <c r="E323" s="32" t="n">
        <v>0.0312</v>
      </c>
      <c r="F323" s="32" t="inlineStr">
        <is>
          <t>u</t>
        </is>
      </c>
      <c r="G323" s="33" t="n"/>
      <c r="H323" s="33" t="n"/>
      <c r="I323" s="32" t="inlineStr">
        <is>
          <t>Madera</t>
        </is>
      </c>
      <c r="J323" s="17" t="inlineStr">
        <is>
          <t>32 u por pallet</t>
        </is>
      </c>
      <c r="K323" s="32" t="inlineStr">
        <is>
          <t>Compra</t>
        </is>
      </c>
      <c r="L323" s="32" t="inlineStr">
        <is>
          <t>No</t>
        </is>
      </c>
      <c r="M323" s="17" t="n"/>
      <c r="N323" s="17" t="n"/>
      <c r="O323" s="17" t="inlineStr">
        <is>
          <t>23 Embalaje</t>
        </is>
      </c>
      <c r="P323" s="17" t="n"/>
      <c r="Q323" s="32" t="inlineStr">
        <is>
          <t>C</t>
        </is>
      </c>
      <c r="R323" s="32" t="n"/>
      <c r="S323" s="17" t="inlineStr">
        <is>
          <t>u por pallet = acomodo de la caja (plano) en 1200 × 1000 × 1450 de alto</t>
        </is>
      </c>
    </row>
    <row r="324">
      <c r="A324" s="32" t="inlineStr">
        <is>
          <t>FL_MAT_AFFF_10l</t>
        </is>
      </c>
      <c r="B324" s="32" t="n">
        <v>2</v>
      </c>
      <c r="C324" s="32" t="inlineStr">
        <is>
          <t>AFFF10-E4</t>
        </is>
      </c>
      <c r="D324" s="17" t="inlineStr">
        <is>
          <t xml:space="preserve">        Film stretch (fracción del pallet)</t>
        </is>
      </c>
      <c r="E324" s="32" t="n">
        <v>0.0037</v>
      </c>
      <c r="F324" s="32" t="inlineStr">
        <is>
          <t>kg</t>
        </is>
      </c>
      <c r="G324" s="33" t="n">
        <v>1</v>
      </c>
      <c r="H324" s="33">
        <f>E324*G324</f>
        <v/>
      </c>
      <c r="I324" s="32" t="inlineStr">
        <is>
          <t>PE lineal 23 µm</t>
        </is>
      </c>
      <c r="J324" s="17" t="inlineStr">
        <is>
          <t>0,12 kg por pallet / 32 u</t>
        </is>
      </c>
      <c r="K324" s="32" t="inlineStr">
        <is>
          <t>Compra</t>
        </is>
      </c>
      <c r="L324" s="32" t="inlineStr">
        <is>
          <t>No</t>
        </is>
      </c>
      <c r="M324" s="17" t="n"/>
      <c r="N324" s="17" t="n"/>
      <c r="O324" s="17" t="inlineStr">
        <is>
          <t>24 Envolvedora (T11)</t>
        </is>
      </c>
      <c r="P324" s="17" t="n"/>
      <c r="Q324" s="32" t="inlineStr">
        <is>
          <t>C</t>
        </is>
      </c>
      <c r="R324" s="32" t="n"/>
      <c r="S324"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25">
      <c r="A325" s="32" t="inlineStr">
        <is>
          <t>FL_MAT_AFFF_10l</t>
        </is>
      </c>
      <c r="B325" s="32" t="n">
        <v>2</v>
      </c>
      <c r="C325" s="32" t="inlineStr">
        <is>
          <t>AFFF10-E5</t>
        </is>
      </c>
      <c r="D325" s="17" t="inlineStr">
        <is>
          <t xml:space="preserve">        Etiqueta de pallet (lote y destino, fracción)</t>
        </is>
      </c>
      <c r="E325" s="32" t="n">
        <v>0.0312</v>
      </c>
      <c r="F325" s="32" t="inlineStr">
        <is>
          <t>u</t>
        </is>
      </c>
      <c r="G325" s="33" t="n"/>
      <c r="H325" s="33" t="n"/>
      <c r="I325" s="32" t="inlineStr">
        <is>
          <t>Papel térmico</t>
        </is>
      </c>
      <c r="J325" s="17" t="inlineStr">
        <is>
          <t>100 × 150</t>
        </is>
      </c>
      <c r="K325" s="32" t="inlineStr">
        <is>
          <t>Compra</t>
        </is>
      </c>
      <c r="L325" s="32" t="inlineStr">
        <is>
          <t>No</t>
        </is>
      </c>
      <c r="M325" s="17" t="n"/>
      <c r="N325" s="17" t="n"/>
      <c r="O325" s="17" t="inlineStr">
        <is>
          <t>24 Envolvedora</t>
        </is>
      </c>
      <c r="P325" s="17" t="n"/>
      <c r="Q325" s="32" t="inlineStr">
        <is>
          <t>C</t>
        </is>
      </c>
      <c r="R325" s="32" t="n"/>
      <c r="S325" s="17" t="n"/>
    </row>
    <row r="326">
      <c r="A326" s="32" t="inlineStr">
        <is>
          <t>FL_MAT_AFFF_10l</t>
        </is>
      </c>
      <c r="B326" s="32" t="n">
        <v>2</v>
      </c>
      <c r="C326" s="32" t="inlineStr">
        <is>
          <t>AFFF10-E6</t>
        </is>
      </c>
      <c r="D326" s="17" t="inlineStr">
        <is>
          <t xml:space="preserve">        Cinta de embalaje PP 48 mm (cierre de la caja)</t>
        </is>
      </c>
      <c r="E326" s="32" t="n">
        <v>0.8169999999999999</v>
      </c>
      <c r="F326" s="32" t="inlineStr">
        <is>
          <t>m</t>
        </is>
      </c>
      <c r="G326" s="33" t="n"/>
      <c r="H326" s="33" t="n"/>
      <c r="I326" s="32" t="inlineStr">
        <is>
          <t>Polipropileno con adhesivo acrílico</t>
        </is>
      </c>
      <c r="J326" s="17" t="inlineStr">
        <is>
          <t>cierre en I arriba y abajo: 2 × (268 + 2 × 70 de solapa)</t>
        </is>
      </c>
      <c r="K326" s="32" t="inlineStr">
        <is>
          <t>Compra</t>
        </is>
      </c>
      <c r="L326" s="32" t="inlineStr">
        <is>
          <t>No</t>
        </is>
      </c>
      <c r="M326" s="17" t="n"/>
      <c r="N326" s="17" t="n"/>
      <c r="O326" s="17" t="inlineStr">
        <is>
          <t>23 Embalaje</t>
        </is>
      </c>
      <c r="P326" s="17" t="n"/>
      <c r="Q326" s="32" t="inlineStr">
        <is>
          <t>C</t>
        </is>
      </c>
      <c r="R326" s="32" t="n"/>
      <c r="S326" s="17" t="inlineStr">
        <is>
          <t>Solapa de 70 mm por lado: práctica de cierre de cajas (medir en la línea)</t>
        </is>
      </c>
    </row>
    <row r="327">
      <c r="A327" s="32" t="inlineStr">
        <is>
          <t>FL_MAT_AFFF_10l</t>
        </is>
      </c>
      <c r="B327" s="32" t="n">
        <v>2</v>
      </c>
      <c r="C327" s="32" t="inlineStr">
        <is>
          <t>AFFF10-E7</t>
        </is>
      </c>
      <c r="D327" s="17" t="inlineStr">
        <is>
          <t xml:space="preserve">        Esquineros de cartón 50 × 50 × 1200 (fracción del pallet)</t>
        </is>
      </c>
      <c r="E327" s="32" t="n">
        <v>0.125</v>
      </c>
      <c r="F327" s="32" t="inlineStr">
        <is>
          <t>u</t>
        </is>
      </c>
      <c r="G327" s="33" t="n"/>
      <c r="H327" s="33" t="n"/>
      <c r="I327" s="32" t="inlineStr">
        <is>
          <t>Cartón</t>
        </is>
      </c>
      <c r="J327" s="17" t="inlineStr">
        <is>
          <t>4 por pallet / 32 u</t>
        </is>
      </c>
      <c r="K327" s="32" t="inlineStr">
        <is>
          <t>Compra</t>
        </is>
      </c>
      <c r="L327" s="32" t="inlineStr">
        <is>
          <t>No</t>
        </is>
      </c>
      <c r="M327" s="17" t="n"/>
      <c r="N327" s="17" t="n"/>
      <c r="O327" s="17" t="inlineStr">
        <is>
          <t>24 Envolvedora (T11)</t>
        </is>
      </c>
      <c r="P327" s="17" t="n"/>
      <c r="Q327" s="32" t="inlineStr">
        <is>
          <t>C</t>
        </is>
      </c>
      <c r="R327" s="32" t="n"/>
      <c r="S327" s="17" t="inlineStr">
        <is>
          <t>Planilla MP-64</t>
        </is>
      </c>
    </row>
    <row r="328">
      <c r="A328" s="26" t="inlineStr">
        <is>
          <t>FL_MAT_AFFF_50l</t>
        </is>
      </c>
      <c r="B328" s="26" t="n">
        <v>0</v>
      </c>
      <c r="C328" s="26" t="inlineStr">
        <is>
          <t>FL_MAT_AFFF_50l</t>
        </is>
      </c>
      <c r="D328" s="27" t="inlineStr">
        <is>
          <t>Extintor AFFF 50 l sobre ruedas</t>
        </is>
      </c>
      <c r="E328" s="26" t="n">
        <v>1</v>
      </c>
      <c r="F328" s="26" t="inlineStr">
        <is>
          <t>u</t>
        </is>
      </c>
      <c r="G328" s="28" t="n"/>
      <c r="H328" s="28" t="n"/>
      <c r="I328" s="26" t="n"/>
      <c r="J328" s="27" t="n"/>
      <c r="K328" s="26" t="n"/>
      <c r="L328" s="26" t="n"/>
      <c r="M328" s="27" t="n"/>
      <c r="N328" s="27" t="n"/>
      <c r="O328" s="27" t="n"/>
      <c r="P328" s="27" t="inlineStr">
        <is>
          <t>IRAM 3541</t>
        </is>
      </c>
      <c r="Q328" s="26" t="inlineStr">
        <is>
          <t>P</t>
        </is>
      </c>
      <c r="R328" s="26" t="inlineStr">
        <is>
          <t>FL_MAT_AFFF_50l</t>
        </is>
      </c>
      <c r="S328" s="27" t="inlineStr">
        <is>
          <t>Revendido: se compra terminado al fabricante con Sello IRAM; las piezas internas quedan como referencia (no entran en MRP)</t>
        </is>
      </c>
    </row>
    <row r="329">
      <c r="A329" s="29" t="inlineStr">
        <is>
          <t>FL_MAT_AFFF_50l</t>
        </is>
      </c>
      <c r="B329" s="29" t="n">
        <v>1</v>
      </c>
      <c r="C329" s="29" t="inlineStr">
        <is>
          <t>AFFF50-S0</t>
        </is>
      </c>
      <c r="D329" s="30" t="inlineStr">
        <is>
          <t xml:space="preserve">    Equipo terminado comprado (fabricante con Sello IRAM)</t>
        </is>
      </c>
      <c r="E329" s="29" t="n">
        <v>1</v>
      </c>
      <c r="F329" s="29" t="inlineStr">
        <is>
          <t>u</t>
        </is>
      </c>
      <c r="G329" s="31" t="n"/>
      <c r="H329" s="31" t="n"/>
      <c r="I329" s="29" t="n"/>
      <c r="J329" s="30" t="n"/>
      <c r="K329" s="29" t="inlineStr">
        <is>
          <t>Compra</t>
        </is>
      </c>
      <c r="L329" s="29" t="inlineStr">
        <is>
          <t>Sí</t>
        </is>
      </c>
      <c r="M329" s="30" t="inlineStr">
        <is>
          <t>Matafuegos Georgia - venta mayorista</t>
        </is>
      </c>
      <c r="N329" s="30" t="inlineStr">
        <is>
          <t>Drago (Luis Pasquinelli e Hijos S.A.)</t>
        </is>
      </c>
      <c r="O329" s="30" t="inlineStr">
        <is>
          <t>Recepción y control de ingreso (SP-1)</t>
        </is>
      </c>
      <c r="P329" s="30" t="inlineStr">
        <is>
          <t>IRAM 3541</t>
        </is>
      </c>
      <c r="Q329" s="29" t="inlineStr">
        <is>
          <t>I</t>
        </is>
      </c>
      <c r="R329" s="29" t="inlineStr">
        <is>
          <t>FL_MAT_AFFF_50l</t>
        </is>
      </c>
      <c r="S329" s="30" t="inlineStr">
        <is>
          <t>Única fila de compra del revendido (más la tarjeta AGC si el destino es CABA)</t>
        </is>
      </c>
    </row>
    <row r="330">
      <c r="A330" s="29" t="inlineStr">
        <is>
          <t>FL_MAT_AFFF_50l</t>
        </is>
      </c>
      <c r="B330" s="29" t="n">
        <v>1</v>
      </c>
      <c r="C330" s="29" t="inlineStr">
        <is>
          <t>AFFF50-S1</t>
        </is>
      </c>
      <c r="D330" s="30" t="inlineStr">
        <is>
          <t xml:space="preserve">    Recipiente (cilindro)</t>
        </is>
      </c>
      <c r="E330" s="29" t="n">
        <v>1</v>
      </c>
      <c r="F330" s="29" t="inlineStr">
        <is>
          <t>u</t>
        </is>
      </c>
      <c r="G330" s="31" t="n"/>
      <c r="H330" s="31">
        <f>H331+H332+H333+H334</f>
        <v/>
      </c>
      <c r="I330" s="29" t="n"/>
      <c r="J330" s="30" t="n"/>
      <c r="K330" s="29" t="inlineStr">
        <is>
          <t>Compra / armado</t>
        </is>
      </c>
      <c r="L330" s="29" t="n"/>
      <c r="M330" s="30" t="n"/>
      <c r="N330" s="30" t="n"/>
      <c r="O330" s="30" t="n"/>
      <c r="P330" s="30" t="inlineStr">
        <is>
          <t>IRAM 3523 / 3550 (recipiente)</t>
        </is>
      </c>
      <c r="Q330" s="29" t="inlineStr">
        <is>
          <t>P</t>
        </is>
      </c>
      <c r="R330" s="29" t="inlineStr">
        <is>
          <t>FL_DES_AFFF_50l</t>
        </is>
      </c>
      <c r="S330" s="30" t="n"/>
    </row>
    <row r="331">
      <c r="A331" s="32" t="inlineStr">
        <is>
          <t>FL_MAT_AFFF_50l</t>
        </is>
      </c>
      <c r="B331" s="32" t="n">
        <v>2</v>
      </c>
      <c r="C331" s="32" t="inlineStr">
        <is>
          <t>AFFF50-01</t>
        </is>
      </c>
      <c r="D331" s="17" t="inlineStr">
        <is>
          <t xml:space="preserve">        Cuerpo (virola)</t>
        </is>
      </c>
      <c r="E331" s="32" t="n">
        <v>1</v>
      </c>
      <c r="F331" s="32" t="inlineStr">
        <is>
          <t>u</t>
        </is>
      </c>
      <c r="G331" s="33" t="n">
        <v>16.0005</v>
      </c>
      <c r="H331" s="33">
        <f>E331*G331</f>
        <v/>
      </c>
      <c r="I331" s="32" t="inlineStr">
        <is>
          <t>Chapa LAC IRAM-IAS U 500-04 e=3,2</t>
        </is>
      </c>
      <c r="J331" s="17" t="inlineStr">
        <is>
          <t>Ø320 × e3,2 × 640 de alto; desarrollo 995,3 × 640</t>
        </is>
      </c>
      <c r="K331" s="32" t="inlineStr">
        <is>
          <t>Compra (en el conjunto)</t>
        </is>
      </c>
      <c r="L331" s="32" t="inlineStr">
        <is>
          <t>No</t>
        </is>
      </c>
      <c r="M331" s="17" t="n"/>
      <c r="N331" s="17" t="n"/>
      <c r="O331" s="17" t="inlineStr">
        <is>
          <t>S4 - se compra terminado (tercerizado con sello IRAM)</t>
        </is>
      </c>
      <c r="P331" s="17" t="n"/>
      <c r="Q331" s="32" t="inlineStr">
        <is>
          <t>P</t>
        </is>
      </c>
      <c r="R331" s="32" t="inlineStr">
        <is>
          <t>FL_DES_AFFF_50l</t>
        </is>
      </c>
      <c r="S331" s="17" t="inlineStr">
        <is>
          <t>costura long. MAG</t>
        </is>
      </c>
    </row>
    <row r="332">
      <c r="A332" s="32" t="inlineStr">
        <is>
          <t>FL_MAT_AFFF_50l</t>
        </is>
      </c>
      <c r="B332" s="32" t="n">
        <v>2</v>
      </c>
      <c r="C332" s="32" t="inlineStr">
        <is>
          <t>AFFF50-02</t>
        </is>
      </c>
      <c r="D332" s="17" t="inlineStr">
        <is>
          <t xml:space="preserve">        Cúpula</t>
        </is>
      </c>
      <c r="E332" s="32" t="n">
        <v>1</v>
      </c>
      <c r="F332" s="32" t="inlineStr">
        <is>
          <t>u</t>
        </is>
      </c>
      <c r="G332" s="33" t="n">
        <v>3.1376</v>
      </c>
      <c r="H332" s="33">
        <f>E332*G332</f>
        <v/>
      </c>
      <c r="I332" s="32" t="inlineStr">
        <is>
          <t>Chapa LAC IRAM-IAS U 500-04 e=3,2</t>
        </is>
      </c>
      <c r="J332" s="17" t="inlineStr">
        <is>
          <t>Ø320 × e3,2 × 109,9 de alto; disco Ø410,8</t>
        </is>
      </c>
      <c r="K332" s="32" t="inlineStr">
        <is>
          <t>Compra (en el conjunto)</t>
        </is>
      </c>
      <c r="L332" s="32" t="inlineStr">
        <is>
          <t>No</t>
        </is>
      </c>
      <c r="M332" s="17" t="n"/>
      <c r="N332" s="17" t="n"/>
      <c r="O332" s="17" t="inlineStr">
        <is>
          <t>S4 - se compra terminado (tercerizado con sello IRAM)</t>
        </is>
      </c>
      <c r="P332" s="17" t="n"/>
      <c r="Q332" s="32" t="inlineStr">
        <is>
          <t>P</t>
        </is>
      </c>
      <c r="R332" s="32" t="inlineStr">
        <is>
          <t>FL_DES_AFFF_50l</t>
        </is>
      </c>
      <c r="S332" s="17" t="inlineStr">
        <is>
          <t>embutida</t>
        </is>
      </c>
    </row>
    <row r="333">
      <c r="A333" s="32" t="inlineStr">
        <is>
          <t>FL_MAT_AFFF_50l</t>
        </is>
      </c>
      <c r="B333" s="32" t="n">
        <v>2</v>
      </c>
      <c r="C333" s="32" t="inlineStr">
        <is>
          <t>AFFF50-03</t>
        </is>
      </c>
      <c r="D333" s="17" t="inlineStr">
        <is>
          <t xml:space="preserve">        Fondo</t>
        </is>
      </c>
      <c r="E333" s="32" t="n">
        <v>1</v>
      </c>
      <c r="F333" s="32" t="inlineStr">
        <is>
          <t>u</t>
        </is>
      </c>
      <c r="G333" s="33" t="n">
        <v>3.3358</v>
      </c>
      <c r="H333" s="33">
        <f>E333*G333</f>
        <v/>
      </c>
      <c r="I333" s="32" t="inlineStr">
        <is>
          <t>Chapa LAC IRAM-IAS U 500-04 e=3,2</t>
        </is>
      </c>
      <c r="J333" s="17" t="inlineStr">
        <is>
          <t>Ø320 × e3,2 × 113 de alto; disco Ø423,5</t>
        </is>
      </c>
      <c r="K333" s="32" t="inlineStr">
        <is>
          <t>Compra (en el conjunto)</t>
        </is>
      </c>
      <c r="L333" s="32" t="inlineStr">
        <is>
          <t>No</t>
        </is>
      </c>
      <c r="M333" s="17" t="n"/>
      <c r="N333" s="17" t="n"/>
      <c r="O333" s="17" t="inlineStr">
        <is>
          <t>S4 - se compra terminado (tercerizado con sello IRAM)</t>
        </is>
      </c>
      <c r="P333" s="17" t="n"/>
      <c r="Q333" s="32" t="inlineStr">
        <is>
          <t>P</t>
        </is>
      </c>
      <c r="R333" s="32" t="inlineStr">
        <is>
          <t>FL_DES_AFFF_50l</t>
        </is>
      </c>
      <c r="S333" s="17" t="inlineStr">
        <is>
          <t>embutido</t>
        </is>
      </c>
    </row>
    <row r="334">
      <c r="A334" s="32" t="inlineStr">
        <is>
          <t>FL_MAT_AFFF_50l</t>
        </is>
      </c>
      <c r="B334" s="32" t="n">
        <v>2</v>
      </c>
      <c r="C334" s="32" t="inlineStr">
        <is>
          <t>AFFF50-04</t>
        </is>
      </c>
      <c r="D334" s="17" t="inlineStr">
        <is>
          <t xml:space="preserve">        Cuello roscado</t>
        </is>
      </c>
      <c r="E334" s="32" t="n">
        <v>1</v>
      </c>
      <c r="F334" s="32" t="inlineStr">
        <is>
          <t>u</t>
        </is>
      </c>
      <c r="G334" s="33" t="n">
        <v>0.6084000000000001</v>
      </c>
      <c r="H334" s="33">
        <f>E334*G334</f>
        <v/>
      </c>
      <c r="I334" s="32" t="inlineStr">
        <is>
          <t>Acero SAE 1010</t>
        </is>
      </c>
      <c r="J334" s="17" t="inlineStr">
        <is>
          <t>Ø88 × 37 de alto, rosca RBSP 2 1/2"-11 h, asiento Ø80</t>
        </is>
      </c>
      <c r="K334" s="32" t="inlineStr">
        <is>
          <t>Compra (en el conjunto)</t>
        </is>
      </c>
      <c r="L334" s="32" t="inlineStr">
        <is>
          <t>No</t>
        </is>
      </c>
      <c r="M334" s="17" t="n"/>
      <c r="N334" s="17" t="n"/>
      <c r="O334" s="17" t="inlineStr">
        <is>
          <t>S4 - se compra terminado (tercerizado con sello IRAM)</t>
        </is>
      </c>
      <c r="P334" s="17" t="n"/>
      <c r="Q334" s="32" t="inlineStr">
        <is>
          <t>P</t>
        </is>
      </c>
      <c r="R334" s="32" t="inlineStr">
        <is>
          <t>FL_DES_AFFF_50l</t>
        </is>
      </c>
      <c r="S334" s="17" t="inlineStr">
        <is>
          <t>RBSP 2 1/2"-11 h</t>
        </is>
      </c>
    </row>
    <row r="335">
      <c r="A335" s="29" t="inlineStr">
        <is>
          <t>FL_MAT_AFFF_50l</t>
        </is>
      </c>
      <c r="B335" s="29" t="n">
        <v>1</v>
      </c>
      <c r="C335" s="29" t="inlineStr">
        <is>
          <t>AFFF50-S2</t>
        </is>
      </c>
      <c r="D335" s="30" t="inlineStr">
        <is>
          <t xml:space="preserve">    Conjunto de válvula</t>
        </is>
      </c>
      <c r="E335" s="29" t="n">
        <v>1</v>
      </c>
      <c r="F335" s="29" t="inlineStr">
        <is>
          <t>u</t>
        </is>
      </c>
      <c r="G335" s="31" t="n"/>
      <c r="H335" s="31">
        <f>H336+H337+H338+H340+H341+H342+H343+H344+H345+H346</f>
        <v/>
      </c>
      <c r="I335" s="29" t="n"/>
      <c r="J335" s="30" t="n"/>
      <c r="K335" s="29" t="inlineStr">
        <is>
          <t>Compra / armado</t>
        </is>
      </c>
      <c r="L335" s="29" t="n"/>
      <c r="M335" s="30" t="n"/>
      <c r="N335" s="30" t="n"/>
      <c r="O335" s="30" t="n"/>
      <c r="P335" s="30" t="inlineStr">
        <is>
          <t>Manómetro IRAM 3533</t>
        </is>
      </c>
      <c r="Q335" s="29" t="inlineStr">
        <is>
          <t>P</t>
        </is>
      </c>
      <c r="R335" s="29" t="inlineStr">
        <is>
          <t>FL_DES_AFFF_50l</t>
        </is>
      </c>
      <c r="S335" s="30" t="n"/>
    </row>
    <row r="336">
      <c r="A336" s="32" t="inlineStr">
        <is>
          <t>FL_MAT_AFFF_50l</t>
        </is>
      </c>
      <c r="B336" s="32" t="n">
        <v>2</v>
      </c>
      <c r="C336" s="32" t="inlineStr">
        <is>
          <t>AFFF50-14</t>
        </is>
      </c>
      <c r="D336" s="17" t="inlineStr">
        <is>
          <t xml:space="preserve">        Espiga roscada</t>
        </is>
      </c>
      <c r="E336" s="32" t="n">
        <v>1</v>
      </c>
      <c r="F336" s="32" t="inlineStr">
        <is>
          <t>u</t>
        </is>
      </c>
      <c r="G336" s="33" t="n">
        <v>0.1296</v>
      </c>
      <c r="H336" s="33">
        <f>E336*G336</f>
        <v/>
      </c>
      <c r="I336" s="32" t="inlineStr">
        <is>
          <t>Latón forjado</t>
        </is>
      </c>
      <c r="J336" s="17" t="inlineStr">
        <is>
          <t>75 × 75 × 17,6</t>
        </is>
      </c>
      <c r="K336" s="32" t="inlineStr">
        <is>
          <t>Compra (en el conjunto)</t>
        </is>
      </c>
      <c r="L336" s="32" t="inlineStr">
        <is>
          <t>No</t>
        </is>
      </c>
      <c r="M336" s="17" t="n"/>
      <c r="N336" s="17" t="n"/>
      <c r="O336" s="17" t="inlineStr">
        <is>
          <t>S4 - se compra terminado (tercerizado con sello IRAM)</t>
        </is>
      </c>
      <c r="P336" s="17" t="n"/>
      <c r="Q336" s="32" t="inlineStr">
        <is>
          <t>P</t>
        </is>
      </c>
      <c r="R336" s="32" t="inlineStr">
        <is>
          <t>FL_DES_AFFF_50l</t>
        </is>
      </c>
      <c r="S336" s="17" t="n"/>
    </row>
    <row r="337">
      <c r="A337" s="32" t="inlineStr">
        <is>
          <t>FL_MAT_AFFF_50l</t>
        </is>
      </c>
      <c r="B337" s="32" t="n">
        <v>2</v>
      </c>
      <c r="C337" s="32" t="inlineStr">
        <is>
          <t>AFFF50-15</t>
        </is>
      </c>
      <c r="D337" s="17" t="inlineStr">
        <is>
          <t xml:space="preserve">        Collarín de válvula</t>
        </is>
      </c>
      <c r="E337" s="32" t="n">
        <v>1</v>
      </c>
      <c r="F337" s="32" t="inlineStr">
        <is>
          <t>u</t>
        </is>
      </c>
      <c r="G337" s="33" t="n">
        <v>0.189</v>
      </c>
      <c r="H337" s="33">
        <f>E337*G337</f>
        <v/>
      </c>
      <c r="I337" s="32" t="inlineStr">
        <is>
          <t>Latón forjado</t>
        </is>
      </c>
      <c r="J337" s="17" t="inlineStr">
        <is>
          <t>83 × 83 × 12</t>
        </is>
      </c>
      <c r="K337" s="32" t="inlineStr">
        <is>
          <t>Compra (en el conjunto)</t>
        </is>
      </c>
      <c r="L337" s="32" t="inlineStr">
        <is>
          <t>No</t>
        </is>
      </c>
      <c r="M337" s="17" t="n"/>
      <c r="N337" s="17" t="n"/>
      <c r="O337" s="17" t="inlineStr">
        <is>
          <t>S4 - se compra terminado (tercerizado con sello IRAM)</t>
        </is>
      </c>
      <c r="P337" s="17" t="n"/>
      <c r="Q337" s="32" t="inlineStr">
        <is>
          <t>P</t>
        </is>
      </c>
      <c r="R337" s="32" t="inlineStr">
        <is>
          <t>FL_DES_AFFF_50l</t>
        </is>
      </c>
      <c r="S337" s="17" t="n"/>
    </row>
    <row r="338">
      <c r="A338" s="32" t="inlineStr">
        <is>
          <t>FL_MAT_AFFF_50l</t>
        </is>
      </c>
      <c r="B338" s="32" t="n">
        <v>2</v>
      </c>
      <c r="C338" s="32" t="inlineStr">
        <is>
          <t>AFFF50-16</t>
        </is>
      </c>
      <c r="D338" s="17" t="inlineStr">
        <is>
          <t xml:space="preserve">        Cuerpo de válvula</t>
        </is>
      </c>
      <c r="E338" s="32" t="n">
        <v>1</v>
      </c>
      <c r="F338" s="32" t="inlineStr">
        <is>
          <t>u</t>
        </is>
      </c>
      <c r="G338" s="33" t="n">
        <v>0.9186</v>
      </c>
      <c r="H338" s="33">
        <f>E338*G338</f>
        <v/>
      </c>
      <c r="I338" s="32" t="inlineStr">
        <is>
          <t>Latón forjado</t>
        </is>
      </c>
      <c r="J338" s="17" t="inlineStr">
        <is>
          <t>68 × 67 × 44</t>
        </is>
      </c>
      <c r="K338" s="32" t="inlineStr">
        <is>
          <t>Compra (en el conjunto)</t>
        </is>
      </c>
      <c r="L338" s="32" t="inlineStr">
        <is>
          <t>No</t>
        </is>
      </c>
      <c r="M338" s="17" t="n"/>
      <c r="N338" s="17" t="n"/>
      <c r="O338" s="17" t="inlineStr">
        <is>
          <t>S4 - se compra terminado (tercerizado con sello IRAM)</t>
        </is>
      </c>
      <c r="P338" s="17" t="n"/>
      <c r="Q338" s="32" t="inlineStr">
        <is>
          <t>P</t>
        </is>
      </c>
      <c r="R338" s="32" t="inlineStr">
        <is>
          <t>FL_DES_AFFF_50l</t>
        </is>
      </c>
      <c r="S338" s="17" t="n"/>
    </row>
    <row r="339">
      <c r="A339" s="32" t="inlineStr">
        <is>
          <t>FL_MAT_AFFF_50l</t>
        </is>
      </c>
      <c r="B339" s="32" t="n">
        <v>2</v>
      </c>
      <c r="C339" s="32" t="inlineStr">
        <is>
          <t>AFFF50-17</t>
        </is>
      </c>
      <c r="D339" s="17" t="inlineStr">
        <is>
          <t xml:space="preserve">        Manómetro</t>
        </is>
      </c>
      <c r="E339" s="32" t="n">
        <v>1</v>
      </c>
      <c r="F339" s="32" t="inlineStr">
        <is>
          <t>u</t>
        </is>
      </c>
      <c r="G339" s="33" t="n"/>
      <c r="H339" s="33" t="n"/>
      <c r="I339" s="32" t="inlineStr">
        <is>
          <t>Comercial</t>
        </is>
      </c>
      <c r="J339" s="17" t="inlineStr">
        <is>
          <t>Ø47 esfera, rango 0-2 MPa, sector verde en 0,8</t>
        </is>
      </c>
      <c r="K339" s="32" t="inlineStr">
        <is>
          <t>Compra (en el conjunto)</t>
        </is>
      </c>
      <c r="L339" s="32" t="inlineStr">
        <is>
          <t>No</t>
        </is>
      </c>
      <c r="M339" s="17" t="n"/>
      <c r="N339" s="17" t="n"/>
      <c r="O339" s="17" t="inlineStr">
        <is>
          <t>S4 - se compra terminado (tercerizado con sello IRAM)</t>
        </is>
      </c>
      <c r="P339" s="17" t="inlineStr">
        <is>
          <t>IRAM 3533</t>
        </is>
      </c>
      <c r="Q339" s="32" t="inlineStr">
        <is>
          <t>P</t>
        </is>
      </c>
      <c r="R339" s="32" t="inlineStr">
        <is>
          <t>FL_DES_AFFF_50l</t>
        </is>
      </c>
      <c r="S339" s="17" t="inlineStr">
        <is>
          <t>Pieza comercial; sello IRAM 3533; peso: completar con la ficha del proveedor (no afecta el MRP)</t>
        </is>
      </c>
    </row>
    <row r="340">
      <c r="A340" s="32" t="inlineStr">
        <is>
          <t>FL_MAT_AFFF_50l</t>
        </is>
      </c>
      <c r="B340" s="32" t="n">
        <v>2</v>
      </c>
      <c r="C340" s="32" t="inlineStr">
        <is>
          <t>AFFF50-18</t>
        </is>
      </c>
      <c r="D340" s="17" t="inlineStr">
        <is>
          <t xml:space="preserve">        Vástago</t>
        </is>
      </c>
      <c r="E340" s="32" t="n">
        <v>1</v>
      </c>
      <c r="F340" s="32" t="inlineStr">
        <is>
          <t>u</t>
        </is>
      </c>
      <c r="G340" s="33" t="n">
        <v>0.0313</v>
      </c>
      <c r="H340" s="33">
        <f>E340*G340</f>
        <v/>
      </c>
      <c r="I340" s="32" t="inlineStr">
        <is>
          <t>Latón</t>
        </is>
      </c>
      <c r="J340" s="17" t="inlineStr">
        <is>
          <t>38,8 × 20 × 20</t>
        </is>
      </c>
      <c r="K340" s="32" t="inlineStr">
        <is>
          <t>Compra (en el conjunto)</t>
        </is>
      </c>
      <c r="L340" s="32" t="inlineStr">
        <is>
          <t>No</t>
        </is>
      </c>
      <c r="M340" s="17" t="n"/>
      <c r="N340" s="17" t="n"/>
      <c r="O340" s="17" t="inlineStr">
        <is>
          <t>S4 - se compra terminado (tercerizado con sello IRAM)</t>
        </is>
      </c>
      <c r="P340" s="17" t="n"/>
      <c r="Q340" s="32" t="inlineStr">
        <is>
          <t>P</t>
        </is>
      </c>
      <c r="R340" s="32" t="inlineStr">
        <is>
          <t>FL_DES_AFFF_50l</t>
        </is>
      </c>
      <c r="S340" s="17" t="inlineStr">
        <is>
          <t>con junta tórica</t>
        </is>
      </c>
    </row>
    <row r="341">
      <c r="A341" s="32" t="inlineStr">
        <is>
          <t>FL_MAT_AFFF_50l</t>
        </is>
      </c>
      <c r="B341" s="32" t="n">
        <v>2</v>
      </c>
      <c r="C341" s="32" t="inlineStr">
        <is>
          <t>AFFF50-19</t>
        </is>
      </c>
      <c r="D341" s="17" t="inlineStr">
        <is>
          <t xml:space="preserve">        Resorte de válvula</t>
        </is>
      </c>
      <c r="E341" s="32" t="n">
        <v>1</v>
      </c>
      <c r="F341" s="32" t="inlineStr">
        <is>
          <t>u</t>
        </is>
      </c>
      <c r="G341" s="33" t="n">
        <v>0.0094</v>
      </c>
      <c r="H341" s="33">
        <f>E341*G341</f>
        <v/>
      </c>
      <c r="I341" s="32" t="inlineStr">
        <is>
          <t>Alambre acero inox. AISI 302</t>
        </is>
      </c>
      <c r="J341" s="17" t="inlineStr">
        <is>
          <t>35 × 27 × 27</t>
        </is>
      </c>
      <c r="K341" s="32" t="inlineStr">
        <is>
          <t>Compra (en el conjunto)</t>
        </is>
      </c>
      <c r="L341" s="32" t="inlineStr">
        <is>
          <t>No</t>
        </is>
      </c>
      <c r="M341" s="17" t="n"/>
      <c r="N341" s="17" t="n"/>
      <c r="O341" s="17" t="inlineStr">
        <is>
          <t>S4 - se compra terminado (tercerizado con sello IRAM)</t>
        </is>
      </c>
      <c r="P341" s="17" t="n"/>
      <c r="Q341" s="32" t="inlineStr">
        <is>
          <t>P</t>
        </is>
      </c>
      <c r="R341" s="32" t="inlineStr">
        <is>
          <t>FL_DES_AFFF_50l</t>
        </is>
      </c>
      <c r="S341" s="17" t="inlineStr">
        <is>
          <t>cierre del vástago</t>
        </is>
      </c>
    </row>
    <row r="342">
      <c r="A342" s="32" t="inlineStr">
        <is>
          <t>FL_MAT_AFFF_50l</t>
        </is>
      </c>
      <c r="B342" s="32" t="n">
        <v>2</v>
      </c>
      <c r="C342" s="32" t="inlineStr">
        <is>
          <t>AFFF50-20</t>
        </is>
      </c>
      <c r="D342" s="17" t="inlineStr">
        <is>
          <t xml:space="preserve">        Palanca de accionamiento</t>
        </is>
      </c>
      <c r="E342" s="32" t="n">
        <v>1</v>
      </c>
      <c r="F342" s="32" t="inlineStr">
        <is>
          <t>u</t>
        </is>
      </c>
      <c r="G342" s="33" t="n">
        <v>0.28</v>
      </c>
      <c r="H342" s="33">
        <f>E342*G342</f>
        <v/>
      </c>
      <c r="I342" s="32" t="inlineStr">
        <is>
          <t>Planchuela acero SAE 1010 10 × 16 pintada</t>
        </is>
      </c>
      <c r="J342" s="17" t="inlineStr">
        <is>
          <t>142,8 × 44 × 37,3</t>
        </is>
      </c>
      <c r="K342" s="32" t="inlineStr">
        <is>
          <t>Compra (en el conjunto)</t>
        </is>
      </c>
      <c r="L342" s="32" t="inlineStr">
        <is>
          <t>No</t>
        </is>
      </c>
      <c r="M342" s="17" t="n"/>
      <c r="N342" s="17" t="n"/>
      <c r="O342" s="17" t="inlineStr">
        <is>
          <t>S4 - se compra terminado (tercerizado con sello IRAM)</t>
        </is>
      </c>
      <c r="P342" s="17" t="n"/>
      <c r="Q342" s="32" t="inlineStr">
        <is>
          <t>P</t>
        </is>
      </c>
      <c r="R342" s="32" t="inlineStr">
        <is>
          <t>FL_DES_AFFF_50l</t>
        </is>
      </c>
      <c r="S342" s="17" t="n"/>
    </row>
    <row r="343">
      <c r="A343" s="32" t="inlineStr">
        <is>
          <t>FL_MAT_AFFF_50l</t>
        </is>
      </c>
      <c r="B343" s="32" t="n">
        <v>2</v>
      </c>
      <c r="C343" s="32" t="inlineStr">
        <is>
          <t>AFFF50-21</t>
        </is>
      </c>
      <c r="D343" s="17" t="inlineStr">
        <is>
          <t xml:space="preserve">        Eje de palanca</t>
        </is>
      </c>
      <c r="E343" s="32" t="n">
        <v>1</v>
      </c>
      <c r="F343" s="32" t="inlineStr">
        <is>
          <t>u</t>
        </is>
      </c>
      <c r="G343" s="33" t="n">
        <v>0.0187</v>
      </c>
      <c r="H343" s="33">
        <f>E343*G343</f>
        <v/>
      </c>
      <c r="I343" s="32" t="inlineStr">
        <is>
          <t>Acero inox. AISI 304</t>
        </is>
      </c>
      <c r="J343" s="17" t="inlineStr">
        <is>
          <t>47 × 8 × 8</t>
        </is>
      </c>
      <c r="K343" s="32" t="inlineStr">
        <is>
          <t>Compra (en el conjunto)</t>
        </is>
      </c>
      <c r="L343" s="32" t="inlineStr">
        <is>
          <t>No</t>
        </is>
      </c>
      <c r="M343" s="17" t="n"/>
      <c r="N343" s="17" t="n"/>
      <c r="O343" s="17" t="inlineStr">
        <is>
          <t>S4 - se compra terminado (tercerizado con sello IRAM)</t>
        </is>
      </c>
      <c r="P343" s="17" t="n"/>
      <c r="Q343" s="32" t="inlineStr">
        <is>
          <t>P</t>
        </is>
      </c>
      <c r="R343" s="32" t="inlineStr">
        <is>
          <t>FL_DES_AFFF_50l</t>
        </is>
      </c>
      <c r="S343" s="17" t="n"/>
    </row>
    <row r="344">
      <c r="A344" s="32" t="inlineStr">
        <is>
          <t>FL_MAT_AFFF_50l</t>
        </is>
      </c>
      <c r="B344" s="32" t="n">
        <v>2</v>
      </c>
      <c r="C344" s="32" t="inlineStr">
        <is>
          <t>AFFF50-22</t>
        </is>
      </c>
      <c r="D344" s="17" t="inlineStr">
        <is>
          <t xml:space="preserve">        Pasador de seguridad</t>
        </is>
      </c>
      <c r="E344" s="32" t="n">
        <v>1</v>
      </c>
      <c r="F344" s="32" t="inlineStr">
        <is>
          <t>u</t>
        </is>
      </c>
      <c r="G344" s="33" t="n">
        <v>0.0061</v>
      </c>
      <c r="H344" s="33">
        <f>E344*G344</f>
        <v/>
      </c>
      <c r="I344" s="32" t="inlineStr">
        <is>
          <t>Alambre acero inox. AISI 304</t>
        </is>
      </c>
      <c r="J344" s="17" t="inlineStr">
        <is>
          <t>54,4 × 21 × 20,8</t>
        </is>
      </c>
      <c r="K344" s="32" t="inlineStr">
        <is>
          <t>Compra (en el conjunto)</t>
        </is>
      </c>
      <c r="L344" s="32" t="inlineStr">
        <is>
          <t>No</t>
        </is>
      </c>
      <c r="M344" s="17" t="n"/>
      <c r="N344" s="17" t="n"/>
      <c r="O344" s="17" t="inlineStr">
        <is>
          <t>S4 - se compra terminado (tercerizado con sello IRAM)</t>
        </is>
      </c>
      <c r="P344" s="17" t="n"/>
      <c r="Q344" s="32" t="inlineStr">
        <is>
          <t>P</t>
        </is>
      </c>
      <c r="R344" s="32" t="inlineStr">
        <is>
          <t>FL_DES_AFFF_50l</t>
        </is>
      </c>
      <c r="S344" s="17" t="inlineStr">
        <is>
          <t>con precinto</t>
        </is>
      </c>
    </row>
    <row r="345">
      <c r="A345" s="32" t="inlineStr">
        <is>
          <t>FL_MAT_AFFF_50l</t>
        </is>
      </c>
      <c r="B345" s="32" t="n">
        <v>2</v>
      </c>
      <c r="C345" s="32" t="inlineStr">
        <is>
          <t>AFFF50-23</t>
        </is>
      </c>
      <c r="D345" s="17" t="inlineStr">
        <is>
          <t xml:space="preserve">        Caño de pesca (sifón)</t>
        </is>
      </c>
      <c r="E345" s="32" t="n">
        <v>1</v>
      </c>
      <c r="F345" s="32" t="inlineStr">
        <is>
          <t>u</t>
        </is>
      </c>
      <c r="G345" s="33" t="n">
        <v>0.1985</v>
      </c>
      <c r="H345" s="33">
        <f>E345*G345</f>
        <v/>
      </c>
      <c r="I345" s="32" t="inlineStr">
        <is>
          <t>Tubo PVC rígido</t>
        </is>
      </c>
      <c r="J345" s="17" t="inlineStr">
        <is>
          <t>Ø24 × 839,5 de largo</t>
        </is>
      </c>
      <c r="K345" s="32" t="inlineStr">
        <is>
          <t>Compra (en el conjunto)</t>
        </is>
      </c>
      <c r="L345" s="32" t="inlineStr">
        <is>
          <t>No</t>
        </is>
      </c>
      <c r="M345" s="17" t="n"/>
      <c r="N345" s="17" t="n"/>
      <c r="O345" s="17" t="inlineStr">
        <is>
          <t>S4 - se compra terminado (tercerizado con sello IRAM)</t>
        </is>
      </c>
      <c r="P345" s="17" t="n"/>
      <c r="Q345" s="32" t="inlineStr">
        <is>
          <t>P</t>
        </is>
      </c>
      <c r="R345" s="32" t="inlineStr">
        <is>
          <t>FL_DES_AFFF_50l</t>
        </is>
      </c>
      <c r="S345" s="17" t="n"/>
    </row>
    <row r="346">
      <c r="A346" s="32" t="inlineStr">
        <is>
          <t>FL_MAT_AFFF_50l</t>
        </is>
      </c>
      <c r="B346" s="32" t="n">
        <v>2</v>
      </c>
      <c r="C346" s="32" t="inlineStr">
        <is>
          <t>AFFF50-35</t>
        </is>
      </c>
      <c r="D346" s="17" t="inlineStr">
        <is>
          <t xml:space="preserve">        Junta tórica de asiento</t>
        </is>
      </c>
      <c r="E346" s="32" t="n">
        <v>1</v>
      </c>
      <c r="F346" s="32" t="inlineStr">
        <is>
          <t>u</t>
        </is>
      </c>
      <c r="G346" s="33" t="n">
        <v>0.0025</v>
      </c>
      <c r="H346" s="33">
        <f>E346*G346</f>
        <v/>
      </c>
      <c r="I346" s="32" t="inlineStr">
        <is>
          <t>NBR 70 Shore A</t>
        </is>
      </c>
      <c r="J346" s="17" t="inlineStr">
        <is>
          <t>Ø78 ext. × cordón 3</t>
        </is>
      </c>
      <c r="K346" s="32" t="inlineStr">
        <is>
          <t>Compra (en el conjunto)</t>
        </is>
      </c>
      <c r="L346" s="32" t="inlineStr">
        <is>
          <t>No</t>
        </is>
      </c>
      <c r="M346" s="17" t="n"/>
      <c r="N346" s="17" t="n"/>
      <c r="O346" s="17" t="inlineStr">
        <is>
          <t>S4 - se compra terminado (tercerizado con sello IRAM)</t>
        </is>
      </c>
      <c r="P346" s="17" t="n"/>
      <c r="Q346" s="32" t="inlineStr">
        <is>
          <t>P</t>
        </is>
      </c>
      <c r="R346" s="32" t="inlineStr">
        <is>
          <t>FL_DES_AFFF_50l</t>
        </is>
      </c>
      <c r="S346" s="17" t="inlineStr">
        <is>
          <t>cambio c/recarga</t>
        </is>
      </c>
    </row>
    <row r="347">
      <c r="A347" s="32" t="inlineStr">
        <is>
          <t>FL_MAT_AFFF_50l</t>
        </is>
      </c>
      <c r="B347" s="32" t="n">
        <v>2</v>
      </c>
      <c r="C347" s="32" t="inlineStr">
        <is>
          <t>AFFF50-V2</t>
        </is>
      </c>
      <c r="D347" s="17" t="inlineStr">
        <is>
          <t xml:space="preserve">        Resorte de retorno del vástago</t>
        </is>
      </c>
      <c r="E347" s="32" t="n">
        <v>1</v>
      </c>
      <c r="F347" s="32" t="inlineStr">
        <is>
          <t>u</t>
        </is>
      </c>
      <c r="G347" s="33" t="n"/>
      <c r="H347" s="33" t="n"/>
      <c r="I347" s="32" t="inlineStr">
        <is>
          <t>Acero para resortes</t>
        </is>
      </c>
      <c r="J347" s="17" t="inlineStr">
        <is>
          <t>incluido en la válvula</t>
        </is>
      </c>
      <c r="K347" s="32" t="inlineStr">
        <is>
          <t>Compra (en el conjunto)</t>
        </is>
      </c>
      <c r="L347" s="32" t="inlineStr">
        <is>
          <t>No</t>
        </is>
      </c>
      <c r="M347" s="17" t="n"/>
      <c r="N347" s="17" t="n"/>
      <c r="O347" s="17" t="inlineStr">
        <is>
          <t>19 Ensamblaje</t>
        </is>
      </c>
      <c r="P347" s="17" t="n"/>
      <c r="Q347" s="32" t="inlineStr">
        <is>
          <t>Q</t>
        </is>
      </c>
      <c r="R347" s="32" t="n"/>
      <c r="S347" s="17" t="inlineStr">
        <is>
          <t>Lista de precios HZ: válvula «c/resorte» (Q-AGENTES)</t>
        </is>
      </c>
    </row>
    <row r="348">
      <c r="A348" s="32" t="inlineStr">
        <is>
          <t>FL_MAT_AFFF_50l</t>
        </is>
      </c>
      <c r="B348" s="32" t="n">
        <v>2</v>
      </c>
      <c r="C348" s="32" t="inlineStr">
        <is>
          <t>AFFF50-V3</t>
        </is>
      </c>
      <c r="D348" s="17" t="inlineStr">
        <is>
          <t xml:space="preserve">        Junta tórica del vástago</t>
        </is>
      </c>
      <c r="E348" s="32" t="n">
        <v>1</v>
      </c>
      <c r="F348" s="32" t="inlineStr">
        <is>
          <t>u</t>
        </is>
      </c>
      <c r="G348" s="33" t="n"/>
      <c r="H348" s="33" t="n"/>
      <c r="I348" s="32" t="inlineStr">
        <is>
          <t>NBR 70 Shore A</t>
        </is>
      </c>
      <c r="J348" s="17" t="inlineStr">
        <is>
          <t>incluida en la válvula</t>
        </is>
      </c>
      <c r="K348" s="32" t="inlineStr">
        <is>
          <t>Compra (en el conjunto)</t>
        </is>
      </c>
      <c r="L348" s="32" t="inlineStr">
        <is>
          <t>No</t>
        </is>
      </c>
      <c r="M348" s="17" t="n"/>
      <c r="N348" s="17" t="n"/>
      <c r="O348" s="17" t="inlineStr">
        <is>
          <t>19 Ensamblaje</t>
        </is>
      </c>
      <c r="P348" s="17" t="n"/>
      <c r="Q348" s="32" t="inlineStr">
        <is>
          <t>P</t>
        </is>
      </c>
      <c r="R348" s="32" t="n"/>
      <c r="S348" s="17" t="inlineStr">
        <is>
          <t>Figura en el plano como «vástago con junta tórica»</t>
        </is>
      </c>
    </row>
    <row r="349">
      <c r="A349" s="29" t="inlineStr">
        <is>
          <t>FL_MAT_AFFF_50l</t>
        </is>
      </c>
      <c r="B349" s="29" t="n">
        <v>1</v>
      </c>
      <c r="C349" s="29" t="inlineStr">
        <is>
          <t>AFFF50-S3</t>
        </is>
      </c>
      <c r="D349" s="30" t="inlineStr">
        <is>
          <t xml:space="preserve">    Dispositivo de descarga</t>
        </is>
      </c>
      <c r="E349" s="29" t="n">
        <v>1</v>
      </c>
      <c r="F349" s="29" t="inlineStr">
        <is>
          <t>u</t>
        </is>
      </c>
      <c r="G349" s="31" t="n"/>
      <c r="H349" s="31">
        <f>H350+H351+H352+H353+H354</f>
        <v/>
      </c>
      <c r="I349" s="29" t="n"/>
      <c r="J349" s="30" t="n"/>
      <c r="K349" s="29" t="inlineStr">
        <is>
          <t>Compra / armado</t>
        </is>
      </c>
      <c r="L349" s="29" t="n"/>
      <c r="M349" s="30" t="n"/>
      <c r="N349" s="30" t="n"/>
      <c r="O349" s="30" t="n"/>
      <c r="P349" s="30" t="n"/>
      <c r="Q349" s="29" t="inlineStr">
        <is>
          <t>P</t>
        </is>
      </c>
      <c r="R349" s="29" t="inlineStr">
        <is>
          <t>FL_DES_AFFF_50l</t>
        </is>
      </c>
      <c r="S349" s="30" t="n"/>
    </row>
    <row r="350">
      <c r="A350" s="32" t="inlineStr">
        <is>
          <t>FL_MAT_AFFF_50l</t>
        </is>
      </c>
      <c r="B350" s="32" t="n">
        <v>2</v>
      </c>
      <c r="C350" s="32" t="inlineStr">
        <is>
          <t>AFFF50-24</t>
        </is>
      </c>
      <c r="D350" s="17" t="inlineStr">
        <is>
          <t xml:space="preserve">        Racor de manguera</t>
        </is>
      </c>
      <c r="E350" s="32" t="n">
        <v>1</v>
      </c>
      <c r="F350" s="32" t="inlineStr">
        <is>
          <t>u</t>
        </is>
      </c>
      <c r="G350" s="33" t="n">
        <v>0.0612</v>
      </c>
      <c r="H350" s="33">
        <f>E350*G350</f>
        <v/>
      </c>
      <c r="I350" s="32" t="inlineStr">
        <is>
          <t>Latón</t>
        </is>
      </c>
      <c r="J350" s="17" t="inlineStr">
        <is>
          <t>24 × 24 × 16</t>
        </is>
      </c>
      <c r="K350" s="32" t="inlineStr">
        <is>
          <t>Compra (en el conjunto)</t>
        </is>
      </c>
      <c r="L350" s="32" t="inlineStr">
        <is>
          <t>No</t>
        </is>
      </c>
      <c r="M350" s="17" t="n"/>
      <c r="N350" s="17" t="n"/>
      <c r="O350" s="17" t="inlineStr">
        <is>
          <t>S4 - se compra terminado (tercerizado con sello IRAM)</t>
        </is>
      </c>
      <c r="P350" s="17" t="n"/>
      <c r="Q350" s="32" t="inlineStr">
        <is>
          <t>P</t>
        </is>
      </c>
      <c r="R350" s="32" t="inlineStr">
        <is>
          <t>FL_DES_AFFF_50l</t>
        </is>
      </c>
      <c r="S350" s="17" t="n"/>
    </row>
    <row r="351">
      <c r="A351" s="32" t="inlineStr">
        <is>
          <t>FL_MAT_AFFF_50l</t>
        </is>
      </c>
      <c r="B351" s="32" t="n">
        <v>2</v>
      </c>
      <c r="C351" s="32" t="inlineStr">
        <is>
          <t>AFFF50-25</t>
        </is>
      </c>
      <c r="D351" s="17" t="inlineStr">
        <is>
          <t xml:space="preserve">        Manguera (tramo enrollado)</t>
        </is>
      </c>
      <c r="E351" s="32" t="n">
        <v>1</v>
      </c>
      <c r="F351" s="32" t="inlineStr">
        <is>
          <t>u</t>
        </is>
      </c>
      <c r="G351" s="33" t="n">
        <v>1.8035</v>
      </c>
      <c r="H351" s="33">
        <f>E351*G351</f>
        <v/>
      </c>
      <c r="I351" s="32" t="inlineStr">
        <is>
          <t>Caucho sintético</t>
        </is>
      </c>
      <c r="J351" s="17" t="inlineStr">
        <is>
          <t>Ø23,5 × 5.414 de largo desarrollado: lazo vertical de 3 vueltas alrededor de los flejes, por afuera de las patas y detrás de las orejas</t>
        </is>
      </c>
      <c r="K351" s="32" t="inlineStr">
        <is>
          <t>Compra (en el conjunto)</t>
        </is>
      </c>
      <c r="L351" s="32" t="inlineStr">
        <is>
          <t>No</t>
        </is>
      </c>
      <c r="M351" s="17" t="n"/>
      <c r="N351" s="17" t="n"/>
      <c r="O351" s="17" t="inlineStr">
        <is>
          <t>S4 - se compra terminado (tercerizado con sello IRAM)</t>
        </is>
      </c>
      <c r="P351" s="17" t="n"/>
      <c r="Q351" s="32" t="inlineStr">
        <is>
          <t>P</t>
        </is>
      </c>
      <c r="R351" s="32" t="inlineStr">
        <is>
          <t>FL_DES_AFFF_50l</t>
        </is>
      </c>
      <c r="S351" s="17" t="n"/>
    </row>
    <row r="352">
      <c r="A352" s="32" t="inlineStr">
        <is>
          <t>FL_MAT_AFFF_50l</t>
        </is>
      </c>
      <c r="B352" s="32" t="n">
        <v>2</v>
      </c>
      <c r="C352" s="32" t="inlineStr">
        <is>
          <t>AFFF50-26</t>
        </is>
      </c>
      <c r="D352" s="17" t="inlineStr">
        <is>
          <t xml:space="preserve">        Manguera</t>
        </is>
      </c>
      <c r="E352" s="32" t="n">
        <v>1</v>
      </c>
      <c r="F352" s="32" t="inlineStr">
        <is>
          <t>u</t>
        </is>
      </c>
      <c r="G352" s="33" t="n">
        <v>0.1681</v>
      </c>
      <c r="H352" s="33">
        <f>E352*G352</f>
        <v/>
      </c>
      <c r="I352" s="32" t="inlineStr">
        <is>
          <t>Caucho sintético</t>
        </is>
      </c>
      <c r="J352" s="17" t="inlineStr">
        <is>
          <t>Ø23,5 × 505 de largo desarrollado</t>
        </is>
      </c>
      <c r="K352" s="32" t="inlineStr">
        <is>
          <t>Compra (en el conjunto)</t>
        </is>
      </c>
      <c r="L352" s="32" t="inlineStr">
        <is>
          <t>No</t>
        </is>
      </c>
      <c r="M352" s="17" t="n"/>
      <c r="N352" s="17" t="n"/>
      <c r="O352" s="17" t="inlineStr">
        <is>
          <t>S4 - se compra terminado (tercerizado con sello IRAM)</t>
        </is>
      </c>
      <c r="P352" s="17" t="n"/>
      <c r="Q352" s="32" t="inlineStr">
        <is>
          <t>P</t>
        </is>
      </c>
      <c r="R352" s="32" t="inlineStr">
        <is>
          <t>FL_DES_AFFF_50l</t>
        </is>
      </c>
      <c r="S352" s="17" t="n"/>
    </row>
    <row r="353">
      <c r="A353" s="32" t="inlineStr">
        <is>
          <t>FL_MAT_AFFF_50l</t>
        </is>
      </c>
      <c r="B353" s="32" t="n">
        <v>2</v>
      </c>
      <c r="C353" s="32" t="inlineStr">
        <is>
          <t>AFFF50-28</t>
        </is>
      </c>
      <c r="D353" s="17" t="inlineStr">
        <is>
          <t xml:space="preserve">        Válvula esférica</t>
        </is>
      </c>
      <c r="E353" s="32" t="n">
        <v>1</v>
      </c>
      <c r="F353" s="32" t="inlineStr">
        <is>
          <t>u</t>
        </is>
      </c>
      <c r="G353" s="33" t="n">
        <v>0.3502</v>
      </c>
      <c r="H353" s="33">
        <f>E353*G353</f>
        <v/>
      </c>
      <c r="I353" s="32" t="inlineStr">
        <is>
          <t>Latón cromado</t>
        </is>
      </c>
      <c r="J353" s="17" t="inlineStr">
        <is>
          <t>cuerpo Ø40 × 56 con hexágonos 46, paso total, rosca a la manga y a la tobera; palanca 105 con empuñadura (cerrada: atravesada al caño)</t>
        </is>
      </c>
      <c r="K353" s="32" t="inlineStr">
        <is>
          <t>Compra (en el conjunto)</t>
        </is>
      </c>
      <c r="L353" s="32" t="inlineStr">
        <is>
          <t>No</t>
        </is>
      </c>
      <c r="M353" s="17" t="n"/>
      <c r="N353" s="17" t="n"/>
      <c r="O353" s="17" t="inlineStr">
        <is>
          <t>S4 - se compra terminado (tercerizado con sello IRAM)</t>
        </is>
      </c>
      <c r="P353" s="17" t="n"/>
      <c r="Q353" s="32" t="inlineStr">
        <is>
          <t>P</t>
        </is>
      </c>
      <c r="R353" s="32" t="inlineStr">
        <is>
          <t>FL_DES_AFFF_50l</t>
        </is>
      </c>
      <c r="S353" s="17" t="n"/>
    </row>
    <row r="354">
      <c r="A354" s="32" t="inlineStr">
        <is>
          <t>FL_MAT_AFFF_50l</t>
        </is>
      </c>
      <c r="B354" s="32" t="n">
        <v>2</v>
      </c>
      <c r="C354" s="32" t="inlineStr">
        <is>
          <t>AFFF50-29</t>
        </is>
      </c>
      <c r="D354" s="17" t="inlineStr">
        <is>
          <t xml:space="preserve">        Lanza espumígena</t>
        </is>
      </c>
      <c r="E354" s="32" t="n">
        <v>1</v>
      </c>
      <c r="F354" s="32" t="inlineStr">
        <is>
          <t>u</t>
        </is>
      </c>
      <c r="G354" s="33" t="n">
        <v>0.1023</v>
      </c>
      <c r="H354" s="33">
        <f>E354*G354</f>
        <v/>
      </c>
      <c r="I354" s="32" t="inlineStr">
        <is>
          <t>Polipropileno</t>
        </is>
      </c>
      <c r="J354" s="17" t="inlineStr">
        <is>
          <t>382,9 × 77 × 74,3</t>
        </is>
      </c>
      <c r="K354" s="32" t="inlineStr">
        <is>
          <t>Compra (en el conjunto)</t>
        </is>
      </c>
      <c r="L354" s="32" t="inlineStr">
        <is>
          <t>No</t>
        </is>
      </c>
      <c r="M354" s="17" t="n"/>
      <c r="N354" s="17" t="n"/>
      <c r="O354" s="17" t="inlineStr">
        <is>
          <t>S4 - se compra terminado (tercerizado con sello IRAM)</t>
        </is>
      </c>
      <c r="P354" s="17" t="n"/>
      <c r="Q354" s="32" t="inlineStr">
        <is>
          <t>P</t>
        </is>
      </c>
      <c r="R354" s="32" t="inlineStr">
        <is>
          <t>FL_DES_AFFF_50l</t>
        </is>
      </c>
      <c r="S354" s="17" t="n"/>
    </row>
    <row r="355">
      <c r="A355" s="29" t="inlineStr">
        <is>
          <t>FL_MAT_AFFF_50l</t>
        </is>
      </c>
      <c r="B355" s="29" t="n">
        <v>1</v>
      </c>
      <c r="C355" s="29" t="inlineStr">
        <is>
          <t>AFFF50-S4</t>
        </is>
      </c>
      <c r="D355" s="30" t="inlineStr">
        <is>
          <t xml:space="preserve">    Carro (tren rodante soldado y ruedas)</t>
        </is>
      </c>
      <c r="E355" s="29" t="n">
        <v>1</v>
      </c>
      <c r="F355" s="29" t="inlineStr">
        <is>
          <t>u</t>
        </is>
      </c>
      <c r="G355" s="31" t="n"/>
      <c r="H355" s="31">
        <f>H356+H357+H358+H359+H360+H361+H362+H363+H364+H365</f>
        <v/>
      </c>
      <c r="I355" s="29" t="n"/>
      <c r="J355" s="30" t="n"/>
      <c r="K355" s="29" t="inlineStr">
        <is>
          <t>Compra / armado</t>
        </is>
      </c>
      <c r="L355" s="29" t="n"/>
      <c r="M355" s="30" t="n"/>
      <c r="N355" s="30" t="n"/>
      <c r="O355" s="30" t="n"/>
      <c r="P355" s="30" t="inlineStr">
        <is>
          <t>IRAM 3550 3.12 y 4.8 (ruedas ≥ Ø300 × 50)</t>
        </is>
      </c>
      <c r="Q355" s="29" t="inlineStr">
        <is>
          <t>P</t>
        </is>
      </c>
      <c r="R355" s="29" t="inlineStr">
        <is>
          <t>FL_DES_AFFF_50l</t>
        </is>
      </c>
      <c r="S355" s="30" t="n"/>
    </row>
    <row r="356">
      <c r="A356" s="32" t="inlineStr">
        <is>
          <t>FL_MAT_AFFF_50l</t>
        </is>
      </c>
      <c r="B356" s="32" t="n">
        <v>2</v>
      </c>
      <c r="C356" s="32" t="inlineStr">
        <is>
          <t>AFFF50-05</t>
        </is>
      </c>
      <c r="D356" s="17" t="inlineStr">
        <is>
          <t xml:space="preserve">        Pata delantera</t>
        </is>
      </c>
      <c r="E356" s="32" t="n">
        <v>1</v>
      </c>
      <c r="F356" s="32" t="inlineStr">
        <is>
          <t>u</t>
        </is>
      </c>
      <c r="G356" s="33" t="n">
        <v>0.1186</v>
      </c>
      <c r="H356" s="33">
        <f>E356*G356</f>
        <v/>
      </c>
      <c r="I356" s="32" t="inlineStr">
        <is>
          <t>Chapa LAC 3,2 (orilla de la hoja de 25 kg)</t>
        </is>
      </c>
      <c r="J356" s="17" t="inlineStr">
        <is>
          <t>planchuela 80 × 60 × e3,2, de canto en el frente del fondo, atravesada; borde de abajo = línea del piso</t>
        </is>
      </c>
      <c r="K356" s="32" t="inlineStr">
        <is>
          <t>Compra (en el conjunto)</t>
        </is>
      </c>
      <c r="L356" s="32" t="inlineStr">
        <is>
          <t>No</t>
        </is>
      </c>
      <c r="M356" s="17" t="n"/>
      <c r="N356" s="17" t="n"/>
      <c r="O356" s="17" t="inlineStr">
        <is>
          <t>S4 - se compra terminado (tercerizado con sello IRAM)</t>
        </is>
      </c>
      <c r="P356" s="17" t="n"/>
      <c r="Q356" s="32" t="inlineStr">
        <is>
          <t>P</t>
        </is>
      </c>
      <c r="R356" s="32" t="inlineStr">
        <is>
          <t>FL_DES_AFFF_50l</t>
        </is>
      </c>
      <c r="S356" s="17" t="inlineStr">
        <is>
          <t>Proceso FLAMA de carros: 80 × 60 (25 y 50 kg) y 100 × 80 (70 y 100 kg), de la orilla de 3,2 de la hoja de 25 kg (sin compra); se suelda con filete de los dos lados en el tramo central</t>
        </is>
      </c>
    </row>
    <row r="357">
      <c r="A357" s="32" t="inlineStr">
        <is>
          <t>FL_MAT_AFFF_50l</t>
        </is>
      </c>
      <c r="B357" s="32" t="n">
        <v>2</v>
      </c>
      <c r="C357" s="32" t="inlineStr">
        <is>
          <t>AFFF50-06</t>
        </is>
      </c>
      <c r="D357" s="17" t="inlineStr">
        <is>
          <t xml:space="preserve">        Triángulos con V (2)</t>
        </is>
      </c>
      <c r="E357" s="32" t="n">
        <v>1</v>
      </c>
      <c r="F357" s="32" t="inlineStr">
        <is>
          <t>u</t>
        </is>
      </c>
      <c r="G357" s="33" t="n">
        <v>0.2047</v>
      </c>
      <c r="H357" s="33">
        <f>E357*G357</f>
        <v/>
      </c>
      <c r="I357" s="32" t="inlineStr">
        <is>
          <t>Chapa LAC 4,75 (orilla)</t>
        </is>
      </c>
      <c r="J357" s="17" t="inlineStr">
        <is>
          <t>2 triángulos con V de 90° hacia atrás, chapa e4,75, cateto vertical 80 de canto contra el cuerpo; separados 157 (± 78,5 en recta), borde de abajo a 20 de la costura del fondo; el caño apoya en la V</t>
        </is>
      </c>
      <c r="K357" s="32" t="inlineStr">
        <is>
          <t>Compra (en el conjunto)</t>
        </is>
      </c>
      <c r="L357" s="32" t="inlineStr">
        <is>
          <t>No</t>
        </is>
      </c>
      <c r="M357" s="17" t="n"/>
      <c r="N357" s="17" t="n"/>
      <c r="O357" s="17" t="inlineStr">
        <is>
          <t>S4 - se compra terminado (tercerizado con sello IRAM)</t>
        </is>
      </c>
      <c r="P357" s="17" t="n"/>
      <c r="Q357" s="32" t="inlineStr">
        <is>
          <t>P</t>
        </is>
      </c>
      <c r="R357" s="32" t="inlineStr">
        <is>
          <t>FL_DES_AFFF_50l</t>
        </is>
      </c>
      <c r="S357"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358">
      <c r="A358" s="32" t="inlineStr">
        <is>
          <t>FL_MAT_AFFF_50l</t>
        </is>
      </c>
      <c r="B358" s="32" t="n">
        <v>2</v>
      </c>
      <c r="C358" s="32" t="inlineStr">
        <is>
          <t>AFFF50-07</t>
        </is>
      </c>
      <c r="D358" s="17" t="inlineStr">
        <is>
          <t xml:space="preserve">        Caño del eje</t>
        </is>
      </c>
      <c r="E358" s="32" t="n">
        <v>1</v>
      </c>
      <c r="F358" s="32" t="inlineStr">
        <is>
          <t>u</t>
        </is>
      </c>
      <c r="G358" s="33" t="n">
        <v>0.4872</v>
      </c>
      <c r="H358" s="33">
        <f>E358*G358</f>
        <v/>
      </c>
      <c r="I358" s="32" t="inlineStr">
        <is>
          <t>Caño acero SAE 1010 1¼" × 2,0</t>
        </is>
      </c>
      <c r="J358" s="17" t="inlineStr">
        <is>
          <t>caño 1¼" (Ø31,75) × 2 × 332 de largo, con marca de la mitad; apoyado en la V de los triángulos a 20 del cuerpo, no gira; adentro pasa el eje Ø25,4</t>
        </is>
      </c>
      <c r="K358" s="32" t="inlineStr">
        <is>
          <t>Compra (en el conjunto)</t>
        </is>
      </c>
      <c r="L358" s="32" t="inlineStr">
        <is>
          <t>No</t>
        </is>
      </c>
      <c r="M358" s="17" t="n"/>
      <c r="N358" s="17" t="n"/>
      <c r="O358" s="17" t="inlineStr">
        <is>
          <t>S4 - se compra terminado (tercerizado con sello IRAM)</t>
        </is>
      </c>
      <c r="P358" s="17" t="n"/>
      <c r="Q358" s="32" t="inlineStr">
        <is>
          <t>P</t>
        </is>
      </c>
      <c r="R358" s="32" t="inlineStr">
        <is>
          <t>FL_DES_AFFF_50l</t>
        </is>
      </c>
      <c r="S358" s="17" t="inlineStr">
        <is>
          <t>Proceso FLAMA de carros, puesto 8 (kit del 8.1): medidas y posición de la tabla del puesto; se suelda antes de la prueba hidráulica (IRAM 3550 6.1.1)</t>
        </is>
      </c>
    </row>
    <row r="359">
      <c r="A359" s="32" t="inlineStr">
        <is>
          <t>FL_MAT_AFFF_50l</t>
        </is>
      </c>
      <c r="B359" s="32" t="n">
        <v>2</v>
      </c>
      <c r="C359" s="32" t="inlineStr">
        <is>
          <t>AFFF50-08</t>
        </is>
      </c>
      <c r="D359" s="17" t="inlineStr">
        <is>
          <t xml:space="preserve">        Neumático macizo</t>
        </is>
      </c>
      <c r="E359" s="32" t="n">
        <v>2</v>
      </c>
      <c r="F359" s="32" t="inlineStr">
        <is>
          <t>u</t>
        </is>
      </c>
      <c r="G359" s="33" t="n">
        <v>3.3361</v>
      </c>
      <c r="H359" s="33">
        <f>E359*G359</f>
        <v/>
      </c>
      <c r="I359" s="32" t="inlineStr">
        <is>
          <t>Caucho</t>
        </is>
      </c>
      <c r="J359" s="17" t="inlineStr">
        <is>
          <t>Ø350 × 60 de ancho</t>
        </is>
      </c>
      <c r="K359" s="32" t="inlineStr">
        <is>
          <t>Compra (en el conjunto)</t>
        </is>
      </c>
      <c r="L359" s="32" t="inlineStr">
        <is>
          <t>No</t>
        </is>
      </c>
      <c r="M359" s="17" t="n"/>
      <c r="N359" s="17" t="n"/>
      <c r="O359" s="17" t="inlineStr">
        <is>
          <t>S4 - se compra terminado (tercerizado con sello IRAM)</t>
        </is>
      </c>
      <c r="P359" s="17" t="n"/>
      <c r="Q359" s="32" t="inlineStr">
        <is>
          <t>P</t>
        </is>
      </c>
      <c r="R359" s="32" t="inlineStr">
        <is>
          <t>FL_DES_AFFF_50l</t>
        </is>
      </c>
      <c r="S359" s="17" t="inlineStr">
        <is>
          <t>llanta de chapa; IRAM 3550 4.8: Ø ≥ 300 y ancho ≥ 50</t>
        </is>
      </c>
    </row>
    <row r="360">
      <c r="A360" s="32" t="inlineStr">
        <is>
          <t>FL_MAT_AFFF_50l</t>
        </is>
      </c>
      <c r="B360" s="32" t="n">
        <v>2</v>
      </c>
      <c r="C360" s="32" t="inlineStr">
        <is>
          <t>AFFF50-09</t>
        </is>
      </c>
      <c r="D360" s="17" t="inlineStr">
        <is>
          <t xml:space="preserve">        Llanta con cubo</t>
        </is>
      </c>
      <c r="E360" s="32" t="n">
        <v>2</v>
      </c>
      <c r="F360" s="32" t="inlineStr">
        <is>
          <t>u</t>
        </is>
      </c>
      <c r="G360" s="33" t="n">
        <v>2.6069</v>
      </c>
      <c r="H360" s="33">
        <f>E360*G360</f>
        <v/>
      </c>
      <c r="I360" s="32" t="inlineStr">
        <is>
          <t>Chapa acero SAE 1010</t>
        </is>
      </c>
      <c r="J360" s="17" t="inlineStr">
        <is>
          <t>Ø252 × 60 de ancho</t>
        </is>
      </c>
      <c r="K360" s="32" t="inlineStr">
        <is>
          <t>Compra (en el conjunto)</t>
        </is>
      </c>
      <c r="L360" s="32" t="inlineStr">
        <is>
          <t>No</t>
        </is>
      </c>
      <c r="M360" s="17" t="n"/>
      <c r="N360" s="17" t="n"/>
      <c r="O360" s="17" t="inlineStr">
        <is>
          <t>S4 - se compra terminado (tercerizado con sello IRAM)</t>
        </is>
      </c>
      <c r="P360" s="17" t="n"/>
      <c r="Q360" s="32" t="inlineStr">
        <is>
          <t>P</t>
        </is>
      </c>
      <c r="R360" s="32" t="inlineStr">
        <is>
          <t>FL_DES_AFFF_50l</t>
        </is>
      </c>
      <c r="S360" s="17" t="n"/>
    </row>
    <row r="361">
      <c r="A361" s="32" t="inlineStr">
        <is>
          <t>FL_MAT_AFFF_50l</t>
        </is>
      </c>
      <c r="B361" s="32" t="n">
        <v>2</v>
      </c>
      <c r="C361" s="32" t="inlineStr">
        <is>
          <t>AFFF50-10</t>
        </is>
      </c>
      <c r="D361" s="17" t="inlineStr">
        <is>
          <t xml:space="preserve">        Eje de ruedas</t>
        </is>
      </c>
      <c r="E361" s="32" t="n">
        <v>1</v>
      </c>
      <c r="F361" s="32" t="inlineStr">
        <is>
          <t>u</t>
        </is>
      </c>
      <c r="G361" s="33" t="n">
        <v>1.9345</v>
      </c>
      <c r="H361" s="33">
        <f>E361*G361</f>
        <v/>
      </c>
      <c r="I361" s="32" t="inlineStr">
        <is>
          <t>Barra acero SAE 1045 Ø25.4</t>
        </is>
      </c>
      <c r="J361" s="17" t="inlineStr">
        <is>
          <t>barra trefilada 1" (Ø25,4) × 488 de largo, con agujero Ø4,6 en cada punta para el pasador (montaje final)</t>
        </is>
      </c>
      <c r="K361" s="32" t="inlineStr">
        <is>
          <t>Compra (en el conjunto)</t>
        </is>
      </c>
      <c r="L361" s="32" t="inlineStr">
        <is>
          <t>No</t>
        </is>
      </c>
      <c r="M361" s="17" t="n"/>
      <c r="N361" s="17" t="n"/>
      <c r="O361" s="17" t="inlineStr">
        <is>
          <t>S4 - se compra terminado (tercerizado con sello IRAM)</t>
        </is>
      </c>
      <c r="P361" s="17" t="n"/>
      <c r="Q361" s="32" t="inlineStr">
        <is>
          <t>P</t>
        </is>
      </c>
      <c r="R361" s="32" t="inlineStr">
        <is>
          <t>FL_DES_AFFF_50l</t>
        </is>
      </c>
      <c r="S361" s="17" t="inlineStr">
        <is>
          <t>Montaje final, después de la pintura, con las ruedas (proceso de carros, puesto 8)</t>
        </is>
      </c>
    </row>
    <row r="362">
      <c r="A362" s="32" t="inlineStr">
        <is>
          <t>FL_MAT_AFFF_50l</t>
        </is>
      </c>
      <c r="B362" s="32" t="n">
        <v>2</v>
      </c>
      <c r="C362" s="32" t="inlineStr">
        <is>
          <t>AFFF50-11</t>
        </is>
      </c>
      <c r="D362" s="17" t="inlineStr">
        <is>
          <t xml:space="preserve">        Arandelas de tope (4)</t>
        </is>
      </c>
      <c r="E362" s="32" t="n">
        <v>1</v>
      </c>
      <c r="F362" s="32" t="inlineStr">
        <is>
          <t>u</t>
        </is>
      </c>
      <c r="G362" s="33" t="n">
        <v>0.0891</v>
      </c>
      <c r="H362" s="33">
        <f>E362*G362</f>
        <v/>
      </c>
      <c r="I362" s="32" t="inlineStr">
        <is>
          <t>Acero SAE 1010 Ø40 × 4</t>
        </is>
      </c>
      <c r="J362" s="17" t="inlineStr">
        <is>
          <t>4 × Ø40 × Ø26,4 × 4 (a cada lado de cada rueda)</t>
        </is>
      </c>
      <c r="K362" s="32" t="inlineStr">
        <is>
          <t>Compra (en el conjunto)</t>
        </is>
      </c>
      <c r="L362" s="32" t="inlineStr">
        <is>
          <t>No</t>
        </is>
      </c>
      <c r="M362" s="17" t="n"/>
      <c r="N362" s="17" t="n"/>
      <c r="O362" s="17" t="inlineStr">
        <is>
          <t>S4 - se compra terminado (tercerizado con sello IRAM)</t>
        </is>
      </c>
      <c r="P362" s="17" t="n"/>
      <c r="Q362" s="32" t="inlineStr">
        <is>
          <t>P</t>
        </is>
      </c>
      <c r="R362" s="32" t="inlineStr">
        <is>
          <t>FL_DES_AFFF_50l</t>
        </is>
      </c>
      <c r="S362" s="17" t="inlineStr">
        <is>
          <t>Montaje final, después de la pintura, con las ruedas (proceso de carros, puesto 8)</t>
        </is>
      </c>
    </row>
    <row r="363">
      <c r="A363" s="32" t="inlineStr">
        <is>
          <t>FL_MAT_AFFF_50l</t>
        </is>
      </c>
      <c r="B363" s="32" t="n">
        <v>2</v>
      </c>
      <c r="C363" s="32" t="inlineStr">
        <is>
          <t>AFFF50-12</t>
        </is>
      </c>
      <c r="D363" s="17" t="inlineStr">
        <is>
          <t xml:space="preserve">        Pasadores del eje (2)</t>
        </is>
      </c>
      <c r="E363" s="32" t="n">
        <v>1</v>
      </c>
      <c r="F363" s="32" t="inlineStr">
        <is>
          <t>u</t>
        </is>
      </c>
      <c r="G363" s="33" t="n">
        <v>0.0132</v>
      </c>
      <c r="H363" s="33">
        <f>E363*G363</f>
        <v/>
      </c>
      <c r="I363" s="32" t="inlineStr">
        <is>
          <t>Pasador partido acero Ø4 × 40</t>
        </is>
      </c>
      <c r="J363" s="17" t="inlineStr">
        <is>
          <t>2 pasadores partidos Ø4 × 40, uno en cada punta del eje, por fuera de la arandela</t>
        </is>
      </c>
      <c r="K363" s="32" t="inlineStr">
        <is>
          <t>Compra (en el conjunto)</t>
        </is>
      </c>
      <c r="L363" s="32" t="inlineStr">
        <is>
          <t>No</t>
        </is>
      </c>
      <c r="M363" s="17" t="n"/>
      <c r="N363" s="17" t="n"/>
      <c r="O363" s="17" t="inlineStr">
        <is>
          <t>S4 - se compra terminado (tercerizado con sello IRAM)</t>
        </is>
      </c>
      <c r="P363" s="17" t="n"/>
      <c r="Q363" s="32" t="inlineStr">
        <is>
          <t>P</t>
        </is>
      </c>
      <c r="R363" s="32" t="inlineStr">
        <is>
          <t>FL_DES_AFFF_50l</t>
        </is>
      </c>
      <c r="S363" s="17" t="inlineStr">
        <is>
          <t>Montaje final, después de la pintura, con las ruedas (proceso de carros, puesto 8)</t>
        </is>
      </c>
    </row>
    <row r="364">
      <c r="A364" s="32" t="inlineStr">
        <is>
          <t>FL_MAT_AFFF_50l</t>
        </is>
      </c>
      <c r="B364" s="32" t="n">
        <v>2</v>
      </c>
      <c r="C364" s="32" t="inlineStr">
        <is>
          <t>AFFF50-13</t>
        </is>
      </c>
      <c r="D364" s="17" t="inlineStr">
        <is>
          <t xml:space="preserve">        Manija del carro</t>
        </is>
      </c>
      <c r="E364" s="32" t="n">
        <v>1</v>
      </c>
      <c r="F364" s="32" t="inlineStr">
        <is>
          <t>u</t>
        </is>
      </c>
      <c r="G364" s="33" t="n">
        <v>1.685</v>
      </c>
      <c r="H364" s="33">
        <f>E364*G364</f>
        <v/>
      </c>
      <c r="I364" s="32" t="inlineStr">
        <is>
          <t>Caño acero SAE 1010 1" × 2,0</t>
        </is>
      </c>
      <c r="J364" s="17" t="inlineStr">
        <is>
          <t>caño 1" (Ø25,4) × 2,0, corte 1.560 (desarrollado del modelo 1.552); puntas aplastadas en lengüetas 40 × 60 × 4 soldadas a los costados, borde de abajo 200 bajo la costura de la cúpula; 2 curvas de 90° y 2 de 30° (doblez a 1.015 del piso), puño hacia atrás a 1.210</t>
        </is>
      </c>
      <c r="K364" s="32" t="inlineStr">
        <is>
          <t>Compra (en el conjunto)</t>
        </is>
      </c>
      <c r="L364" s="32" t="inlineStr">
        <is>
          <t>No</t>
        </is>
      </c>
      <c r="M364" s="17" t="n"/>
      <c r="N364" s="17" t="n"/>
      <c r="O364" s="17" t="inlineStr">
        <is>
          <t>S4 - se compra terminado (tercerizado con sello IRAM)</t>
        </is>
      </c>
      <c r="P364" s="17" t="n"/>
      <c r="Q364" s="32" t="inlineStr">
        <is>
          <t>P</t>
        </is>
      </c>
      <c r="R364" s="32" t="inlineStr">
        <is>
          <t>FL_DES_AFFF_50l</t>
        </is>
      </c>
      <c r="S364"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365">
      <c r="A365" s="32" t="inlineStr">
        <is>
          <t>FL_MAT_AFFF_50l</t>
        </is>
      </c>
      <c r="B365" s="32" t="n">
        <v>2</v>
      </c>
      <c r="C365" s="32" t="inlineStr">
        <is>
          <t>AFFF50-27</t>
        </is>
      </c>
      <c r="D365" s="17" t="inlineStr">
        <is>
          <t xml:space="preserve">        Flejes del soporte de manga (2)</t>
        </is>
      </c>
      <c r="E365" s="32" t="n">
        <v>1</v>
      </c>
      <c r="F365" s="32" t="inlineStr">
        <is>
          <t>u</t>
        </is>
      </c>
      <c r="G365" s="33" t="n">
        <v>0.8231000000000001</v>
      </c>
      <c r="H365" s="33">
        <f>E365*G365</f>
        <v/>
      </c>
      <c r="I365" s="32" t="inlineStr">
        <is>
          <t>Chapa LAC 3,2 × 40 plegada</t>
        </is>
      </c>
      <c r="J365" s="17" t="inlineStr">
        <is>
          <t>2 flejes iguales 40 × 3,2 de 398 de corte, 4 dobleces de 90° (U abierta hacia afuera): base 174 por fuera, soldada al cuerpo por el centro, patas 104 (hasta delante de la última vuelta) y orejas 20 hacia los costados; superior a 40 bajo la costura de la cúpula, inferior a 40 sobre la del fondo; la manga pasa por afuera de las patas y detrás de las orejas</t>
        </is>
      </c>
      <c r="K365" s="32" t="inlineStr">
        <is>
          <t>Compra (en el conjunto)</t>
        </is>
      </c>
      <c r="L365" s="32" t="inlineStr">
        <is>
          <t>No</t>
        </is>
      </c>
      <c r="M365" s="17" t="n"/>
      <c r="N365" s="17" t="n"/>
      <c r="O365" s="17" t="inlineStr">
        <is>
          <t>S4 - se compra terminado (tercerizado con sello IRAM)</t>
        </is>
      </c>
      <c r="P365" s="17" t="n"/>
      <c r="Q365" s="32" t="inlineStr">
        <is>
          <t>P</t>
        </is>
      </c>
      <c r="R365" s="32" t="inlineStr">
        <is>
          <t>FL_DES_AFFF_50l</t>
        </is>
      </c>
      <c r="S365" s="17" t="inlineStr">
        <is>
          <t>Proceso FLAMA de carros, puesto 8 (kit del 8.1): medidas y posición de la tabla del puesto; se suelda antes de la prueba hidráulica (IRAM 3550 6.1.1); chapa de las orillas del corte (sin compra)</t>
        </is>
      </c>
    </row>
    <row r="366">
      <c r="A366" s="29" t="inlineStr">
        <is>
          <t>FL_MAT_AFFF_50l</t>
        </is>
      </c>
      <c r="B366" s="29" t="n">
        <v>1</v>
      </c>
      <c r="C366" s="29" t="inlineStr">
        <is>
          <t>AFFF50-S5</t>
        </is>
      </c>
      <c r="D366" s="30" t="inlineStr">
        <is>
          <t xml:space="preserve">    Carga: agente extintor y gas impulsor</t>
        </is>
      </c>
      <c r="E366" s="29" t="n">
        <v>1</v>
      </c>
      <c r="F366" s="29" t="inlineStr">
        <is>
          <t>u</t>
        </is>
      </c>
      <c r="G366" s="31" t="n"/>
      <c r="H366" s="31">
        <f>H367+H368+H369</f>
        <v/>
      </c>
      <c r="I366" s="29" t="n"/>
      <c r="J366" s="30" t="n"/>
      <c r="K366" s="29" t="inlineStr">
        <is>
          <t>Compra</t>
        </is>
      </c>
      <c r="L366" s="29" t="n"/>
      <c r="M366" s="30" t="n"/>
      <c r="N366" s="30" t="n"/>
      <c r="O366" s="30" t="n"/>
      <c r="P366" s="30" t="n"/>
      <c r="Q366" s="29" t="n"/>
      <c r="R366" s="29" t="n"/>
      <c r="S366" s="30" t="n"/>
    </row>
    <row r="367">
      <c r="A367" s="32" t="inlineStr">
        <is>
          <t>FL_MAT_AFFF_50l</t>
        </is>
      </c>
      <c r="B367" s="32" t="n">
        <v>2</v>
      </c>
      <c r="C367" s="32" t="inlineStr">
        <is>
          <t>AFFF50-A1</t>
        </is>
      </c>
      <c r="D367" s="17" t="inlineStr">
        <is>
          <t xml:space="preserve">        Agua potable (premezcla)</t>
        </is>
      </c>
      <c r="E367" s="32" t="n">
        <v>48.5</v>
      </c>
      <c r="F367" s="32" t="inlineStr">
        <is>
          <t>L</t>
        </is>
      </c>
      <c r="G367" s="33" t="n">
        <v>1</v>
      </c>
      <c r="H367" s="33">
        <f>E367*G367</f>
        <v/>
      </c>
      <c r="I367" s="32" t="inlineStr">
        <is>
          <t>Agua</t>
        </is>
      </c>
      <c r="J367" s="17" t="inlineStr">
        <is>
          <t>97 % de 50 L; tolerancia ± 3 %</t>
        </is>
      </c>
      <c r="K367" s="32" t="inlineStr">
        <is>
          <t>Red</t>
        </is>
      </c>
      <c r="L367" s="32" t="inlineStr">
        <is>
          <t>No</t>
        </is>
      </c>
      <c r="M367" s="17" t="n"/>
      <c r="N367" s="17" t="n"/>
      <c r="O367" s="17" t="inlineStr">
        <is>
          <t>SP-1 premezcla</t>
        </is>
      </c>
      <c r="P367" s="17" t="inlineStr">
        <is>
          <t>IRAM 3517-2:2020 tabla 3</t>
        </is>
      </c>
      <c r="Q367" s="32" t="inlineStr">
        <is>
          <t>N</t>
        </is>
      </c>
      <c r="R367" s="32" t="n"/>
      <c r="S367" s="17" t="n"/>
    </row>
    <row r="368">
      <c r="A368" s="32" t="inlineStr">
        <is>
          <t>FL_MAT_AFFF_50l</t>
        </is>
      </c>
      <c r="B368" s="32" t="n">
        <v>2</v>
      </c>
      <c r="C368" s="32" t="inlineStr">
        <is>
          <t>AFFF50-A1b</t>
        </is>
      </c>
      <c r="D368" s="17" t="inlineStr">
        <is>
          <t xml:space="preserve">        Concentrado espumígeno AFFF 3 % (IRAM 3515)</t>
        </is>
      </c>
      <c r="E368" s="32" t="n">
        <v>1.5</v>
      </c>
      <c r="F368" s="32" t="inlineStr">
        <is>
          <t>L</t>
        </is>
      </c>
      <c r="G368" s="33" t="n">
        <v>1.025</v>
      </c>
      <c r="H368" s="33">
        <f>E368*G368</f>
        <v/>
      </c>
      <c r="I368" s="32" t="inlineStr">
        <is>
          <t>Concentrado espumígeno AFFF 3 % (IRAM 3515)</t>
        </is>
      </c>
      <c r="J368" s="17" t="inlineStr">
        <is>
          <t>nominal 1,5 L; tolerancia ± 3 % (IRAM 3517-2:2020 tabla 3)</t>
        </is>
      </c>
      <c r="K368" s="32" t="inlineStr">
        <is>
          <t>Compra</t>
        </is>
      </c>
      <c r="L368" s="32" t="inlineStr">
        <is>
          <t>No</t>
        </is>
      </c>
      <c r="M368" s="17" t="n"/>
      <c r="N368" s="17" t="n"/>
      <c r="O368" s="17" t="inlineStr">
        <is>
          <t>SP-1 almacén previo a la carga</t>
        </is>
      </c>
      <c r="P368" s="17" t="inlineStr">
        <is>
          <t>IRAM 3515</t>
        </is>
      </c>
      <c r="Q368" s="32" t="inlineStr">
        <is>
          <t>N</t>
        </is>
      </c>
      <c r="R368" s="32" t="n"/>
      <c r="S368" s="17" t="n"/>
    </row>
    <row r="369">
      <c r="A369" s="32" t="inlineStr">
        <is>
          <t>FL_MAT_AFFF_50l</t>
        </is>
      </c>
      <c r="B369" s="32" t="n">
        <v>2</v>
      </c>
      <c r="C369" s="32" t="inlineStr">
        <is>
          <t>AFFF50-A2</t>
        </is>
      </c>
      <c r="D369" s="17" t="inlineStr">
        <is>
          <t xml:space="preserve">        Gas impulsor: Aire comprimido</t>
        </is>
      </c>
      <c r="E369" s="32" t="n">
        <v>0.1265</v>
      </c>
      <c r="F369" s="32" t="inlineStr">
        <is>
          <t>kg</t>
        </is>
      </c>
      <c r="G369" s="33" t="n">
        <v>1</v>
      </c>
      <c r="H369" s="33">
        <f>E369*G369</f>
        <v/>
      </c>
      <c r="I369" s="32" t="inlineStr">
        <is>
          <t>Aire comprimido</t>
        </is>
      </c>
      <c r="J369" s="17" t="inlineStr">
        <is>
          <t>97,8 L normales para 0,8 MPa a 20 °C en 11,8 dm³ libres</t>
        </is>
      </c>
      <c r="K369" s="32" t="inlineStr">
        <is>
          <t>Compra</t>
        </is>
      </c>
      <c r="L369" s="32" t="inlineStr">
        <is>
          <t>No</t>
        </is>
      </c>
      <c r="M369" s="17" t="n"/>
      <c r="N369" s="17" t="n"/>
      <c r="O369" s="17" t="inlineStr">
        <is>
          <t>20 Presurización (T05) / C10</t>
        </is>
      </c>
      <c r="P369" s="17" t="inlineStr">
        <is>
          <t>IRAM 3517-2 9.4.9 (tabla 2) · IRAM 3523 2.3 y 3.10</t>
        </is>
      </c>
      <c r="Q369" s="32" t="inlineStr">
        <is>
          <t>C</t>
        </is>
      </c>
      <c r="R369" s="32" t="n"/>
      <c r="S369" s="17" t="inlineStr">
        <is>
          <t>Batería en SP-1; punto de rocío ≤ -56,7 °C para gases limpios</t>
        </is>
      </c>
    </row>
    <row r="370">
      <c r="A370" s="29" t="inlineStr">
        <is>
          <t>FL_MAT_AFFF_50l</t>
        </is>
      </c>
      <c r="B370" s="29" t="n">
        <v>1</v>
      </c>
      <c r="C370" s="29" t="inlineStr">
        <is>
          <t>AFFF50-S6</t>
        </is>
      </c>
      <c r="D370" s="30" t="inlineStr">
        <is>
          <t xml:space="preserve">    Identificación y precinto</t>
        </is>
      </c>
      <c r="E370" s="29" t="n">
        <v>1</v>
      </c>
      <c r="F370" s="29" t="inlineStr">
        <is>
          <t>u</t>
        </is>
      </c>
      <c r="G370" s="31" t="n"/>
      <c r="H370" s="31">
        <f>H371+H372+H373+H374+H375+H376+H377</f>
        <v/>
      </c>
      <c r="I370" s="29" t="n"/>
      <c r="J370" s="30" t="n"/>
      <c r="K370" s="29" t="inlineStr">
        <is>
          <t>Compra</t>
        </is>
      </c>
      <c r="L370" s="29" t="n"/>
      <c r="M370" s="30" t="n"/>
      <c r="N370" s="30" t="n"/>
      <c r="O370" s="30" t="inlineStr">
        <is>
          <t>22 Etiquetado (T07)</t>
        </is>
      </c>
      <c r="P370" s="30" t="n"/>
      <c r="Q370" s="29" t="n"/>
      <c r="R370" s="29" t="n"/>
      <c r="S370" s="30" t="n"/>
    </row>
    <row r="371">
      <c r="A371" s="32" t="inlineStr">
        <is>
          <t>FL_MAT_AFFF_50l</t>
        </is>
      </c>
      <c r="B371" s="32" t="n">
        <v>2</v>
      </c>
      <c r="C371" s="32" t="inlineStr">
        <is>
          <t>AFFF50-30</t>
        </is>
      </c>
      <c r="D371" s="17" t="inlineStr">
        <is>
          <t xml:space="preserve">        Etiqueta / placa de características</t>
        </is>
      </c>
      <c r="E371" s="32" t="n">
        <v>1</v>
      </c>
      <c r="F371" s="32" t="inlineStr">
        <is>
          <t>u</t>
        </is>
      </c>
      <c r="G371" s="33" t="n">
        <v>0.0549</v>
      </c>
      <c r="H371" s="33">
        <f>E371*G371</f>
        <v/>
      </c>
      <c r="I371" s="32" t="inlineStr">
        <is>
          <t>Vinilo autoadhesivo laminado</t>
        </is>
      </c>
      <c r="J371" s="17" t="inlineStr">
        <is>
          <t>604 × 217 (desarrollo × alto: panel central 108° + 2 alas laterales), e ≈ 0,3, laminado UV</t>
        </is>
      </c>
      <c r="K371" s="32" t="inlineStr">
        <is>
          <t>Compra</t>
        </is>
      </c>
      <c r="L371" s="32" t="inlineStr">
        <is>
          <t>No</t>
        </is>
      </c>
      <c r="M371" s="17" t="n"/>
      <c r="N371" s="17" t="n"/>
      <c r="O371" s="17" t="inlineStr">
        <is>
          <t>22 Etiquetado (T07)</t>
        </is>
      </c>
      <c r="P371" s="17" t="inlineStr">
        <is>
          <t>IRAM 3534 · IRAM 3541 cap. 5 · relevamiento de mercado</t>
        </is>
      </c>
      <c r="Q371" s="32" t="inlineStr">
        <is>
          <t>P</t>
        </is>
      </c>
      <c r="R371" s="32" t="inlineStr">
        <is>
          <t>FL_DES_AFFF_50l</t>
        </is>
      </c>
      <c r="S371" s="17" t="inlineStr">
        <is>
          <t>IRAM 3534</t>
        </is>
      </c>
    </row>
    <row r="372">
      <c r="A372" s="32" t="inlineStr">
        <is>
          <t>FL_MAT_AFFF_50l</t>
        </is>
      </c>
      <c r="B372" s="32" t="n">
        <v>2</v>
      </c>
      <c r="C372" s="32" t="inlineStr">
        <is>
          <t>AFFF50-31</t>
        </is>
      </c>
      <c r="D372" s="17" t="inlineStr">
        <is>
          <t xml:space="preserve">        Oblea de fabricación (PBA)</t>
        </is>
      </c>
      <c r="E372" s="32" t="n">
        <v>1</v>
      </c>
      <c r="F372" s="32" t="inlineStr">
        <is>
          <t>u</t>
        </is>
      </c>
      <c r="G372" s="33" t="n">
        <v>0.0009</v>
      </c>
      <c r="H372" s="33">
        <f>E372*G372</f>
        <v/>
      </c>
      <c r="I372" s="32" t="inlineStr">
        <is>
          <t>Papel de seguridad autodestructible</t>
        </is>
      </c>
      <c r="J372" s="17" t="inlineStr">
        <is>
          <t>Ø46 (Res. OPDS 522/07), numerada, autodestructible</t>
        </is>
      </c>
      <c r="K372" s="32" t="inlineStr">
        <is>
          <t>Compra</t>
        </is>
      </c>
      <c r="L372" s="32" t="inlineStr">
        <is>
          <t>No</t>
        </is>
      </c>
      <c r="M372" s="17" t="n"/>
      <c r="N372" s="17" t="n"/>
      <c r="O372" s="17" t="inlineStr">
        <is>
          <t>22 Etiquetado (T07)</t>
        </is>
      </c>
      <c r="P372" s="17" t="inlineStr">
        <is>
          <t>Res. OPDS 522/07 anexos 1, 2 y 6</t>
        </is>
      </c>
      <c r="Q372" s="32" t="inlineStr">
        <is>
          <t>P</t>
        </is>
      </c>
      <c r="R372" s="32" t="inlineStr">
        <is>
          <t>FL_DES_AFFF_50l</t>
        </is>
      </c>
      <c r="S372" s="17" t="inlineStr">
        <is>
          <t>Res. 522/07</t>
        </is>
      </c>
    </row>
    <row r="373">
      <c r="A373" s="32" t="inlineStr">
        <is>
          <t>FL_MAT_AFFF_50l</t>
        </is>
      </c>
      <c r="B373" s="32" t="n">
        <v>2</v>
      </c>
      <c r="C373" s="32" t="inlineStr">
        <is>
          <t>AFFF50-32</t>
        </is>
      </c>
      <c r="D373" s="17" t="inlineStr">
        <is>
          <t xml:space="preserve">        Estampilla IRAM de conformidad</t>
        </is>
      </c>
      <c r="E373" s="32" t="n">
        <v>1</v>
      </c>
      <c r="F373" s="32" t="inlineStr">
        <is>
          <t>u</t>
        </is>
      </c>
      <c r="G373" s="33" t="n">
        <v>0.001</v>
      </c>
      <c r="H373" s="33">
        <f>E373*G373</f>
        <v/>
      </c>
      <c r="I373" s="32" t="inlineStr">
        <is>
          <t>Provista por IRAM (Anexo R)</t>
        </is>
      </c>
      <c r="J373" s="17" t="inlineStr">
        <is>
          <t>60 × 40</t>
        </is>
      </c>
      <c r="K373" s="32" t="inlineStr">
        <is>
          <t>Compra</t>
        </is>
      </c>
      <c r="L373" s="32" t="inlineStr">
        <is>
          <t>No</t>
        </is>
      </c>
      <c r="M373" s="17" t="n"/>
      <c r="N373" s="17" t="n"/>
      <c r="O373" s="17" t="inlineStr">
        <is>
          <t>22 Etiquetado (T07)</t>
        </is>
      </c>
      <c r="P373" s="17" t="inlineStr">
        <is>
          <t>IRAM Anexo R (DC-PG-129)</t>
        </is>
      </c>
      <c r="Q373" s="32" t="inlineStr">
        <is>
          <t>P</t>
        </is>
      </c>
      <c r="R373" s="32" t="inlineStr">
        <is>
          <t>FL_DES_AFFF_50l</t>
        </is>
      </c>
      <c r="S373" s="17" t="inlineStr">
        <is>
          <t>numerada</t>
        </is>
      </c>
    </row>
    <row r="374">
      <c r="A374" s="32" t="inlineStr">
        <is>
          <t>FL_MAT_AFFF_50l</t>
        </is>
      </c>
      <c r="B374" s="32" t="n">
        <v>2</v>
      </c>
      <c r="C374" s="32" t="inlineStr">
        <is>
          <t>AFFF50-33</t>
        </is>
      </c>
      <c r="D374" s="17" t="inlineStr">
        <is>
          <t xml:space="preserve">        Tarjeta de identificación AGC (CABA)</t>
        </is>
      </c>
      <c r="E374" s="32" t="n">
        <v>1</v>
      </c>
      <c r="F374" s="32" t="inlineStr">
        <is>
          <t>u</t>
        </is>
      </c>
      <c r="G374" s="33" t="n">
        <v>0.0032</v>
      </c>
      <c r="H374" s="33">
        <f>E374*G374</f>
        <v/>
      </c>
      <c r="I374" s="32" t="inlineStr">
        <is>
          <t>Etiqueta autoadhesiva emitida por la AGC</t>
        </is>
      </c>
      <c r="J374" s="17" t="inlineStr">
        <is>
          <t>140 × 55</t>
        </is>
      </c>
      <c r="K374" s="32" t="inlineStr">
        <is>
          <t>Compra</t>
        </is>
      </c>
      <c r="L374" s="32" t="inlineStr">
        <is>
          <t>Sí</t>
        </is>
      </c>
      <c r="M374" s="17" t="inlineStr">
        <is>
          <t>Agencia Gubernamental de Control (CABA)</t>
        </is>
      </c>
      <c r="N374" s="17" t="inlineStr">
        <is>
          <t>-</t>
        </is>
      </c>
      <c r="O374" s="17" t="inlineStr">
        <is>
          <t>22 Etiquetado (T07)</t>
        </is>
      </c>
      <c r="P374" s="17" t="inlineStr">
        <is>
          <t>Ordenanza 40.473 art. 6 · Res. AGC 32/15</t>
        </is>
      </c>
      <c r="Q374" s="32" t="inlineStr">
        <is>
          <t>P</t>
        </is>
      </c>
      <c r="R374" s="32" t="inlineStr">
        <is>
          <t>FL_DES_AFFF_50l</t>
        </is>
      </c>
      <c r="S374" s="17" t="inlineStr">
        <is>
          <t>sólo destino CABA; sólo destino CABA</t>
        </is>
      </c>
    </row>
    <row r="375">
      <c r="A375" s="32" t="inlineStr">
        <is>
          <t>FL_MAT_AFFF_50l</t>
        </is>
      </c>
      <c r="B375" s="32" t="n">
        <v>2</v>
      </c>
      <c r="C375" s="32" t="inlineStr">
        <is>
          <t>AFFF50-34</t>
        </is>
      </c>
      <c r="D375" s="17" t="inlineStr">
        <is>
          <t xml:space="preserve">        Etiqueta de n° de serie GS1</t>
        </is>
      </c>
      <c r="E375" s="32" t="n">
        <v>1</v>
      </c>
      <c r="F375" s="32" t="inlineStr">
        <is>
          <t>u</t>
        </is>
      </c>
      <c r="G375" s="33" t="n">
        <v>0.0005</v>
      </c>
      <c r="H375" s="33">
        <f>E375*G375</f>
        <v/>
      </c>
      <c r="I375" s="32" t="inlineStr">
        <is>
          <t>Poliéster autoadhesivo impreso térmico</t>
        </is>
      </c>
      <c r="J375" s="17" t="inlineStr">
        <is>
          <t>45 × 25</t>
        </is>
      </c>
      <c r="K375" s="32" t="inlineStr">
        <is>
          <t>Compra</t>
        </is>
      </c>
      <c r="L375" s="32" t="inlineStr">
        <is>
          <t>No</t>
        </is>
      </c>
      <c r="M375" s="17" t="n"/>
      <c r="N375" s="17" t="n"/>
      <c r="O375" s="17" t="inlineStr">
        <is>
          <t>22 Etiquetado (T07)</t>
        </is>
      </c>
      <c r="P375" s="17" t="inlineStr">
        <is>
          <t>GS1 Argentina (GTIN 779) · trazabilidad IRAM 3523 5.1</t>
        </is>
      </c>
      <c r="Q375" s="32" t="inlineStr">
        <is>
          <t>P</t>
        </is>
      </c>
      <c r="R375" s="32" t="inlineStr">
        <is>
          <t>FL_DES_AFFF_50l</t>
        </is>
      </c>
      <c r="S375" s="17" t="inlineStr">
        <is>
          <t>QR GTIN + serie</t>
        </is>
      </c>
    </row>
    <row r="376">
      <c r="A376" s="32" t="inlineStr">
        <is>
          <t>FL_MAT_AFFF_50l</t>
        </is>
      </c>
      <c r="B376" s="32" t="n">
        <v>2</v>
      </c>
      <c r="C376" s="32" t="inlineStr">
        <is>
          <t>AFFF50-36</t>
        </is>
      </c>
      <c r="D376" s="17" t="inlineStr">
        <is>
          <t xml:space="preserve">        Faja de garantía válvula-cuello</t>
        </is>
      </c>
      <c r="E376" s="32" t="n">
        <v>1</v>
      </c>
      <c r="F376" s="32" t="inlineStr">
        <is>
          <t>u</t>
        </is>
      </c>
      <c r="G376" s="33" t="n">
        <v>0.0004</v>
      </c>
      <c r="H376" s="33">
        <f>E376*G376</f>
        <v/>
      </c>
      <c r="I376" s="32" t="inlineStr">
        <is>
          <t>Vinilo destructible rayado rojo/blanco</t>
        </is>
      </c>
      <c r="J376" s="17" t="inlineStr">
        <is>
          <t>30 × 47 (ancho × largo desarrollado), pegada sobre la unión: cuerpo de la válvula, tuerca y cuello</t>
        </is>
      </c>
      <c r="K376" s="32" t="inlineStr">
        <is>
          <t>Compra</t>
        </is>
      </c>
      <c r="L376" s="32" t="inlineStr">
        <is>
          <t>No</t>
        </is>
      </c>
      <c r="M376" s="17" t="n"/>
      <c r="N376" s="17" t="n"/>
      <c r="O376" s="17" t="inlineStr">
        <is>
          <t>22 Etiquetado (T07)</t>
        </is>
      </c>
      <c r="P376" s="17" t="inlineStr">
        <is>
          <t>Sin norma: práctica de mercado (garantía de fábrica)</t>
        </is>
      </c>
      <c r="Q376" s="32" t="inlineStr">
        <is>
          <t>P</t>
        </is>
      </c>
      <c r="R376" s="32" t="inlineStr">
        <is>
          <t>FL_DES_AFFF_50l</t>
        </is>
      </c>
      <c r="S376" s="17" t="inlineStr">
        <is>
          <t>nuevo sin abrir</t>
        </is>
      </c>
    </row>
    <row r="377">
      <c r="A377" s="32" t="inlineStr">
        <is>
          <t>FL_MAT_AFFF_50l</t>
        </is>
      </c>
      <c r="B377" s="32" t="n">
        <v>2</v>
      </c>
      <c r="C377" s="32" t="inlineStr">
        <is>
          <t>AFFF50-37</t>
        </is>
      </c>
      <c r="D377" s="17" t="inlineStr">
        <is>
          <t xml:space="preserve">        Precinto de fábrica</t>
        </is>
      </c>
      <c r="E377" s="32" t="n">
        <v>1</v>
      </c>
      <c r="F377" s="32" t="inlineStr">
        <is>
          <t>u</t>
        </is>
      </c>
      <c r="G377" s="33" t="n">
        <v>0.0002</v>
      </c>
      <c r="H377" s="33">
        <f>E377*G377</f>
        <v/>
      </c>
      <c r="I377" s="32" t="inlineStr">
        <is>
          <t>Polipropileno color</t>
        </is>
      </c>
      <c r="J377" s="17" t="inlineStr">
        <is>
          <t>Ø5 × 10, numerado, rotura 30-50 N</t>
        </is>
      </c>
      <c r="K377" s="32" t="inlineStr">
        <is>
          <t>Compra</t>
        </is>
      </c>
      <c r="L377" s="32" t="inlineStr">
        <is>
          <t>No</t>
        </is>
      </c>
      <c r="M377" s="17" t="n"/>
      <c r="N377" s="17" t="n"/>
      <c r="O377" s="17" t="inlineStr">
        <is>
          <t>20 Presurización (T05)</t>
        </is>
      </c>
      <c r="P377" s="17" t="inlineStr">
        <is>
          <t>IRAM 3523 3.3.2 · IRAM 3517-2:2020 9.4.13</t>
        </is>
      </c>
      <c r="Q377" s="32" t="inlineStr">
        <is>
          <t>P</t>
        </is>
      </c>
      <c r="R377" s="32" t="inlineStr">
        <is>
          <t>FL_DES_AFFF_50l</t>
        </is>
      </c>
      <c r="S377" s="17" t="inlineStr">
        <is>
          <t>id. FLAMA y lote</t>
        </is>
      </c>
    </row>
    <row r="378">
      <c r="A378" s="29" t="inlineStr">
        <is>
          <t>FL_MAT_AFFF_50l</t>
        </is>
      </c>
      <c r="B378" s="29" t="n">
        <v>1</v>
      </c>
      <c r="C378" s="29" t="inlineStr">
        <is>
          <t>AFFF50-S7</t>
        </is>
      </c>
      <c r="D378" s="30" t="inlineStr">
        <is>
          <t xml:space="preserve">    Embalaje</t>
        </is>
      </c>
      <c r="E378" s="29" t="n">
        <v>1</v>
      </c>
      <c r="F378" s="29" t="inlineStr">
        <is>
          <t>u</t>
        </is>
      </c>
      <c r="G378" s="31" t="n"/>
      <c r="H378" s="31">
        <f>H381</f>
        <v/>
      </c>
      <c r="I378" s="29" t="n"/>
      <c r="J378" s="30" t="n"/>
      <c r="K378" s="29" t="inlineStr">
        <is>
          <t>Compra</t>
        </is>
      </c>
      <c r="L378" s="29" t="n"/>
      <c r="M378" s="30" t="n"/>
      <c r="N378" s="30" t="n"/>
      <c r="O378" s="30" t="inlineStr">
        <is>
          <t>23 Embalaje -&gt; 24 envolvedora (T11)</t>
        </is>
      </c>
      <c r="P378" s="30" t="n"/>
      <c r="Q378" s="29" t="n"/>
      <c r="R378" s="29" t="n"/>
      <c r="S378" s="30" t="n"/>
    </row>
    <row r="379">
      <c r="A379" s="32" t="inlineStr">
        <is>
          <t>FL_MAT_AFFF_50l</t>
        </is>
      </c>
      <c r="B379" s="32" t="n">
        <v>2</v>
      </c>
      <c r="C379" s="32" t="inlineStr">
        <is>
          <t>AFFF50-E1</t>
        </is>
      </c>
      <c r="D379" s="17" t="inlineStr">
        <is>
          <t xml:space="preserve">        Esquineros y funda de polietileno</t>
        </is>
      </c>
      <c r="E379" s="32" t="n">
        <v>1</v>
      </c>
      <c r="F379" s="32" t="inlineStr">
        <is>
          <t>jgo</t>
        </is>
      </c>
      <c r="G379" s="33" t="n"/>
      <c r="H379" s="33" t="n"/>
      <c r="I379" s="32" t="inlineStr">
        <is>
          <t>PE / cartón</t>
        </is>
      </c>
      <c r="J379" s="17" t="inlineStr">
        <is>
          <t>a medida de la envolvente del plano</t>
        </is>
      </c>
      <c r="K379" s="32" t="inlineStr">
        <is>
          <t>Compra</t>
        </is>
      </c>
      <c r="L379" s="32" t="inlineStr">
        <is>
          <t>No</t>
        </is>
      </c>
      <c r="M379" s="17" t="n"/>
      <c r="N379" s="17" t="n"/>
      <c r="O379" s="17" t="inlineStr">
        <is>
          <t>23 Embalaje</t>
        </is>
      </c>
      <c r="P379" s="17" t="n"/>
      <c r="Q379" s="32" t="inlineStr">
        <is>
          <t>P</t>
        </is>
      </c>
      <c r="R379" s="32" t="n"/>
      <c r="S379" s="17" t="inlineStr">
        <is>
          <t>Medida del plano</t>
        </is>
      </c>
    </row>
    <row r="380">
      <c r="A380" s="32" t="inlineStr">
        <is>
          <t>FL_MAT_AFFF_50l</t>
        </is>
      </c>
      <c r="B380" s="32" t="n">
        <v>2</v>
      </c>
      <c r="C380" s="32" t="inlineStr">
        <is>
          <t>AFFF50-E3</t>
        </is>
      </c>
      <c r="D380" s="17" t="inlineStr">
        <is>
          <t xml:space="preserve">        Pallet 1200 × 1000 (fracción)</t>
        </is>
      </c>
      <c r="E380" s="32" t="n">
        <v>0.5</v>
      </c>
      <c r="F380" s="32" t="inlineStr">
        <is>
          <t>u</t>
        </is>
      </c>
      <c r="G380" s="33" t="n"/>
      <c r="H380" s="33" t="n"/>
      <c r="I380" s="32" t="inlineStr">
        <is>
          <t>Madera</t>
        </is>
      </c>
      <c r="J380" s="17" t="inlineStr">
        <is>
          <t>2 u por pallet</t>
        </is>
      </c>
      <c r="K380" s="32" t="inlineStr">
        <is>
          <t>Compra</t>
        </is>
      </c>
      <c r="L380" s="32" t="inlineStr">
        <is>
          <t>No</t>
        </is>
      </c>
      <c r="M380" s="17" t="n"/>
      <c r="N380" s="17" t="n"/>
      <c r="O380" s="17" t="inlineStr">
        <is>
          <t>23 Embalaje</t>
        </is>
      </c>
      <c r="P380" s="17" t="n"/>
      <c r="Q380" s="32" t="inlineStr">
        <is>
          <t>C</t>
        </is>
      </c>
      <c r="R380" s="32" t="n"/>
      <c r="S380" s="17" t="inlineStr">
        <is>
          <t>u por pallet = acomodo de la caja (plano) en 1200 × 1000 × 1450 de alto</t>
        </is>
      </c>
    </row>
    <row r="381">
      <c r="A381" s="32" t="inlineStr">
        <is>
          <t>FL_MAT_AFFF_50l</t>
        </is>
      </c>
      <c r="B381" s="32" t="n">
        <v>2</v>
      </c>
      <c r="C381" s="32" t="inlineStr">
        <is>
          <t>AFFF50-E4</t>
        </is>
      </c>
      <c r="D381" s="17" t="inlineStr">
        <is>
          <t xml:space="preserve">        Film stretch (fracción del pallet)</t>
        </is>
      </c>
      <c r="E381" s="32" t="n">
        <v>0.06</v>
      </c>
      <c r="F381" s="32" t="inlineStr">
        <is>
          <t>kg</t>
        </is>
      </c>
      <c r="G381" s="33" t="n">
        <v>1</v>
      </c>
      <c r="H381" s="33">
        <f>E381*G381</f>
        <v/>
      </c>
      <c r="I381" s="32" t="inlineStr">
        <is>
          <t>PE lineal 23 µm</t>
        </is>
      </c>
      <c r="J381" s="17" t="inlineStr">
        <is>
          <t>0,12 kg por pallet / 2 u</t>
        </is>
      </c>
      <c r="K381" s="32" t="inlineStr">
        <is>
          <t>Compra</t>
        </is>
      </c>
      <c r="L381" s="32" t="inlineStr">
        <is>
          <t>No</t>
        </is>
      </c>
      <c r="M381" s="17" t="n"/>
      <c r="N381" s="17" t="n"/>
      <c r="O381" s="17" t="inlineStr">
        <is>
          <t>24 Envolvedora (T11)</t>
        </is>
      </c>
      <c r="P381" s="17" t="n"/>
      <c r="Q381" s="32" t="inlineStr">
        <is>
          <t>C</t>
        </is>
      </c>
      <c r="R381" s="32" t="n"/>
      <c r="S381"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82">
      <c r="A382" s="32" t="inlineStr">
        <is>
          <t>FL_MAT_AFFF_50l</t>
        </is>
      </c>
      <c r="B382" s="32" t="n">
        <v>2</v>
      </c>
      <c r="C382" s="32" t="inlineStr">
        <is>
          <t>AFFF50-E5</t>
        </is>
      </c>
      <c r="D382" s="17" t="inlineStr">
        <is>
          <t xml:space="preserve">        Etiqueta de pallet (lote y destino, fracción)</t>
        </is>
      </c>
      <c r="E382" s="32" t="n">
        <v>0.5</v>
      </c>
      <c r="F382" s="32" t="inlineStr">
        <is>
          <t>u</t>
        </is>
      </c>
      <c r="G382" s="33" t="n"/>
      <c r="H382" s="33" t="n"/>
      <c r="I382" s="32" t="inlineStr">
        <is>
          <t>Papel térmico</t>
        </is>
      </c>
      <c r="J382" s="17" t="inlineStr">
        <is>
          <t>100 × 150</t>
        </is>
      </c>
      <c r="K382" s="32" t="inlineStr">
        <is>
          <t>Compra</t>
        </is>
      </c>
      <c r="L382" s="32" t="inlineStr">
        <is>
          <t>No</t>
        </is>
      </c>
      <c r="M382" s="17" t="n"/>
      <c r="N382" s="17" t="n"/>
      <c r="O382" s="17" t="inlineStr">
        <is>
          <t>24 Envolvedora</t>
        </is>
      </c>
      <c r="P382" s="17" t="n"/>
      <c r="Q382" s="32" t="inlineStr">
        <is>
          <t>C</t>
        </is>
      </c>
      <c r="R382" s="32" t="n"/>
      <c r="S382" s="17" t="n"/>
    </row>
    <row r="383">
      <c r="A383" s="26" t="inlineStr">
        <is>
          <t>FL_MAT_BC_5kg</t>
        </is>
      </c>
      <c r="B383" s="26" t="n">
        <v>0</v>
      </c>
      <c r="C383" s="26" t="inlineStr">
        <is>
          <t>FL_MAT_BC_5kg</t>
        </is>
      </c>
      <c r="D383" s="27" t="inlineStr">
        <is>
          <t>Extintor BC 5 kg</t>
        </is>
      </c>
      <c r="E383" s="26" t="n">
        <v>1</v>
      </c>
      <c r="F383" s="26" t="inlineStr">
        <is>
          <t>u</t>
        </is>
      </c>
      <c r="G383" s="28" t="n"/>
      <c r="H383" s="28" t="n"/>
      <c r="I383" s="26" t="n"/>
      <c r="J383" s="27" t="n"/>
      <c r="K383" s="26" t="n"/>
      <c r="L383" s="26" t="n"/>
      <c r="M383" s="27" t="n"/>
      <c r="N383" s="27" t="n"/>
      <c r="O383" s="27" t="n"/>
      <c r="P383" s="27" t="inlineStr">
        <is>
          <t>IRAM 3523</t>
        </is>
      </c>
      <c r="Q383" s="26" t="inlineStr">
        <is>
          <t>P</t>
        </is>
      </c>
      <c r="R383" s="26" t="inlineStr">
        <is>
          <t>FL_MAT_BC_5kg</t>
        </is>
      </c>
      <c r="S383" s="27" t="inlineStr">
        <is>
          <t>Revendido: se compra terminado al fabricante con Sello IRAM; las piezas internas quedan como referencia (no entran en MRP)</t>
        </is>
      </c>
    </row>
    <row r="384">
      <c r="A384" s="29" t="inlineStr">
        <is>
          <t>FL_MAT_BC_5kg</t>
        </is>
      </c>
      <c r="B384" s="29" t="n">
        <v>1</v>
      </c>
      <c r="C384" s="29" t="inlineStr">
        <is>
          <t>BC5-S0</t>
        </is>
      </c>
      <c r="D384" s="30" t="inlineStr">
        <is>
          <t xml:space="preserve">    Equipo terminado comprado (fabricante con Sello IRAM)</t>
        </is>
      </c>
      <c r="E384" s="29" t="n">
        <v>1</v>
      </c>
      <c r="F384" s="29" t="inlineStr">
        <is>
          <t>u</t>
        </is>
      </c>
      <c r="G384" s="31" t="n"/>
      <c r="H384" s="31" t="n"/>
      <c r="I384" s="29" t="n"/>
      <c r="J384" s="30" t="n"/>
      <c r="K384" s="29" t="inlineStr">
        <is>
          <t>Compra</t>
        </is>
      </c>
      <c r="L384" s="29" t="inlineStr">
        <is>
          <t>Sí</t>
        </is>
      </c>
      <c r="M384" s="30" t="inlineStr">
        <is>
          <t>Matafuegos Georgia - venta mayorista</t>
        </is>
      </c>
      <c r="N384" s="30" t="inlineStr">
        <is>
          <t>Melisam</t>
        </is>
      </c>
      <c r="O384" s="30" t="inlineStr">
        <is>
          <t>Recepción y control de ingreso (SP-1)</t>
        </is>
      </c>
      <c r="P384" s="30" t="inlineStr">
        <is>
          <t>IRAM 3523</t>
        </is>
      </c>
      <c r="Q384" s="29" t="inlineStr">
        <is>
          <t>I</t>
        </is>
      </c>
      <c r="R384" s="29" t="inlineStr">
        <is>
          <t>FL_MAT_BC_5kg</t>
        </is>
      </c>
      <c r="S384" s="30" t="inlineStr">
        <is>
          <t>Única fila de compra del revendido (más la tarjeta AGC si el destino es CABA)</t>
        </is>
      </c>
    </row>
    <row r="385">
      <c r="A385" s="29" t="inlineStr">
        <is>
          <t>FL_MAT_BC_5kg</t>
        </is>
      </c>
      <c r="B385" s="29" t="n">
        <v>1</v>
      </c>
      <c r="C385" s="29" t="inlineStr">
        <is>
          <t>BC5-S1</t>
        </is>
      </c>
      <c r="D385" s="30" t="inlineStr">
        <is>
          <t xml:space="preserve">    Recipiente (cilindro)</t>
        </is>
      </c>
      <c r="E385" s="29" t="n">
        <v>1</v>
      </c>
      <c r="F385" s="29" t="inlineStr">
        <is>
          <t>u</t>
        </is>
      </c>
      <c r="G385" s="31" t="n"/>
      <c r="H385" s="31">
        <f>H386+H387+H388+H389</f>
        <v/>
      </c>
      <c r="I385" s="29" t="n"/>
      <c r="J385" s="30" t="n"/>
      <c r="K385" s="29" t="inlineStr">
        <is>
          <t>Compra / armado</t>
        </is>
      </c>
      <c r="L385" s="29" t="n"/>
      <c r="M385" s="30" t="n"/>
      <c r="N385" s="30" t="n"/>
      <c r="O385" s="30" t="n"/>
      <c r="P385" s="30" t="inlineStr">
        <is>
          <t>IRAM 3523 / 3550 (recipiente)</t>
        </is>
      </c>
      <c r="Q385" s="29" t="inlineStr">
        <is>
          <t>P</t>
        </is>
      </c>
      <c r="R385" s="29" t="inlineStr">
        <is>
          <t>FL_DES_BC_5kg</t>
        </is>
      </c>
      <c r="S385" s="30" t="n"/>
    </row>
    <row r="386">
      <c r="A386" s="32" t="inlineStr">
        <is>
          <t>FL_MAT_BC_5kg</t>
        </is>
      </c>
      <c r="B386" s="32" t="n">
        <v>2</v>
      </c>
      <c r="C386" s="32" t="inlineStr">
        <is>
          <t>BC5-01</t>
        </is>
      </c>
      <c r="D386" s="17" t="inlineStr">
        <is>
          <t xml:space="preserve">        Cuerpo (virola)</t>
        </is>
      </c>
      <c r="E386" s="32" t="n">
        <v>1</v>
      </c>
      <c r="F386" s="32" t="inlineStr">
        <is>
          <t>u</t>
        </is>
      </c>
      <c r="G386" s="33" t="n">
        <v>1.9541</v>
      </c>
      <c r="H386" s="33">
        <f>E386*G386</f>
        <v/>
      </c>
      <c r="I386" s="32" t="inlineStr">
        <is>
          <t>Chapa LAF IRAM-IAS U 500-05 e=1,6</t>
        </is>
      </c>
      <c r="J386" s="17" t="inlineStr">
        <is>
          <t>Ø153 × e1,6 × 327,3 de alto; desarrollo 475,6 × 327,3</t>
        </is>
      </c>
      <c r="K386" s="32" t="inlineStr">
        <is>
          <t>Compra (en el conjunto)</t>
        </is>
      </c>
      <c r="L386" s="32" t="inlineStr">
        <is>
          <t>No</t>
        </is>
      </c>
      <c r="M386" s="17" t="n"/>
      <c r="N386" s="17" t="n"/>
      <c r="O386" s="17" t="inlineStr">
        <is>
          <t>S4 - se compra terminado (tercerizado con sello IRAM)</t>
        </is>
      </c>
      <c r="P386" s="17" t="n"/>
      <c r="Q386" s="32" t="inlineStr">
        <is>
          <t>P</t>
        </is>
      </c>
      <c r="R386" s="32" t="inlineStr">
        <is>
          <t>FL_DES_BC_5kg</t>
        </is>
      </c>
      <c r="S386" s="17" t="inlineStr">
        <is>
          <t>costura long. MAG</t>
        </is>
      </c>
    </row>
    <row r="387">
      <c r="A387" s="32" t="inlineStr">
        <is>
          <t>FL_MAT_BC_5kg</t>
        </is>
      </c>
      <c r="B387" s="32" t="n">
        <v>2</v>
      </c>
      <c r="C387" s="32" t="inlineStr">
        <is>
          <t>BC5-02</t>
        </is>
      </c>
      <c r="D387" s="17" t="inlineStr">
        <is>
          <t xml:space="preserve">        Cúpula</t>
        </is>
      </c>
      <c r="E387" s="32" t="n">
        <v>1</v>
      </c>
      <c r="F387" s="32" t="inlineStr">
        <is>
          <t>u</t>
        </is>
      </c>
      <c r="G387" s="33" t="n">
        <v>0.3608</v>
      </c>
      <c r="H387" s="33">
        <f>E387*G387</f>
        <v/>
      </c>
      <c r="I387" s="32" t="inlineStr">
        <is>
          <t>Chapa LAF IRAM-IAS U 500-05 e=1,6</t>
        </is>
      </c>
      <c r="J387" s="17" t="inlineStr">
        <is>
          <t>Ø153 × e1,6 × 53,2 de alto; disco Ø221</t>
        </is>
      </c>
      <c r="K387" s="32" t="inlineStr">
        <is>
          <t>Compra (en el conjunto)</t>
        </is>
      </c>
      <c r="L387" s="32" t="inlineStr">
        <is>
          <t>No</t>
        </is>
      </c>
      <c r="M387" s="17" t="n"/>
      <c r="N387" s="17" t="n"/>
      <c r="O387" s="17" t="inlineStr">
        <is>
          <t>S4 - se compra terminado (tercerizado con sello IRAM)</t>
        </is>
      </c>
      <c r="P387" s="17" t="n"/>
      <c r="Q387" s="32" t="inlineStr">
        <is>
          <t>P</t>
        </is>
      </c>
      <c r="R387" s="32" t="inlineStr">
        <is>
          <t>FL_DES_BC_5kg</t>
        </is>
      </c>
      <c r="S387" s="17" t="inlineStr">
        <is>
          <t>embutida</t>
        </is>
      </c>
    </row>
    <row r="388">
      <c r="A388" s="32" t="inlineStr">
        <is>
          <t>FL_MAT_BC_5kg</t>
        </is>
      </c>
      <c r="B388" s="32" t="n">
        <v>2</v>
      </c>
      <c r="C388" s="32" t="inlineStr">
        <is>
          <t>BC5-03</t>
        </is>
      </c>
      <c r="D388" s="17" t="inlineStr">
        <is>
          <t xml:space="preserve">        Fondo</t>
        </is>
      </c>
      <c r="E388" s="32" t="n">
        <v>1</v>
      </c>
      <c r="F388" s="32" t="inlineStr">
        <is>
          <t>u</t>
        </is>
      </c>
      <c r="G388" s="33" t="n">
        <v>0.3173</v>
      </c>
      <c r="H388" s="33">
        <f>E388*G388</f>
        <v/>
      </c>
      <c r="I388" s="32" t="inlineStr">
        <is>
          <t>Chapa LAF IRAM-IAS U 500-05 e=1,6</t>
        </is>
      </c>
      <c r="J388" s="17" t="inlineStr">
        <is>
          <t>Ø153 × e1,6 × 26 de alto; disco Ø177</t>
        </is>
      </c>
      <c r="K388" s="32" t="inlineStr">
        <is>
          <t>Compra (en el conjunto)</t>
        </is>
      </c>
      <c r="L388" s="32" t="inlineStr">
        <is>
          <t>No</t>
        </is>
      </c>
      <c r="M388" s="17" t="n"/>
      <c r="N388" s="17" t="n"/>
      <c r="O388" s="17" t="inlineStr">
        <is>
          <t>S4 - se compra terminado (tercerizado con sello IRAM)</t>
        </is>
      </c>
      <c r="P388" s="17" t="n"/>
      <c r="Q388" s="32" t="inlineStr">
        <is>
          <t>P</t>
        </is>
      </c>
      <c r="R388" s="32" t="inlineStr">
        <is>
          <t>FL_DES_BC_5kg</t>
        </is>
      </c>
      <c r="S388" s="17" t="inlineStr">
        <is>
          <t>embutido</t>
        </is>
      </c>
    </row>
    <row r="389">
      <c r="A389" s="32" t="inlineStr">
        <is>
          <t>FL_MAT_BC_5kg</t>
        </is>
      </c>
      <c r="B389" s="32" t="n">
        <v>2</v>
      </c>
      <c r="C389" s="32" t="inlineStr">
        <is>
          <t>BC5-04</t>
        </is>
      </c>
      <c r="D389" s="17" t="inlineStr">
        <is>
          <t xml:space="preserve">        Cuello roscado</t>
        </is>
      </c>
      <c r="E389" s="32" t="n">
        <v>1</v>
      </c>
      <c r="F389" s="32" t="inlineStr">
        <is>
          <t>u</t>
        </is>
      </c>
      <c r="G389" s="33" t="n">
        <v>0.0589</v>
      </c>
      <c r="H389" s="33">
        <f>E389*G389</f>
        <v/>
      </c>
      <c r="I389" s="32" t="inlineStr">
        <is>
          <t>Acero SAE 1010</t>
        </is>
      </c>
      <c r="J389" s="17" t="inlineStr">
        <is>
          <t>Ø37 × 15 de alto, rosca M30x1,5, asiento Ø35</t>
        </is>
      </c>
      <c r="K389" s="32" t="inlineStr">
        <is>
          <t>Compra (en el conjunto)</t>
        </is>
      </c>
      <c r="L389" s="32" t="inlineStr">
        <is>
          <t>No</t>
        </is>
      </c>
      <c r="M389" s="17" t="n"/>
      <c r="N389" s="17" t="n"/>
      <c r="O389" s="17" t="inlineStr">
        <is>
          <t>S4 - se compra terminado (tercerizado con sello IRAM)</t>
        </is>
      </c>
      <c r="P389" s="17" t="n"/>
      <c r="Q389" s="32" t="inlineStr">
        <is>
          <t>P</t>
        </is>
      </c>
      <c r="R389" s="32" t="inlineStr">
        <is>
          <t>FL_DES_BC_5kg</t>
        </is>
      </c>
      <c r="S389" s="17" t="inlineStr">
        <is>
          <t>M30x1,5</t>
        </is>
      </c>
    </row>
    <row r="390">
      <c r="A390" s="29" t="inlineStr">
        <is>
          <t>FL_MAT_BC_5kg</t>
        </is>
      </c>
      <c r="B390" s="29" t="n">
        <v>1</v>
      </c>
      <c r="C390" s="29" t="inlineStr">
        <is>
          <t>BC5-S2</t>
        </is>
      </c>
      <c r="D390" s="30" t="inlineStr">
        <is>
          <t xml:space="preserve">    Conjunto de válvula</t>
        </is>
      </c>
      <c r="E390" s="29" t="n">
        <v>1</v>
      </c>
      <c r="F390" s="29" t="inlineStr">
        <is>
          <t>u</t>
        </is>
      </c>
      <c r="G390" s="31" t="n"/>
      <c r="H390" s="31">
        <f>H391+H392+H393+H395+H396+H397+H398+H399+H400+H401+H402</f>
        <v/>
      </c>
      <c r="I390" s="29" t="n"/>
      <c r="J390" s="30" t="n"/>
      <c r="K390" s="29" t="inlineStr">
        <is>
          <t>Compra / armado</t>
        </is>
      </c>
      <c r="L390" s="29" t="n"/>
      <c r="M390" s="30" t="n"/>
      <c r="N390" s="30" t="n"/>
      <c r="O390" s="30" t="n"/>
      <c r="P390" s="30" t="inlineStr">
        <is>
          <t>Manómetro IRAM 3533</t>
        </is>
      </c>
      <c r="Q390" s="29" t="inlineStr">
        <is>
          <t>P</t>
        </is>
      </c>
      <c r="R390" s="29" t="inlineStr">
        <is>
          <t>FL_DES_BC_5kg</t>
        </is>
      </c>
      <c r="S390" s="30" t="n"/>
    </row>
    <row r="391">
      <c r="A391" s="32" t="inlineStr">
        <is>
          <t>FL_MAT_BC_5kg</t>
        </is>
      </c>
      <c r="B391" s="32" t="n">
        <v>2</v>
      </c>
      <c r="C391" s="32" t="inlineStr">
        <is>
          <t>BC5-05</t>
        </is>
      </c>
      <c r="D391" s="17" t="inlineStr">
        <is>
          <t xml:space="preserve">        Espiga roscada</t>
        </is>
      </c>
      <c r="E391" s="32" t="n">
        <v>1</v>
      </c>
      <c r="F391" s="32" t="inlineStr">
        <is>
          <t>u</t>
        </is>
      </c>
      <c r="G391" s="33" t="n">
        <v>0.0245</v>
      </c>
      <c r="H391" s="33">
        <f>E391*G391</f>
        <v/>
      </c>
      <c r="I391" s="32" t="inlineStr">
        <is>
          <t>Latón forjado</t>
        </is>
      </c>
      <c r="J391" s="17" t="inlineStr">
        <is>
          <t>29,8 × 29,8 × 10,8</t>
        </is>
      </c>
      <c r="K391" s="32" t="inlineStr">
        <is>
          <t>Compra (en el conjunto)</t>
        </is>
      </c>
      <c r="L391" s="32" t="inlineStr">
        <is>
          <t>No</t>
        </is>
      </c>
      <c r="M391" s="17" t="n"/>
      <c r="N391" s="17" t="n"/>
      <c r="O391" s="17" t="inlineStr">
        <is>
          <t>S4 - se compra terminado (tercerizado con sello IRAM)</t>
        </is>
      </c>
      <c r="P391" s="17" t="n"/>
      <c r="Q391" s="32" t="inlineStr">
        <is>
          <t>P</t>
        </is>
      </c>
      <c r="R391" s="32" t="inlineStr">
        <is>
          <t>FL_DES_BC_5kg</t>
        </is>
      </c>
      <c r="S391" s="17" t="n"/>
    </row>
    <row r="392">
      <c r="A392" s="32" t="inlineStr">
        <is>
          <t>FL_MAT_BC_5kg</t>
        </is>
      </c>
      <c r="B392" s="32" t="n">
        <v>2</v>
      </c>
      <c r="C392" s="32" t="inlineStr">
        <is>
          <t>BC5-06</t>
        </is>
      </c>
      <c r="D392" s="17" t="inlineStr">
        <is>
          <t xml:space="preserve">        Collarín de válvula</t>
        </is>
      </c>
      <c r="E392" s="32" t="n">
        <v>1</v>
      </c>
      <c r="F392" s="32" t="inlineStr">
        <is>
          <t>u</t>
        </is>
      </c>
      <c r="G392" s="33" t="n">
        <v>0.0053</v>
      </c>
      <c r="H392" s="33">
        <f>E392*G392</f>
        <v/>
      </c>
      <c r="I392" s="32" t="inlineStr">
        <is>
          <t>Latón forjado</t>
        </is>
      </c>
      <c r="J392" s="17" t="inlineStr">
        <is>
          <t>27,2 × 27,2 × 4,1</t>
        </is>
      </c>
      <c r="K392" s="32" t="inlineStr">
        <is>
          <t>Compra (en el conjunto)</t>
        </is>
      </c>
      <c r="L392" s="32" t="inlineStr">
        <is>
          <t>No</t>
        </is>
      </c>
      <c r="M392" s="17" t="n"/>
      <c r="N392" s="17" t="n"/>
      <c r="O392" s="17" t="inlineStr">
        <is>
          <t>S4 - se compra terminado (tercerizado con sello IRAM)</t>
        </is>
      </c>
      <c r="P392" s="17" t="n"/>
      <c r="Q392" s="32" t="inlineStr">
        <is>
          <t>P</t>
        </is>
      </c>
      <c r="R392" s="32" t="inlineStr">
        <is>
          <t>FL_DES_BC_5kg</t>
        </is>
      </c>
      <c r="S392" s="17" t="n"/>
    </row>
    <row r="393">
      <c r="A393" s="32" t="inlineStr">
        <is>
          <t>FL_MAT_BC_5kg</t>
        </is>
      </c>
      <c r="B393" s="32" t="n">
        <v>2</v>
      </c>
      <c r="C393" s="32" t="inlineStr">
        <is>
          <t>BC5-07</t>
        </is>
      </c>
      <c r="D393" s="17" t="inlineStr">
        <is>
          <t xml:space="preserve">        Cuerpo de válvula</t>
        </is>
      </c>
      <c r="E393" s="32" t="n">
        <v>1</v>
      </c>
      <c r="F393" s="32" t="inlineStr">
        <is>
          <t>u</t>
        </is>
      </c>
      <c r="G393" s="33" t="n">
        <v>0.1328</v>
      </c>
      <c r="H393" s="33">
        <f>E393*G393</f>
        <v/>
      </c>
      <c r="I393" s="32" t="inlineStr">
        <is>
          <t>Latón forjado</t>
        </is>
      </c>
      <c r="J393" s="17" t="inlineStr">
        <is>
          <t>43,9 × 32 × 24,5</t>
        </is>
      </c>
      <c r="K393" s="32" t="inlineStr">
        <is>
          <t>Compra (en el conjunto)</t>
        </is>
      </c>
      <c r="L393" s="32" t="inlineStr">
        <is>
          <t>No</t>
        </is>
      </c>
      <c r="M393" s="17" t="n"/>
      <c r="N393" s="17" t="n"/>
      <c r="O393" s="17" t="inlineStr">
        <is>
          <t>S4 - se compra terminado (tercerizado con sello IRAM)</t>
        </is>
      </c>
      <c r="P393" s="17" t="n"/>
      <c r="Q393" s="32" t="inlineStr">
        <is>
          <t>P</t>
        </is>
      </c>
      <c r="R393" s="32" t="inlineStr">
        <is>
          <t>FL_DES_BC_5kg</t>
        </is>
      </c>
      <c r="S393" s="17" t="n"/>
    </row>
    <row r="394">
      <c r="A394" s="32" t="inlineStr">
        <is>
          <t>FL_MAT_BC_5kg</t>
        </is>
      </c>
      <c r="B394" s="32" t="n">
        <v>2</v>
      </c>
      <c r="C394" s="32" t="inlineStr">
        <is>
          <t>BC5-08</t>
        </is>
      </c>
      <c r="D394" s="17" t="inlineStr">
        <is>
          <t xml:space="preserve">        Manómetro</t>
        </is>
      </c>
      <c r="E394" s="32" t="n">
        <v>1</v>
      </c>
      <c r="F394" s="32" t="inlineStr">
        <is>
          <t>u</t>
        </is>
      </c>
      <c r="G394" s="33" t="n"/>
      <c r="H394" s="33" t="n"/>
      <c r="I394" s="32" t="inlineStr">
        <is>
          <t>Comercial</t>
        </is>
      </c>
      <c r="J394" s="17" t="inlineStr">
        <is>
          <t>Ø36 esfera, rango 0-3,5 MPa, sector verde en 1,4</t>
        </is>
      </c>
      <c r="K394" s="32" t="inlineStr">
        <is>
          <t>Compra (en el conjunto)</t>
        </is>
      </c>
      <c r="L394" s="32" t="inlineStr">
        <is>
          <t>No</t>
        </is>
      </c>
      <c r="M394" s="17" t="n"/>
      <c r="N394" s="17" t="n"/>
      <c r="O394" s="17" t="inlineStr">
        <is>
          <t>S4 - se compra terminado (tercerizado con sello IRAM)</t>
        </is>
      </c>
      <c r="P394" s="17" t="inlineStr">
        <is>
          <t>IRAM 3533</t>
        </is>
      </c>
      <c r="Q394" s="32" t="inlineStr">
        <is>
          <t>P</t>
        </is>
      </c>
      <c r="R394" s="32" t="inlineStr">
        <is>
          <t>FL_DES_BC_5kg</t>
        </is>
      </c>
      <c r="S394" s="17" t="inlineStr">
        <is>
          <t>Pieza comercial; sello IRAM 3533; peso: completar con la ficha del proveedor (no afecta el MRP)</t>
        </is>
      </c>
    </row>
    <row r="395">
      <c r="A395" s="32" t="inlineStr">
        <is>
          <t>FL_MAT_BC_5kg</t>
        </is>
      </c>
      <c r="B395" s="32" t="n">
        <v>2</v>
      </c>
      <c r="C395" s="32" t="inlineStr">
        <is>
          <t>BC5-09</t>
        </is>
      </c>
      <c r="D395" s="17" t="inlineStr">
        <is>
          <t xml:space="preserve">        Vástago</t>
        </is>
      </c>
      <c r="E395" s="32" t="n">
        <v>1</v>
      </c>
      <c r="F395" s="32" t="inlineStr">
        <is>
          <t>u</t>
        </is>
      </c>
      <c r="G395" s="33" t="n">
        <v>0.0137</v>
      </c>
      <c r="H395" s="33">
        <f>E395*G395</f>
        <v/>
      </c>
      <c r="I395" s="32" t="inlineStr">
        <is>
          <t>Latón</t>
        </is>
      </c>
      <c r="J395" s="17" t="inlineStr">
        <is>
          <t>35,6 × 14 × 14</t>
        </is>
      </c>
      <c r="K395" s="32" t="inlineStr">
        <is>
          <t>Compra (en el conjunto)</t>
        </is>
      </c>
      <c r="L395" s="32" t="inlineStr">
        <is>
          <t>No</t>
        </is>
      </c>
      <c r="M395" s="17" t="n"/>
      <c r="N395" s="17" t="n"/>
      <c r="O395" s="17" t="inlineStr">
        <is>
          <t>S4 - se compra terminado (tercerizado con sello IRAM)</t>
        </is>
      </c>
      <c r="P395" s="17" t="n"/>
      <c r="Q395" s="32" t="inlineStr">
        <is>
          <t>P</t>
        </is>
      </c>
      <c r="R395" s="32" t="inlineStr">
        <is>
          <t>FL_DES_BC_5kg</t>
        </is>
      </c>
      <c r="S395" s="17" t="inlineStr">
        <is>
          <t>con junta tórica</t>
        </is>
      </c>
    </row>
    <row r="396">
      <c r="A396" s="32" t="inlineStr">
        <is>
          <t>FL_MAT_BC_5kg</t>
        </is>
      </c>
      <c r="B396" s="32" t="n">
        <v>2</v>
      </c>
      <c r="C396" s="32" t="inlineStr">
        <is>
          <t>BC5-10</t>
        </is>
      </c>
      <c r="D396" s="17" t="inlineStr">
        <is>
          <t xml:space="preserve">        Resorte de válvula</t>
        </is>
      </c>
      <c r="E396" s="32" t="n">
        <v>1</v>
      </c>
      <c r="F396" s="32" t="inlineStr">
        <is>
          <t>u</t>
        </is>
      </c>
      <c r="G396" s="33" t="n">
        <v>0.0049</v>
      </c>
      <c r="H396" s="33">
        <f>E396*G396</f>
        <v/>
      </c>
      <c r="I396" s="32" t="inlineStr">
        <is>
          <t>Alambre acero inox. AISI 302</t>
        </is>
      </c>
      <c r="J396" s="17" t="inlineStr">
        <is>
          <t>28,8 × 17,3 × 17,3</t>
        </is>
      </c>
      <c r="K396" s="32" t="inlineStr">
        <is>
          <t>Compra (en el conjunto)</t>
        </is>
      </c>
      <c r="L396" s="32" t="inlineStr">
        <is>
          <t>No</t>
        </is>
      </c>
      <c r="M396" s="17" t="n"/>
      <c r="N396" s="17" t="n"/>
      <c r="O396" s="17" t="inlineStr">
        <is>
          <t>S4 - se compra terminado (tercerizado con sello IRAM)</t>
        </is>
      </c>
      <c r="P396" s="17" t="n"/>
      <c r="Q396" s="32" t="inlineStr">
        <is>
          <t>P</t>
        </is>
      </c>
      <c r="R396" s="32" t="inlineStr">
        <is>
          <t>FL_DES_BC_5kg</t>
        </is>
      </c>
      <c r="S396" s="17" t="inlineStr">
        <is>
          <t>cierre del vástago</t>
        </is>
      </c>
    </row>
    <row r="397">
      <c r="A397" s="32" t="inlineStr">
        <is>
          <t>FL_MAT_BC_5kg</t>
        </is>
      </c>
      <c r="B397" s="32" t="n">
        <v>2</v>
      </c>
      <c r="C397" s="32" t="inlineStr">
        <is>
          <t>BC5-11</t>
        </is>
      </c>
      <c r="D397" s="17" t="inlineStr">
        <is>
          <t xml:space="preserve">        Eje de palanca</t>
        </is>
      </c>
      <c r="E397" s="32" t="n">
        <v>1</v>
      </c>
      <c r="F397" s="32" t="inlineStr">
        <is>
          <t>u</t>
        </is>
      </c>
      <c r="G397" s="33" t="n">
        <v>0.0033</v>
      </c>
      <c r="H397" s="33">
        <f>E397*G397</f>
        <v/>
      </c>
      <c r="I397" s="32" t="inlineStr">
        <is>
          <t>Acero inox. AISI 304</t>
        </is>
      </c>
      <c r="J397" s="17" t="inlineStr">
        <is>
          <t>33 × 4 × 4</t>
        </is>
      </c>
      <c r="K397" s="32" t="inlineStr">
        <is>
          <t>Compra (en el conjunto)</t>
        </is>
      </c>
      <c r="L397" s="32" t="inlineStr">
        <is>
          <t>No</t>
        </is>
      </c>
      <c r="M397" s="17" t="n"/>
      <c r="N397" s="17" t="n"/>
      <c r="O397" s="17" t="inlineStr">
        <is>
          <t>S4 - se compra terminado (tercerizado con sello IRAM)</t>
        </is>
      </c>
      <c r="P397" s="17" t="n"/>
      <c r="Q397" s="32" t="inlineStr">
        <is>
          <t>P</t>
        </is>
      </c>
      <c r="R397" s="32" t="inlineStr">
        <is>
          <t>FL_DES_BC_5kg</t>
        </is>
      </c>
      <c r="S397" s="17" t="n"/>
    </row>
    <row r="398">
      <c r="A398" s="32" t="inlineStr">
        <is>
          <t>FL_MAT_BC_5kg</t>
        </is>
      </c>
      <c r="B398" s="32" t="n">
        <v>2</v>
      </c>
      <c r="C398" s="32" t="inlineStr">
        <is>
          <t>BC5-12</t>
        </is>
      </c>
      <c r="D398" s="17" t="inlineStr">
        <is>
          <t xml:space="preserve">        Pasador de seguridad</t>
        </is>
      </c>
      <c r="E398" s="32" t="n">
        <v>1</v>
      </c>
      <c r="F398" s="32" t="inlineStr">
        <is>
          <t>u</t>
        </is>
      </c>
      <c r="G398" s="33" t="n">
        <v>0.0055</v>
      </c>
      <c r="H398" s="33">
        <f>E398*G398</f>
        <v/>
      </c>
      <c r="I398" s="32" t="inlineStr">
        <is>
          <t>Alambre acero inox. AISI 304</t>
        </is>
      </c>
      <c r="J398" s="17" t="inlineStr">
        <is>
          <t>45,9 × 21 × 20,8</t>
        </is>
      </c>
      <c r="K398" s="32" t="inlineStr">
        <is>
          <t>Compra (en el conjunto)</t>
        </is>
      </c>
      <c r="L398" s="32" t="inlineStr">
        <is>
          <t>No</t>
        </is>
      </c>
      <c r="M398" s="17" t="n"/>
      <c r="N398" s="17" t="n"/>
      <c r="O398" s="17" t="inlineStr">
        <is>
          <t>S4 - se compra terminado (tercerizado con sello IRAM)</t>
        </is>
      </c>
      <c r="P398" s="17" t="n"/>
      <c r="Q398" s="32" t="inlineStr">
        <is>
          <t>P</t>
        </is>
      </c>
      <c r="R398" s="32" t="inlineStr">
        <is>
          <t>FL_DES_BC_5kg</t>
        </is>
      </c>
      <c r="S398" s="17" t="inlineStr">
        <is>
          <t>con precinto</t>
        </is>
      </c>
    </row>
    <row r="399">
      <c r="A399" s="32" t="inlineStr">
        <is>
          <t>FL_MAT_BC_5kg</t>
        </is>
      </c>
      <c r="B399" s="32" t="n">
        <v>2</v>
      </c>
      <c r="C399" s="32" t="inlineStr">
        <is>
          <t>BC5-13</t>
        </is>
      </c>
      <c r="D399" s="17" t="inlineStr">
        <is>
          <t xml:space="preserve">        Manija de accionamiento</t>
        </is>
      </c>
      <c r="E399" s="32" t="n">
        <v>1</v>
      </c>
      <c r="F399" s="32" t="inlineStr">
        <is>
          <t>u</t>
        </is>
      </c>
      <c r="G399" s="33" t="n">
        <v>0.0959</v>
      </c>
      <c r="H399" s="33">
        <f>E399*G399</f>
        <v/>
      </c>
      <c r="I399" s="32" t="inlineStr">
        <is>
          <t>Chapa acero SAE 1010 pintada</t>
        </is>
      </c>
      <c r="J399" s="17" t="inlineStr">
        <is>
          <t>124,6 × 31 × 29,3</t>
        </is>
      </c>
      <c r="K399" s="32" t="inlineStr">
        <is>
          <t>Compra (en el conjunto)</t>
        </is>
      </c>
      <c r="L399" s="32" t="inlineStr">
        <is>
          <t>No</t>
        </is>
      </c>
      <c r="M399" s="17" t="n"/>
      <c r="N399" s="17" t="n"/>
      <c r="O399" s="17" t="inlineStr">
        <is>
          <t>S4 - se compra terminado (tercerizado con sello IRAM)</t>
        </is>
      </c>
      <c r="P399" s="17" t="n"/>
      <c r="Q399" s="32" t="inlineStr">
        <is>
          <t>P</t>
        </is>
      </c>
      <c r="R399" s="32" t="inlineStr">
        <is>
          <t>FL_DES_BC_5kg</t>
        </is>
      </c>
      <c r="S399" s="17" t="n"/>
    </row>
    <row r="400">
      <c r="A400" s="32" t="inlineStr">
        <is>
          <t>FL_MAT_BC_5kg</t>
        </is>
      </c>
      <c r="B400" s="32" t="n">
        <v>2</v>
      </c>
      <c r="C400" s="32" t="inlineStr">
        <is>
          <t>BC5-14</t>
        </is>
      </c>
      <c r="D400" s="17" t="inlineStr">
        <is>
          <t xml:space="preserve">        Manija de transporte</t>
        </is>
      </c>
      <c r="E400" s="32" t="n">
        <v>1</v>
      </c>
      <c r="F400" s="32" t="inlineStr">
        <is>
          <t>u</t>
        </is>
      </c>
      <c r="G400" s="33" t="n">
        <v>0.0757</v>
      </c>
      <c r="H400" s="33">
        <f>E400*G400</f>
        <v/>
      </c>
      <c r="I400" s="32" t="inlineStr">
        <is>
          <t>Chapa acero SAE 1010 pintada</t>
        </is>
      </c>
      <c r="J400" s="17" t="inlineStr">
        <is>
          <t>102,6 × 35 × 25,4</t>
        </is>
      </c>
      <c r="K400" s="32" t="inlineStr">
        <is>
          <t>Compra (en el conjunto)</t>
        </is>
      </c>
      <c r="L400" s="32" t="inlineStr">
        <is>
          <t>No</t>
        </is>
      </c>
      <c r="M400" s="17" t="n"/>
      <c r="N400" s="17" t="n"/>
      <c r="O400" s="17" t="inlineStr">
        <is>
          <t>S4 - se compra terminado (tercerizado con sello IRAM)</t>
        </is>
      </c>
      <c r="P400" s="17" t="n"/>
      <c r="Q400" s="32" t="inlineStr">
        <is>
          <t>P</t>
        </is>
      </c>
      <c r="R400" s="32" t="inlineStr">
        <is>
          <t>FL_DES_BC_5kg</t>
        </is>
      </c>
      <c r="S400" s="17" t="n"/>
    </row>
    <row r="401">
      <c r="A401" s="32" t="inlineStr">
        <is>
          <t>FL_MAT_BC_5kg</t>
        </is>
      </c>
      <c r="B401" s="32" t="n">
        <v>2</v>
      </c>
      <c r="C401" s="32" t="inlineStr">
        <is>
          <t>BC5-15</t>
        </is>
      </c>
      <c r="D401" s="17" t="inlineStr">
        <is>
          <t xml:space="preserve">        Caño de pesca (sifón)</t>
        </is>
      </c>
      <c r="E401" s="32" t="n">
        <v>1</v>
      </c>
      <c r="F401" s="32" t="inlineStr">
        <is>
          <t>u</t>
        </is>
      </c>
      <c r="G401" s="33" t="n">
        <v>0.0462</v>
      </c>
      <c r="H401" s="33">
        <f>E401*G401</f>
        <v/>
      </c>
      <c r="I401" s="32" t="inlineStr">
        <is>
          <t>Tubo PVC rígido</t>
        </is>
      </c>
      <c r="J401" s="17" t="inlineStr">
        <is>
          <t>Ø21,3 × 353,6 de largo</t>
        </is>
      </c>
      <c r="K401" s="32" t="inlineStr">
        <is>
          <t>Compra (en el conjunto)</t>
        </is>
      </c>
      <c r="L401" s="32" t="inlineStr">
        <is>
          <t>No</t>
        </is>
      </c>
      <c r="M401" s="17" t="n"/>
      <c r="N401" s="17" t="n"/>
      <c r="O401" s="17" t="inlineStr">
        <is>
          <t>S4 - se compra terminado (tercerizado con sello IRAM)</t>
        </is>
      </c>
      <c r="P401" s="17" t="n"/>
      <c r="Q401" s="32" t="inlineStr">
        <is>
          <t>P</t>
        </is>
      </c>
      <c r="R401" s="32" t="inlineStr">
        <is>
          <t>FL_DES_BC_5kg</t>
        </is>
      </c>
      <c r="S401" s="17" t="n"/>
    </row>
    <row r="402">
      <c r="A402" s="32" t="inlineStr">
        <is>
          <t>FL_MAT_BC_5kg</t>
        </is>
      </c>
      <c r="B402" s="32" t="n">
        <v>2</v>
      </c>
      <c r="C402" s="32" t="inlineStr">
        <is>
          <t>BC5-25</t>
        </is>
      </c>
      <c r="D402" s="17" t="inlineStr">
        <is>
          <t xml:space="preserve">        Junta tórica de asiento</t>
        </is>
      </c>
      <c r="E402" s="32" t="n">
        <v>1</v>
      </c>
      <c r="F402" s="32" t="inlineStr">
        <is>
          <t>u</t>
        </is>
      </c>
      <c r="G402" s="33" t="n">
        <v>0.001</v>
      </c>
      <c r="H402" s="33">
        <f>E402*G402</f>
        <v/>
      </c>
      <c r="I402" s="32" t="inlineStr">
        <is>
          <t>NBR 70 Shore A</t>
        </is>
      </c>
      <c r="J402" s="17" t="inlineStr">
        <is>
          <t>Ø32,8 ext. × cordón 3</t>
        </is>
      </c>
      <c r="K402" s="32" t="inlineStr">
        <is>
          <t>Compra (en el conjunto)</t>
        </is>
      </c>
      <c r="L402" s="32" t="inlineStr">
        <is>
          <t>No</t>
        </is>
      </c>
      <c r="M402" s="17" t="n"/>
      <c r="N402" s="17" t="n"/>
      <c r="O402" s="17" t="inlineStr">
        <is>
          <t>S4 - se compra terminado (tercerizado con sello IRAM)</t>
        </is>
      </c>
      <c r="P402" s="17" t="n"/>
      <c r="Q402" s="32" t="inlineStr">
        <is>
          <t>P</t>
        </is>
      </c>
      <c r="R402" s="32" t="inlineStr">
        <is>
          <t>FL_DES_BC_5kg</t>
        </is>
      </c>
      <c r="S402" s="17" t="inlineStr">
        <is>
          <t>cambio c/recarga</t>
        </is>
      </c>
    </row>
    <row r="403">
      <c r="A403" s="32" t="inlineStr">
        <is>
          <t>FL_MAT_BC_5kg</t>
        </is>
      </c>
      <c r="B403" s="32" t="n">
        <v>2</v>
      </c>
      <c r="C403" s="32" t="inlineStr">
        <is>
          <t>BC5-V2</t>
        </is>
      </c>
      <c r="D403" s="17" t="inlineStr">
        <is>
          <t xml:space="preserve">        Resorte de retorno del vástago</t>
        </is>
      </c>
      <c r="E403" s="32" t="n">
        <v>1</v>
      </c>
      <c r="F403" s="32" t="inlineStr">
        <is>
          <t>u</t>
        </is>
      </c>
      <c r="G403" s="33" t="n"/>
      <c r="H403" s="33" t="n"/>
      <c r="I403" s="32" t="inlineStr">
        <is>
          <t>Acero para resortes</t>
        </is>
      </c>
      <c r="J403" s="17" t="inlineStr">
        <is>
          <t>incluido en la válvula</t>
        </is>
      </c>
      <c r="K403" s="32" t="inlineStr">
        <is>
          <t>Compra (en el conjunto)</t>
        </is>
      </c>
      <c r="L403" s="32" t="inlineStr">
        <is>
          <t>No</t>
        </is>
      </c>
      <c r="M403" s="17" t="n"/>
      <c r="N403" s="17" t="n"/>
      <c r="O403" s="17" t="inlineStr">
        <is>
          <t>19 Ensamblaje</t>
        </is>
      </c>
      <c r="P403" s="17" t="n"/>
      <c r="Q403" s="32" t="inlineStr">
        <is>
          <t>Q</t>
        </is>
      </c>
      <c r="R403" s="32" t="n"/>
      <c r="S403" s="17" t="inlineStr">
        <is>
          <t>Lista de precios HZ: válvula «c/resorte» (Q-AGENTES)</t>
        </is>
      </c>
    </row>
    <row r="404">
      <c r="A404" s="32" t="inlineStr">
        <is>
          <t>FL_MAT_BC_5kg</t>
        </is>
      </c>
      <c r="B404" s="32" t="n">
        <v>2</v>
      </c>
      <c r="C404" s="32" t="inlineStr">
        <is>
          <t>BC5-V3</t>
        </is>
      </c>
      <c r="D404" s="17" t="inlineStr">
        <is>
          <t xml:space="preserve">        Junta tórica del vástago</t>
        </is>
      </c>
      <c r="E404" s="32" t="n">
        <v>1</v>
      </c>
      <c r="F404" s="32" t="inlineStr">
        <is>
          <t>u</t>
        </is>
      </c>
      <c r="G404" s="33" t="n"/>
      <c r="H404" s="33" t="n"/>
      <c r="I404" s="32" t="inlineStr">
        <is>
          <t>NBR 70 Shore A</t>
        </is>
      </c>
      <c r="J404" s="17" t="inlineStr">
        <is>
          <t>incluida en la válvula</t>
        </is>
      </c>
      <c r="K404" s="32" t="inlineStr">
        <is>
          <t>Compra (en el conjunto)</t>
        </is>
      </c>
      <c r="L404" s="32" t="inlineStr">
        <is>
          <t>No</t>
        </is>
      </c>
      <c r="M404" s="17" t="n"/>
      <c r="N404" s="17" t="n"/>
      <c r="O404" s="17" t="inlineStr">
        <is>
          <t>19 Ensamblaje</t>
        </is>
      </c>
      <c r="P404" s="17" t="n"/>
      <c r="Q404" s="32" t="inlineStr">
        <is>
          <t>P</t>
        </is>
      </c>
      <c r="R404" s="32" t="n"/>
      <c r="S404" s="17" t="inlineStr">
        <is>
          <t>Figura en el plano como «vástago con junta tórica»</t>
        </is>
      </c>
    </row>
    <row r="405">
      <c r="A405" s="29" t="inlineStr">
        <is>
          <t>FL_MAT_BC_5kg</t>
        </is>
      </c>
      <c r="B405" s="29" t="n">
        <v>1</v>
      </c>
      <c r="C405" s="29" t="inlineStr">
        <is>
          <t>BC5-S3</t>
        </is>
      </c>
      <c r="D405" s="30" t="inlineStr">
        <is>
          <t xml:space="preserve">    Dispositivo de descarga</t>
        </is>
      </c>
      <c r="E405" s="29" t="n">
        <v>1</v>
      </c>
      <c r="F405" s="29" t="inlineStr">
        <is>
          <t>u</t>
        </is>
      </c>
      <c r="G405" s="31" t="n"/>
      <c r="H405" s="31">
        <f>H406+H407+H408+H409</f>
        <v/>
      </c>
      <c r="I405" s="29" t="n"/>
      <c r="J405" s="30" t="n"/>
      <c r="K405" s="29" t="inlineStr">
        <is>
          <t>Compra / armado</t>
        </is>
      </c>
      <c r="L405" s="29" t="n"/>
      <c r="M405" s="30" t="n"/>
      <c r="N405" s="30" t="n"/>
      <c r="O405" s="30" t="n"/>
      <c r="P405" s="30" t="n"/>
      <c r="Q405" s="29" t="inlineStr">
        <is>
          <t>P</t>
        </is>
      </c>
      <c r="R405" s="29" t="inlineStr">
        <is>
          <t>FL_DES_BC_5kg</t>
        </is>
      </c>
      <c r="S405" s="30" t="n"/>
    </row>
    <row r="406">
      <c r="A406" s="32" t="inlineStr">
        <is>
          <t>FL_MAT_BC_5kg</t>
        </is>
      </c>
      <c r="B406" s="32" t="n">
        <v>2</v>
      </c>
      <c r="C406" s="32" t="inlineStr">
        <is>
          <t>BC5-16</t>
        </is>
      </c>
      <c r="D406" s="17" t="inlineStr">
        <is>
          <t xml:space="preserve">        Racor de manguera</t>
        </is>
      </c>
      <c r="E406" s="32" t="n">
        <v>1</v>
      </c>
      <c r="F406" s="32" t="inlineStr">
        <is>
          <t>u</t>
        </is>
      </c>
      <c r="G406" s="33" t="n">
        <v>0.0394</v>
      </c>
      <c r="H406" s="33">
        <f>E406*G406</f>
        <v/>
      </c>
      <c r="I406" s="32" t="inlineStr">
        <is>
          <t>Latón</t>
        </is>
      </c>
      <c r="J406" s="17" t="inlineStr">
        <is>
          <t>19,4 × 18,8 × 18,8</t>
        </is>
      </c>
      <c r="K406" s="32" t="inlineStr">
        <is>
          <t>Compra (en el conjunto)</t>
        </is>
      </c>
      <c r="L406" s="32" t="inlineStr">
        <is>
          <t>No</t>
        </is>
      </c>
      <c r="M406" s="17" t="n"/>
      <c r="N406" s="17" t="n"/>
      <c r="O406" s="17" t="inlineStr">
        <is>
          <t>S4 - se compra terminado (tercerizado con sello IRAM)</t>
        </is>
      </c>
      <c r="P406" s="17" t="n"/>
      <c r="Q406" s="32" t="inlineStr">
        <is>
          <t>P</t>
        </is>
      </c>
      <c r="R406" s="32" t="inlineStr">
        <is>
          <t>FL_DES_BC_5kg</t>
        </is>
      </c>
      <c r="S406" s="17" t="n"/>
    </row>
    <row r="407">
      <c r="A407" s="32" t="inlineStr">
        <is>
          <t>FL_MAT_BC_5kg</t>
        </is>
      </c>
      <c r="B407" s="32" t="n">
        <v>2</v>
      </c>
      <c r="C407" s="32" t="inlineStr">
        <is>
          <t>BC5-17</t>
        </is>
      </c>
      <c r="D407" s="17" t="inlineStr">
        <is>
          <t xml:space="preserve">        Manguera</t>
        </is>
      </c>
      <c r="E407" s="32" t="n">
        <v>1</v>
      </c>
      <c r="F407" s="32" t="inlineStr">
        <is>
          <t>u</t>
        </is>
      </c>
      <c r="G407" s="33" t="n">
        <v>0.0509</v>
      </c>
      <c r="H407" s="33">
        <f>E407*G407</f>
        <v/>
      </c>
      <c r="I407" s="32" t="inlineStr">
        <is>
          <t>Caucho sintético</t>
        </is>
      </c>
      <c r="J407" s="17" t="inlineStr">
        <is>
          <t>Ø16 × 329 de largo desarrollado</t>
        </is>
      </c>
      <c r="K407" s="32" t="inlineStr">
        <is>
          <t>Compra (en el conjunto)</t>
        </is>
      </c>
      <c r="L407" s="32" t="inlineStr">
        <is>
          <t>No</t>
        </is>
      </c>
      <c r="M407" s="17" t="n"/>
      <c r="N407" s="17" t="n"/>
      <c r="O407" s="17" t="inlineStr">
        <is>
          <t>S4 - se compra terminado (tercerizado con sello IRAM)</t>
        </is>
      </c>
      <c r="P407" s="17" t="n"/>
      <c r="Q407" s="32" t="inlineStr">
        <is>
          <t>P</t>
        </is>
      </c>
      <c r="R407" s="32" t="inlineStr">
        <is>
          <t>FL_DES_BC_5kg</t>
        </is>
      </c>
      <c r="S407" s="17" t="n"/>
    </row>
    <row r="408">
      <c r="A408" s="32" t="inlineStr">
        <is>
          <t>FL_MAT_BC_5kg</t>
        </is>
      </c>
      <c r="B408" s="32" t="n">
        <v>2</v>
      </c>
      <c r="C408" s="32" t="inlineStr">
        <is>
          <t>BC5-18</t>
        </is>
      </c>
      <c r="D408" s="17" t="inlineStr">
        <is>
          <t xml:space="preserve">        Tobera con portatobera</t>
        </is>
      </c>
      <c r="E408" s="32" t="n">
        <v>1</v>
      </c>
      <c r="F408" s="32" t="inlineStr">
        <is>
          <t>u</t>
        </is>
      </c>
      <c r="G408" s="33" t="n">
        <v>0.0168</v>
      </c>
      <c r="H408" s="33">
        <f>E408*G408</f>
        <v/>
      </c>
      <c r="I408" s="32" t="inlineStr">
        <is>
          <t>Polipropileno</t>
        </is>
      </c>
      <c r="J408" s="17" t="inlineStr">
        <is>
          <t>73,5 × 19,9 × 19,9</t>
        </is>
      </c>
      <c r="K408" s="32" t="inlineStr">
        <is>
          <t>Compra (en el conjunto)</t>
        </is>
      </c>
      <c r="L408" s="32" t="inlineStr">
        <is>
          <t>No</t>
        </is>
      </c>
      <c r="M408" s="17" t="n"/>
      <c r="N408" s="17" t="n"/>
      <c r="O408" s="17" t="inlineStr">
        <is>
          <t>S4 - se compra terminado (tercerizado con sello IRAM)</t>
        </is>
      </c>
      <c r="P408" s="17" t="n"/>
      <c r="Q408" s="32" t="inlineStr">
        <is>
          <t>P</t>
        </is>
      </c>
      <c r="R408" s="32" t="inlineStr">
        <is>
          <t>FL_DES_BC_5kg</t>
        </is>
      </c>
      <c r="S408" s="17" t="n"/>
    </row>
    <row r="409">
      <c r="A409" s="32" t="inlineStr">
        <is>
          <t>FL_MAT_BC_5kg</t>
        </is>
      </c>
      <c r="B409" s="32" t="n">
        <v>2</v>
      </c>
      <c r="C409" s="32" t="inlineStr">
        <is>
          <t>BC5-19</t>
        </is>
      </c>
      <c r="D409" s="17" t="inlineStr">
        <is>
          <t xml:space="preserve">        Suncho portatobera</t>
        </is>
      </c>
      <c r="E409" s="32" t="n">
        <v>1</v>
      </c>
      <c r="F409" s="32" t="inlineStr">
        <is>
          <t>u</t>
        </is>
      </c>
      <c r="G409" s="33" t="n">
        <v>0.0945</v>
      </c>
      <c r="H409" s="33">
        <f>E409*G409</f>
        <v/>
      </c>
      <c r="I409" s="32" t="inlineStr">
        <is>
          <t>Fleje acero SAE 1010 pintado</t>
        </is>
      </c>
      <c r="J409" s="17" t="inlineStr">
        <is>
          <t>166,6 × 156,6 × 14,4</t>
        </is>
      </c>
      <c r="K409" s="32" t="inlineStr">
        <is>
          <t>Compra (en el conjunto)</t>
        </is>
      </c>
      <c r="L409" s="32" t="inlineStr">
        <is>
          <t>No</t>
        </is>
      </c>
      <c r="M409" s="17" t="n"/>
      <c r="N409" s="17" t="n"/>
      <c r="O409" s="17" t="inlineStr">
        <is>
          <t>S4 - se compra terminado (tercerizado con sello IRAM)</t>
        </is>
      </c>
      <c r="P409" s="17" t="n"/>
      <c r="Q409" s="32" t="inlineStr">
        <is>
          <t>P</t>
        </is>
      </c>
      <c r="R409" s="32" t="inlineStr">
        <is>
          <t>FL_DES_BC_5kg</t>
        </is>
      </c>
      <c r="S409" s="17" t="n"/>
    </row>
    <row r="410">
      <c r="A410" s="29" t="inlineStr">
        <is>
          <t>FL_MAT_BC_5kg</t>
        </is>
      </c>
      <c r="B410" s="29" t="n">
        <v>1</v>
      </c>
      <c r="C410" s="29" t="inlineStr">
        <is>
          <t>BC5-S5</t>
        </is>
      </c>
      <c r="D410" s="30" t="inlineStr">
        <is>
          <t xml:space="preserve">    Carga: agente extintor y gas impulsor</t>
        </is>
      </c>
      <c r="E410" s="29" t="n">
        <v>1</v>
      </c>
      <c r="F410" s="29" t="inlineStr">
        <is>
          <t>u</t>
        </is>
      </c>
      <c r="G410" s="31" t="n"/>
      <c r="H410" s="31">
        <f>H411+H412</f>
        <v/>
      </c>
      <c r="I410" s="29" t="n"/>
      <c r="J410" s="30" t="n"/>
      <c r="K410" s="29" t="inlineStr">
        <is>
          <t>Compra</t>
        </is>
      </c>
      <c r="L410" s="29" t="n"/>
      <c r="M410" s="30" t="n"/>
      <c r="N410" s="30" t="n"/>
      <c r="O410" s="30" t="n"/>
      <c r="P410" s="30" t="n"/>
      <c r="Q410" s="29" t="n"/>
      <c r="R410" s="29" t="n"/>
      <c r="S410" s="30" t="n"/>
    </row>
    <row r="411">
      <c r="A411" s="32" t="inlineStr">
        <is>
          <t>FL_MAT_BC_5kg</t>
        </is>
      </c>
      <c r="B411" s="32" t="n">
        <v>2</v>
      </c>
      <c r="C411" s="32" t="inlineStr">
        <is>
          <t>BC5-A1</t>
        </is>
      </c>
      <c r="D411" s="17" t="inlineStr">
        <is>
          <t xml:space="preserve">        Polvo químico seco BC - BC sódico (NaHCO₃ ≥ 85,5 %)</t>
        </is>
      </c>
      <c r="E411" s="32" t="n">
        <v>5.15</v>
      </c>
      <c r="F411" s="32" t="inlineStr">
        <is>
          <t>kg</t>
        </is>
      </c>
      <c r="G411" s="33" t="n">
        <v>1</v>
      </c>
      <c r="H411" s="33">
        <f>E411*G411</f>
        <v/>
      </c>
      <c r="I411" s="32" t="inlineStr">
        <is>
          <t>Polvo químico seco BC - BC sódico (NaHCO₃ ≥ 85,5 %)</t>
        </is>
      </c>
      <c r="J411" s="17" t="inlineStr">
        <is>
          <t>nominal 5 kg; tolerancia 0 / +300 g (IRAM 3517-2:2020 tabla 3 · IRAM 3523 tabla II)</t>
        </is>
      </c>
      <c r="K411" s="32" t="inlineStr">
        <is>
          <t>Compra</t>
        </is>
      </c>
      <c r="L411" s="32" t="inlineStr">
        <is>
          <t>No</t>
        </is>
      </c>
      <c r="M411" s="17" t="n"/>
      <c r="N411" s="17" t="n"/>
      <c r="O411" s="17" t="inlineStr">
        <is>
          <t>SP-1 almacén previo a la carga</t>
        </is>
      </c>
      <c r="P411" s="17" t="inlineStr">
        <is>
          <t>IRAM 3566</t>
        </is>
      </c>
      <c r="Q411" s="32" t="inlineStr">
        <is>
          <t>N</t>
        </is>
      </c>
      <c r="R411" s="32" t="n"/>
      <c r="S411" s="17" t="inlineStr">
        <is>
          <t>potencial - · alternativa BC Púrpura K (KHCO₃ 92 ± 5 %): 40B · Lote único por extintor; prohibido mezclar ABC con BC (3517-2 9.9.1.6)</t>
        </is>
      </c>
    </row>
    <row r="412">
      <c r="A412" s="32" t="inlineStr">
        <is>
          <t>FL_MAT_BC_5kg</t>
        </is>
      </c>
      <c r="B412" s="32" t="n">
        <v>2</v>
      </c>
      <c r="C412" s="32" t="inlineStr">
        <is>
          <t>BC5-A2</t>
        </is>
      </c>
      <c r="D412" s="17" t="inlineStr">
        <is>
          <t xml:space="preserve">        Gas impulsor: N₂</t>
        </is>
      </c>
      <c r="E412" s="32" t="n">
        <v>0.0077</v>
      </c>
      <c r="F412" s="32" t="inlineStr">
        <is>
          <t>kg</t>
        </is>
      </c>
      <c r="G412" s="33" t="n">
        <v>1</v>
      </c>
      <c r="H412" s="33">
        <f>E412*G412</f>
        <v/>
      </c>
      <c r="I412" s="32" t="inlineStr">
        <is>
          <t>N₂</t>
        </is>
      </c>
      <c r="J412" s="17" t="inlineStr">
        <is>
          <t>6,1 L normales para 1,4 MPa a 20 °C en 0,44 dm³ libres</t>
        </is>
      </c>
      <c r="K412" s="32" t="inlineStr">
        <is>
          <t>Compra</t>
        </is>
      </c>
      <c r="L412" s="32" t="inlineStr">
        <is>
          <t>No</t>
        </is>
      </c>
      <c r="M412" s="17" t="n"/>
      <c r="N412" s="17" t="n"/>
      <c r="O412" s="17" t="inlineStr">
        <is>
          <t>20 Presurización (T05) / C10</t>
        </is>
      </c>
      <c r="P412" s="17" t="inlineStr">
        <is>
          <t>IRAM 3517-2 9.4.9 (tabla 2) · IRAM 3523 2.3 y 3.10</t>
        </is>
      </c>
      <c r="Q412" s="32" t="inlineStr">
        <is>
          <t>C</t>
        </is>
      </c>
      <c r="R412" s="32" t="n"/>
      <c r="S412" s="17" t="inlineStr">
        <is>
          <t>N₂ ≥ 99,8 %, H₂O ≤ 40 ppm (Q-N2, Air Liquide)</t>
        </is>
      </c>
    </row>
    <row r="413">
      <c r="A413" s="29" t="inlineStr">
        <is>
          <t>FL_MAT_BC_5kg</t>
        </is>
      </c>
      <c r="B413" s="29" t="n">
        <v>1</v>
      </c>
      <c r="C413" s="29" t="inlineStr">
        <is>
          <t>BC5-S6</t>
        </is>
      </c>
      <c r="D413" s="30" t="inlineStr">
        <is>
          <t xml:space="preserve">    Identificación y precinto</t>
        </is>
      </c>
      <c r="E413" s="29" t="n">
        <v>1</v>
      </c>
      <c r="F413" s="29" t="inlineStr">
        <is>
          <t>u</t>
        </is>
      </c>
      <c r="G413" s="31" t="n"/>
      <c r="H413" s="31">
        <f>H414+H415+H416+H417+H418+H419+H420</f>
        <v/>
      </c>
      <c r="I413" s="29" t="n"/>
      <c r="J413" s="30" t="n"/>
      <c r="K413" s="29" t="inlineStr">
        <is>
          <t>Compra</t>
        </is>
      </c>
      <c r="L413" s="29" t="n"/>
      <c r="M413" s="30" t="n"/>
      <c r="N413" s="30" t="n"/>
      <c r="O413" s="30" t="inlineStr">
        <is>
          <t>22 Etiquetado (T07)</t>
        </is>
      </c>
      <c r="P413" s="30" t="n"/>
      <c r="Q413" s="29" t="n"/>
      <c r="R413" s="29" t="n"/>
      <c r="S413" s="30" t="n"/>
    </row>
    <row r="414">
      <c r="A414" s="32" t="inlineStr">
        <is>
          <t>FL_MAT_BC_5kg</t>
        </is>
      </c>
      <c r="B414" s="32" t="n">
        <v>2</v>
      </c>
      <c r="C414" s="32" t="inlineStr">
        <is>
          <t>BC5-20</t>
        </is>
      </c>
      <c r="D414" s="17" t="inlineStr">
        <is>
          <t xml:space="preserve">        Etiqueta / placa de características</t>
        </is>
      </c>
      <c r="E414" s="32" t="n">
        <v>1</v>
      </c>
      <c r="F414" s="32" t="inlineStr">
        <is>
          <t>u</t>
        </is>
      </c>
      <c r="G414" s="33" t="n">
        <v>0.0175</v>
      </c>
      <c r="H414" s="33">
        <f>E414*G414</f>
        <v/>
      </c>
      <c r="I414" s="32" t="inlineStr">
        <is>
          <t>Vinilo autoadhesivo laminado</t>
        </is>
      </c>
      <c r="J414" s="17" t="inlineStr">
        <is>
          <t>289 × 144 (desarrollo × alto: panel central 108° + 2 alas laterales), e ≈ 0,3, laminado UV</t>
        </is>
      </c>
      <c r="K414" s="32" t="inlineStr">
        <is>
          <t>Compra</t>
        </is>
      </c>
      <c r="L414" s="32" t="inlineStr">
        <is>
          <t>No</t>
        </is>
      </c>
      <c r="M414" s="17" t="n"/>
      <c r="N414" s="17" t="n"/>
      <c r="O414" s="17" t="inlineStr">
        <is>
          <t>22 Etiquetado (T07)</t>
        </is>
      </c>
      <c r="P414" s="17" t="inlineStr">
        <is>
          <t>IRAM 3534 · IRAM 3523 cap. 5 · relevamiento de mercado</t>
        </is>
      </c>
      <c r="Q414" s="32" t="inlineStr">
        <is>
          <t>P</t>
        </is>
      </c>
      <c r="R414" s="32" t="inlineStr">
        <is>
          <t>FL_DES_BC_5kg</t>
        </is>
      </c>
      <c r="S414" s="17" t="inlineStr">
        <is>
          <t>IRAM 3534</t>
        </is>
      </c>
    </row>
    <row r="415">
      <c r="A415" s="32" t="inlineStr">
        <is>
          <t>FL_MAT_BC_5kg</t>
        </is>
      </c>
      <c r="B415" s="32" t="n">
        <v>2</v>
      </c>
      <c r="C415" s="32" t="inlineStr">
        <is>
          <t>BC5-21</t>
        </is>
      </c>
      <c r="D415" s="17" t="inlineStr">
        <is>
          <t xml:space="preserve">        Oblea de fabricación (PBA)</t>
        </is>
      </c>
      <c r="E415" s="32" t="n">
        <v>1</v>
      </c>
      <c r="F415" s="32" t="inlineStr">
        <is>
          <t>u</t>
        </is>
      </c>
      <c r="G415" s="33" t="n">
        <v>0.0009</v>
      </c>
      <c r="H415" s="33">
        <f>E415*G415</f>
        <v/>
      </c>
      <c r="I415" s="32" t="inlineStr">
        <is>
          <t>Papel de seguridad autodestructible</t>
        </is>
      </c>
      <c r="J415" s="17" t="inlineStr">
        <is>
          <t>Ø46 (Res. OPDS 522/07), numerada, autodestructible</t>
        </is>
      </c>
      <c r="K415" s="32" t="inlineStr">
        <is>
          <t>Compra</t>
        </is>
      </c>
      <c r="L415" s="32" t="inlineStr">
        <is>
          <t>No</t>
        </is>
      </c>
      <c r="M415" s="17" t="n"/>
      <c r="N415" s="17" t="n"/>
      <c r="O415" s="17" t="inlineStr">
        <is>
          <t>22 Etiquetado (T07)</t>
        </is>
      </c>
      <c r="P415" s="17" t="inlineStr">
        <is>
          <t>Res. OPDS 522/07 anexos 1, 2 y 6</t>
        </is>
      </c>
      <c r="Q415" s="32" t="inlineStr">
        <is>
          <t>P</t>
        </is>
      </c>
      <c r="R415" s="32" t="inlineStr">
        <is>
          <t>FL_DES_BC_5kg</t>
        </is>
      </c>
      <c r="S415" s="17" t="inlineStr">
        <is>
          <t>Res. 522/07</t>
        </is>
      </c>
    </row>
    <row r="416">
      <c r="A416" s="32" t="inlineStr">
        <is>
          <t>FL_MAT_BC_5kg</t>
        </is>
      </c>
      <c r="B416" s="32" t="n">
        <v>2</v>
      </c>
      <c r="C416" s="32" t="inlineStr">
        <is>
          <t>BC5-22</t>
        </is>
      </c>
      <c r="D416" s="17" t="inlineStr">
        <is>
          <t xml:space="preserve">        Estampilla IRAM de conformidad</t>
        </is>
      </c>
      <c r="E416" s="32" t="n">
        <v>1</v>
      </c>
      <c r="F416" s="32" t="inlineStr">
        <is>
          <t>u</t>
        </is>
      </c>
      <c r="G416" s="33" t="n">
        <v>0.001</v>
      </c>
      <c r="H416" s="33">
        <f>E416*G416</f>
        <v/>
      </c>
      <c r="I416" s="32" t="inlineStr">
        <is>
          <t>Provista por IRAM (Anexo R)</t>
        </is>
      </c>
      <c r="J416" s="17" t="inlineStr">
        <is>
          <t>60 × 40</t>
        </is>
      </c>
      <c r="K416" s="32" t="inlineStr">
        <is>
          <t>Compra</t>
        </is>
      </c>
      <c r="L416" s="32" t="inlineStr">
        <is>
          <t>No</t>
        </is>
      </c>
      <c r="M416" s="17" t="n"/>
      <c r="N416" s="17" t="n"/>
      <c r="O416" s="17" t="inlineStr">
        <is>
          <t>22 Etiquetado (T07)</t>
        </is>
      </c>
      <c r="P416" s="17" t="inlineStr">
        <is>
          <t>IRAM Anexo R (DC-PG-129)</t>
        </is>
      </c>
      <c r="Q416" s="32" t="inlineStr">
        <is>
          <t>P</t>
        </is>
      </c>
      <c r="R416" s="32" t="inlineStr">
        <is>
          <t>FL_DES_BC_5kg</t>
        </is>
      </c>
      <c r="S416" s="17" t="inlineStr">
        <is>
          <t>numerada</t>
        </is>
      </c>
    </row>
    <row r="417">
      <c r="A417" s="32" t="inlineStr">
        <is>
          <t>FL_MAT_BC_5kg</t>
        </is>
      </c>
      <c r="B417" s="32" t="n">
        <v>2</v>
      </c>
      <c r="C417" s="32" t="inlineStr">
        <is>
          <t>BC5-23</t>
        </is>
      </c>
      <c r="D417" s="17" t="inlineStr">
        <is>
          <t xml:space="preserve">        Tarjeta de identificación AGC (CABA)</t>
        </is>
      </c>
      <c r="E417" s="32" t="n">
        <v>1</v>
      </c>
      <c r="F417" s="32" t="inlineStr">
        <is>
          <t>u</t>
        </is>
      </c>
      <c r="G417" s="33" t="n">
        <v>0.0032</v>
      </c>
      <c r="H417" s="33">
        <f>E417*G417</f>
        <v/>
      </c>
      <c r="I417" s="32" t="inlineStr">
        <is>
          <t>Etiqueta autoadhesiva emitida por la AGC</t>
        </is>
      </c>
      <c r="J417" s="17" t="inlineStr">
        <is>
          <t>140 × 55</t>
        </is>
      </c>
      <c r="K417" s="32" t="inlineStr">
        <is>
          <t>Compra</t>
        </is>
      </c>
      <c r="L417" s="32" t="inlineStr">
        <is>
          <t>Sí</t>
        </is>
      </c>
      <c r="M417" s="17" t="inlineStr">
        <is>
          <t>Agencia Gubernamental de Control (CABA)</t>
        </is>
      </c>
      <c r="N417" s="17" t="inlineStr">
        <is>
          <t>-</t>
        </is>
      </c>
      <c r="O417" s="17" t="inlineStr">
        <is>
          <t>22 Etiquetado (T07)</t>
        </is>
      </c>
      <c r="P417" s="17" t="inlineStr">
        <is>
          <t>Ordenanza 40.473 art. 6 · Res. AGC 32/15</t>
        </is>
      </c>
      <c r="Q417" s="32" t="inlineStr">
        <is>
          <t>P</t>
        </is>
      </c>
      <c r="R417" s="32" t="inlineStr">
        <is>
          <t>FL_DES_BC_5kg</t>
        </is>
      </c>
      <c r="S417" s="17" t="inlineStr">
        <is>
          <t>sólo destino CABA; sólo destino CABA</t>
        </is>
      </c>
    </row>
    <row r="418">
      <c r="A418" s="32" t="inlineStr">
        <is>
          <t>FL_MAT_BC_5kg</t>
        </is>
      </c>
      <c r="B418" s="32" t="n">
        <v>2</v>
      </c>
      <c r="C418" s="32" t="inlineStr">
        <is>
          <t>BC5-24</t>
        </is>
      </c>
      <c r="D418" s="17" t="inlineStr">
        <is>
          <t xml:space="preserve">        Etiqueta de n° de serie GS1</t>
        </is>
      </c>
      <c r="E418" s="32" t="n">
        <v>1</v>
      </c>
      <c r="F418" s="32" t="inlineStr">
        <is>
          <t>u</t>
        </is>
      </c>
      <c r="G418" s="33" t="n">
        <v>0.0005</v>
      </c>
      <c r="H418" s="33">
        <f>E418*G418</f>
        <v/>
      </c>
      <c r="I418" s="32" t="inlineStr">
        <is>
          <t>Poliéster autoadhesivo impreso térmico</t>
        </is>
      </c>
      <c r="J418" s="17" t="inlineStr">
        <is>
          <t>45 × 25</t>
        </is>
      </c>
      <c r="K418" s="32" t="inlineStr">
        <is>
          <t>Compra</t>
        </is>
      </c>
      <c r="L418" s="32" t="inlineStr">
        <is>
          <t>No</t>
        </is>
      </c>
      <c r="M418" s="17" t="n"/>
      <c r="N418" s="17" t="n"/>
      <c r="O418" s="17" t="inlineStr">
        <is>
          <t>22 Etiquetado (T07)</t>
        </is>
      </c>
      <c r="P418" s="17" t="inlineStr">
        <is>
          <t>GS1 Argentina (GTIN 779) · trazabilidad IRAM 3523 5.1</t>
        </is>
      </c>
      <c r="Q418" s="32" t="inlineStr">
        <is>
          <t>P</t>
        </is>
      </c>
      <c r="R418" s="32" t="inlineStr">
        <is>
          <t>FL_DES_BC_5kg</t>
        </is>
      </c>
      <c r="S418" s="17" t="inlineStr">
        <is>
          <t>QR GTIN + serie</t>
        </is>
      </c>
    </row>
    <row r="419">
      <c r="A419" s="32" t="inlineStr">
        <is>
          <t>FL_MAT_BC_5kg</t>
        </is>
      </c>
      <c r="B419" s="32" t="n">
        <v>2</v>
      </c>
      <c r="C419" s="32" t="inlineStr">
        <is>
          <t>BC5-26</t>
        </is>
      </c>
      <c r="D419" s="17" t="inlineStr">
        <is>
          <t xml:space="preserve">        Faja de garantía válvula-cuello</t>
        </is>
      </c>
      <c r="E419" s="32" t="n">
        <v>1</v>
      </c>
      <c r="F419" s="32" t="inlineStr">
        <is>
          <t>u</t>
        </is>
      </c>
      <c r="G419" s="33" t="n">
        <v>0.0001</v>
      </c>
      <c r="H419" s="33">
        <f>E419*G419</f>
        <v/>
      </c>
      <c r="I419" s="32" t="inlineStr">
        <is>
          <t>Vinilo destructible rayado rojo/blanco</t>
        </is>
      </c>
      <c r="J419" s="17" t="inlineStr">
        <is>
          <t>22 × 23 (ancho × largo desarrollado), pegada sobre la unión: cuerpo de la válvula, tuerca y cuello</t>
        </is>
      </c>
      <c r="K419" s="32" t="inlineStr">
        <is>
          <t>Compra</t>
        </is>
      </c>
      <c r="L419" s="32" t="inlineStr">
        <is>
          <t>No</t>
        </is>
      </c>
      <c r="M419" s="17" t="n"/>
      <c r="N419" s="17" t="n"/>
      <c r="O419" s="17" t="inlineStr">
        <is>
          <t>22 Etiquetado (T07)</t>
        </is>
      </c>
      <c r="P419" s="17" t="inlineStr">
        <is>
          <t>Sin norma: práctica de mercado (garantía de fábrica)</t>
        </is>
      </c>
      <c r="Q419" s="32" t="inlineStr">
        <is>
          <t>P</t>
        </is>
      </c>
      <c r="R419" s="32" t="inlineStr">
        <is>
          <t>FL_DES_BC_5kg</t>
        </is>
      </c>
      <c r="S419" s="17" t="inlineStr">
        <is>
          <t>nuevo sin abrir</t>
        </is>
      </c>
    </row>
    <row r="420">
      <c r="A420" s="32" t="inlineStr">
        <is>
          <t>FL_MAT_BC_5kg</t>
        </is>
      </c>
      <c r="B420" s="32" t="n">
        <v>2</v>
      </c>
      <c r="C420" s="32" t="inlineStr">
        <is>
          <t>BC5-27</t>
        </is>
      </c>
      <c r="D420" s="17" t="inlineStr">
        <is>
          <t xml:space="preserve">        Precinto de fábrica</t>
        </is>
      </c>
      <c r="E420" s="32" t="n">
        <v>1</v>
      </c>
      <c r="F420" s="32" t="inlineStr">
        <is>
          <t>u</t>
        </is>
      </c>
      <c r="G420" s="33" t="n">
        <v>0.0002</v>
      </c>
      <c r="H420" s="33">
        <f>E420*G420</f>
        <v/>
      </c>
      <c r="I420" s="32" t="inlineStr">
        <is>
          <t>Polipropileno color</t>
        </is>
      </c>
      <c r="J420" s="17" t="inlineStr">
        <is>
          <t>Ø5 × 10, numerado, rotura 30-50 N</t>
        </is>
      </c>
      <c r="K420" s="32" t="inlineStr">
        <is>
          <t>Compra</t>
        </is>
      </c>
      <c r="L420" s="32" t="inlineStr">
        <is>
          <t>No</t>
        </is>
      </c>
      <c r="M420" s="17" t="n"/>
      <c r="N420" s="17" t="n"/>
      <c r="O420" s="17" t="inlineStr">
        <is>
          <t>20 Presurización (T05)</t>
        </is>
      </c>
      <c r="P420" s="17" t="inlineStr">
        <is>
          <t>IRAM 3523 3.3.2 · IRAM 3517-2:2020 9.4.13</t>
        </is>
      </c>
      <c r="Q420" s="32" t="inlineStr">
        <is>
          <t>P</t>
        </is>
      </c>
      <c r="R420" s="32" t="inlineStr">
        <is>
          <t>FL_DES_BC_5kg</t>
        </is>
      </c>
      <c r="S420" s="17" t="inlineStr">
        <is>
          <t>id. FLAMA y lote</t>
        </is>
      </c>
    </row>
    <row r="421">
      <c r="A421" s="29" t="inlineStr">
        <is>
          <t>FL_MAT_BC_5kg</t>
        </is>
      </c>
      <c r="B421" s="29" t="n">
        <v>1</v>
      </c>
      <c r="C421" s="29" t="inlineStr">
        <is>
          <t>BC5-S8</t>
        </is>
      </c>
      <c r="D421" s="30" t="inlineStr">
        <is>
          <t xml:space="preserve">    Soporte (accesorio de montaje)</t>
        </is>
      </c>
      <c r="E421" s="29" t="n">
        <v>1</v>
      </c>
      <c r="F421" s="29" t="inlineStr">
        <is>
          <t>u</t>
        </is>
      </c>
      <c r="G421" s="31" t="n"/>
      <c r="H421" s="31">
        <f>H422</f>
        <v/>
      </c>
      <c r="I421" s="29" t="n"/>
      <c r="J421" s="30" t="n"/>
      <c r="K421" s="29" t="inlineStr">
        <is>
          <t>Compra</t>
        </is>
      </c>
      <c r="L421" s="29" t="n"/>
      <c r="M421" s="30" t="n"/>
      <c r="N421" s="30" t="n"/>
      <c r="O421" s="30" t="inlineStr">
        <is>
          <t>23 Embalaje (va dentro de la caja)</t>
        </is>
      </c>
      <c r="P421" s="30" t="inlineStr">
        <is>
          <t>IRAM 3517-2 7.4</t>
        </is>
      </c>
      <c r="Q421" s="29" t="n"/>
      <c r="R421" s="29" t="n"/>
      <c r="S421" s="30" t="n"/>
    </row>
    <row r="422">
      <c r="A422" s="32" t="inlineStr">
        <is>
          <t>FL_MAT_BC_5kg</t>
        </is>
      </c>
      <c r="B422" s="32" t="n">
        <v>2</v>
      </c>
      <c r="C422" s="32" t="inlineStr">
        <is>
          <t>BC5-I5</t>
        </is>
      </c>
      <c r="D422" s="17" t="inlineStr">
        <is>
          <t xml:space="preserve">        Soporte de pared (FL_ACC_01)</t>
        </is>
      </c>
      <c r="E422" s="32" t="n">
        <v>1</v>
      </c>
      <c r="F422" s="32" t="inlineStr">
        <is>
          <t>u</t>
        </is>
      </c>
      <c r="G422" s="33" t="n">
        <v>0.29</v>
      </c>
      <c r="H422" s="33">
        <f>E422*G422</f>
        <v/>
      </c>
      <c r="I422" s="32" t="inlineStr">
        <is>
          <t>Chapa acero SAE 1010 e=2 pintada</t>
        </is>
      </c>
      <c r="J422" s="17" t="inlineStr">
        <is>
          <t>placa 60 × 180, ala con ranura Ø cuello + 3</t>
        </is>
      </c>
      <c r="K422" s="32" t="inlineStr">
        <is>
          <t>Compra</t>
        </is>
      </c>
      <c r="L422" s="32" t="inlineStr">
        <is>
          <t>No</t>
        </is>
      </c>
      <c r="M422" s="17" t="n"/>
      <c r="N422" s="17" t="n"/>
      <c r="O422" s="17" t="inlineStr">
        <is>
          <t>23 Embalaje</t>
        </is>
      </c>
      <c r="P422" s="17" t="inlineStr">
        <is>
          <t>IRAM 3517-2 7.4</t>
        </is>
      </c>
      <c r="Q422" s="32" t="inlineStr">
        <is>
          <t>P</t>
        </is>
      </c>
      <c r="R422" s="32" t="inlineStr">
        <is>
          <t>FL_ACC_01</t>
        </is>
      </c>
      <c r="S422" s="17" t="n"/>
    </row>
    <row r="423">
      <c r="A423" s="32" t="inlineStr">
        <is>
          <t>FL_MAT_BC_5kg</t>
        </is>
      </c>
      <c r="B423" s="32" t="n">
        <v>2</v>
      </c>
      <c r="C423" s="32" t="inlineStr">
        <is>
          <t>BC5-I6</t>
        </is>
      </c>
      <c r="D423" s="17" t="inlineStr">
        <is>
          <t xml:space="preserve">        Tornillo y tarugo de fijación</t>
        </is>
      </c>
      <c r="E423" s="32" t="n">
        <v>2</v>
      </c>
      <c r="F423" s="32" t="inlineStr">
        <is>
          <t>u</t>
        </is>
      </c>
      <c r="G423" s="33" t="n"/>
      <c r="H423" s="33" t="n"/>
      <c r="I423" s="32" t="inlineStr">
        <is>
          <t>Acero cincado / nylon</t>
        </is>
      </c>
      <c r="J423" s="17" t="inlineStr">
        <is>
          <t>2 agujeros Ø8,5 del plano FL_ACC_01 → tornillo M8 + tarugo</t>
        </is>
      </c>
      <c r="K423" s="32" t="inlineStr">
        <is>
          <t>Compra</t>
        </is>
      </c>
      <c r="L423" s="32" t="inlineStr">
        <is>
          <t>No</t>
        </is>
      </c>
      <c r="M423" s="17" t="n"/>
      <c r="N423" s="17" t="n"/>
      <c r="O423" s="17" t="inlineStr">
        <is>
          <t>23 Embalaje</t>
        </is>
      </c>
      <c r="P423" s="17" t="n"/>
      <c r="Q423" s="32" t="inlineStr">
        <is>
          <t>P</t>
        </is>
      </c>
      <c r="R423" s="32" t="inlineStr">
        <is>
          <t>FL_ACC_01</t>
        </is>
      </c>
      <c r="S423" s="17" t="n"/>
    </row>
    <row r="424">
      <c r="A424" s="32" t="inlineStr">
        <is>
          <t>FL_MAT_BC_5kg</t>
        </is>
      </c>
      <c r="B424" s="32" t="n">
        <v>2</v>
      </c>
      <c r="C424" s="32" t="inlineStr">
        <is>
          <t>BC5-I8</t>
        </is>
      </c>
      <c r="D424" s="17" t="inlineStr">
        <is>
          <t xml:space="preserve">        Soporte opcional (pared o vehicular, según pedido)</t>
        </is>
      </c>
      <c r="E424" s="32" t="n">
        <v>0</v>
      </c>
      <c r="F424" s="32" t="inlineStr">
        <is>
          <t>u</t>
        </is>
      </c>
      <c r="G424" s="33" t="n"/>
      <c r="H424" s="33" t="n"/>
      <c r="I424" s="32" t="inlineStr">
        <is>
          <t>-</t>
        </is>
      </c>
      <c r="J424" s="17" t="inlineStr">
        <is>
          <t>-</t>
        </is>
      </c>
      <c r="K424" s="32" t="inlineStr">
        <is>
          <t>Compra</t>
        </is>
      </c>
      <c r="L424" s="32" t="inlineStr">
        <is>
          <t>No</t>
        </is>
      </c>
      <c r="M424" s="17" t="n"/>
      <c r="N424" s="17" t="n"/>
      <c r="O424" s="17" t="n"/>
      <c r="P424" s="17" t="inlineStr">
        <is>
          <t>IRAM 3517-2 7.4</t>
        </is>
      </c>
      <c r="Q424" s="32" t="inlineStr">
        <is>
          <t>N</t>
        </is>
      </c>
      <c r="R424" s="32" t="n"/>
      <c r="S424" s="17" t="inlineStr">
        <is>
          <t>Sólo si el pedido lo incluye</t>
        </is>
      </c>
    </row>
    <row r="425">
      <c r="A425" s="29" t="inlineStr">
        <is>
          <t>FL_MAT_BC_5kg</t>
        </is>
      </c>
      <c r="B425" s="29" t="n">
        <v>1</v>
      </c>
      <c r="C425" s="29" t="inlineStr">
        <is>
          <t>BC5-S7</t>
        </is>
      </c>
      <c r="D425" s="30" t="inlineStr">
        <is>
          <t xml:space="preserve">    Embalaje</t>
        </is>
      </c>
      <c r="E425" s="29" t="n">
        <v>1</v>
      </c>
      <c r="F425" s="29" t="inlineStr">
        <is>
          <t>u</t>
        </is>
      </c>
      <c r="G425" s="31" t="n"/>
      <c r="H425" s="31">
        <f>H429</f>
        <v/>
      </c>
      <c r="I425" s="29" t="n"/>
      <c r="J425" s="30" t="n"/>
      <c r="K425" s="29" t="inlineStr">
        <is>
          <t>Compra</t>
        </is>
      </c>
      <c r="L425" s="29" t="n"/>
      <c r="M425" s="30" t="n"/>
      <c r="N425" s="30" t="n"/>
      <c r="O425" s="30" t="inlineStr">
        <is>
          <t>23 Embalaje -&gt; 24 envolvedora (T11)</t>
        </is>
      </c>
      <c r="P425" s="30" t="n"/>
      <c r="Q425" s="29" t="n"/>
      <c r="R425" s="29" t="n"/>
      <c r="S425" s="30" t="n"/>
    </row>
    <row r="426">
      <c r="A426" s="32" t="inlineStr">
        <is>
          <t>FL_MAT_BC_5kg</t>
        </is>
      </c>
      <c r="B426" s="32" t="n">
        <v>2</v>
      </c>
      <c r="C426" s="32" t="inlineStr">
        <is>
          <t>BC5-E1</t>
        </is>
      </c>
      <c r="D426" s="17" t="inlineStr">
        <is>
          <t xml:space="preserve">        Caja de cartón corrugado simple</t>
        </is>
      </c>
      <c r="E426" s="32" t="n">
        <v>1</v>
      </c>
      <c r="F426" s="32" t="inlineStr">
        <is>
          <t>u</t>
        </is>
      </c>
      <c r="G426" s="33" t="n"/>
      <c r="H426" s="33" t="n"/>
      <c r="I426" s="32" t="inlineStr">
        <is>
          <t>Cartón corrugado</t>
        </is>
      </c>
      <c r="J426" s="17" t="inlineStr">
        <is>
          <t>244 × 187 × 455 interior (envolvente del plano + 15 por lado)</t>
        </is>
      </c>
      <c r="K426" s="32" t="inlineStr">
        <is>
          <t>Compra</t>
        </is>
      </c>
      <c r="L426" s="32" t="inlineStr">
        <is>
          <t>No</t>
        </is>
      </c>
      <c r="M426" s="17" t="n"/>
      <c r="N426" s="17" t="n"/>
      <c r="O426" s="17" t="inlineStr">
        <is>
          <t>23 Embalaje</t>
        </is>
      </c>
      <c r="P426" s="17" t="n"/>
      <c r="Q426" s="32" t="inlineStr">
        <is>
          <t>P</t>
        </is>
      </c>
      <c r="R426" s="32" t="n"/>
      <c r="S426" s="17" t="inlineStr">
        <is>
          <t>Medida del plano</t>
        </is>
      </c>
    </row>
    <row r="427">
      <c r="A427" s="32" t="inlineStr">
        <is>
          <t>FL_MAT_BC_5kg</t>
        </is>
      </c>
      <c r="B427" s="32" t="n">
        <v>2</v>
      </c>
      <c r="C427" s="32" t="inlineStr">
        <is>
          <t>BC5-E2</t>
        </is>
      </c>
      <c r="D427" s="17" t="inlineStr">
        <is>
          <t xml:space="preserve">        Instructivo de uso y mantenimiento</t>
        </is>
      </c>
      <c r="E427" s="32" t="n">
        <v>1</v>
      </c>
      <c r="F427" s="32" t="inlineStr">
        <is>
          <t>u</t>
        </is>
      </c>
      <c r="G427" s="33" t="n"/>
      <c r="H427" s="33" t="n"/>
      <c r="I427" s="32" t="inlineStr">
        <is>
          <t>Papel</t>
        </is>
      </c>
      <c r="J427" s="17" t="inlineStr">
        <is>
          <t>A5</t>
        </is>
      </c>
      <c r="K427" s="32" t="inlineStr">
        <is>
          <t>Compra</t>
        </is>
      </c>
      <c r="L427" s="32" t="inlineStr">
        <is>
          <t>No</t>
        </is>
      </c>
      <c r="M427" s="17" t="n"/>
      <c r="N427" s="17" t="n"/>
      <c r="O427" s="17" t="inlineStr">
        <is>
          <t>23 Embalaje</t>
        </is>
      </c>
      <c r="P427" s="17" t="n"/>
      <c r="Q427" s="32" t="inlineStr">
        <is>
          <t>I</t>
        </is>
      </c>
      <c r="R427" s="32" t="n"/>
      <c r="S427" s="17" t="inlineStr">
        <is>
          <t>Decisión comercial de FLAMA (las instrucciones de uso obligatorias van en la etiqueta, IRAM 3534)</t>
        </is>
      </c>
    </row>
    <row r="428">
      <c r="A428" s="32" t="inlineStr">
        <is>
          <t>FL_MAT_BC_5kg</t>
        </is>
      </c>
      <c r="B428" s="32" t="n">
        <v>2</v>
      </c>
      <c r="C428" s="32" t="inlineStr">
        <is>
          <t>BC5-E3</t>
        </is>
      </c>
      <c r="D428" s="17" t="inlineStr">
        <is>
          <t xml:space="preserve">        Pallet 1200 × 1000 (fracción)</t>
        </is>
      </c>
      <c r="E428" s="32" t="n">
        <v>0.0139</v>
      </c>
      <c r="F428" s="32" t="inlineStr">
        <is>
          <t>u</t>
        </is>
      </c>
      <c r="G428" s="33" t="n"/>
      <c r="H428" s="33" t="n"/>
      <c r="I428" s="32" t="inlineStr">
        <is>
          <t>Madera</t>
        </is>
      </c>
      <c r="J428" s="17" t="inlineStr">
        <is>
          <t>72 u por pallet</t>
        </is>
      </c>
      <c r="K428" s="32" t="inlineStr">
        <is>
          <t>Compra</t>
        </is>
      </c>
      <c r="L428" s="32" t="inlineStr">
        <is>
          <t>No</t>
        </is>
      </c>
      <c r="M428" s="17" t="n"/>
      <c r="N428" s="17" t="n"/>
      <c r="O428" s="17" t="inlineStr">
        <is>
          <t>23 Embalaje</t>
        </is>
      </c>
      <c r="P428" s="17" t="n"/>
      <c r="Q428" s="32" t="inlineStr">
        <is>
          <t>C</t>
        </is>
      </c>
      <c r="R428" s="32" t="n"/>
      <c r="S428" s="17" t="inlineStr">
        <is>
          <t>u por pallet = acomodo de la caja (plano) en 1200 × 1000 × 1450 de alto</t>
        </is>
      </c>
    </row>
    <row r="429">
      <c r="A429" s="32" t="inlineStr">
        <is>
          <t>FL_MAT_BC_5kg</t>
        </is>
      </c>
      <c r="B429" s="32" t="n">
        <v>2</v>
      </c>
      <c r="C429" s="32" t="inlineStr">
        <is>
          <t>BC5-E4</t>
        </is>
      </c>
      <c r="D429" s="17" t="inlineStr">
        <is>
          <t xml:space="preserve">        Film stretch (fracción del pallet)</t>
        </is>
      </c>
      <c r="E429" s="32" t="n">
        <v>0.0017</v>
      </c>
      <c r="F429" s="32" t="inlineStr">
        <is>
          <t>kg</t>
        </is>
      </c>
      <c r="G429" s="33" t="n">
        <v>1</v>
      </c>
      <c r="H429" s="33">
        <f>E429*G429</f>
        <v/>
      </c>
      <c r="I429" s="32" t="inlineStr">
        <is>
          <t>PE lineal 23 µm</t>
        </is>
      </c>
      <c r="J429" s="17" t="inlineStr">
        <is>
          <t>0,12 kg por pallet / 72 u</t>
        </is>
      </c>
      <c r="K429" s="32" t="inlineStr">
        <is>
          <t>Compra</t>
        </is>
      </c>
      <c r="L429" s="32" t="inlineStr">
        <is>
          <t>No</t>
        </is>
      </c>
      <c r="M429" s="17" t="n"/>
      <c r="N429" s="17" t="n"/>
      <c r="O429" s="17" t="inlineStr">
        <is>
          <t>24 Envolvedora (T11)</t>
        </is>
      </c>
      <c r="P429" s="17" t="n"/>
      <c r="Q429" s="32" t="inlineStr">
        <is>
          <t>C</t>
        </is>
      </c>
      <c r="R429" s="32" t="n"/>
      <c r="S429"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430">
      <c r="A430" s="32" t="inlineStr">
        <is>
          <t>FL_MAT_BC_5kg</t>
        </is>
      </c>
      <c r="B430" s="32" t="n">
        <v>2</v>
      </c>
      <c r="C430" s="32" t="inlineStr">
        <is>
          <t>BC5-E5</t>
        </is>
      </c>
      <c r="D430" s="17" t="inlineStr">
        <is>
          <t xml:space="preserve">        Etiqueta de pallet (lote y destino, fracción)</t>
        </is>
      </c>
      <c r="E430" s="32" t="n">
        <v>0.0139</v>
      </c>
      <c r="F430" s="32" t="inlineStr">
        <is>
          <t>u</t>
        </is>
      </c>
      <c r="G430" s="33" t="n"/>
      <c r="H430" s="33" t="n"/>
      <c r="I430" s="32" t="inlineStr">
        <is>
          <t>Papel térmico</t>
        </is>
      </c>
      <c r="J430" s="17" t="inlineStr">
        <is>
          <t>100 × 150</t>
        </is>
      </c>
      <c r="K430" s="32" t="inlineStr">
        <is>
          <t>Compra</t>
        </is>
      </c>
      <c r="L430" s="32" t="inlineStr">
        <is>
          <t>No</t>
        </is>
      </c>
      <c r="M430" s="17" t="n"/>
      <c r="N430" s="17" t="n"/>
      <c r="O430" s="17" t="inlineStr">
        <is>
          <t>24 Envolvedora</t>
        </is>
      </c>
      <c r="P430" s="17" t="n"/>
      <c r="Q430" s="32" t="inlineStr">
        <is>
          <t>C</t>
        </is>
      </c>
      <c r="R430" s="32" t="n"/>
      <c r="S430" s="17" t="n"/>
    </row>
    <row r="431">
      <c r="A431" s="32" t="inlineStr">
        <is>
          <t>FL_MAT_BC_5kg</t>
        </is>
      </c>
      <c r="B431" s="32" t="n">
        <v>2</v>
      </c>
      <c r="C431" s="32" t="inlineStr">
        <is>
          <t>BC5-E6</t>
        </is>
      </c>
      <c r="D431" s="17" t="inlineStr">
        <is>
          <t xml:space="preserve">        Cinta de embalaje PP 48 mm (cierre de la caja)</t>
        </is>
      </c>
      <c r="E431" s="32" t="n">
        <v>0.767</v>
      </c>
      <c r="F431" s="32" t="inlineStr">
        <is>
          <t>m</t>
        </is>
      </c>
      <c r="G431" s="33" t="n"/>
      <c r="H431" s="33" t="n"/>
      <c r="I431" s="32" t="inlineStr">
        <is>
          <t>Polipropileno con adhesivo acrílico</t>
        </is>
      </c>
      <c r="J431" s="17" t="inlineStr">
        <is>
          <t>cierre en I arriba y abajo: 2 × (244 + 2 × 70 de solapa)</t>
        </is>
      </c>
      <c r="K431" s="32" t="inlineStr">
        <is>
          <t>Compra</t>
        </is>
      </c>
      <c r="L431" s="32" t="inlineStr">
        <is>
          <t>No</t>
        </is>
      </c>
      <c r="M431" s="17" t="n"/>
      <c r="N431" s="17" t="n"/>
      <c r="O431" s="17" t="inlineStr">
        <is>
          <t>23 Embalaje</t>
        </is>
      </c>
      <c r="P431" s="17" t="n"/>
      <c r="Q431" s="32" t="inlineStr">
        <is>
          <t>C</t>
        </is>
      </c>
      <c r="R431" s="32" t="n"/>
      <c r="S431" s="17" t="inlineStr">
        <is>
          <t>Solapa de 70 mm por lado: práctica de cierre de cajas (medir en la línea)</t>
        </is>
      </c>
    </row>
    <row r="432">
      <c r="A432" s="32" t="inlineStr">
        <is>
          <t>FL_MAT_BC_5kg</t>
        </is>
      </c>
      <c r="B432" s="32" t="n">
        <v>2</v>
      </c>
      <c r="C432" s="32" t="inlineStr">
        <is>
          <t>BC5-E7</t>
        </is>
      </c>
      <c r="D432" s="17" t="inlineStr">
        <is>
          <t xml:space="preserve">        Esquineros de cartón 50 × 50 × 1200 (fracción del pallet)</t>
        </is>
      </c>
      <c r="E432" s="32" t="n">
        <v>0.0556</v>
      </c>
      <c r="F432" s="32" t="inlineStr">
        <is>
          <t>u</t>
        </is>
      </c>
      <c r="G432" s="33" t="n"/>
      <c r="H432" s="33" t="n"/>
      <c r="I432" s="32" t="inlineStr">
        <is>
          <t>Cartón</t>
        </is>
      </c>
      <c r="J432" s="17" t="inlineStr">
        <is>
          <t>4 por pallet / 72 u</t>
        </is>
      </c>
      <c r="K432" s="32" t="inlineStr">
        <is>
          <t>Compra</t>
        </is>
      </c>
      <c r="L432" s="32" t="inlineStr">
        <is>
          <t>No</t>
        </is>
      </c>
      <c r="M432" s="17" t="n"/>
      <c r="N432" s="17" t="n"/>
      <c r="O432" s="17" t="inlineStr">
        <is>
          <t>24 Envolvedora (T11)</t>
        </is>
      </c>
      <c r="P432" s="17" t="n"/>
      <c r="Q432" s="32" t="inlineStr">
        <is>
          <t>C</t>
        </is>
      </c>
      <c r="R432" s="32" t="n"/>
      <c r="S432" s="17" t="inlineStr">
        <is>
          <t>Planilla MP-64</t>
        </is>
      </c>
    </row>
    <row r="433">
      <c r="A433" s="26" t="inlineStr">
        <is>
          <t>FL_MAT_SALESK_6l</t>
        </is>
      </c>
      <c r="B433" s="26" t="n">
        <v>0</v>
      </c>
      <c r="C433" s="26" t="inlineStr">
        <is>
          <t>FL_MAT_SALESK_6l</t>
        </is>
      </c>
      <c r="D433" s="27" t="inlineStr">
        <is>
          <t>Extintor Sales K 6 l</t>
        </is>
      </c>
      <c r="E433" s="26" t="n">
        <v>1</v>
      </c>
      <c r="F433" s="26" t="inlineStr">
        <is>
          <t>u</t>
        </is>
      </c>
      <c r="G433" s="28" t="n"/>
      <c r="H433" s="28" t="n"/>
      <c r="I433" s="26" t="n"/>
      <c r="J433" s="27" t="n"/>
      <c r="K433" s="26" t="n"/>
      <c r="L433" s="26" t="n"/>
      <c r="M433" s="27" t="n"/>
      <c r="N433" s="27" t="n"/>
      <c r="O433" s="27" t="n"/>
      <c r="P433" s="27" t="inlineStr">
        <is>
          <t>IRAM 3694</t>
        </is>
      </c>
      <c r="Q433" s="26" t="inlineStr">
        <is>
          <t>P</t>
        </is>
      </c>
      <c r="R433" s="26" t="inlineStr">
        <is>
          <t>FL_MAT_SALESK_6l</t>
        </is>
      </c>
      <c r="S433" s="27" t="inlineStr">
        <is>
          <t>Revendido: se compra terminado al fabricante con Sello IRAM; las piezas internas quedan como referencia (no entran en MRP)</t>
        </is>
      </c>
    </row>
    <row r="434">
      <c r="A434" s="29" t="inlineStr">
        <is>
          <t>FL_MAT_SALESK_6l</t>
        </is>
      </c>
      <c r="B434" s="29" t="n">
        <v>1</v>
      </c>
      <c r="C434" s="29" t="inlineStr">
        <is>
          <t>SALESK6-S0</t>
        </is>
      </c>
      <c r="D434" s="30" t="inlineStr">
        <is>
          <t xml:space="preserve">    Equipo terminado comprado (fabricante con Sello IRAM)</t>
        </is>
      </c>
      <c r="E434" s="29" t="n">
        <v>1</v>
      </c>
      <c r="F434" s="29" t="inlineStr">
        <is>
          <t>u</t>
        </is>
      </c>
      <c r="G434" s="31" t="n"/>
      <c r="H434" s="31" t="n"/>
      <c r="I434" s="29" t="n"/>
      <c r="J434" s="30" t="n"/>
      <c r="K434" s="29" t="inlineStr">
        <is>
          <t>Compra</t>
        </is>
      </c>
      <c r="L434" s="29" t="inlineStr">
        <is>
          <t>Sí</t>
        </is>
      </c>
      <c r="M434" s="30" t="inlineStr">
        <is>
          <t>Matafuegos Georgia - venta mayorista</t>
        </is>
      </c>
      <c r="N434" s="30" t="inlineStr">
        <is>
          <t>Drago (Luis Pasquinelli e Hijos S.A.)</t>
        </is>
      </c>
      <c r="O434" s="30" t="inlineStr">
        <is>
          <t>Recepción y control de ingreso (SP-1)</t>
        </is>
      </c>
      <c r="P434" s="30" t="inlineStr">
        <is>
          <t>IRAM 3694</t>
        </is>
      </c>
      <c r="Q434" s="29" t="inlineStr">
        <is>
          <t>I</t>
        </is>
      </c>
      <c r="R434" s="29" t="inlineStr">
        <is>
          <t>FL_MAT_SALESK_6l</t>
        </is>
      </c>
      <c r="S434" s="30" t="inlineStr">
        <is>
          <t>Única fila de compra del revendido (más la tarjeta AGC si el destino es CABA)</t>
        </is>
      </c>
    </row>
    <row r="435">
      <c r="A435" s="29" t="inlineStr">
        <is>
          <t>FL_MAT_SALESK_6l</t>
        </is>
      </c>
      <c r="B435" s="29" t="n">
        <v>1</v>
      </c>
      <c r="C435" s="29" t="inlineStr">
        <is>
          <t>SALESK6-S1</t>
        </is>
      </c>
      <c r="D435" s="30" t="inlineStr">
        <is>
          <t xml:space="preserve">    Recipiente (cilindro)</t>
        </is>
      </c>
      <c r="E435" s="29" t="n">
        <v>1</v>
      </c>
      <c r="F435" s="29" t="inlineStr">
        <is>
          <t>u</t>
        </is>
      </c>
      <c r="G435" s="31" t="n"/>
      <c r="H435" s="31">
        <f>H436+H437+H438+H439</f>
        <v/>
      </c>
      <c r="I435" s="29" t="n"/>
      <c r="J435" s="30" t="n"/>
      <c r="K435" s="29" t="inlineStr">
        <is>
          <t>Compra / armado</t>
        </is>
      </c>
      <c r="L435" s="29" t="n"/>
      <c r="M435" s="30" t="n"/>
      <c r="N435" s="30" t="n"/>
      <c r="O435" s="30" t="n"/>
      <c r="P435" s="30" t="inlineStr">
        <is>
          <t>IRAM 3523 / 3550 (recipiente)</t>
        </is>
      </c>
      <c r="Q435" s="29" t="inlineStr">
        <is>
          <t>P</t>
        </is>
      </c>
      <c r="R435" s="29" t="inlineStr">
        <is>
          <t>FL_DES_SALESK_6l</t>
        </is>
      </c>
      <c r="S435" s="30" t="n"/>
    </row>
    <row r="436">
      <c r="A436" s="32" t="inlineStr">
        <is>
          <t>FL_MAT_SALESK_6l</t>
        </is>
      </c>
      <c r="B436" s="32" t="n">
        <v>2</v>
      </c>
      <c r="C436" s="32" t="inlineStr">
        <is>
          <t>SALESK6-01</t>
        </is>
      </c>
      <c r="D436" s="17" t="inlineStr">
        <is>
          <t xml:space="preserve">        Cuerpo (virola)</t>
        </is>
      </c>
      <c r="E436" s="32" t="n">
        <v>1</v>
      </c>
      <c r="F436" s="32" t="inlineStr">
        <is>
          <t>u</t>
        </is>
      </c>
      <c r="G436" s="33" t="n">
        <v>1.1385</v>
      </c>
      <c r="H436" s="33">
        <f>E436*G436</f>
        <v/>
      </c>
      <c r="I436" s="32" t="inlineStr">
        <is>
          <t>Chapa acero inox. AISI 304 e=0,8</t>
        </is>
      </c>
      <c r="J436" s="17" t="inlineStr">
        <is>
          <t>Ø190 × e0,8 × 302 de alto; desarrollo 594,4 × 302</t>
        </is>
      </c>
      <c r="K436" s="32" t="inlineStr">
        <is>
          <t>Compra (en el conjunto)</t>
        </is>
      </c>
      <c r="L436" s="32" t="inlineStr">
        <is>
          <t>No</t>
        </is>
      </c>
      <c r="M436" s="17" t="n"/>
      <c r="N436" s="17" t="n"/>
      <c r="O436" s="17" t="inlineStr">
        <is>
          <t>S4 - se compra terminado (tercerizado con sello IRAM)</t>
        </is>
      </c>
      <c r="P436" s="17" t="n"/>
      <c r="Q436" s="32" t="inlineStr">
        <is>
          <t>P</t>
        </is>
      </c>
      <c r="R436" s="32" t="inlineStr">
        <is>
          <t>FL_DES_SALESK_6l</t>
        </is>
      </c>
      <c r="S436" s="17" t="inlineStr">
        <is>
          <t>costura long. TIG</t>
        </is>
      </c>
    </row>
    <row r="437">
      <c r="A437" s="32" t="inlineStr">
        <is>
          <t>FL_MAT_SALESK_6l</t>
        </is>
      </c>
      <c r="B437" s="32" t="n">
        <v>2</v>
      </c>
      <c r="C437" s="32" t="inlineStr">
        <is>
          <t>SALESK6-02</t>
        </is>
      </c>
      <c r="D437" s="17" t="inlineStr">
        <is>
          <t xml:space="preserve">        Cúpula</t>
        </is>
      </c>
      <c r="E437" s="32" t="n">
        <v>1</v>
      </c>
      <c r="F437" s="32" t="inlineStr">
        <is>
          <t>u</t>
        </is>
      </c>
      <c r="G437" s="33" t="n">
        <v>0.2669</v>
      </c>
      <c r="H437" s="33">
        <f>E437*G437</f>
        <v/>
      </c>
      <c r="I437" s="32" t="inlineStr">
        <is>
          <t>Chapa acero inox. AISI 304 e=0,8</t>
        </is>
      </c>
      <c r="J437" s="17" t="inlineStr">
        <is>
          <t>Ø190 × e0,8 × 59,1 de alto; disco Ø238,4</t>
        </is>
      </c>
      <c r="K437" s="32" t="inlineStr">
        <is>
          <t>Compra (en el conjunto)</t>
        </is>
      </c>
      <c r="L437" s="32" t="inlineStr">
        <is>
          <t>No</t>
        </is>
      </c>
      <c r="M437" s="17" t="n"/>
      <c r="N437" s="17" t="n"/>
      <c r="O437" s="17" t="inlineStr">
        <is>
          <t>S4 - se compra terminado (tercerizado con sello IRAM)</t>
        </is>
      </c>
      <c r="P437" s="17" t="n"/>
      <c r="Q437" s="32" t="inlineStr">
        <is>
          <t>P</t>
        </is>
      </c>
      <c r="R437" s="32" t="inlineStr">
        <is>
          <t>FL_DES_SALESK_6l</t>
        </is>
      </c>
      <c r="S437" s="17" t="inlineStr">
        <is>
          <t>embutida</t>
        </is>
      </c>
    </row>
    <row r="438">
      <c r="A438" s="32" t="inlineStr">
        <is>
          <t>FL_MAT_SALESK_6l</t>
        </is>
      </c>
      <c r="B438" s="32" t="n">
        <v>2</v>
      </c>
      <c r="C438" s="32" t="inlineStr">
        <is>
          <t>SALESK6-03</t>
        </is>
      </c>
      <c r="D438" s="17" t="inlineStr">
        <is>
          <t xml:space="preserve">        Fondo</t>
        </is>
      </c>
      <c r="E438" s="32" t="n">
        <v>1</v>
      </c>
      <c r="F438" s="32" t="inlineStr">
        <is>
          <t>u</t>
        </is>
      </c>
      <c r="G438" s="33" t="n">
        <v>0.2299</v>
      </c>
      <c r="H438" s="33">
        <f>E438*G438</f>
        <v/>
      </c>
      <c r="I438" s="32" t="inlineStr">
        <is>
          <t>Chapa acero inox. AISI 304 e=0,8</t>
        </is>
      </c>
      <c r="J438" s="17" t="inlineStr">
        <is>
          <t>Ø190 × e0,8 × 20 de alto; disco Ø221,3</t>
        </is>
      </c>
      <c r="K438" s="32" t="inlineStr">
        <is>
          <t>Compra (en el conjunto)</t>
        </is>
      </c>
      <c r="L438" s="32" t="inlineStr">
        <is>
          <t>No</t>
        </is>
      </c>
      <c r="M438" s="17" t="n"/>
      <c r="N438" s="17" t="n"/>
      <c r="O438" s="17" t="inlineStr">
        <is>
          <t>S4 - se compra terminado (tercerizado con sello IRAM)</t>
        </is>
      </c>
      <c r="P438" s="17" t="n"/>
      <c r="Q438" s="32" t="inlineStr">
        <is>
          <t>P</t>
        </is>
      </c>
      <c r="R438" s="32" t="inlineStr">
        <is>
          <t>FL_DES_SALESK_6l</t>
        </is>
      </c>
      <c r="S438" s="17" t="inlineStr">
        <is>
          <t>embutido</t>
        </is>
      </c>
    </row>
    <row r="439">
      <c r="A439" s="32" t="inlineStr">
        <is>
          <t>FL_MAT_SALESK_6l</t>
        </is>
      </c>
      <c r="B439" s="32" t="n">
        <v>2</v>
      </c>
      <c r="C439" s="32" t="inlineStr">
        <is>
          <t>SALESK6-04</t>
        </is>
      </c>
      <c r="D439" s="17" t="inlineStr">
        <is>
          <t xml:space="preserve">        Cuello roscado</t>
        </is>
      </c>
      <c r="E439" s="32" t="n">
        <v>1</v>
      </c>
      <c r="F439" s="32" t="inlineStr">
        <is>
          <t>u</t>
        </is>
      </c>
      <c r="G439" s="33" t="n">
        <v>0.0539</v>
      </c>
      <c r="H439" s="33">
        <f>E439*G439</f>
        <v/>
      </c>
      <c r="I439" s="32" t="inlineStr">
        <is>
          <t>Acero inox. AISI 304</t>
        </is>
      </c>
      <c r="J439" s="17" t="inlineStr">
        <is>
          <t>Ø37 × 14 de alto, rosca M30x1,5, asiento Ø35</t>
        </is>
      </c>
      <c r="K439" s="32" t="inlineStr">
        <is>
          <t>Compra (en el conjunto)</t>
        </is>
      </c>
      <c r="L439" s="32" t="inlineStr">
        <is>
          <t>No</t>
        </is>
      </c>
      <c r="M439" s="17" t="n"/>
      <c r="N439" s="17" t="n"/>
      <c r="O439" s="17" t="inlineStr">
        <is>
          <t>S4 - se compra terminado (tercerizado con sello IRAM)</t>
        </is>
      </c>
      <c r="P439" s="17" t="n"/>
      <c r="Q439" s="32" t="inlineStr">
        <is>
          <t>P</t>
        </is>
      </c>
      <c r="R439" s="32" t="inlineStr">
        <is>
          <t>FL_DES_SALESK_6l</t>
        </is>
      </c>
      <c r="S439" s="17" t="inlineStr">
        <is>
          <t>M30x1,5</t>
        </is>
      </c>
    </row>
    <row r="440">
      <c r="A440" s="29" t="inlineStr">
        <is>
          <t>FL_MAT_SALESK_6l</t>
        </is>
      </c>
      <c r="B440" s="29" t="n">
        <v>1</v>
      </c>
      <c r="C440" s="29" t="inlineStr">
        <is>
          <t>SALESK6-S2</t>
        </is>
      </c>
      <c r="D440" s="30" t="inlineStr">
        <is>
          <t xml:space="preserve">    Conjunto de válvula</t>
        </is>
      </c>
      <c r="E440" s="29" t="n">
        <v>1</v>
      </c>
      <c r="F440" s="29" t="inlineStr">
        <is>
          <t>u</t>
        </is>
      </c>
      <c r="G440" s="31" t="n"/>
      <c r="H440" s="31">
        <f>H441+H442+H443+H445+H446+H447+H448+H449+H450+H451+H452+H453</f>
        <v/>
      </c>
      <c r="I440" s="29" t="n"/>
      <c r="J440" s="30" t="n"/>
      <c r="K440" s="29" t="inlineStr">
        <is>
          <t>Compra / armado</t>
        </is>
      </c>
      <c r="L440" s="29" t="n"/>
      <c r="M440" s="30" t="n"/>
      <c r="N440" s="30" t="n"/>
      <c r="O440" s="30" t="n"/>
      <c r="P440" s="30" t="inlineStr">
        <is>
          <t>Manómetro IRAM 3533</t>
        </is>
      </c>
      <c r="Q440" s="29" t="inlineStr">
        <is>
          <t>P</t>
        </is>
      </c>
      <c r="R440" s="29" t="inlineStr">
        <is>
          <t>FL_DES_SALESK_6l</t>
        </is>
      </c>
      <c r="S440" s="30" t="n"/>
    </row>
    <row r="441">
      <c r="A441" s="32" t="inlineStr">
        <is>
          <t>FL_MAT_SALESK_6l</t>
        </is>
      </c>
      <c r="B441" s="32" t="n">
        <v>2</v>
      </c>
      <c r="C441" s="32" t="inlineStr">
        <is>
          <t>SALESK6-05</t>
        </is>
      </c>
      <c r="D441" s="17" t="inlineStr">
        <is>
          <t xml:space="preserve">        Espiga roscada</t>
        </is>
      </c>
      <c r="E441" s="32" t="n">
        <v>1</v>
      </c>
      <c r="F441" s="32" t="inlineStr">
        <is>
          <t>u</t>
        </is>
      </c>
      <c r="G441" s="33" t="n">
        <v>0.0245</v>
      </c>
      <c r="H441" s="33">
        <f>E441*G441</f>
        <v/>
      </c>
      <c r="I441" s="32" t="inlineStr">
        <is>
          <t>Latón forjado</t>
        </is>
      </c>
      <c r="J441" s="17" t="inlineStr">
        <is>
          <t>29,8 × 29,8 × 10,8</t>
        </is>
      </c>
      <c r="K441" s="32" t="inlineStr">
        <is>
          <t>Compra (en el conjunto)</t>
        </is>
      </c>
      <c r="L441" s="32" t="inlineStr">
        <is>
          <t>No</t>
        </is>
      </c>
      <c r="M441" s="17" t="n"/>
      <c r="N441" s="17" t="n"/>
      <c r="O441" s="17" t="inlineStr">
        <is>
          <t>S4 - se compra terminado (tercerizado con sello IRAM)</t>
        </is>
      </c>
      <c r="P441" s="17" t="n"/>
      <c r="Q441" s="32" t="inlineStr">
        <is>
          <t>P</t>
        </is>
      </c>
      <c r="R441" s="32" t="inlineStr">
        <is>
          <t>FL_DES_SALESK_6l</t>
        </is>
      </c>
      <c r="S441" s="17" t="n"/>
    </row>
    <row r="442">
      <c r="A442" s="32" t="inlineStr">
        <is>
          <t>FL_MAT_SALESK_6l</t>
        </is>
      </c>
      <c r="B442" s="32" t="n">
        <v>2</v>
      </c>
      <c r="C442" s="32" t="inlineStr">
        <is>
          <t>SALESK6-06</t>
        </is>
      </c>
      <c r="D442" s="17" t="inlineStr">
        <is>
          <t xml:space="preserve">        Collarín de válvula</t>
        </is>
      </c>
      <c r="E442" s="32" t="n">
        <v>1</v>
      </c>
      <c r="F442" s="32" t="inlineStr">
        <is>
          <t>u</t>
        </is>
      </c>
      <c r="G442" s="33" t="n">
        <v>0.0053</v>
      </c>
      <c r="H442" s="33">
        <f>E442*G442</f>
        <v/>
      </c>
      <c r="I442" s="32" t="inlineStr">
        <is>
          <t>Latón forjado</t>
        </is>
      </c>
      <c r="J442" s="17" t="inlineStr">
        <is>
          <t>27,2 × 27,2 × 4,1</t>
        </is>
      </c>
      <c r="K442" s="32" t="inlineStr">
        <is>
          <t>Compra (en el conjunto)</t>
        </is>
      </c>
      <c r="L442" s="32" t="inlineStr">
        <is>
          <t>No</t>
        </is>
      </c>
      <c r="M442" s="17" t="n"/>
      <c r="N442" s="17" t="n"/>
      <c r="O442" s="17" t="inlineStr">
        <is>
          <t>S4 - se compra terminado (tercerizado con sello IRAM)</t>
        </is>
      </c>
      <c r="P442" s="17" t="n"/>
      <c r="Q442" s="32" t="inlineStr">
        <is>
          <t>P</t>
        </is>
      </c>
      <c r="R442" s="32" t="inlineStr">
        <is>
          <t>FL_DES_SALESK_6l</t>
        </is>
      </c>
      <c r="S442" s="17" t="n"/>
    </row>
    <row r="443">
      <c r="A443" s="32" t="inlineStr">
        <is>
          <t>FL_MAT_SALESK_6l</t>
        </is>
      </c>
      <c r="B443" s="32" t="n">
        <v>2</v>
      </c>
      <c r="C443" s="32" t="inlineStr">
        <is>
          <t>SALESK6-07</t>
        </is>
      </c>
      <c r="D443" s="17" t="inlineStr">
        <is>
          <t xml:space="preserve">        Cuerpo de válvula</t>
        </is>
      </c>
      <c r="E443" s="32" t="n">
        <v>1</v>
      </c>
      <c r="F443" s="32" t="inlineStr">
        <is>
          <t>u</t>
        </is>
      </c>
      <c r="G443" s="33" t="n">
        <v>0.1328</v>
      </c>
      <c r="H443" s="33">
        <f>E443*G443</f>
        <v/>
      </c>
      <c r="I443" s="32" t="inlineStr">
        <is>
          <t>Latón forjado</t>
        </is>
      </c>
      <c r="J443" s="17" t="inlineStr">
        <is>
          <t>43,9 × 32 × 24,5</t>
        </is>
      </c>
      <c r="K443" s="32" t="inlineStr">
        <is>
          <t>Compra (en el conjunto)</t>
        </is>
      </c>
      <c r="L443" s="32" t="inlineStr">
        <is>
          <t>No</t>
        </is>
      </c>
      <c r="M443" s="17" t="n"/>
      <c r="N443" s="17" t="n"/>
      <c r="O443" s="17" t="inlineStr">
        <is>
          <t>S4 - se compra terminado (tercerizado con sello IRAM)</t>
        </is>
      </c>
      <c r="P443" s="17" t="n"/>
      <c r="Q443" s="32" t="inlineStr">
        <is>
          <t>P</t>
        </is>
      </c>
      <c r="R443" s="32" t="inlineStr">
        <is>
          <t>FL_DES_SALESK_6l</t>
        </is>
      </c>
      <c r="S443" s="17" t="n"/>
    </row>
    <row r="444">
      <c r="A444" s="32" t="inlineStr">
        <is>
          <t>FL_MAT_SALESK_6l</t>
        </is>
      </c>
      <c r="B444" s="32" t="n">
        <v>2</v>
      </c>
      <c r="C444" s="32" t="inlineStr">
        <is>
          <t>SALESK6-08</t>
        </is>
      </c>
      <c r="D444" s="17" t="inlineStr">
        <is>
          <t xml:space="preserve">        Manómetro</t>
        </is>
      </c>
      <c r="E444" s="32" t="n">
        <v>1</v>
      </c>
      <c r="F444" s="32" t="inlineStr">
        <is>
          <t>u</t>
        </is>
      </c>
      <c r="G444" s="33" t="n"/>
      <c r="H444" s="33" t="n"/>
      <c r="I444" s="32" t="inlineStr">
        <is>
          <t>Comercial</t>
        </is>
      </c>
      <c r="J444" s="17" t="inlineStr">
        <is>
          <t>Ø36 esfera, rango 0-2 MPa, sector verde en 0,8</t>
        </is>
      </c>
      <c r="K444" s="32" t="inlineStr">
        <is>
          <t>Compra (en el conjunto)</t>
        </is>
      </c>
      <c r="L444" s="32" t="inlineStr">
        <is>
          <t>No</t>
        </is>
      </c>
      <c r="M444" s="17" t="n"/>
      <c r="N444" s="17" t="n"/>
      <c r="O444" s="17" t="inlineStr">
        <is>
          <t>S4 - se compra terminado (tercerizado con sello IRAM)</t>
        </is>
      </c>
      <c r="P444" s="17" t="inlineStr">
        <is>
          <t>IRAM 3533</t>
        </is>
      </c>
      <c r="Q444" s="32" t="inlineStr">
        <is>
          <t>P</t>
        </is>
      </c>
      <c r="R444" s="32" t="inlineStr">
        <is>
          <t>FL_DES_SALESK_6l</t>
        </is>
      </c>
      <c r="S444" s="17" t="inlineStr">
        <is>
          <t>Pieza comercial; sello IRAM 3533; peso: completar con la ficha del proveedor (no afecta el MRP)</t>
        </is>
      </c>
    </row>
    <row r="445">
      <c r="A445" s="32" t="inlineStr">
        <is>
          <t>FL_MAT_SALESK_6l</t>
        </is>
      </c>
      <c r="B445" s="32" t="n">
        <v>2</v>
      </c>
      <c r="C445" s="32" t="inlineStr">
        <is>
          <t>SALESK6-09</t>
        </is>
      </c>
      <c r="D445" s="17" t="inlineStr">
        <is>
          <t xml:space="preserve">        Vástago</t>
        </is>
      </c>
      <c r="E445" s="32" t="n">
        <v>1</v>
      </c>
      <c r="F445" s="32" t="inlineStr">
        <is>
          <t>u</t>
        </is>
      </c>
      <c r="G445" s="33" t="n">
        <v>0.0137</v>
      </c>
      <c r="H445" s="33">
        <f>E445*G445</f>
        <v/>
      </c>
      <c r="I445" s="32" t="inlineStr">
        <is>
          <t>Latón</t>
        </is>
      </c>
      <c r="J445" s="17" t="inlineStr">
        <is>
          <t>35,6 × 14 × 14</t>
        </is>
      </c>
      <c r="K445" s="32" t="inlineStr">
        <is>
          <t>Compra (en el conjunto)</t>
        </is>
      </c>
      <c r="L445" s="32" t="inlineStr">
        <is>
          <t>No</t>
        </is>
      </c>
      <c r="M445" s="17" t="n"/>
      <c r="N445" s="17" t="n"/>
      <c r="O445" s="17" t="inlineStr">
        <is>
          <t>S4 - se compra terminado (tercerizado con sello IRAM)</t>
        </is>
      </c>
      <c r="P445" s="17" t="n"/>
      <c r="Q445" s="32" t="inlineStr">
        <is>
          <t>P</t>
        </is>
      </c>
      <c r="R445" s="32" t="inlineStr">
        <is>
          <t>FL_DES_SALESK_6l</t>
        </is>
      </c>
      <c r="S445" s="17" t="inlineStr">
        <is>
          <t>con junta tórica</t>
        </is>
      </c>
    </row>
    <row r="446">
      <c r="A446" s="32" t="inlineStr">
        <is>
          <t>FL_MAT_SALESK_6l</t>
        </is>
      </c>
      <c r="B446" s="32" t="n">
        <v>2</v>
      </c>
      <c r="C446" s="32" t="inlineStr">
        <is>
          <t>SALESK6-10</t>
        </is>
      </c>
      <c r="D446" s="17" t="inlineStr">
        <is>
          <t xml:space="preserve">        Resorte de válvula</t>
        </is>
      </c>
      <c r="E446" s="32" t="n">
        <v>1</v>
      </c>
      <c r="F446" s="32" t="inlineStr">
        <is>
          <t>u</t>
        </is>
      </c>
      <c r="G446" s="33" t="n">
        <v>0.0049</v>
      </c>
      <c r="H446" s="33">
        <f>E446*G446</f>
        <v/>
      </c>
      <c r="I446" s="32" t="inlineStr">
        <is>
          <t>Alambre acero inox. AISI 302</t>
        </is>
      </c>
      <c r="J446" s="17" t="inlineStr">
        <is>
          <t>28,8 × 17,3 × 17,3</t>
        </is>
      </c>
      <c r="K446" s="32" t="inlineStr">
        <is>
          <t>Compra (en el conjunto)</t>
        </is>
      </c>
      <c r="L446" s="32" t="inlineStr">
        <is>
          <t>No</t>
        </is>
      </c>
      <c r="M446" s="17" t="n"/>
      <c r="N446" s="17" t="n"/>
      <c r="O446" s="17" t="inlineStr">
        <is>
          <t>S4 - se compra terminado (tercerizado con sello IRAM)</t>
        </is>
      </c>
      <c r="P446" s="17" t="n"/>
      <c r="Q446" s="32" t="inlineStr">
        <is>
          <t>P</t>
        </is>
      </c>
      <c r="R446" s="32" t="inlineStr">
        <is>
          <t>FL_DES_SALESK_6l</t>
        </is>
      </c>
      <c r="S446" s="17" t="inlineStr">
        <is>
          <t>cierre del vástago</t>
        </is>
      </c>
    </row>
    <row r="447">
      <c r="A447" s="32" t="inlineStr">
        <is>
          <t>FL_MAT_SALESK_6l</t>
        </is>
      </c>
      <c r="B447" s="32" t="n">
        <v>2</v>
      </c>
      <c r="C447" s="32" t="inlineStr">
        <is>
          <t>SALESK6-11</t>
        </is>
      </c>
      <c r="D447" s="17" t="inlineStr">
        <is>
          <t xml:space="preserve">        Eje de palanca</t>
        </is>
      </c>
      <c r="E447" s="32" t="n">
        <v>1</v>
      </c>
      <c r="F447" s="32" t="inlineStr">
        <is>
          <t>u</t>
        </is>
      </c>
      <c r="G447" s="33" t="n">
        <v>0.0033</v>
      </c>
      <c r="H447" s="33">
        <f>E447*G447</f>
        <v/>
      </c>
      <c r="I447" s="32" t="inlineStr">
        <is>
          <t>Acero inox. AISI 304</t>
        </is>
      </c>
      <c r="J447" s="17" t="inlineStr">
        <is>
          <t>33 × 4 × 4</t>
        </is>
      </c>
      <c r="K447" s="32" t="inlineStr">
        <is>
          <t>Compra (en el conjunto)</t>
        </is>
      </c>
      <c r="L447" s="32" t="inlineStr">
        <is>
          <t>No</t>
        </is>
      </c>
      <c r="M447" s="17" t="n"/>
      <c r="N447" s="17" t="n"/>
      <c r="O447" s="17" t="inlineStr">
        <is>
          <t>S4 - se compra terminado (tercerizado con sello IRAM)</t>
        </is>
      </c>
      <c r="P447" s="17" t="n"/>
      <c r="Q447" s="32" t="inlineStr">
        <is>
          <t>P</t>
        </is>
      </c>
      <c r="R447" s="32" t="inlineStr">
        <is>
          <t>FL_DES_SALESK_6l</t>
        </is>
      </c>
      <c r="S447" s="17" t="n"/>
    </row>
    <row r="448">
      <c r="A448" s="32" t="inlineStr">
        <is>
          <t>FL_MAT_SALESK_6l</t>
        </is>
      </c>
      <c r="B448" s="32" t="n">
        <v>2</v>
      </c>
      <c r="C448" s="32" t="inlineStr">
        <is>
          <t>SALESK6-12</t>
        </is>
      </c>
      <c r="D448" s="17" t="inlineStr">
        <is>
          <t xml:space="preserve">        Pasador de seguridad</t>
        </is>
      </c>
      <c r="E448" s="32" t="n">
        <v>1</v>
      </c>
      <c r="F448" s="32" t="inlineStr">
        <is>
          <t>u</t>
        </is>
      </c>
      <c r="G448" s="33" t="n">
        <v>0.0055</v>
      </c>
      <c r="H448" s="33">
        <f>E448*G448</f>
        <v/>
      </c>
      <c r="I448" s="32" t="inlineStr">
        <is>
          <t>Alambre acero inox. AISI 304</t>
        </is>
      </c>
      <c r="J448" s="17" t="inlineStr">
        <is>
          <t>45,9 × 21 × 20,8</t>
        </is>
      </c>
      <c r="K448" s="32" t="inlineStr">
        <is>
          <t>Compra (en el conjunto)</t>
        </is>
      </c>
      <c r="L448" s="32" t="inlineStr">
        <is>
          <t>No</t>
        </is>
      </c>
      <c r="M448" s="17" t="n"/>
      <c r="N448" s="17" t="n"/>
      <c r="O448" s="17" t="inlineStr">
        <is>
          <t>S4 - se compra terminado (tercerizado con sello IRAM)</t>
        </is>
      </c>
      <c r="P448" s="17" t="n"/>
      <c r="Q448" s="32" t="inlineStr">
        <is>
          <t>P</t>
        </is>
      </c>
      <c r="R448" s="32" t="inlineStr">
        <is>
          <t>FL_DES_SALESK_6l</t>
        </is>
      </c>
      <c r="S448" s="17" t="inlineStr">
        <is>
          <t>con precinto</t>
        </is>
      </c>
    </row>
    <row r="449">
      <c r="A449" s="32" t="inlineStr">
        <is>
          <t>FL_MAT_SALESK_6l</t>
        </is>
      </c>
      <c r="B449" s="32" t="n">
        <v>2</v>
      </c>
      <c r="C449" s="32" t="inlineStr">
        <is>
          <t>SALESK6-13</t>
        </is>
      </c>
      <c r="D449" s="17" t="inlineStr">
        <is>
          <t xml:space="preserve">        Manija de accionamiento</t>
        </is>
      </c>
      <c r="E449" s="32" t="n">
        <v>1</v>
      </c>
      <c r="F449" s="32" t="inlineStr">
        <is>
          <t>u</t>
        </is>
      </c>
      <c r="G449" s="33" t="n">
        <v>0.0959</v>
      </c>
      <c r="H449" s="33">
        <f>E449*G449</f>
        <v/>
      </c>
      <c r="I449" s="32" t="inlineStr">
        <is>
          <t>Chapa acero SAE 1010 pintada</t>
        </is>
      </c>
      <c r="J449" s="17" t="inlineStr">
        <is>
          <t>124,6 × 31 × 29,3</t>
        </is>
      </c>
      <c r="K449" s="32" t="inlineStr">
        <is>
          <t>Compra (en el conjunto)</t>
        </is>
      </c>
      <c r="L449" s="32" t="inlineStr">
        <is>
          <t>No</t>
        </is>
      </c>
      <c r="M449" s="17" t="n"/>
      <c r="N449" s="17" t="n"/>
      <c r="O449" s="17" t="inlineStr">
        <is>
          <t>S4 - se compra terminado (tercerizado con sello IRAM)</t>
        </is>
      </c>
      <c r="P449" s="17" t="n"/>
      <c r="Q449" s="32" t="inlineStr">
        <is>
          <t>P</t>
        </is>
      </c>
      <c r="R449" s="32" t="inlineStr">
        <is>
          <t>FL_DES_SALESK_6l</t>
        </is>
      </c>
      <c r="S449" s="17" t="n"/>
    </row>
    <row r="450">
      <c r="A450" s="32" t="inlineStr">
        <is>
          <t>FL_MAT_SALESK_6l</t>
        </is>
      </c>
      <c r="B450" s="32" t="n">
        <v>2</v>
      </c>
      <c r="C450" s="32" t="inlineStr">
        <is>
          <t>SALESK6-14</t>
        </is>
      </c>
      <c r="D450" s="17" t="inlineStr">
        <is>
          <t xml:space="preserve">        Manija de transporte</t>
        </is>
      </c>
      <c r="E450" s="32" t="n">
        <v>1</v>
      </c>
      <c r="F450" s="32" t="inlineStr">
        <is>
          <t>u</t>
        </is>
      </c>
      <c r="G450" s="33" t="n">
        <v>0.0757</v>
      </c>
      <c r="H450" s="33">
        <f>E450*G450</f>
        <v/>
      </c>
      <c r="I450" s="32" t="inlineStr">
        <is>
          <t>Chapa acero SAE 1010 pintada</t>
        </is>
      </c>
      <c r="J450" s="17" t="inlineStr">
        <is>
          <t>102,6 × 35 × 25,4</t>
        </is>
      </c>
      <c r="K450" s="32" t="inlineStr">
        <is>
          <t>Compra (en el conjunto)</t>
        </is>
      </c>
      <c r="L450" s="32" t="inlineStr">
        <is>
          <t>No</t>
        </is>
      </c>
      <c r="M450" s="17" t="n"/>
      <c r="N450" s="17" t="n"/>
      <c r="O450" s="17" t="inlineStr">
        <is>
          <t>S4 - se compra terminado (tercerizado con sello IRAM)</t>
        </is>
      </c>
      <c r="P450" s="17" t="n"/>
      <c r="Q450" s="32" t="inlineStr">
        <is>
          <t>P</t>
        </is>
      </c>
      <c r="R450" s="32" t="inlineStr">
        <is>
          <t>FL_DES_SALESK_6l</t>
        </is>
      </c>
      <c r="S450" s="17" t="n"/>
    </row>
    <row r="451">
      <c r="A451" s="32" t="inlineStr">
        <is>
          <t>FL_MAT_SALESK_6l</t>
        </is>
      </c>
      <c r="B451" s="32" t="n">
        <v>2</v>
      </c>
      <c r="C451" s="32" t="inlineStr">
        <is>
          <t>SALESK6-15</t>
        </is>
      </c>
      <c r="D451" s="17" t="inlineStr">
        <is>
          <t xml:space="preserve">        Caño de pesca (sifón)</t>
        </is>
      </c>
      <c r="E451" s="32" t="n">
        <v>1</v>
      </c>
      <c r="F451" s="32" t="inlineStr">
        <is>
          <t>u</t>
        </is>
      </c>
      <c r="G451" s="33" t="n">
        <v>0.0282</v>
      </c>
      <c r="H451" s="33">
        <f>E451*G451</f>
        <v/>
      </c>
      <c r="I451" s="32" t="inlineStr">
        <is>
          <t>Tubo polipropileno</t>
        </is>
      </c>
      <c r="J451" s="17" t="inlineStr">
        <is>
          <t>Ø21,3 × 335,5 de largo</t>
        </is>
      </c>
      <c r="K451" s="32" t="inlineStr">
        <is>
          <t>Compra (en el conjunto)</t>
        </is>
      </c>
      <c r="L451" s="32" t="inlineStr">
        <is>
          <t>No</t>
        </is>
      </c>
      <c r="M451" s="17" t="n"/>
      <c r="N451" s="17" t="n"/>
      <c r="O451" s="17" t="inlineStr">
        <is>
          <t>S4 - se compra terminado (tercerizado con sello IRAM)</t>
        </is>
      </c>
      <c r="P451" s="17" t="n"/>
      <c r="Q451" s="32" t="inlineStr">
        <is>
          <t>P</t>
        </is>
      </c>
      <c r="R451" s="32" t="inlineStr">
        <is>
          <t>FL_DES_SALESK_6l</t>
        </is>
      </c>
      <c r="S451" s="17" t="n"/>
    </row>
    <row r="452">
      <c r="A452" s="32" t="inlineStr">
        <is>
          <t>FL_MAT_SALESK_6l</t>
        </is>
      </c>
      <c r="B452" s="32" t="n">
        <v>2</v>
      </c>
      <c r="C452" s="32" t="inlineStr">
        <is>
          <t>SALESK6-16</t>
        </is>
      </c>
      <c r="D452" s="17" t="inlineStr">
        <is>
          <t xml:space="preserve">        Filtro del tubo de pesca</t>
        </is>
      </c>
      <c r="E452" s="32" t="n">
        <v>1</v>
      </c>
      <c r="F452" s="32" t="inlineStr">
        <is>
          <t>u</t>
        </is>
      </c>
      <c r="G452" s="33" t="n">
        <v>0.0015</v>
      </c>
      <c r="H452" s="33">
        <f>E452*G452</f>
        <v/>
      </c>
      <c r="I452" s="32" t="inlineStr">
        <is>
          <t>Polipropileno perforado</t>
        </is>
      </c>
      <c r="J452" s="17" t="inlineStr">
        <is>
          <t>25 × 24,3 × 24,3</t>
        </is>
      </c>
      <c r="K452" s="32" t="inlineStr">
        <is>
          <t>Compra (en el conjunto)</t>
        </is>
      </c>
      <c r="L452" s="32" t="inlineStr">
        <is>
          <t>No</t>
        </is>
      </c>
      <c r="M452" s="17" t="n"/>
      <c r="N452" s="17" t="n"/>
      <c r="O452" s="17" t="inlineStr">
        <is>
          <t>S4 - se compra terminado (tercerizado con sello IRAM)</t>
        </is>
      </c>
      <c r="P452" s="17" t="n"/>
      <c r="Q452" s="32" t="inlineStr">
        <is>
          <t>P</t>
        </is>
      </c>
      <c r="R452" s="32" t="inlineStr">
        <is>
          <t>FL_DES_SALESK_6l</t>
        </is>
      </c>
      <c r="S452" s="17" t="inlineStr">
        <is>
          <t>área ≥ 10 × boquilla</t>
        </is>
      </c>
    </row>
    <row r="453">
      <c r="A453" s="32" t="inlineStr">
        <is>
          <t>FL_MAT_SALESK_6l</t>
        </is>
      </c>
      <c r="B453" s="32" t="n">
        <v>2</v>
      </c>
      <c r="C453" s="32" t="inlineStr">
        <is>
          <t>SALESK6-26</t>
        </is>
      </c>
      <c r="D453" s="17" t="inlineStr">
        <is>
          <t xml:space="preserve">        Junta tórica de asiento</t>
        </is>
      </c>
      <c r="E453" s="32" t="n">
        <v>1</v>
      </c>
      <c r="F453" s="32" t="inlineStr">
        <is>
          <t>u</t>
        </is>
      </c>
      <c r="G453" s="33" t="n">
        <v>0.001</v>
      </c>
      <c r="H453" s="33">
        <f>E453*G453</f>
        <v/>
      </c>
      <c r="I453" s="32" t="inlineStr">
        <is>
          <t>NBR 70 Shore A</t>
        </is>
      </c>
      <c r="J453" s="17" t="inlineStr">
        <is>
          <t>Ø32,8 ext. × cordón 3</t>
        </is>
      </c>
      <c r="K453" s="32" t="inlineStr">
        <is>
          <t>Compra (en el conjunto)</t>
        </is>
      </c>
      <c r="L453" s="32" t="inlineStr">
        <is>
          <t>No</t>
        </is>
      </c>
      <c r="M453" s="17" t="n"/>
      <c r="N453" s="17" t="n"/>
      <c r="O453" s="17" t="inlineStr">
        <is>
          <t>S4 - se compra terminado (tercerizado con sello IRAM)</t>
        </is>
      </c>
      <c r="P453" s="17" t="n"/>
      <c r="Q453" s="32" t="inlineStr">
        <is>
          <t>P</t>
        </is>
      </c>
      <c r="R453" s="32" t="inlineStr">
        <is>
          <t>FL_DES_SALESK_6l</t>
        </is>
      </c>
      <c r="S453" s="17" t="inlineStr">
        <is>
          <t>cambio c/recarga</t>
        </is>
      </c>
    </row>
    <row r="454">
      <c r="A454" s="32" t="inlineStr">
        <is>
          <t>FL_MAT_SALESK_6l</t>
        </is>
      </c>
      <c r="B454" s="32" t="n">
        <v>2</v>
      </c>
      <c r="C454" s="32" t="inlineStr">
        <is>
          <t>SALESK6-V2</t>
        </is>
      </c>
      <c r="D454" s="17" t="inlineStr">
        <is>
          <t xml:space="preserve">        Resorte de retorno del vástago</t>
        </is>
      </c>
      <c r="E454" s="32" t="n">
        <v>1</v>
      </c>
      <c r="F454" s="32" t="inlineStr">
        <is>
          <t>u</t>
        </is>
      </c>
      <c r="G454" s="33" t="n"/>
      <c r="H454" s="33" t="n"/>
      <c r="I454" s="32" t="inlineStr">
        <is>
          <t>Acero para resortes</t>
        </is>
      </c>
      <c r="J454" s="17" t="inlineStr">
        <is>
          <t>incluido en la válvula</t>
        </is>
      </c>
      <c r="K454" s="32" t="inlineStr">
        <is>
          <t>Compra (en el conjunto)</t>
        </is>
      </c>
      <c r="L454" s="32" t="inlineStr">
        <is>
          <t>No</t>
        </is>
      </c>
      <c r="M454" s="17" t="n"/>
      <c r="N454" s="17" t="n"/>
      <c r="O454" s="17" t="inlineStr">
        <is>
          <t>19 Ensamblaje</t>
        </is>
      </c>
      <c r="P454" s="17" t="n"/>
      <c r="Q454" s="32" t="inlineStr">
        <is>
          <t>Q</t>
        </is>
      </c>
      <c r="R454" s="32" t="n"/>
      <c r="S454" s="17" t="inlineStr">
        <is>
          <t>Lista de precios HZ: válvula «c/resorte» (Q-AGENTES)</t>
        </is>
      </c>
    </row>
    <row r="455">
      <c r="A455" s="32" t="inlineStr">
        <is>
          <t>FL_MAT_SALESK_6l</t>
        </is>
      </c>
      <c r="B455" s="32" t="n">
        <v>2</v>
      </c>
      <c r="C455" s="32" t="inlineStr">
        <is>
          <t>SALESK6-V3</t>
        </is>
      </c>
      <c r="D455" s="17" t="inlineStr">
        <is>
          <t xml:space="preserve">        Junta tórica del vástago</t>
        </is>
      </c>
      <c r="E455" s="32" t="n">
        <v>1</v>
      </c>
      <c r="F455" s="32" t="inlineStr">
        <is>
          <t>u</t>
        </is>
      </c>
      <c r="G455" s="33" t="n"/>
      <c r="H455" s="33" t="n"/>
      <c r="I455" s="32" t="inlineStr">
        <is>
          <t>NBR 70 Shore A</t>
        </is>
      </c>
      <c r="J455" s="17" t="inlineStr">
        <is>
          <t>incluida en la válvula</t>
        </is>
      </c>
      <c r="K455" s="32" t="inlineStr">
        <is>
          <t>Compra (en el conjunto)</t>
        </is>
      </c>
      <c r="L455" s="32" t="inlineStr">
        <is>
          <t>No</t>
        </is>
      </c>
      <c r="M455" s="17" t="n"/>
      <c r="N455" s="17" t="n"/>
      <c r="O455" s="17" t="inlineStr">
        <is>
          <t>19 Ensamblaje</t>
        </is>
      </c>
      <c r="P455" s="17" t="n"/>
      <c r="Q455" s="32" t="inlineStr">
        <is>
          <t>P</t>
        </is>
      </c>
      <c r="R455" s="32" t="n"/>
      <c r="S455" s="17" t="inlineStr">
        <is>
          <t>Figura en el plano como «vástago con junta tórica»</t>
        </is>
      </c>
    </row>
    <row r="456">
      <c r="A456" s="29" t="inlineStr">
        <is>
          <t>FL_MAT_SALESK_6l</t>
        </is>
      </c>
      <c r="B456" s="29" t="n">
        <v>1</v>
      </c>
      <c r="C456" s="29" t="inlineStr">
        <is>
          <t>SALESK6-S3</t>
        </is>
      </c>
      <c r="D456" s="30" t="inlineStr">
        <is>
          <t xml:space="preserve">    Dispositivo de descarga</t>
        </is>
      </c>
      <c r="E456" s="29" t="n">
        <v>1</v>
      </c>
      <c r="F456" s="29" t="inlineStr">
        <is>
          <t>u</t>
        </is>
      </c>
      <c r="G456" s="31" t="n"/>
      <c r="H456" s="31">
        <f>H457+H458+H459+H460</f>
        <v/>
      </c>
      <c r="I456" s="29" t="n"/>
      <c r="J456" s="30" t="n"/>
      <c r="K456" s="29" t="inlineStr">
        <is>
          <t>Compra / armado</t>
        </is>
      </c>
      <c r="L456" s="29" t="n"/>
      <c r="M456" s="30" t="n"/>
      <c r="N456" s="30" t="n"/>
      <c r="O456" s="30" t="n"/>
      <c r="P456" s="30" t="n"/>
      <c r="Q456" s="29" t="inlineStr">
        <is>
          <t>P</t>
        </is>
      </c>
      <c r="R456" s="29" t="inlineStr">
        <is>
          <t>FL_DES_SALESK_6l</t>
        </is>
      </c>
      <c r="S456" s="30" t="n"/>
    </row>
    <row r="457">
      <c r="A457" s="32" t="inlineStr">
        <is>
          <t>FL_MAT_SALESK_6l</t>
        </is>
      </c>
      <c r="B457" s="32" t="n">
        <v>2</v>
      </c>
      <c r="C457" s="32" t="inlineStr">
        <is>
          <t>SALESK6-17</t>
        </is>
      </c>
      <c r="D457" s="17" t="inlineStr">
        <is>
          <t xml:space="preserve">        Racor de manguera</t>
        </is>
      </c>
      <c r="E457" s="32" t="n">
        <v>1</v>
      </c>
      <c r="F457" s="32" t="inlineStr">
        <is>
          <t>u</t>
        </is>
      </c>
      <c r="G457" s="33" t="n">
        <v>0.0258</v>
      </c>
      <c r="H457" s="33">
        <f>E457*G457</f>
        <v/>
      </c>
      <c r="I457" s="32" t="inlineStr">
        <is>
          <t>Latón</t>
        </is>
      </c>
      <c r="J457" s="17" t="inlineStr">
        <is>
          <t>18 × 18 × 12</t>
        </is>
      </c>
      <c r="K457" s="32" t="inlineStr">
        <is>
          <t>Compra (en el conjunto)</t>
        </is>
      </c>
      <c r="L457" s="32" t="inlineStr">
        <is>
          <t>No</t>
        </is>
      </c>
      <c r="M457" s="17" t="n"/>
      <c r="N457" s="17" t="n"/>
      <c r="O457" s="17" t="inlineStr">
        <is>
          <t>S4 - se compra terminado (tercerizado con sello IRAM)</t>
        </is>
      </c>
      <c r="P457" s="17" t="n"/>
      <c r="Q457" s="32" t="inlineStr">
        <is>
          <t>P</t>
        </is>
      </c>
      <c r="R457" s="32" t="inlineStr">
        <is>
          <t>FL_DES_SALESK_6l</t>
        </is>
      </c>
      <c r="S457" s="17" t="n"/>
    </row>
    <row r="458">
      <c r="A458" s="32" t="inlineStr">
        <is>
          <t>FL_MAT_SALESK_6l</t>
        </is>
      </c>
      <c r="B458" s="32" t="n">
        <v>2</v>
      </c>
      <c r="C458" s="32" t="inlineStr">
        <is>
          <t>SALESK6-18</t>
        </is>
      </c>
      <c r="D458" s="17" t="inlineStr">
        <is>
          <t xml:space="preserve">        Manguera</t>
        </is>
      </c>
      <c r="E458" s="32" t="n">
        <v>1</v>
      </c>
      <c r="F458" s="32" t="inlineStr">
        <is>
          <t>u</t>
        </is>
      </c>
      <c r="G458" s="33" t="n">
        <v>0.0208</v>
      </c>
      <c r="H458" s="33">
        <f>E458*G458</f>
        <v/>
      </c>
      <c r="I458" s="32" t="inlineStr">
        <is>
          <t>Caucho sintético</t>
        </is>
      </c>
      <c r="J458" s="17" t="inlineStr">
        <is>
          <t>Ø16 × 135 de largo desarrollado</t>
        </is>
      </c>
      <c r="K458" s="32" t="inlineStr">
        <is>
          <t>Compra (en el conjunto)</t>
        </is>
      </c>
      <c r="L458" s="32" t="inlineStr">
        <is>
          <t>No</t>
        </is>
      </c>
      <c r="M458" s="17" t="n"/>
      <c r="N458" s="17" t="n"/>
      <c r="O458" s="17" t="inlineStr">
        <is>
          <t>S4 - se compra terminado (tercerizado con sello IRAM)</t>
        </is>
      </c>
      <c r="P458" s="17" t="n"/>
      <c r="Q458" s="32" t="inlineStr">
        <is>
          <t>P</t>
        </is>
      </c>
      <c r="R458" s="32" t="inlineStr">
        <is>
          <t>FL_DES_SALESK_6l</t>
        </is>
      </c>
      <c r="S458" s="17" t="n"/>
    </row>
    <row r="459">
      <c r="A459" s="32" t="inlineStr">
        <is>
          <t>FL_MAT_SALESK_6l</t>
        </is>
      </c>
      <c r="B459" s="32" t="n">
        <v>2</v>
      </c>
      <c r="C459" s="32" t="inlineStr">
        <is>
          <t>SALESK6-19</t>
        </is>
      </c>
      <c r="D459" s="17" t="inlineStr">
        <is>
          <t xml:space="preserve">        Lanza aplicadora clase K</t>
        </is>
      </c>
      <c r="E459" s="32" t="n">
        <v>1</v>
      </c>
      <c r="F459" s="32" t="inlineStr">
        <is>
          <t>u</t>
        </is>
      </c>
      <c r="G459" s="33" t="n">
        <v>0.2688</v>
      </c>
      <c r="H459" s="33">
        <f>E459*G459</f>
        <v/>
      </c>
      <c r="I459" s="32" t="inlineStr">
        <is>
          <t>Acero inox. AISI 304</t>
        </is>
      </c>
      <c r="J459" s="17" t="inlineStr">
        <is>
          <t>294,4 × 26 × 26</t>
        </is>
      </c>
      <c r="K459" s="32" t="inlineStr">
        <is>
          <t>Compra (en el conjunto)</t>
        </is>
      </c>
      <c r="L459" s="32" t="inlineStr">
        <is>
          <t>No</t>
        </is>
      </c>
      <c r="M459" s="17" t="n"/>
      <c r="N459" s="17" t="n"/>
      <c r="O459" s="17" t="inlineStr">
        <is>
          <t>S4 - se compra terminado (tercerizado con sello IRAM)</t>
        </is>
      </c>
      <c r="P459" s="17" t="n"/>
      <c r="Q459" s="32" t="inlineStr">
        <is>
          <t>P</t>
        </is>
      </c>
      <c r="R459" s="32" t="inlineStr">
        <is>
          <t>FL_DES_SALESK_6l</t>
        </is>
      </c>
      <c r="S459" s="17" t="n"/>
    </row>
    <row r="460">
      <c r="A460" s="32" t="inlineStr">
        <is>
          <t>FL_MAT_SALESK_6l</t>
        </is>
      </c>
      <c r="B460" s="32" t="n">
        <v>2</v>
      </c>
      <c r="C460" s="32" t="inlineStr">
        <is>
          <t>SALESK6-20</t>
        </is>
      </c>
      <c r="D460" s="17" t="inlineStr">
        <is>
          <t xml:space="preserve">        Suncho portatobera</t>
        </is>
      </c>
      <c r="E460" s="32" t="n">
        <v>1</v>
      </c>
      <c r="F460" s="32" t="inlineStr">
        <is>
          <t>u</t>
        </is>
      </c>
      <c r="G460" s="33" t="n">
        <v>0.1362</v>
      </c>
      <c r="H460" s="33">
        <f>E460*G460</f>
        <v/>
      </c>
      <c r="I460" s="32" t="inlineStr">
        <is>
          <t>Fleje acero SAE 1010 pintado</t>
        </is>
      </c>
      <c r="J460" s="17" t="inlineStr">
        <is>
          <t>200,2 × 193,6 × 18</t>
        </is>
      </c>
      <c r="K460" s="32" t="inlineStr">
        <is>
          <t>Compra (en el conjunto)</t>
        </is>
      </c>
      <c r="L460" s="32" t="inlineStr">
        <is>
          <t>No</t>
        </is>
      </c>
      <c r="M460" s="17" t="n"/>
      <c r="N460" s="17" t="n"/>
      <c r="O460" s="17" t="inlineStr">
        <is>
          <t>S4 - se compra terminado (tercerizado con sello IRAM)</t>
        </is>
      </c>
      <c r="P460" s="17" t="n"/>
      <c r="Q460" s="32" t="inlineStr">
        <is>
          <t>P</t>
        </is>
      </c>
      <c r="R460" s="32" t="inlineStr">
        <is>
          <t>FL_DES_SALESK_6l</t>
        </is>
      </c>
      <c r="S460" s="17" t="n"/>
    </row>
    <row r="461">
      <c r="A461" s="29" t="inlineStr">
        <is>
          <t>FL_MAT_SALESK_6l</t>
        </is>
      </c>
      <c r="B461" s="29" t="n">
        <v>1</v>
      </c>
      <c r="C461" s="29" t="inlineStr">
        <is>
          <t>SALESK6-S5</t>
        </is>
      </c>
      <c r="D461" s="30" t="inlineStr">
        <is>
          <t xml:space="preserve">    Carga: agente extintor y gas impulsor</t>
        </is>
      </c>
      <c r="E461" s="29" t="n">
        <v>1</v>
      </c>
      <c r="F461" s="29" t="inlineStr">
        <is>
          <t>u</t>
        </is>
      </c>
      <c r="G461" s="31" t="n"/>
      <c r="H461" s="31">
        <f>H462+H463</f>
        <v/>
      </c>
      <c r="I461" s="29" t="n"/>
      <c r="J461" s="30" t="n"/>
      <c r="K461" s="29" t="inlineStr">
        <is>
          <t>Compra</t>
        </is>
      </c>
      <c r="L461" s="29" t="n"/>
      <c r="M461" s="30" t="n"/>
      <c r="N461" s="30" t="n"/>
      <c r="O461" s="30" t="n"/>
      <c r="P461" s="30" t="n"/>
      <c r="Q461" s="29" t="n"/>
      <c r="R461" s="29" t="n"/>
      <c r="S461" s="30" t="n"/>
    </row>
    <row r="462">
      <c r="A462" s="32" t="inlineStr">
        <is>
          <t>FL_MAT_SALESK_6l</t>
        </is>
      </c>
      <c r="B462" s="32" t="n">
        <v>2</v>
      </c>
      <c r="C462" s="32" t="inlineStr">
        <is>
          <t>SALESK6-A1</t>
        </is>
      </c>
      <c r="D462" s="17" t="inlineStr">
        <is>
          <t xml:space="preserve">        Acetato de potasio - DEMSA Kitchen - Acetato de potasio (DEMSA Kitchen, 1,300 g/ml, pH 8,5)</t>
        </is>
      </c>
      <c r="E462" s="32" t="n">
        <v>6.09</v>
      </c>
      <c r="F462" s="32" t="inlineStr">
        <is>
          <t>L</t>
        </is>
      </c>
      <c r="G462" s="33" t="n">
        <v>1.3</v>
      </c>
      <c r="H462" s="33">
        <f>E462*G462</f>
        <v/>
      </c>
      <c r="I462" s="32" t="inlineStr">
        <is>
          <t>Acetato de potasio - DEMSA Kitchen - Acetato de potasio (DEMSA Kitchen, 1,300 g/ml, pH 8,5)</t>
        </is>
      </c>
      <c r="J462" s="17" t="inlineStr">
        <is>
          <t>nominal 6 L; tolerancia 0 / +3 % (IRAM 3517-2:2020 tabla 3)</t>
        </is>
      </c>
      <c r="K462" s="32" t="inlineStr">
        <is>
          <t>Compra</t>
        </is>
      </c>
      <c r="L462" s="32" t="inlineStr">
        <is>
          <t>No</t>
        </is>
      </c>
      <c r="M462" s="17" t="n"/>
      <c r="N462" s="17" t="n"/>
      <c r="O462" s="17" t="inlineStr">
        <is>
          <t>SP-1 almacén previo a la carga</t>
        </is>
      </c>
      <c r="P462" s="17" t="inlineStr">
        <is>
          <t>IRAM 3697</t>
        </is>
      </c>
      <c r="Q462" s="32" t="inlineStr">
        <is>
          <t>N</t>
        </is>
      </c>
      <c r="R462" s="32" t="n"/>
      <c r="S462" s="17" t="inlineStr">
        <is>
          <t>potencial 1A-K</t>
        </is>
      </c>
    </row>
    <row r="463">
      <c r="A463" s="32" t="inlineStr">
        <is>
          <t>FL_MAT_SALESK_6l</t>
        </is>
      </c>
      <c r="B463" s="32" t="n">
        <v>2</v>
      </c>
      <c r="C463" s="32" t="inlineStr">
        <is>
          <t>SALESK6-A2</t>
        </is>
      </c>
      <c r="D463" s="17" t="inlineStr">
        <is>
          <t xml:space="preserve">        Gas impulsor: N₂</t>
        </is>
      </c>
      <c r="E463" s="32" t="n">
        <v>0.0306</v>
      </c>
      <c r="F463" s="32" t="inlineStr">
        <is>
          <t>kg</t>
        </is>
      </c>
      <c r="G463" s="33" t="n">
        <v>1</v>
      </c>
      <c r="H463" s="33">
        <f>E463*G463</f>
        <v/>
      </c>
      <c r="I463" s="32" t="inlineStr">
        <is>
          <t>N₂</t>
        </is>
      </c>
      <c r="J463" s="17" t="inlineStr">
        <is>
          <t>24,5 L normales para 0,8 MPa a 20 °C en 2,96 dm³ libres</t>
        </is>
      </c>
      <c r="K463" s="32" t="inlineStr">
        <is>
          <t>Compra</t>
        </is>
      </c>
      <c r="L463" s="32" t="inlineStr">
        <is>
          <t>No</t>
        </is>
      </c>
      <c r="M463" s="17" t="n"/>
      <c r="N463" s="17" t="n"/>
      <c r="O463" s="17" t="inlineStr">
        <is>
          <t>20 Presurización (T05) / C10</t>
        </is>
      </c>
      <c r="P463" s="17" t="inlineStr">
        <is>
          <t>IRAM 3517-2 9.4.9 (tabla 2) · IRAM 3523 2.3 y 3.10</t>
        </is>
      </c>
      <c r="Q463" s="32" t="inlineStr">
        <is>
          <t>C</t>
        </is>
      </c>
      <c r="R463" s="32" t="n"/>
      <c r="S463" s="17" t="inlineStr">
        <is>
          <t>N₂ ≥ 99,8 %, H₂O ≤ 40 ppm (Q-N2, Air Liquide)</t>
        </is>
      </c>
    </row>
    <row r="464">
      <c r="A464" s="29" t="inlineStr">
        <is>
          <t>FL_MAT_SALESK_6l</t>
        </is>
      </c>
      <c r="B464" s="29" t="n">
        <v>1</v>
      </c>
      <c r="C464" s="29" t="inlineStr">
        <is>
          <t>SALESK6-S6</t>
        </is>
      </c>
      <c r="D464" s="30" t="inlineStr">
        <is>
          <t xml:space="preserve">    Identificación y precinto</t>
        </is>
      </c>
      <c r="E464" s="29" t="n">
        <v>1</v>
      </c>
      <c r="F464" s="29" t="inlineStr">
        <is>
          <t>u</t>
        </is>
      </c>
      <c r="G464" s="31" t="n"/>
      <c r="H464" s="31">
        <f>H465+H466+H467+H468+H469+H470+H471</f>
        <v/>
      </c>
      <c r="I464" s="29" t="n"/>
      <c r="J464" s="30" t="n"/>
      <c r="K464" s="29" t="inlineStr">
        <is>
          <t>Compra</t>
        </is>
      </c>
      <c r="L464" s="29" t="n"/>
      <c r="M464" s="30" t="n"/>
      <c r="N464" s="30" t="n"/>
      <c r="O464" s="30" t="inlineStr">
        <is>
          <t>22 Etiquetado (T07)</t>
        </is>
      </c>
      <c r="P464" s="30" t="n"/>
      <c r="Q464" s="29" t="n"/>
      <c r="R464" s="29" t="n"/>
      <c r="S464" s="30" t="n"/>
    </row>
    <row r="465">
      <c r="A465" s="32" t="inlineStr">
        <is>
          <t>FL_MAT_SALESK_6l</t>
        </is>
      </c>
      <c r="B465" s="32" t="n">
        <v>2</v>
      </c>
      <c r="C465" s="32" t="inlineStr">
        <is>
          <t>SALESK6-21</t>
        </is>
      </c>
      <c r="D465" s="17" t="inlineStr">
        <is>
          <t xml:space="preserve">        Etiqueta / placa de características</t>
        </is>
      </c>
      <c r="E465" s="32" t="n">
        <v>1</v>
      </c>
      <c r="F465" s="32" t="inlineStr">
        <is>
          <t>u</t>
        </is>
      </c>
      <c r="G465" s="33" t="n">
        <v>0.0212</v>
      </c>
      <c r="H465" s="33">
        <f>E465*G465</f>
        <v/>
      </c>
      <c r="I465" s="32" t="inlineStr">
        <is>
          <t>Vinilo autoadhesivo laminado</t>
        </is>
      </c>
      <c r="J465" s="17" t="inlineStr">
        <is>
          <t>359 × 141 (desarrollo × alto: panel central 108° + 2 alas laterales), e ≈ 0,3, laminado UV</t>
        </is>
      </c>
      <c r="K465" s="32" t="inlineStr">
        <is>
          <t>Compra</t>
        </is>
      </c>
      <c r="L465" s="32" t="inlineStr">
        <is>
          <t>No</t>
        </is>
      </c>
      <c r="M465" s="17" t="n"/>
      <c r="N465" s="17" t="n"/>
      <c r="O465" s="17" t="inlineStr">
        <is>
          <t>22 Etiquetado (T07)</t>
        </is>
      </c>
      <c r="P465" s="17" t="inlineStr">
        <is>
          <t>IRAM 3534 · IRAM 3694 cap. 5 · relevamiento de mercado</t>
        </is>
      </c>
      <c r="Q465" s="32" t="inlineStr">
        <is>
          <t>P</t>
        </is>
      </c>
      <c r="R465" s="32" t="inlineStr">
        <is>
          <t>FL_DES_SALESK_6l</t>
        </is>
      </c>
      <c r="S465" s="17" t="inlineStr">
        <is>
          <t>IRAM 3534</t>
        </is>
      </c>
    </row>
    <row r="466">
      <c r="A466" s="32" t="inlineStr">
        <is>
          <t>FL_MAT_SALESK_6l</t>
        </is>
      </c>
      <c r="B466" s="32" t="n">
        <v>2</v>
      </c>
      <c r="C466" s="32" t="inlineStr">
        <is>
          <t>SALESK6-22</t>
        </is>
      </c>
      <c r="D466" s="17" t="inlineStr">
        <is>
          <t xml:space="preserve">        Oblea de fabricación (PBA)</t>
        </is>
      </c>
      <c r="E466" s="32" t="n">
        <v>1</v>
      </c>
      <c r="F466" s="32" t="inlineStr">
        <is>
          <t>u</t>
        </is>
      </c>
      <c r="G466" s="33" t="n">
        <v>0.0009</v>
      </c>
      <c r="H466" s="33">
        <f>E466*G466</f>
        <v/>
      </c>
      <c r="I466" s="32" t="inlineStr">
        <is>
          <t>Papel de seguridad autodestructible</t>
        </is>
      </c>
      <c r="J466" s="17" t="inlineStr">
        <is>
          <t>Ø46 (Res. OPDS 522/07), numerada, autodestructible</t>
        </is>
      </c>
      <c r="K466" s="32" t="inlineStr">
        <is>
          <t>Compra</t>
        </is>
      </c>
      <c r="L466" s="32" t="inlineStr">
        <is>
          <t>No</t>
        </is>
      </c>
      <c r="M466" s="17" t="n"/>
      <c r="N466" s="17" t="n"/>
      <c r="O466" s="17" t="inlineStr">
        <is>
          <t>22 Etiquetado (T07)</t>
        </is>
      </c>
      <c r="P466" s="17" t="inlineStr">
        <is>
          <t>Res. OPDS 522/07 anexos 1, 2 y 6</t>
        </is>
      </c>
      <c r="Q466" s="32" t="inlineStr">
        <is>
          <t>P</t>
        </is>
      </c>
      <c r="R466" s="32" t="inlineStr">
        <is>
          <t>FL_DES_SALESK_6l</t>
        </is>
      </c>
      <c r="S466" s="17" t="inlineStr">
        <is>
          <t>Res. 522/07</t>
        </is>
      </c>
    </row>
    <row r="467">
      <c r="A467" s="32" t="inlineStr">
        <is>
          <t>FL_MAT_SALESK_6l</t>
        </is>
      </c>
      <c r="B467" s="32" t="n">
        <v>2</v>
      </c>
      <c r="C467" s="32" t="inlineStr">
        <is>
          <t>SALESK6-23</t>
        </is>
      </c>
      <c r="D467" s="17" t="inlineStr">
        <is>
          <t xml:space="preserve">        Estampilla IRAM de conformidad</t>
        </is>
      </c>
      <c r="E467" s="32" t="n">
        <v>1</v>
      </c>
      <c r="F467" s="32" t="inlineStr">
        <is>
          <t>u</t>
        </is>
      </c>
      <c r="G467" s="33" t="n">
        <v>0.001</v>
      </c>
      <c r="H467" s="33">
        <f>E467*G467</f>
        <v/>
      </c>
      <c r="I467" s="32" t="inlineStr">
        <is>
          <t>Provista por IRAM (Anexo R)</t>
        </is>
      </c>
      <c r="J467" s="17" t="inlineStr">
        <is>
          <t>60 × 40</t>
        </is>
      </c>
      <c r="K467" s="32" t="inlineStr">
        <is>
          <t>Compra</t>
        </is>
      </c>
      <c r="L467" s="32" t="inlineStr">
        <is>
          <t>No</t>
        </is>
      </c>
      <c r="M467" s="17" t="n"/>
      <c r="N467" s="17" t="n"/>
      <c r="O467" s="17" t="inlineStr">
        <is>
          <t>22 Etiquetado (T07)</t>
        </is>
      </c>
      <c r="P467" s="17" t="inlineStr">
        <is>
          <t>IRAM Anexo R (DC-PG-129)</t>
        </is>
      </c>
      <c r="Q467" s="32" t="inlineStr">
        <is>
          <t>P</t>
        </is>
      </c>
      <c r="R467" s="32" t="inlineStr">
        <is>
          <t>FL_DES_SALESK_6l</t>
        </is>
      </c>
      <c r="S467" s="17" t="inlineStr">
        <is>
          <t>numerada</t>
        </is>
      </c>
    </row>
    <row r="468">
      <c r="A468" s="32" t="inlineStr">
        <is>
          <t>FL_MAT_SALESK_6l</t>
        </is>
      </c>
      <c r="B468" s="32" t="n">
        <v>2</v>
      </c>
      <c r="C468" s="32" t="inlineStr">
        <is>
          <t>SALESK6-24</t>
        </is>
      </c>
      <c r="D468" s="17" t="inlineStr">
        <is>
          <t xml:space="preserve">        Tarjeta de identificación AGC (CABA)</t>
        </is>
      </c>
      <c r="E468" s="32" t="n">
        <v>1</v>
      </c>
      <c r="F468" s="32" t="inlineStr">
        <is>
          <t>u</t>
        </is>
      </c>
      <c r="G468" s="33" t="n">
        <v>0.0032</v>
      </c>
      <c r="H468" s="33">
        <f>E468*G468</f>
        <v/>
      </c>
      <c r="I468" s="32" t="inlineStr">
        <is>
          <t>Etiqueta autoadhesiva emitida por la AGC</t>
        </is>
      </c>
      <c r="J468" s="17" t="inlineStr">
        <is>
          <t>140 × 55</t>
        </is>
      </c>
      <c r="K468" s="32" t="inlineStr">
        <is>
          <t>Compra</t>
        </is>
      </c>
      <c r="L468" s="32" t="inlineStr">
        <is>
          <t>Sí</t>
        </is>
      </c>
      <c r="M468" s="17" t="inlineStr">
        <is>
          <t>Agencia Gubernamental de Control (CABA)</t>
        </is>
      </c>
      <c r="N468" s="17" t="inlineStr">
        <is>
          <t>-</t>
        </is>
      </c>
      <c r="O468" s="17" t="inlineStr">
        <is>
          <t>22 Etiquetado (T07)</t>
        </is>
      </c>
      <c r="P468" s="17" t="inlineStr">
        <is>
          <t>Ordenanza 40.473 art. 6 · Res. AGC 32/15</t>
        </is>
      </c>
      <c r="Q468" s="32" t="inlineStr">
        <is>
          <t>P</t>
        </is>
      </c>
      <c r="R468" s="32" t="inlineStr">
        <is>
          <t>FL_DES_SALESK_6l</t>
        </is>
      </c>
      <c r="S468" s="17" t="inlineStr">
        <is>
          <t>sólo destino CABA; sólo destino CABA</t>
        </is>
      </c>
    </row>
    <row r="469">
      <c r="A469" s="32" t="inlineStr">
        <is>
          <t>FL_MAT_SALESK_6l</t>
        </is>
      </c>
      <c r="B469" s="32" t="n">
        <v>2</v>
      </c>
      <c r="C469" s="32" t="inlineStr">
        <is>
          <t>SALESK6-25</t>
        </is>
      </c>
      <c r="D469" s="17" t="inlineStr">
        <is>
          <t xml:space="preserve">        Etiqueta de n° de serie GS1</t>
        </is>
      </c>
      <c r="E469" s="32" t="n">
        <v>1</v>
      </c>
      <c r="F469" s="32" t="inlineStr">
        <is>
          <t>u</t>
        </is>
      </c>
      <c r="G469" s="33" t="n">
        <v>0.0005</v>
      </c>
      <c r="H469" s="33">
        <f>E469*G469</f>
        <v/>
      </c>
      <c r="I469" s="32" t="inlineStr">
        <is>
          <t>Poliéster autoadhesivo impreso térmico</t>
        </is>
      </c>
      <c r="J469" s="17" t="inlineStr">
        <is>
          <t>45 × 25</t>
        </is>
      </c>
      <c r="K469" s="32" t="inlineStr">
        <is>
          <t>Compra</t>
        </is>
      </c>
      <c r="L469" s="32" t="inlineStr">
        <is>
          <t>No</t>
        </is>
      </c>
      <c r="M469" s="17" t="n"/>
      <c r="N469" s="17" t="n"/>
      <c r="O469" s="17" t="inlineStr">
        <is>
          <t>22 Etiquetado (T07)</t>
        </is>
      </c>
      <c r="P469" s="17" t="inlineStr">
        <is>
          <t>GS1 Argentina (GTIN 779) · trazabilidad IRAM 3523 5.1</t>
        </is>
      </c>
      <c r="Q469" s="32" t="inlineStr">
        <is>
          <t>P</t>
        </is>
      </c>
      <c r="R469" s="32" t="inlineStr">
        <is>
          <t>FL_DES_SALESK_6l</t>
        </is>
      </c>
      <c r="S469" s="17" t="inlineStr">
        <is>
          <t>QR GTIN + serie</t>
        </is>
      </c>
    </row>
    <row r="470">
      <c r="A470" s="32" t="inlineStr">
        <is>
          <t>FL_MAT_SALESK_6l</t>
        </is>
      </c>
      <c r="B470" s="32" t="n">
        <v>2</v>
      </c>
      <c r="C470" s="32" t="inlineStr">
        <is>
          <t>SALESK6-27</t>
        </is>
      </c>
      <c r="D470" s="17" t="inlineStr">
        <is>
          <t xml:space="preserve">        Faja de garantía válvula-cuello</t>
        </is>
      </c>
      <c r="E470" s="32" t="n">
        <v>1</v>
      </c>
      <c r="F470" s="32" t="inlineStr">
        <is>
          <t>u</t>
        </is>
      </c>
      <c r="G470" s="33" t="n">
        <v>0.0001</v>
      </c>
      <c r="H470" s="33">
        <f>E470*G470</f>
        <v/>
      </c>
      <c r="I470" s="32" t="inlineStr">
        <is>
          <t>Vinilo destructible rayado rojo/blanco</t>
        </is>
      </c>
      <c r="J470" s="17" t="inlineStr">
        <is>
          <t>22 × 22 (ancho × largo desarrollado), pegada sobre la unión: cuerpo de la válvula, tuerca y cuello</t>
        </is>
      </c>
      <c r="K470" s="32" t="inlineStr">
        <is>
          <t>Compra</t>
        </is>
      </c>
      <c r="L470" s="32" t="inlineStr">
        <is>
          <t>No</t>
        </is>
      </c>
      <c r="M470" s="17" t="n"/>
      <c r="N470" s="17" t="n"/>
      <c r="O470" s="17" t="inlineStr">
        <is>
          <t>22 Etiquetado (T07)</t>
        </is>
      </c>
      <c r="P470" s="17" t="inlineStr">
        <is>
          <t>Sin norma: práctica de mercado (garantía de fábrica)</t>
        </is>
      </c>
      <c r="Q470" s="32" t="inlineStr">
        <is>
          <t>P</t>
        </is>
      </c>
      <c r="R470" s="32" t="inlineStr">
        <is>
          <t>FL_DES_SALESK_6l</t>
        </is>
      </c>
      <c r="S470" s="17" t="inlineStr">
        <is>
          <t>nuevo sin abrir</t>
        </is>
      </c>
    </row>
    <row r="471">
      <c r="A471" s="32" t="inlineStr">
        <is>
          <t>FL_MAT_SALESK_6l</t>
        </is>
      </c>
      <c r="B471" s="32" t="n">
        <v>2</v>
      </c>
      <c r="C471" s="32" t="inlineStr">
        <is>
          <t>SALESK6-28</t>
        </is>
      </c>
      <c r="D471" s="17" t="inlineStr">
        <is>
          <t xml:space="preserve">        Precinto de fábrica</t>
        </is>
      </c>
      <c r="E471" s="32" t="n">
        <v>1</v>
      </c>
      <c r="F471" s="32" t="inlineStr">
        <is>
          <t>u</t>
        </is>
      </c>
      <c r="G471" s="33" t="n">
        <v>0.0002</v>
      </c>
      <c r="H471" s="33">
        <f>E471*G471</f>
        <v/>
      </c>
      <c r="I471" s="32" t="inlineStr">
        <is>
          <t>Polipropileno color</t>
        </is>
      </c>
      <c r="J471" s="17" t="inlineStr">
        <is>
          <t>Ø5 × 10, numerado, rotura 30-50 N</t>
        </is>
      </c>
      <c r="K471" s="32" t="inlineStr">
        <is>
          <t>Compra</t>
        </is>
      </c>
      <c r="L471" s="32" t="inlineStr">
        <is>
          <t>No</t>
        </is>
      </c>
      <c r="M471" s="17" t="n"/>
      <c r="N471" s="17" t="n"/>
      <c r="O471" s="17" t="inlineStr">
        <is>
          <t>20 Presurización (T05)</t>
        </is>
      </c>
      <c r="P471" s="17" t="inlineStr">
        <is>
          <t>IRAM 3523 3.3.2 · IRAM 3517-2:2020 9.4.13</t>
        </is>
      </c>
      <c r="Q471" s="32" t="inlineStr">
        <is>
          <t>P</t>
        </is>
      </c>
      <c r="R471" s="32" t="inlineStr">
        <is>
          <t>FL_DES_SALESK_6l</t>
        </is>
      </c>
      <c r="S471" s="17" t="inlineStr">
        <is>
          <t>id. FLAMA y lote</t>
        </is>
      </c>
    </row>
    <row r="472">
      <c r="A472" s="29" t="inlineStr">
        <is>
          <t>FL_MAT_SALESK_6l</t>
        </is>
      </c>
      <c r="B472" s="29" t="n">
        <v>1</v>
      </c>
      <c r="C472" s="29" t="inlineStr">
        <is>
          <t>SALESK6-S8</t>
        </is>
      </c>
      <c r="D472" s="30" t="inlineStr">
        <is>
          <t xml:space="preserve">    Soporte (accesorio de montaje)</t>
        </is>
      </c>
      <c r="E472" s="29" t="n">
        <v>1</v>
      </c>
      <c r="F472" s="29" t="inlineStr">
        <is>
          <t>u</t>
        </is>
      </c>
      <c r="G472" s="31" t="n"/>
      <c r="H472" s="31">
        <f>H473</f>
        <v/>
      </c>
      <c r="I472" s="29" t="n"/>
      <c r="J472" s="30" t="n"/>
      <c r="K472" s="29" t="inlineStr">
        <is>
          <t>Compra</t>
        </is>
      </c>
      <c r="L472" s="29" t="n"/>
      <c r="M472" s="30" t="n"/>
      <c r="N472" s="30" t="n"/>
      <c r="O472" s="30" t="inlineStr">
        <is>
          <t>23 Embalaje (va dentro de la caja)</t>
        </is>
      </c>
      <c r="P472" s="30" t="inlineStr">
        <is>
          <t>IRAM 3517-2 7.4</t>
        </is>
      </c>
      <c r="Q472" s="29" t="n"/>
      <c r="R472" s="29" t="n"/>
      <c r="S472" s="30" t="n"/>
    </row>
    <row r="473">
      <c r="A473" s="32" t="inlineStr">
        <is>
          <t>FL_MAT_SALESK_6l</t>
        </is>
      </c>
      <c r="B473" s="32" t="n">
        <v>2</v>
      </c>
      <c r="C473" s="32" t="inlineStr">
        <is>
          <t>SALESK6-I5</t>
        </is>
      </c>
      <c r="D473" s="17" t="inlineStr">
        <is>
          <t xml:space="preserve">        Soporte de pared (FL_ACC_01)</t>
        </is>
      </c>
      <c r="E473" s="32" t="n">
        <v>1</v>
      </c>
      <c r="F473" s="32" t="inlineStr">
        <is>
          <t>u</t>
        </is>
      </c>
      <c r="G473" s="33" t="n">
        <v>0.327</v>
      </c>
      <c r="H473" s="33">
        <f>E473*G473</f>
        <v/>
      </c>
      <c r="I473" s="32" t="inlineStr">
        <is>
          <t>Chapa acero SAE 1010 e=2 pintada</t>
        </is>
      </c>
      <c r="J473" s="17" t="inlineStr">
        <is>
          <t>placa 60 × 180, ala con ranura Ø cuello + 3</t>
        </is>
      </c>
      <c r="K473" s="32" t="inlineStr">
        <is>
          <t>Compra</t>
        </is>
      </c>
      <c r="L473" s="32" t="inlineStr">
        <is>
          <t>No</t>
        </is>
      </c>
      <c r="M473" s="17" t="n"/>
      <c r="N473" s="17" t="n"/>
      <c r="O473" s="17" t="inlineStr">
        <is>
          <t>23 Embalaje</t>
        </is>
      </c>
      <c r="P473" s="17" t="inlineStr">
        <is>
          <t>IRAM 3517-2 7.4</t>
        </is>
      </c>
      <c r="Q473" s="32" t="inlineStr">
        <is>
          <t>P</t>
        </is>
      </c>
      <c r="R473" s="32" t="inlineStr">
        <is>
          <t>FL_ACC_01</t>
        </is>
      </c>
      <c r="S473" s="17" t="n"/>
    </row>
    <row r="474">
      <c r="A474" s="32" t="inlineStr">
        <is>
          <t>FL_MAT_SALESK_6l</t>
        </is>
      </c>
      <c r="B474" s="32" t="n">
        <v>2</v>
      </c>
      <c r="C474" s="32" t="inlineStr">
        <is>
          <t>SALESK6-I6</t>
        </is>
      </c>
      <c r="D474" s="17" t="inlineStr">
        <is>
          <t xml:space="preserve">        Tornillo y tarugo de fijación</t>
        </is>
      </c>
      <c r="E474" s="32" t="n">
        <v>2</v>
      </c>
      <c r="F474" s="32" t="inlineStr">
        <is>
          <t>u</t>
        </is>
      </c>
      <c r="G474" s="33" t="n"/>
      <c r="H474" s="33" t="n"/>
      <c r="I474" s="32" t="inlineStr">
        <is>
          <t>Acero cincado / nylon</t>
        </is>
      </c>
      <c r="J474" s="17" t="inlineStr">
        <is>
          <t>2 agujeros Ø8,5 del plano FL_ACC_01 → tornillo M8 + tarugo</t>
        </is>
      </c>
      <c r="K474" s="32" t="inlineStr">
        <is>
          <t>Compra</t>
        </is>
      </c>
      <c r="L474" s="32" t="inlineStr">
        <is>
          <t>No</t>
        </is>
      </c>
      <c r="M474" s="17" t="n"/>
      <c r="N474" s="17" t="n"/>
      <c r="O474" s="17" t="inlineStr">
        <is>
          <t>23 Embalaje</t>
        </is>
      </c>
      <c r="P474" s="17" t="n"/>
      <c r="Q474" s="32" t="inlineStr">
        <is>
          <t>P</t>
        </is>
      </c>
      <c r="R474" s="32" t="inlineStr">
        <is>
          <t>FL_ACC_01</t>
        </is>
      </c>
      <c r="S474" s="17" t="n"/>
    </row>
    <row r="475">
      <c r="A475" s="29" t="inlineStr">
        <is>
          <t>FL_MAT_SALESK_6l</t>
        </is>
      </c>
      <c r="B475" s="29" t="n">
        <v>1</v>
      </c>
      <c r="C475" s="29" t="inlineStr">
        <is>
          <t>SALESK6-S7</t>
        </is>
      </c>
      <c r="D475" s="30" t="inlineStr">
        <is>
          <t xml:space="preserve">    Embalaje</t>
        </is>
      </c>
      <c r="E475" s="29" t="n">
        <v>1</v>
      </c>
      <c r="F475" s="29" t="inlineStr">
        <is>
          <t>u</t>
        </is>
      </c>
      <c r="G475" s="31" t="n"/>
      <c r="H475" s="31">
        <f>H479</f>
        <v/>
      </c>
      <c r="I475" s="29" t="n"/>
      <c r="J475" s="30" t="n"/>
      <c r="K475" s="29" t="inlineStr">
        <is>
          <t>Compra</t>
        </is>
      </c>
      <c r="L475" s="29" t="n"/>
      <c r="M475" s="30" t="n"/>
      <c r="N475" s="30" t="n"/>
      <c r="O475" s="30" t="inlineStr">
        <is>
          <t>23 Embalaje -&gt; 24 envolvedora (T11)</t>
        </is>
      </c>
      <c r="P475" s="30" t="n"/>
      <c r="Q475" s="29" t="n"/>
      <c r="R475" s="29" t="n"/>
      <c r="S475" s="30" t="n"/>
    </row>
    <row r="476">
      <c r="A476" s="32" t="inlineStr">
        <is>
          <t>FL_MAT_SALESK_6l</t>
        </is>
      </c>
      <c r="B476" s="32" t="n">
        <v>2</v>
      </c>
      <c r="C476" s="32" t="inlineStr">
        <is>
          <t>SALESK6-E1</t>
        </is>
      </c>
      <c r="D476" s="17" t="inlineStr">
        <is>
          <t xml:space="preserve">        Caja de cartón corrugado doble</t>
        </is>
      </c>
      <c r="E476" s="32" t="n">
        <v>1</v>
      </c>
      <c r="F476" s="32" t="inlineStr">
        <is>
          <t>u</t>
        </is>
      </c>
      <c r="G476" s="33" t="n"/>
      <c r="H476" s="33" t="n"/>
      <c r="I476" s="32" t="inlineStr">
        <is>
          <t>Cartón corrugado</t>
        </is>
      </c>
      <c r="J476" s="17" t="inlineStr">
        <is>
          <t>259 × 224 × 434 interior (envolvente del plano + 15 por lado)</t>
        </is>
      </c>
      <c r="K476" s="32" t="inlineStr">
        <is>
          <t>Compra</t>
        </is>
      </c>
      <c r="L476" s="32" t="inlineStr">
        <is>
          <t>No</t>
        </is>
      </c>
      <c r="M476" s="17" t="n"/>
      <c r="N476" s="17" t="n"/>
      <c r="O476" s="17" t="inlineStr">
        <is>
          <t>23 Embalaje</t>
        </is>
      </c>
      <c r="P476" s="17" t="n"/>
      <c r="Q476" s="32" t="inlineStr">
        <is>
          <t>P</t>
        </is>
      </c>
      <c r="R476" s="32" t="n"/>
      <c r="S476" s="17" t="inlineStr">
        <is>
          <t>Medida del plano</t>
        </is>
      </c>
    </row>
    <row r="477">
      <c r="A477" s="32" t="inlineStr">
        <is>
          <t>FL_MAT_SALESK_6l</t>
        </is>
      </c>
      <c r="B477" s="32" t="n">
        <v>2</v>
      </c>
      <c r="C477" s="32" t="inlineStr">
        <is>
          <t>SALESK6-E2</t>
        </is>
      </c>
      <c r="D477" s="17" t="inlineStr">
        <is>
          <t xml:space="preserve">        Instructivo de uso y mantenimiento</t>
        </is>
      </c>
      <c r="E477" s="32" t="n">
        <v>1</v>
      </c>
      <c r="F477" s="32" t="inlineStr">
        <is>
          <t>u</t>
        </is>
      </c>
      <c r="G477" s="33" t="n"/>
      <c r="H477" s="33" t="n"/>
      <c r="I477" s="32" t="inlineStr">
        <is>
          <t>Papel</t>
        </is>
      </c>
      <c r="J477" s="17" t="inlineStr">
        <is>
          <t>A5</t>
        </is>
      </c>
      <c r="K477" s="32" t="inlineStr">
        <is>
          <t>Compra</t>
        </is>
      </c>
      <c r="L477" s="32" t="inlineStr">
        <is>
          <t>No</t>
        </is>
      </c>
      <c r="M477" s="17" t="n"/>
      <c r="N477" s="17" t="n"/>
      <c r="O477" s="17" t="inlineStr">
        <is>
          <t>23 Embalaje</t>
        </is>
      </c>
      <c r="P477" s="17" t="n"/>
      <c r="Q477" s="32" t="inlineStr">
        <is>
          <t>I</t>
        </is>
      </c>
      <c r="R477" s="32" t="n"/>
      <c r="S477" s="17" t="inlineStr">
        <is>
          <t>Decisión comercial de FLAMA (las instrucciones de uso obligatorias van en la etiqueta, IRAM 3534)</t>
        </is>
      </c>
    </row>
    <row r="478">
      <c r="A478" s="32" t="inlineStr">
        <is>
          <t>FL_MAT_SALESK_6l</t>
        </is>
      </c>
      <c r="B478" s="32" t="n">
        <v>2</v>
      </c>
      <c r="C478" s="32" t="inlineStr">
        <is>
          <t>SALESK6-E3</t>
        </is>
      </c>
      <c r="D478" s="17" t="inlineStr">
        <is>
          <t xml:space="preserve">        Pallet 1200 × 1000 (fracción)</t>
        </is>
      </c>
      <c r="E478" s="32" t="n">
        <v>0.0208</v>
      </c>
      <c r="F478" s="32" t="inlineStr">
        <is>
          <t>u</t>
        </is>
      </c>
      <c r="G478" s="33" t="n"/>
      <c r="H478" s="33" t="n"/>
      <c r="I478" s="32" t="inlineStr">
        <is>
          <t>Madera</t>
        </is>
      </c>
      <c r="J478" s="17" t="inlineStr">
        <is>
          <t>48 u por pallet</t>
        </is>
      </c>
      <c r="K478" s="32" t="inlineStr">
        <is>
          <t>Compra</t>
        </is>
      </c>
      <c r="L478" s="32" t="inlineStr">
        <is>
          <t>No</t>
        </is>
      </c>
      <c r="M478" s="17" t="n"/>
      <c r="N478" s="17" t="n"/>
      <c r="O478" s="17" t="inlineStr">
        <is>
          <t>23 Embalaje</t>
        </is>
      </c>
      <c r="P478" s="17" t="n"/>
      <c r="Q478" s="32" t="inlineStr">
        <is>
          <t>C</t>
        </is>
      </c>
      <c r="R478" s="32" t="n"/>
      <c r="S478" s="17" t="inlineStr">
        <is>
          <t>u por pallet = acomodo de la caja (plano) en 1200 × 1000 × 1450 de alto</t>
        </is>
      </c>
    </row>
    <row r="479">
      <c r="A479" s="32" t="inlineStr">
        <is>
          <t>FL_MAT_SALESK_6l</t>
        </is>
      </c>
      <c r="B479" s="32" t="n">
        <v>2</v>
      </c>
      <c r="C479" s="32" t="inlineStr">
        <is>
          <t>SALESK6-E4</t>
        </is>
      </c>
      <c r="D479" s="17" t="inlineStr">
        <is>
          <t xml:space="preserve">        Film stretch (fracción del pallet)</t>
        </is>
      </c>
      <c r="E479" s="32" t="n">
        <v>0.0025</v>
      </c>
      <c r="F479" s="32" t="inlineStr">
        <is>
          <t>kg</t>
        </is>
      </c>
      <c r="G479" s="33" t="n">
        <v>1</v>
      </c>
      <c r="H479" s="33">
        <f>E479*G479</f>
        <v/>
      </c>
      <c r="I479" s="32" t="inlineStr">
        <is>
          <t>PE lineal 23 µm</t>
        </is>
      </c>
      <c r="J479" s="17" t="inlineStr">
        <is>
          <t>0,12 kg por pallet / 48 u</t>
        </is>
      </c>
      <c r="K479" s="32" t="inlineStr">
        <is>
          <t>Compra</t>
        </is>
      </c>
      <c r="L479" s="32" t="inlineStr">
        <is>
          <t>No</t>
        </is>
      </c>
      <c r="M479" s="17" t="n"/>
      <c r="N479" s="17" t="n"/>
      <c r="O479" s="17" t="inlineStr">
        <is>
          <t>24 Envolvedora (T11)</t>
        </is>
      </c>
      <c r="P479" s="17" t="n"/>
      <c r="Q479" s="32" t="inlineStr">
        <is>
          <t>C</t>
        </is>
      </c>
      <c r="R479" s="32" t="n"/>
      <c r="S479"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480">
      <c r="A480" s="32" t="inlineStr">
        <is>
          <t>FL_MAT_SALESK_6l</t>
        </is>
      </c>
      <c r="B480" s="32" t="n">
        <v>2</v>
      </c>
      <c r="C480" s="32" t="inlineStr">
        <is>
          <t>SALESK6-E5</t>
        </is>
      </c>
      <c r="D480" s="17" t="inlineStr">
        <is>
          <t xml:space="preserve">        Etiqueta de pallet (lote y destino, fracción)</t>
        </is>
      </c>
      <c r="E480" s="32" t="n">
        <v>0.0208</v>
      </c>
      <c r="F480" s="32" t="inlineStr">
        <is>
          <t>u</t>
        </is>
      </c>
      <c r="G480" s="33" t="n"/>
      <c r="H480" s="33" t="n"/>
      <c r="I480" s="32" t="inlineStr">
        <is>
          <t>Papel térmico</t>
        </is>
      </c>
      <c r="J480" s="17" t="inlineStr">
        <is>
          <t>100 × 150</t>
        </is>
      </c>
      <c r="K480" s="32" t="inlineStr">
        <is>
          <t>Compra</t>
        </is>
      </c>
      <c r="L480" s="32" t="inlineStr">
        <is>
          <t>No</t>
        </is>
      </c>
      <c r="M480" s="17" t="n"/>
      <c r="N480" s="17" t="n"/>
      <c r="O480" s="17" t="inlineStr">
        <is>
          <t>24 Envolvedora</t>
        </is>
      </c>
      <c r="P480" s="17" t="n"/>
      <c r="Q480" s="32" t="inlineStr">
        <is>
          <t>C</t>
        </is>
      </c>
      <c r="R480" s="32" t="n"/>
      <c r="S480" s="17" t="n"/>
    </row>
    <row r="481">
      <c r="A481" s="32" t="inlineStr">
        <is>
          <t>FL_MAT_SALESK_6l</t>
        </is>
      </c>
      <c r="B481" s="32" t="n">
        <v>2</v>
      </c>
      <c r="C481" s="32" t="inlineStr">
        <is>
          <t>SALESK6-E6</t>
        </is>
      </c>
      <c r="D481" s="17" t="inlineStr">
        <is>
          <t xml:space="preserve">        Cinta de embalaje PP 48 mm (cierre de la caja)</t>
        </is>
      </c>
      <c r="E481" s="32" t="n">
        <v>0.799</v>
      </c>
      <c r="F481" s="32" t="inlineStr">
        <is>
          <t>m</t>
        </is>
      </c>
      <c r="G481" s="33" t="n"/>
      <c r="H481" s="33" t="n"/>
      <c r="I481" s="32" t="inlineStr">
        <is>
          <t>Polipropileno con adhesivo acrílico</t>
        </is>
      </c>
      <c r="J481" s="17" t="inlineStr">
        <is>
          <t>cierre en I arriba y abajo: 2 × (259 + 2 × 70 de solapa)</t>
        </is>
      </c>
      <c r="K481" s="32" t="inlineStr">
        <is>
          <t>Compra</t>
        </is>
      </c>
      <c r="L481" s="32" t="inlineStr">
        <is>
          <t>No</t>
        </is>
      </c>
      <c r="M481" s="17" t="n"/>
      <c r="N481" s="17" t="n"/>
      <c r="O481" s="17" t="inlineStr">
        <is>
          <t>23 Embalaje</t>
        </is>
      </c>
      <c r="P481" s="17" t="n"/>
      <c r="Q481" s="32" t="inlineStr">
        <is>
          <t>C</t>
        </is>
      </c>
      <c r="R481" s="32" t="n"/>
      <c r="S481" s="17" t="inlineStr">
        <is>
          <t>Solapa de 70 mm por lado: práctica de cierre de cajas (medir en la línea)</t>
        </is>
      </c>
    </row>
    <row r="482">
      <c r="A482" s="32" t="inlineStr">
        <is>
          <t>FL_MAT_SALESK_6l</t>
        </is>
      </c>
      <c r="B482" s="32" t="n">
        <v>2</v>
      </c>
      <c r="C482" s="32" t="inlineStr">
        <is>
          <t>SALESK6-E7</t>
        </is>
      </c>
      <c r="D482" s="17" t="inlineStr">
        <is>
          <t xml:space="preserve">        Esquineros de cartón 50 × 50 × 1200 (fracción del pallet)</t>
        </is>
      </c>
      <c r="E482" s="32" t="n">
        <v>0.0833</v>
      </c>
      <c r="F482" s="32" t="inlineStr">
        <is>
          <t>u</t>
        </is>
      </c>
      <c r="G482" s="33" t="n"/>
      <c r="H482" s="33" t="n"/>
      <c r="I482" s="32" t="inlineStr">
        <is>
          <t>Cartón</t>
        </is>
      </c>
      <c r="J482" s="17" t="inlineStr">
        <is>
          <t>4 por pallet / 48 u</t>
        </is>
      </c>
      <c r="K482" s="32" t="inlineStr">
        <is>
          <t>Compra</t>
        </is>
      </c>
      <c r="L482" s="32" t="inlineStr">
        <is>
          <t>No</t>
        </is>
      </c>
      <c r="M482" s="17" t="n"/>
      <c r="N482" s="17" t="n"/>
      <c r="O482" s="17" t="inlineStr">
        <is>
          <t>24 Envolvedora (T11)</t>
        </is>
      </c>
      <c r="P482" s="17" t="n"/>
      <c r="Q482" s="32" t="inlineStr">
        <is>
          <t>C</t>
        </is>
      </c>
      <c r="R482" s="32" t="n"/>
      <c r="S482" s="17" t="inlineStr">
        <is>
          <t>Planilla MP-64</t>
        </is>
      </c>
    </row>
    <row r="483">
      <c r="A483" s="26" t="inlineStr">
        <is>
          <t>FL_MAT_CO2_2kg</t>
        </is>
      </c>
      <c r="B483" s="26" t="n">
        <v>0</v>
      </c>
      <c r="C483" s="26" t="inlineStr">
        <is>
          <t>FL_MAT_CO2_2kg</t>
        </is>
      </c>
      <c r="D483" s="27" t="inlineStr">
        <is>
          <t>Extintor CO₂ 2 kg</t>
        </is>
      </c>
      <c r="E483" s="26" t="n">
        <v>1</v>
      </c>
      <c r="F483" s="26" t="inlineStr">
        <is>
          <t>u</t>
        </is>
      </c>
      <c r="G483" s="28" t="n"/>
      <c r="H483" s="28" t="n"/>
      <c r="I483" s="26" t="n"/>
      <c r="J483" s="27" t="n"/>
      <c r="K483" s="26" t="n"/>
      <c r="L483" s="26" t="n"/>
      <c r="M483" s="27" t="n"/>
      <c r="N483" s="27" t="n"/>
      <c r="O483" s="27" t="n"/>
      <c r="P483" s="27" t="inlineStr">
        <is>
          <t>IRAM 3509</t>
        </is>
      </c>
      <c r="Q483" s="26" t="inlineStr">
        <is>
          <t>P</t>
        </is>
      </c>
      <c r="R483" s="26" t="inlineStr">
        <is>
          <t>FL_MAT_CO2_2kg</t>
        </is>
      </c>
      <c r="S483" s="27" t="inlineStr">
        <is>
          <t>Revendido: se compra terminado al fabricante con Sello IRAM; las piezas internas quedan como referencia (no entran en MRP)</t>
        </is>
      </c>
    </row>
    <row r="484">
      <c r="A484" s="29" t="inlineStr">
        <is>
          <t>FL_MAT_CO2_2kg</t>
        </is>
      </c>
      <c r="B484" s="29" t="n">
        <v>1</v>
      </c>
      <c r="C484" s="29" t="inlineStr">
        <is>
          <t>CO22-S0</t>
        </is>
      </c>
      <c r="D484" s="30" t="inlineStr">
        <is>
          <t xml:space="preserve">    Equipo terminado comprado (fabricante con Sello IRAM)</t>
        </is>
      </c>
      <c r="E484" s="29" t="n">
        <v>1</v>
      </c>
      <c r="F484" s="29" t="inlineStr">
        <is>
          <t>u</t>
        </is>
      </c>
      <c r="G484" s="31" t="n"/>
      <c r="H484" s="31" t="n"/>
      <c r="I484" s="29" t="n"/>
      <c r="J484" s="30" t="n"/>
      <c r="K484" s="29" t="inlineStr">
        <is>
          <t>Compra</t>
        </is>
      </c>
      <c r="L484" s="29" t="inlineStr">
        <is>
          <t>Sí</t>
        </is>
      </c>
      <c r="M484" s="30" t="inlineStr">
        <is>
          <t>Mozart S.R.L.</t>
        </is>
      </c>
      <c r="N484" s="30" t="inlineStr">
        <is>
          <t>Matafuegos Georgia - venta mayorista</t>
        </is>
      </c>
      <c r="O484" s="30" t="inlineStr">
        <is>
          <t>Recepción y control de ingreso (SP-1)</t>
        </is>
      </c>
      <c r="P484" s="30" t="inlineStr">
        <is>
          <t>IRAM 3509</t>
        </is>
      </c>
      <c r="Q484" s="29" t="inlineStr">
        <is>
          <t>I</t>
        </is>
      </c>
      <c r="R484" s="29" t="inlineStr">
        <is>
          <t>FL_MAT_CO2_2kg</t>
        </is>
      </c>
      <c r="S484" s="30" t="inlineStr">
        <is>
          <t>Única fila de compra del revendido (más la tarjeta AGC si el destino es CABA)</t>
        </is>
      </c>
    </row>
    <row r="485">
      <c r="A485" s="29" t="inlineStr">
        <is>
          <t>FL_MAT_CO2_2kg</t>
        </is>
      </c>
      <c r="B485" s="29" t="n">
        <v>1</v>
      </c>
      <c r="C485" s="29" t="inlineStr">
        <is>
          <t>CO22-S1</t>
        </is>
      </c>
      <c r="D485" s="30" t="inlineStr">
        <is>
          <t xml:space="preserve">    Recipiente (cilindro)</t>
        </is>
      </c>
      <c r="E485" s="29" t="n">
        <v>1</v>
      </c>
      <c r="F485" s="29" t="inlineStr">
        <is>
          <t>u</t>
        </is>
      </c>
      <c r="G485" s="31" t="n"/>
      <c r="H485" s="31">
        <f>H486+H487</f>
        <v/>
      </c>
      <c r="I485" s="29" t="n"/>
      <c r="J485" s="30" t="n"/>
      <c r="K485" s="29" t="inlineStr">
        <is>
          <t>Compra / armado</t>
        </is>
      </c>
      <c r="L485" s="29" t="n"/>
      <c r="M485" s="30" t="n"/>
      <c r="N485" s="30" t="n"/>
      <c r="O485" s="30" t="n"/>
      <c r="P485" s="30" t="inlineStr">
        <is>
          <t>IRAM 3523 / 3550 (recipiente)</t>
        </is>
      </c>
      <c r="Q485" s="29" t="inlineStr">
        <is>
          <t>P</t>
        </is>
      </c>
      <c r="R485" s="29" t="inlineStr">
        <is>
          <t>FL_DES_CO2_2kg</t>
        </is>
      </c>
      <c r="S485" s="30" t="n"/>
    </row>
    <row r="486">
      <c r="A486" s="32" t="inlineStr">
        <is>
          <t>FL_MAT_CO2_2kg</t>
        </is>
      </c>
      <c r="B486" s="32" t="n">
        <v>2</v>
      </c>
      <c r="C486" s="32" t="inlineStr">
        <is>
          <t>CO22-01</t>
        </is>
      </c>
      <c r="D486" s="17" t="inlineStr">
        <is>
          <t xml:space="preserve">        Cilindro sin costura</t>
        </is>
      </c>
      <c r="E486" s="32" t="n">
        <v>1</v>
      </c>
      <c r="F486" s="32" t="inlineStr">
        <is>
          <t>u</t>
        </is>
      </c>
      <c r="G486" s="33" t="n">
        <v>5.7663</v>
      </c>
      <c r="H486" s="33">
        <f>E486*G486</f>
        <v/>
      </c>
      <c r="I486" s="32" t="inlineStr">
        <is>
          <t>Tubo acero 34CrMo4 sin costura e=5,4</t>
        </is>
      </c>
      <c r="J486" s="17" t="inlineStr">
        <is>
          <t>Cilindro sin costura Ø114 × e5,4 × 411,2 de alto (cuello integral)</t>
        </is>
      </c>
      <c r="K486" s="32" t="inlineStr">
        <is>
          <t>Compra (en el conjunto)</t>
        </is>
      </c>
      <c r="L486" s="32" t="inlineStr">
        <is>
          <t>No</t>
        </is>
      </c>
      <c r="M486" s="17" t="n"/>
      <c r="N486" s="17" t="n"/>
      <c r="O486" s="17" t="inlineStr">
        <is>
          <t>S4 - se compra terminado (tercerizado con sello IRAM)</t>
        </is>
      </c>
      <c r="P486" s="17" t="n"/>
      <c r="Q486" s="32" t="inlineStr">
        <is>
          <t>P</t>
        </is>
      </c>
      <c r="R486" s="32" t="inlineStr">
        <is>
          <t>FL_DES_CO2_2kg</t>
        </is>
      </c>
      <c r="S486" s="17" t="inlineStr">
        <is>
          <t>cuello integral</t>
        </is>
      </c>
    </row>
    <row r="487">
      <c r="A487" s="32" t="inlineStr">
        <is>
          <t>FL_MAT_CO2_2kg</t>
        </is>
      </c>
      <c r="B487" s="32" t="n">
        <v>2</v>
      </c>
      <c r="C487" s="32" t="inlineStr">
        <is>
          <t>CO22-13</t>
        </is>
      </c>
      <c r="D487" s="17" t="inlineStr">
        <is>
          <t xml:space="preserve">        Pie de apoyo</t>
        </is>
      </c>
      <c r="E487" s="32" t="n">
        <v>1</v>
      </c>
      <c r="F487" s="32" t="inlineStr">
        <is>
          <t>u</t>
        </is>
      </c>
      <c r="G487" s="33" t="n">
        <v>0.066</v>
      </c>
      <c r="H487" s="33">
        <f>E487*G487</f>
        <v/>
      </c>
      <c r="I487" s="32" t="inlineStr">
        <is>
          <t>Polietileno AD</t>
        </is>
      </c>
      <c r="J487" s="17" t="inlineStr">
        <is>
          <t>114 × 114 × 31,4</t>
        </is>
      </c>
      <c r="K487" s="32" t="inlineStr">
        <is>
          <t>Compra (en el conjunto)</t>
        </is>
      </c>
      <c r="L487" s="32" t="inlineStr">
        <is>
          <t>No</t>
        </is>
      </c>
      <c r="M487" s="17" t="n"/>
      <c r="N487" s="17" t="n"/>
      <c r="O487" s="17" t="inlineStr">
        <is>
          <t>S4 - se compra terminado (tercerizado con sello IRAM)</t>
        </is>
      </c>
      <c r="P487" s="17" t="n"/>
      <c r="Q487" s="32" t="inlineStr">
        <is>
          <t>P</t>
        </is>
      </c>
      <c r="R487" s="32" t="inlineStr">
        <is>
          <t>FL_DES_CO2_2kg</t>
        </is>
      </c>
      <c r="S487" s="17" t="n"/>
    </row>
    <row r="488">
      <c r="A488" s="29" t="inlineStr">
        <is>
          <t>FL_MAT_CO2_2kg</t>
        </is>
      </c>
      <c r="B488" s="29" t="n">
        <v>1</v>
      </c>
      <c r="C488" s="29" t="inlineStr">
        <is>
          <t>CO22-S2</t>
        </is>
      </c>
      <c r="D488" s="30" t="inlineStr">
        <is>
          <t xml:space="preserve">    Conjunto de válvula</t>
        </is>
      </c>
      <c r="E488" s="29" t="n">
        <v>1</v>
      </c>
      <c r="F488" s="29" t="inlineStr">
        <is>
          <t>u</t>
        </is>
      </c>
      <c r="G488" s="31" t="n"/>
      <c r="H488" s="31">
        <f>H489+H490+H491+H492+H493+H494+H495+H496+H497+H498+H499+H500</f>
        <v/>
      </c>
      <c r="I488" s="29" t="n"/>
      <c r="J488" s="30" t="n"/>
      <c r="K488" s="29" t="inlineStr">
        <is>
          <t>Compra / armado</t>
        </is>
      </c>
      <c r="L488" s="29" t="n"/>
      <c r="M488" s="30" t="n"/>
      <c r="N488" s="30" t="n"/>
      <c r="O488" s="30" t="n"/>
      <c r="P488" s="30" t="inlineStr">
        <is>
          <t>Manómetro IRAM 3533</t>
        </is>
      </c>
      <c r="Q488" s="29" t="inlineStr">
        <is>
          <t>P</t>
        </is>
      </c>
      <c r="R488" s="29" t="inlineStr">
        <is>
          <t>FL_DES_CO2_2kg</t>
        </is>
      </c>
      <c r="S488" s="30" t="n"/>
    </row>
    <row r="489">
      <c r="A489" s="32" t="inlineStr">
        <is>
          <t>FL_MAT_CO2_2kg</t>
        </is>
      </c>
      <c r="B489" s="32" t="n">
        <v>2</v>
      </c>
      <c r="C489" s="32" t="inlineStr">
        <is>
          <t>CO22-02</t>
        </is>
      </c>
      <c r="D489" s="17" t="inlineStr">
        <is>
          <t xml:space="preserve">        Espiga roscada</t>
        </is>
      </c>
      <c r="E489" s="32" t="n">
        <v>1</v>
      </c>
      <c r="F489" s="32" t="inlineStr">
        <is>
          <t>u</t>
        </is>
      </c>
      <c r="G489" s="33" t="n">
        <v>0.0296</v>
      </c>
      <c r="H489" s="33">
        <f>E489*G489</f>
        <v/>
      </c>
      <c r="I489" s="32" t="inlineStr">
        <is>
          <t>Latón forjado</t>
        </is>
      </c>
      <c r="J489" s="17" t="inlineStr">
        <is>
          <t>29,8 × 29,8 × 10,8</t>
        </is>
      </c>
      <c r="K489" s="32" t="inlineStr">
        <is>
          <t>Compra (en el conjunto)</t>
        </is>
      </c>
      <c r="L489" s="32" t="inlineStr">
        <is>
          <t>No</t>
        </is>
      </c>
      <c r="M489" s="17" t="n"/>
      <c r="N489" s="17" t="n"/>
      <c r="O489" s="17" t="inlineStr">
        <is>
          <t>S4 - se compra terminado (tercerizado con sello IRAM)</t>
        </is>
      </c>
      <c r="P489" s="17" t="n"/>
      <c r="Q489" s="32" t="inlineStr">
        <is>
          <t>P</t>
        </is>
      </c>
      <c r="R489" s="32" t="inlineStr">
        <is>
          <t>FL_DES_CO2_2kg</t>
        </is>
      </c>
      <c r="S489" s="17" t="n"/>
    </row>
    <row r="490">
      <c r="A490" s="32" t="inlineStr">
        <is>
          <t>FL_MAT_CO2_2kg</t>
        </is>
      </c>
      <c r="B490" s="32" t="n">
        <v>2</v>
      </c>
      <c r="C490" s="32" t="inlineStr">
        <is>
          <t>CO22-03</t>
        </is>
      </c>
      <c r="D490" s="17" t="inlineStr">
        <is>
          <t xml:space="preserve">        Collarín de válvula</t>
        </is>
      </c>
      <c r="E490" s="32" t="n">
        <v>1</v>
      </c>
      <c r="F490" s="32" t="inlineStr">
        <is>
          <t>u</t>
        </is>
      </c>
      <c r="G490" s="33" t="n">
        <v>0.0072</v>
      </c>
      <c r="H490" s="33">
        <f>E490*G490</f>
        <v/>
      </c>
      <c r="I490" s="32" t="inlineStr">
        <is>
          <t>Latón forjado</t>
        </is>
      </c>
      <c r="J490" s="17" t="inlineStr">
        <is>
          <t>27,2 × 27,2 × 4,1</t>
        </is>
      </c>
      <c r="K490" s="32" t="inlineStr">
        <is>
          <t>Compra (en el conjunto)</t>
        </is>
      </c>
      <c r="L490" s="32" t="inlineStr">
        <is>
          <t>No</t>
        </is>
      </c>
      <c r="M490" s="17" t="n"/>
      <c r="N490" s="17" t="n"/>
      <c r="O490" s="17" t="inlineStr">
        <is>
          <t>S4 - se compra terminado (tercerizado con sello IRAM)</t>
        </is>
      </c>
      <c r="P490" s="17" t="n"/>
      <c r="Q490" s="32" t="inlineStr">
        <is>
          <t>P</t>
        </is>
      </c>
      <c r="R490" s="32" t="inlineStr">
        <is>
          <t>FL_DES_CO2_2kg</t>
        </is>
      </c>
      <c r="S490" s="17" t="n"/>
    </row>
    <row r="491">
      <c r="A491" s="32" t="inlineStr">
        <is>
          <t>FL_MAT_CO2_2kg</t>
        </is>
      </c>
      <c r="B491" s="32" t="n">
        <v>2</v>
      </c>
      <c r="C491" s="32" t="inlineStr">
        <is>
          <t>CO22-04</t>
        </is>
      </c>
      <c r="D491" s="17" t="inlineStr">
        <is>
          <t xml:space="preserve">        Cuerpo de válvula</t>
        </is>
      </c>
      <c r="E491" s="32" t="n">
        <v>1</v>
      </c>
      <c r="F491" s="32" t="inlineStr">
        <is>
          <t>u</t>
        </is>
      </c>
      <c r="G491" s="33" t="n">
        <v>0.134</v>
      </c>
      <c r="H491" s="33">
        <f>E491*G491</f>
        <v/>
      </c>
      <c r="I491" s="32" t="inlineStr">
        <is>
          <t>Latón forjado</t>
        </is>
      </c>
      <c r="J491" s="17" t="inlineStr">
        <is>
          <t>43,9 × 32 × 24,5</t>
        </is>
      </c>
      <c r="K491" s="32" t="inlineStr">
        <is>
          <t>Compra (en el conjunto)</t>
        </is>
      </c>
      <c r="L491" s="32" t="inlineStr">
        <is>
          <t>No</t>
        </is>
      </c>
      <c r="M491" s="17" t="n"/>
      <c r="N491" s="17" t="n"/>
      <c r="O491" s="17" t="inlineStr">
        <is>
          <t>S4 - se compra terminado (tercerizado con sello IRAM)</t>
        </is>
      </c>
      <c r="P491" s="17" t="n"/>
      <c r="Q491" s="32" t="inlineStr">
        <is>
          <t>P</t>
        </is>
      </c>
      <c r="R491" s="32" t="inlineStr">
        <is>
          <t>FL_DES_CO2_2kg</t>
        </is>
      </c>
      <c r="S491" s="17" t="n"/>
    </row>
    <row r="492">
      <c r="A492" s="32" t="inlineStr">
        <is>
          <t>FL_MAT_CO2_2kg</t>
        </is>
      </c>
      <c r="B492" s="32" t="n">
        <v>2</v>
      </c>
      <c r="C492" s="32" t="inlineStr">
        <is>
          <t>CO22-05</t>
        </is>
      </c>
      <c r="D492" s="17" t="inlineStr">
        <is>
          <t xml:space="preserve">        Disco de seguridad</t>
        </is>
      </c>
      <c r="E492" s="32" t="n">
        <v>1</v>
      </c>
      <c r="F492" s="32" t="inlineStr">
        <is>
          <t>u</t>
        </is>
      </c>
      <c r="G492" s="33" t="n">
        <v>0.0097</v>
      </c>
      <c r="H492" s="33">
        <f>E492*G492</f>
        <v/>
      </c>
      <c r="I492" s="32" t="inlineStr">
        <is>
          <t>Latón / disco de cobre</t>
        </is>
      </c>
      <c r="J492" s="17" t="inlineStr">
        <is>
          <t>14 × 12,1 × 9</t>
        </is>
      </c>
      <c r="K492" s="32" t="inlineStr">
        <is>
          <t>Compra (en el conjunto)</t>
        </is>
      </c>
      <c r="L492" s="32" t="inlineStr">
        <is>
          <t>No</t>
        </is>
      </c>
      <c r="M492" s="17" t="n"/>
      <c r="N492" s="17" t="n"/>
      <c r="O492" s="17" t="inlineStr">
        <is>
          <t>S4 - se compra terminado (tercerizado con sello IRAM)</t>
        </is>
      </c>
      <c r="P492" s="17" t="n"/>
      <c r="Q492" s="32" t="inlineStr">
        <is>
          <t>P</t>
        </is>
      </c>
      <c r="R492" s="32" t="inlineStr">
        <is>
          <t>FL_DES_CO2_2kg</t>
        </is>
      </c>
      <c r="S492" s="17" t="inlineStr">
        <is>
          <t>rotura 18 a 21 MPa</t>
        </is>
      </c>
    </row>
    <row r="493">
      <c r="A493" s="32" t="inlineStr">
        <is>
          <t>FL_MAT_CO2_2kg</t>
        </is>
      </c>
      <c r="B493" s="32" t="n">
        <v>2</v>
      </c>
      <c r="C493" s="32" t="inlineStr">
        <is>
          <t>CO22-06</t>
        </is>
      </c>
      <c r="D493" s="17" t="inlineStr">
        <is>
          <t xml:space="preserve">        Vástago</t>
        </is>
      </c>
      <c r="E493" s="32" t="n">
        <v>1</v>
      </c>
      <c r="F493" s="32" t="inlineStr">
        <is>
          <t>u</t>
        </is>
      </c>
      <c r="G493" s="33" t="n">
        <v>0.0137</v>
      </c>
      <c r="H493" s="33">
        <f>E493*G493</f>
        <v/>
      </c>
      <c r="I493" s="32" t="inlineStr">
        <is>
          <t>Latón</t>
        </is>
      </c>
      <c r="J493" s="17" t="inlineStr">
        <is>
          <t>35,6 × 14 × 14</t>
        </is>
      </c>
      <c r="K493" s="32" t="inlineStr">
        <is>
          <t>Compra (en el conjunto)</t>
        </is>
      </c>
      <c r="L493" s="32" t="inlineStr">
        <is>
          <t>No</t>
        </is>
      </c>
      <c r="M493" s="17" t="n"/>
      <c r="N493" s="17" t="n"/>
      <c r="O493" s="17" t="inlineStr">
        <is>
          <t>S4 - se compra terminado (tercerizado con sello IRAM)</t>
        </is>
      </c>
      <c r="P493" s="17" t="n"/>
      <c r="Q493" s="32" t="inlineStr">
        <is>
          <t>P</t>
        </is>
      </c>
      <c r="R493" s="32" t="inlineStr">
        <is>
          <t>FL_DES_CO2_2kg</t>
        </is>
      </c>
      <c r="S493" s="17" t="inlineStr">
        <is>
          <t>con junta tórica</t>
        </is>
      </c>
    </row>
    <row r="494">
      <c r="A494" s="32" t="inlineStr">
        <is>
          <t>FL_MAT_CO2_2kg</t>
        </is>
      </c>
      <c r="B494" s="32" t="n">
        <v>2</v>
      </c>
      <c r="C494" s="32" t="inlineStr">
        <is>
          <t>CO22-07</t>
        </is>
      </c>
      <c r="D494" s="17" t="inlineStr">
        <is>
          <t xml:space="preserve">        Resorte de válvula</t>
        </is>
      </c>
      <c r="E494" s="32" t="n">
        <v>1</v>
      </c>
      <c r="F494" s="32" t="inlineStr">
        <is>
          <t>u</t>
        </is>
      </c>
      <c r="G494" s="33" t="n">
        <v>0.0049</v>
      </c>
      <c r="H494" s="33">
        <f>E494*G494</f>
        <v/>
      </c>
      <c r="I494" s="32" t="inlineStr">
        <is>
          <t>Alambre acero inox. AISI 302</t>
        </is>
      </c>
      <c r="J494" s="17" t="inlineStr">
        <is>
          <t>28,8 × 17,3 × 17,3</t>
        </is>
      </c>
      <c r="K494" s="32" t="inlineStr">
        <is>
          <t>Compra (en el conjunto)</t>
        </is>
      </c>
      <c r="L494" s="32" t="inlineStr">
        <is>
          <t>No</t>
        </is>
      </c>
      <c r="M494" s="17" t="n"/>
      <c r="N494" s="17" t="n"/>
      <c r="O494" s="17" t="inlineStr">
        <is>
          <t>S4 - se compra terminado (tercerizado con sello IRAM)</t>
        </is>
      </c>
      <c r="P494" s="17" t="n"/>
      <c r="Q494" s="32" t="inlineStr">
        <is>
          <t>P</t>
        </is>
      </c>
      <c r="R494" s="32" t="inlineStr">
        <is>
          <t>FL_DES_CO2_2kg</t>
        </is>
      </c>
      <c r="S494" s="17" t="inlineStr">
        <is>
          <t>cierre del vástago</t>
        </is>
      </c>
    </row>
    <row r="495">
      <c r="A495" s="32" t="inlineStr">
        <is>
          <t>FL_MAT_CO2_2kg</t>
        </is>
      </c>
      <c r="B495" s="32" t="n">
        <v>2</v>
      </c>
      <c r="C495" s="32" t="inlineStr">
        <is>
          <t>CO22-08</t>
        </is>
      </c>
      <c r="D495" s="17" t="inlineStr">
        <is>
          <t xml:space="preserve">        Eje de palanca</t>
        </is>
      </c>
      <c r="E495" s="32" t="n">
        <v>1</v>
      </c>
      <c r="F495" s="32" t="inlineStr">
        <is>
          <t>u</t>
        </is>
      </c>
      <c r="G495" s="33" t="n">
        <v>0.0033</v>
      </c>
      <c r="H495" s="33">
        <f>E495*G495</f>
        <v/>
      </c>
      <c r="I495" s="32" t="inlineStr">
        <is>
          <t>Acero inox. AISI 304</t>
        </is>
      </c>
      <c r="J495" s="17" t="inlineStr">
        <is>
          <t>33 × 4 × 4</t>
        </is>
      </c>
      <c r="K495" s="32" t="inlineStr">
        <is>
          <t>Compra (en el conjunto)</t>
        </is>
      </c>
      <c r="L495" s="32" t="inlineStr">
        <is>
          <t>No</t>
        </is>
      </c>
      <c r="M495" s="17" t="n"/>
      <c r="N495" s="17" t="n"/>
      <c r="O495" s="17" t="inlineStr">
        <is>
          <t>S4 - se compra terminado (tercerizado con sello IRAM)</t>
        </is>
      </c>
      <c r="P495" s="17" t="n"/>
      <c r="Q495" s="32" t="inlineStr">
        <is>
          <t>P</t>
        </is>
      </c>
      <c r="R495" s="32" t="inlineStr">
        <is>
          <t>FL_DES_CO2_2kg</t>
        </is>
      </c>
      <c r="S495" s="17" t="n"/>
    </row>
    <row r="496">
      <c r="A496" s="32" t="inlineStr">
        <is>
          <t>FL_MAT_CO2_2kg</t>
        </is>
      </c>
      <c r="B496" s="32" t="n">
        <v>2</v>
      </c>
      <c r="C496" s="32" t="inlineStr">
        <is>
          <t>CO22-09</t>
        </is>
      </c>
      <c r="D496" s="17" t="inlineStr">
        <is>
          <t xml:space="preserve">        Pasador de seguridad</t>
        </is>
      </c>
      <c r="E496" s="32" t="n">
        <v>1</v>
      </c>
      <c r="F496" s="32" t="inlineStr">
        <is>
          <t>u</t>
        </is>
      </c>
      <c r="G496" s="33" t="n">
        <v>0.0055</v>
      </c>
      <c r="H496" s="33">
        <f>E496*G496</f>
        <v/>
      </c>
      <c r="I496" s="32" t="inlineStr">
        <is>
          <t>Alambre acero inox. AISI 304</t>
        </is>
      </c>
      <c r="J496" s="17" t="inlineStr">
        <is>
          <t>45,9 × 21 × 20,8</t>
        </is>
      </c>
      <c r="K496" s="32" t="inlineStr">
        <is>
          <t>Compra (en el conjunto)</t>
        </is>
      </c>
      <c r="L496" s="32" t="inlineStr">
        <is>
          <t>No</t>
        </is>
      </c>
      <c r="M496" s="17" t="n"/>
      <c r="N496" s="17" t="n"/>
      <c r="O496" s="17" t="inlineStr">
        <is>
          <t>S4 - se compra terminado (tercerizado con sello IRAM)</t>
        </is>
      </c>
      <c r="P496" s="17" t="n"/>
      <c r="Q496" s="32" t="inlineStr">
        <is>
          <t>P</t>
        </is>
      </c>
      <c r="R496" s="32" t="inlineStr">
        <is>
          <t>FL_DES_CO2_2kg</t>
        </is>
      </c>
      <c r="S496" s="17" t="inlineStr">
        <is>
          <t>con precinto</t>
        </is>
      </c>
    </row>
    <row r="497">
      <c r="A497" s="32" t="inlineStr">
        <is>
          <t>FL_MAT_CO2_2kg</t>
        </is>
      </c>
      <c r="B497" s="32" t="n">
        <v>2</v>
      </c>
      <c r="C497" s="32" t="inlineStr">
        <is>
          <t>CO22-10</t>
        </is>
      </c>
      <c r="D497" s="17" t="inlineStr">
        <is>
          <t xml:space="preserve">        Manija de accionamiento</t>
        </is>
      </c>
      <c r="E497" s="32" t="n">
        <v>1</v>
      </c>
      <c r="F497" s="32" t="inlineStr">
        <is>
          <t>u</t>
        </is>
      </c>
      <c r="G497" s="33" t="n">
        <v>0.0959</v>
      </c>
      <c r="H497" s="33">
        <f>E497*G497</f>
        <v/>
      </c>
      <c r="I497" s="32" t="inlineStr">
        <is>
          <t>Chapa acero SAE 1010 pintada</t>
        </is>
      </c>
      <c r="J497" s="17" t="inlineStr">
        <is>
          <t>124,6 × 31 × 29,3</t>
        </is>
      </c>
      <c r="K497" s="32" t="inlineStr">
        <is>
          <t>Compra (en el conjunto)</t>
        </is>
      </c>
      <c r="L497" s="32" t="inlineStr">
        <is>
          <t>No</t>
        </is>
      </c>
      <c r="M497" s="17" t="n"/>
      <c r="N497" s="17" t="n"/>
      <c r="O497" s="17" t="inlineStr">
        <is>
          <t>S4 - se compra terminado (tercerizado con sello IRAM)</t>
        </is>
      </c>
      <c r="P497" s="17" t="n"/>
      <c r="Q497" s="32" t="inlineStr">
        <is>
          <t>P</t>
        </is>
      </c>
      <c r="R497" s="32" t="inlineStr">
        <is>
          <t>FL_DES_CO2_2kg</t>
        </is>
      </c>
      <c r="S497" s="17" t="n"/>
    </row>
    <row r="498">
      <c r="A498" s="32" t="inlineStr">
        <is>
          <t>FL_MAT_CO2_2kg</t>
        </is>
      </c>
      <c r="B498" s="32" t="n">
        <v>2</v>
      </c>
      <c r="C498" s="32" t="inlineStr">
        <is>
          <t>CO22-11</t>
        </is>
      </c>
      <c r="D498" s="17" t="inlineStr">
        <is>
          <t xml:space="preserve">        Manija de transporte</t>
        </is>
      </c>
      <c r="E498" s="32" t="n">
        <v>1</v>
      </c>
      <c r="F498" s="32" t="inlineStr">
        <is>
          <t>u</t>
        </is>
      </c>
      <c r="G498" s="33" t="n">
        <v>0.0757</v>
      </c>
      <c r="H498" s="33">
        <f>E498*G498</f>
        <v/>
      </c>
      <c r="I498" s="32" t="inlineStr">
        <is>
          <t>Chapa acero SAE 1010 pintada</t>
        </is>
      </c>
      <c r="J498" s="17" t="inlineStr">
        <is>
          <t>102,6 × 35 × 25,4</t>
        </is>
      </c>
      <c r="K498" s="32" t="inlineStr">
        <is>
          <t>Compra (en el conjunto)</t>
        </is>
      </c>
      <c r="L498" s="32" t="inlineStr">
        <is>
          <t>No</t>
        </is>
      </c>
      <c r="M498" s="17" t="n"/>
      <c r="N498" s="17" t="n"/>
      <c r="O498" s="17" t="inlineStr">
        <is>
          <t>S4 - se compra terminado (tercerizado con sello IRAM)</t>
        </is>
      </c>
      <c r="P498" s="17" t="n"/>
      <c r="Q498" s="32" t="inlineStr">
        <is>
          <t>P</t>
        </is>
      </c>
      <c r="R498" s="32" t="inlineStr">
        <is>
          <t>FL_DES_CO2_2kg</t>
        </is>
      </c>
      <c r="S498" s="17" t="n"/>
    </row>
    <row r="499">
      <c r="A499" s="32" t="inlineStr">
        <is>
          <t>FL_MAT_CO2_2kg</t>
        </is>
      </c>
      <c r="B499" s="32" t="n">
        <v>2</v>
      </c>
      <c r="C499" s="32" t="inlineStr">
        <is>
          <t>CO22-12</t>
        </is>
      </c>
      <c r="D499" s="17" t="inlineStr">
        <is>
          <t xml:space="preserve">        Caño de pesca (sifón)</t>
        </is>
      </c>
      <c r="E499" s="32" t="n">
        <v>1</v>
      </c>
      <c r="F499" s="32" t="inlineStr">
        <is>
          <t>u</t>
        </is>
      </c>
      <c r="G499" s="33" t="n">
        <v>0.0408</v>
      </c>
      <c r="H499" s="33">
        <f>E499*G499</f>
        <v/>
      </c>
      <c r="I499" s="32" t="inlineStr">
        <is>
          <t>Tubo aluminio</t>
        </is>
      </c>
      <c r="J499" s="17" t="inlineStr">
        <is>
          <t>Ø10 × 377 de largo</t>
        </is>
      </c>
      <c r="K499" s="32" t="inlineStr">
        <is>
          <t>Compra (en el conjunto)</t>
        </is>
      </c>
      <c r="L499" s="32" t="inlineStr">
        <is>
          <t>No</t>
        </is>
      </c>
      <c r="M499" s="17" t="n"/>
      <c r="N499" s="17" t="n"/>
      <c r="O499" s="17" t="inlineStr">
        <is>
          <t>S4 - se compra terminado (tercerizado con sello IRAM)</t>
        </is>
      </c>
      <c r="P499" s="17" t="n"/>
      <c r="Q499" s="32" t="inlineStr">
        <is>
          <t>P</t>
        </is>
      </c>
      <c r="R499" s="32" t="inlineStr">
        <is>
          <t>FL_DES_CO2_2kg</t>
        </is>
      </c>
      <c r="S499" s="17" t="n"/>
    </row>
    <row r="500">
      <c r="A500" s="32" t="inlineStr">
        <is>
          <t>FL_MAT_CO2_2kg</t>
        </is>
      </c>
      <c r="B500" s="32" t="n">
        <v>2</v>
      </c>
      <c r="C500" s="32" t="inlineStr">
        <is>
          <t>CO22-22</t>
        </is>
      </c>
      <c r="D500" s="17" t="inlineStr">
        <is>
          <t xml:space="preserve">        Junta tórica de asiento</t>
        </is>
      </c>
      <c r="E500" s="32" t="n">
        <v>1</v>
      </c>
      <c r="F500" s="32" t="inlineStr">
        <is>
          <t>u</t>
        </is>
      </c>
      <c r="G500" s="33" t="n">
        <v>0.001</v>
      </c>
      <c r="H500" s="33">
        <f>E500*G500</f>
        <v/>
      </c>
      <c r="I500" s="32" t="inlineStr">
        <is>
          <t>NBR 70 Shore A</t>
        </is>
      </c>
      <c r="J500" s="17" t="inlineStr">
        <is>
          <t>Ø32,8 ext. × cordón 3</t>
        </is>
      </c>
      <c r="K500" s="32" t="inlineStr">
        <is>
          <t>Compra (en el conjunto)</t>
        </is>
      </c>
      <c r="L500" s="32" t="inlineStr">
        <is>
          <t>No</t>
        </is>
      </c>
      <c r="M500" s="17" t="n"/>
      <c r="N500" s="17" t="n"/>
      <c r="O500" s="17" t="inlineStr">
        <is>
          <t>S4 - se compra terminado (tercerizado con sello IRAM)</t>
        </is>
      </c>
      <c r="P500" s="17" t="n"/>
      <c r="Q500" s="32" t="inlineStr">
        <is>
          <t>P</t>
        </is>
      </c>
      <c r="R500" s="32" t="inlineStr">
        <is>
          <t>FL_DES_CO2_2kg</t>
        </is>
      </c>
      <c r="S500" s="17" t="inlineStr">
        <is>
          <t>cambio c/recarga</t>
        </is>
      </c>
    </row>
    <row r="501">
      <c r="A501" s="32" t="inlineStr">
        <is>
          <t>FL_MAT_CO2_2kg</t>
        </is>
      </c>
      <c r="B501" s="32" t="n">
        <v>2</v>
      </c>
      <c r="C501" s="32" t="inlineStr">
        <is>
          <t>CO22-V3</t>
        </is>
      </c>
      <c r="D501" s="17" t="inlineStr">
        <is>
          <t xml:space="preserve">        Junta tórica del vástago</t>
        </is>
      </c>
      <c r="E501" s="32" t="n">
        <v>1</v>
      </c>
      <c r="F501" s="32" t="inlineStr">
        <is>
          <t>u</t>
        </is>
      </c>
      <c r="G501" s="33" t="n"/>
      <c r="H501" s="33" t="n"/>
      <c r="I501" s="32" t="inlineStr">
        <is>
          <t>NBR 70 Shore A</t>
        </is>
      </c>
      <c r="J501" s="17" t="inlineStr">
        <is>
          <t>incluida en la válvula</t>
        </is>
      </c>
      <c r="K501" s="32" t="inlineStr">
        <is>
          <t>Compra (en el conjunto)</t>
        </is>
      </c>
      <c r="L501" s="32" t="inlineStr">
        <is>
          <t>No</t>
        </is>
      </c>
      <c r="M501" s="17" t="n"/>
      <c r="N501" s="17" t="n"/>
      <c r="O501" s="17" t="inlineStr">
        <is>
          <t>19 Ensamblaje</t>
        </is>
      </c>
      <c r="P501" s="17" t="n"/>
      <c r="Q501" s="32" t="inlineStr">
        <is>
          <t>P</t>
        </is>
      </c>
      <c r="R501" s="32" t="n"/>
      <c r="S501" s="17" t="inlineStr">
        <is>
          <t>Figura en el plano como «vástago con junta tórica»</t>
        </is>
      </c>
    </row>
    <row r="502">
      <c r="A502" s="29" t="inlineStr">
        <is>
          <t>FL_MAT_CO2_2kg</t>
        </is>
      </c>
      <c r="B502" s="29" t="n">
        <v>1</v>
      </c>
      <c r="C502" s="29" t="inlineStr">
        <is>
          <t>CO22-S3</t>
        </is>
      </c>
      <c r="D502" s="30" t="inlineStr">
        <is>
          <t xml:space="preserve">    Dispositivo de descarga</t>
        </is>
      </c>
      <c r="E502" s="29" t="n">
        <v>1</v>
      </c>
      <c r="F502" s="29" t="inlineStr">
        <is>
          <t>u</t>
        </is>
      </c>
      <c r="G502" s="31" t="n"/>
      <c r="H502" s="31">
        <f>H503+H504+H505</f>
        <v/>
      </c>
      <c r="I502" s="29" t="n"/>
      <c r="J502" s="30" t="n"/>
      <c r="K502" s="29" t="inlineStr">
        <is>
          <t>Compra / armado</t>
        </is>
      </c>
      <c r="L502" s="29" t="n"/>
      <c r="M502" s="30" t="n"/>
      <c r="N502" s="30" t="n"/>
      <c r="O502" s="30" t="n"/>
      <c r="P502" s="30" t="n"/>
      <c r="Q502" s="29" t="inlineStr">
        <is>
          <t>P</t>
        </is>
      </c>
      <c r="R502" s="29" t="inlineStr">
        <is>
          <t>FL_DES_CO2_2kg</t>
        </is>
      </c>
      <c r="S502" s="30" t="n"/>
    </row>
    <row r="503">
      <c r="A503" s="32" t="inlineStr">
        <is>
          <t>FL_MAT_CO2_2kg</t>
        </is>
      </c>
      <c r="B503" s="32" t="n">
        <v>2</v>
      </c>
      <c r="C503" s="32" t="inlineStr">
        <is>
          <t>CO22-14</t>
        </is>
      </c>
      <c r="D503" s="17" t="inlineStr">
        <is>
          <t xml:space="preserve">        Brazo giratorio</t>
        </is>
      </c>
      <c r="E503" s="32" t="n">
        <v>1</v>
      </c>
      <c r="F503" s="32" t="inlineStr">
        <is>
          <t>u</t>
        </is>
      </c>
      <c r="G503" s="33" t="n">
        <v>0.0479</v>
      </c>
      <c r="H503" s="33">
        <f>E503*G503</f>
        <v/>
      </c>
      <c r="I503" s="32" t="inlineStr">
        <is>
          <t>Tubo acero SAE 1010</t>
        </is>
      </c>
      <c r="J503" s="17" t="inlineStr">
        <is>
          <t>tubo Ø12 × 120 de largo desarrollado</t>
        </is>
      </c>
      <c r="K503" s="32" t="inlineStr">
        <is>
          <t>Compra (en el conjunto)</t>
        </is>
      </c>
      <c r="L503" s="32" t="inlineStr">
        <is>
          <t>No</t>
        </is>
      </c>
      <c r="M503" s="17" t="n"/>
      <c r="N503" s="17" t="n"/>
      <c r="O503" s="17" t="inlineStr">
        <is>
          <t>S4 - se compra terminado (tercerizado con sello IRAM)</t>
        </is>
      </c>
      <c r="P503" s="17" t="n"/>
      <c r="Q503" s="32" t="inlineStr">
        <is>
          <t>P</t>
        </is>
      </c>
      <c r="R503" s="32" t="inlineStr">
        <is>
          <t>FL_DES_CO2_2kg</t>
        </is>
      </c>
      <c r="S503" s="17" t="n"/>
    </row>
    <row r="504">
      <c r="A504" s="32" t="inlineStr">
        <is>
          <t>FL_MAT_CO2_2kg</t>
        </is>
      </c>
      <c r="B504" s="32" t="n">
        <v>2</v>
      </c>
      <c r="C504" s="32" t="inlineStr">
        <is>
          <t>CO22-15</t>
        </is>
      </c>
      <c r="D504" s="17" t="inlineStr">
        <is>
          <t xml:space="preserve">        Difusor (bocina)</t>
        </is>
      </c>
      <c r="E504" s="32" t="n">
        <v>1</v>
      </c>
      <c r="F504" s="32" t="inlineStr">
        <is>
          <t>u</t>
        </is>
      </c>
      <c r="G504" s="33" t="n">
        <v>0.0564</v>
      </c>
      <c r="H504" s="33">
        <f>E504*G504</f>
        <v/>
      </c>
      <c r="I504" s="32" t="inlineStr">
        <is>
          <t>Polietileno AD</t>
        </is>
      </c>
      <c r="J504" s="17" t="inlineStr">
        <is>
          <t>170 × 70 × 70</t>
        </is>
      </c>
      <c r="K504" s="32" t="inlineStr">
        <is>
          <t>Compra (en el conjunto)</t>
        </is>
      </c>
      <c r="L504" s="32" t="inlineStr">
        <is>
          <t>No</t>
        </is>
      </c>
      <c r="M504" s="17" t="n"/>
      <c r="N504" s="17" t="n"/>
      <c r="O504" s="17" t="inlineStr">
        <is>
          <t>S4 - se compra terminado (tercerizado con sello IRAM)</t>
        </is>
      </c>
      <c r="P504" s="17" t="n"/>
      <c r="Q504" s="32" t="inlineStr">
        <is>
          <t>P</t>
        </is>
      </c>
      <c r="R504" s="32" t="inlineStr">
        <is>
          <t>FL_DES_CO2_2kg</t>
        </is>
      </c>
      <c r="S504" s="17" t="inlineStr">
        <is>
          <t>aislante térmico y eléctrico</t>
        </is>
      </c>
    </row>
    <row r="505">
      <c r="A505" s="32" t="inlineStr">
        <is>
          <t>FL_MAT_CO2_2kg</t>
        </is>
      </c>
      <c r="B505" s="32" t="n">
        <v>2</v>
      </c>
      <c r="C505" s="32" t="inlineStr">
        <is>
          <t>CO22-16</t>
        </is>
      </c>
      <c r="D505" s="17" t="inlineStr">
        <is>
          <t xml:space="preserve">        Empuñadura</t>
        </is>
      </c>
      <c r="E505" s="32" t="n">
        <v>1</v>
      </c>
      <c r="F505" s="32" t="inlineStr">
        <is>
          <t>u</t>
        </is>
      </c>
      <c r="G505" s="33" t="n">
        <v>0.0144</v>
      </c>
      <c r="H505" s="33">
        <f>E505*G505</f>
        <v/>
      </c>
      <c r="I505" s="32" t="inlineStr">
        <is>
          <t>Polipropileno</t>
        </is>
      </c>
      <c r="J505" s="17" t="inlineStr">
        <is>
          <t>43,1 × 43,1 × 30</t>
        </is>
      </c>
      <c r="K505" s="32" t="inlineStr">
        <is>
          <t>Compra (en el conjunto)</t>
        </is>
      </c>
      <c r="L505" s="32" t="inlineStr">
        <is>
          <t>No</t>
        </is>
      </c>
      <c r="M505" s="17" t="n"/>
      <c r="N505" s="17" t="n"/>
      <c r="O505" s="17" t="inlineStr">
        <is>
          <t>S4 - se compra terminado (tercerizado con sello IRAM)</t>
        </is>
      </c>
      <c r="P505" s="17" t="n"/>
      <c r="Q505" s="32" t="inlineStr">
        <is>
          <t>P</t>
        </is>
      </c>
      <c r="R505" s="32" t="inlineStr">
        <is>
          <t>FL_DES_CO2_2kg</t>
        </is>
      </c>
      <c r="S505" s="17" t="n"/>
    </row>
    <row r="506">
      <c r="A506" s="29" t="inlineStr">
        <is>
          <t>FL_MAT_CO2_2kg</t>
        </is>
      </c>
      <c r="B506" s="29" t="n">
        <v>1</v>
      </c>
      <c r="C506" s="29" t="inlineStr">
        <is>
          <t>CO22-S5</t>
        </is>
      </c>
      <c r="D506" s="30" t="inlineStr">
        <is>
          <t xml:space="preserve">    Carga: agente extintor y gas impulsor</t>
        </is>
      </c>
      <c r="E506" s="29" t="n">
        <v>1</v>
      </c>
      <c r="F506" s="29" t="inlineStr">
        <is>
          <t>u</t>
        </is>
      </c>
      <c r="G506" s="31" t="n"/>
      <c r="H506" s="31">
        <f>H507</f>
        <v/>
      </c>
      <c r="I506" s="29" t="n"/>
      <c r="J506" s="30" t="n"/>
      <c r="K506" s="29" t="inlineStr">
        <is>
          <t>Compra</t>
        </is>
      </c>
      <c r="L506" s="29" t="n"/>
      <c r="M506" s="30" t="n"/>
      <c r="N506" s="30" t="n"/>
      <c r="O506" s="30" t="n"/>
      <c r="P506" s="30" t="n"/>
      <c r="Q506" s="29" t="n"/>
      <c r="R506" s="29" t="n"/>
      <c r="S506" s="30" t="n"/>
    </row>
    <row r="507">
      <c r="A507" s="32" t="inlineStr">
        <is>
          <t>FL_MAT_CO2_2kg</t>
        </is>
      </c>
      <c r="B507" s="32" t="n">
        <v>2</v>
      </c>
      <c r="C507" s="32" t="inlineStr">
        <is>
          <t>CO22-A1</t>
        </is>
      </c>
      <c r="D507" s="17" t="inlineStr">
        <is>
          <t xml:space="preserve">        Dióxido de carbono (IRAM 41170)</t>
        </is>
      </c>
      <c r="E507" s="32" t="n">
        <v>2</v>
      </c>
      <c r="F507" s="32" t="inlineStr">
        <is>
          <t>kg</t>
        </is>
      </c>
      <c r="G507" s="33" t="n">
        <v>1</v>
      </c>
      <c r="H507" s="33">
        <f>E507*G507</f>
        <v/>
      </c>
      <c r="I507" s="32" t="inlineStr">
        <is>
          <t>Dióxido de carbono (IRAM 41170)</t>
        </is>
      </c>
      <c r="J507" s="17" t="inlineStr">
        <is>
          <t>nominal 2 kg; tolerancia 0 / -5 % (IRAM 3517-2:2020 tabla 3)</t>
        </is>
      </c>
      <c r="K507" s="32" t="inlineStr">
        <is>
          <t>Compra</t>
        </is>
      </c>
      <c r="L507" s="32" t="inlineStr">
        <is>
          <t>No</t>
        </is>
      </c>
      <c r="M507" s="17" t="n"/>
      <c r="N507" s="17" t="n"/>
      <c r="O507" s="17" t="inlineStr">
        <is>
          <t>SP-1 almacén previo a la carga</t>
        </is>
      </c>
      <c r="P507" s="17" t="inlineStr">
        <is>
          <t>IRAM 41170</t>
        </is>
      </c>
      <c r="Q507" s="32" t="inlineStr">
        <is>
          <t>N</t>
        </is>
      </c>
      <c r="R507" s="32" t="n"/>
      <c r="S507" s="17" t="n"/>
    </row>
    <row r="508">
      <c r="A508" s="29" t="inlineStr">
        <is>
          <t>FL_MAT_CO2_2kg</t>
        </is>
      </c>
      <c r="B508" s="29" t="n">
        <v>1</v>
      </c>
      <c r="C508" s="29" t="inlineStr">
        <is>
          <t>CO22-S6</t>
        </is>
      </c>
      <c r="D508" s="30" t="inlineStr">
        <is>
          <t xml:space="preserve">    Identificación y precinto</t>
        </is>
      </c>
      <c r="E508" s="29" t="n">
        <v>1</v>
      </c>
      <c r="F508" s="29" t="inlineStr">
        <is>
          <t>u</t>
        </is>
      </c>
      <c r="G508" s="31" t="n"/>
      <c r="H508" s="31">
        <f>H509+H510+H511+H512+H513+H514+H515</f>
        <v/>
      </c>
      <c r="I508" s="29" t="n"/>
      <c r="J508" s="30" t="n"/>
      <c r="K508" s="29" t="inlineStr">
        <is>
          <t>Compra</t>
        </is>
      </c>
      <c r="L508" s="29" t="n"/>
      <c r="M508" s="30" t="n"/>
      <c r="N508" s="30" t="n"/>
      <c r="O508" s="30" t="inlineStr">
        <is>
          <t>22 Etiquetado (T07)</t>
        </is>
      </c>
      <c r="P508" s="30" t="n"/>
      <c r="Q508" s="29" t="n"/>
      <c r="R508" s="29" t="n"/>
      <c r="S508" s="30" t="n"/>
    </row>
    <row r="509">
      <c r="A509" s="32" t="inlineStr">
        <is>
          <t>FL_MAT_CO2_2kg</t>
        </is>
      </c>
      <c r="B509" s="32" t="n">
        <v>2</v>
      </c>
      <c r="C509" s="32" t="inlineStr">
        <is>
          <t>CO22-17</t>
        </is>
      </c>
      <c r="D509" s="17" t="inlineStr">
        <is>
          <t xml:space="preserve">        Etiqueta / placa de características</t>
        </is>
      </c>
      <c r="E509" s="32" t="n">
        <v>1</v>
      </c>
      <c r="F509" s="32" t="inlineStr">
        <is>
          <t>u</t>
        </is>
      </c>
      <c r="G509" s="33" t="n">
        <v>0.0262</v>
      </c>
      <c r="H509" s="33">
        <f>E509*G509</f>
        <v/>
      </c>
      <c r="I509" s="32" t="inlineStr">
        <is>
          <t>Vinilo autoadhesivo laminado</t>
        </is>
      </c>
      <c r="J509" s="17" t="inlineStr">
        <is>
          <t>215 × 290 (desarrollo × alto: panel central 108° + 2 alas laterales), e ≈ 0,3, laminado UV</t>
        </is>
      </c>
      <c r="K509" s="32" t="inlineStr">
        <is>
          <t>Compra</t>
        </is>
      </c>
      <c r="L509" s="32" t="inlineStr">
        <is>
          <t>No</t>
        </is>
      </c>
      <c r="M509" s="17" t="n"/>
      <c r="N509" s="17" t="n"/>
      <c r="O509" s="17" t="inlineStr">
        <is>
          <t>22 Etiquetado (T07)</t>
        </is>
      </c>
      <c r="P509" s="17" t="inlineStr">
        <is>
          <t>IRAM 3534 · IRAM 3509 cap. 5 · relevamiento de mercado</t>
        </is>
      </c>
      <c r="Q509" s="32" t="inlineStr">
        <is>
          <t>P</t>
        </is>
      </c>
      <c r="R509" s="32" t="inlineStr">
        <is>
          <t>FL_DES_CO2_2kg</t>
        </is>
      </c>
      <c r="S509" s="17" t="inlineStr">
        <is>
          <t>IRAM 3534</t>
        </is>
      </c>
    </row>
    <row r="510">
      <c r="A510" s="32" t="inlineStr">
        <is>
          <t>FL_MAT_CO2_2kg</t>
        </is>
      </c>
      <c r="B510" s="32" t="n">
        <v>2</v>
      </c>
      <c r="C510" s="32" t="inlineStr">
        <is>
          <t>CO22-18</t>
        </is>
      </c>
      <c r="D510" s="17" t="inlineStr">
        <is>
          <t xml:space="preserve">        Oblea de fabricación (PBA)</t>
        </is>
      </c>
      <c r="E510" s="32" t="n">
        <v>1</v>
      </c>
      <c r="F510" s="32" t="inlineStr">
        <is>
          <t>u</t>
        </is>
      </c>
      <c r="G510" s="33" t="n">
        <v>0.0009</v>
      </c>
      <c r="H510" s="33">
        <f>E510*G510</f>
        <v/>
      </c>
      <c r="I510" s="32" t="inlineStr">
        <is>
          <t>Papel de seguridad autodestructible</t>
        </is>
      </c>
      <c r="J510" s="17" t="inlineStr">
        <is>
          <t>Ø46 (Res. OPDS 522/07), numerada, autodestructible</t>
        </is>
      </c>
      <c r="K510" s="32" t="inlineStr">
        <is>
          <t>Compra</t>
        </is>
      </c>
      <c r="L510" s="32" t="inlineStr">
        <is>
          <t>No</t>
        </is>
      </c>
      <c r="M510" s="17" t="n"/>
      <c r="N510" s="17" t="n"/>
      <c r="O510" s="17" t="inlineStr">
        <is>
          <t>22 Etiquetado (T07)</t>
        </is>
      </c>
      <c r="P510" s="17" t="inlineStr">
        <is>
          <t>Res. OPDS 522/07 anexos 1, 2 y 6</t>
        </is>
      </c>
      <c r="Q510" s="32" t="inlineStr">
        <is>
          <t>P</t>
        </is>
      </c>
      <c r="R510" s="32" t="inlineStr">
        <is>
          <t>FL_DES_CO2_2kg</t>
        </is>
      </c>
      <c r="S510" s="17" t="inlineStr">
        <is>
          <t>Res. 522/07</t>
        </is>
      </c>
    </row>
    <row r="511">
      <c r="A511" s="32" t="inlineStr">
        <is>
          <t>FL_MAT_CO2_2kg</t>
        </is>
      </c>
      <c r="B511" s="32" t="n">
        <v>2</v>
      </c>
      <c r="C511" s="32" t="inlineStr">
        <is>
          <t>CO22-19</t>
        </is>
      </c>
      <c r="D511" s="17" t="inlineStr">
        <is>
          <t xml:space="preserve">        Estampilla IRAM de conformidad</t>
        </is>
      </c>
      <c r="E511" s="32" t="n">
        <v>1</v>
      </c>
      <c r="F511" s="32" t="inlineStr">
        <is>
          <t>u</t>
        </is>
      </c>
      <c r="G511" s="33" t="n">
        <v>0.001</v>
      </c>
      <c r="H511" s="33">
        <f>E511*G511</f>
        <v/>
      </c>
      <c r="I511" s="32" t="inlineStr">
        <is>
          <t>Provista por IRAM (Anexo R)</t>
        </is>
      </c>
      <c r="J511" s="17" t="inlineStr">
        <is>
          <t>60 × 40</t>
        </is>
      </c>
      <c r="K511" s="32" t="inlineStr">
        <is>
          <t>Compra</t>
        </is>
      </c>
      <c r="L511" s="32" t="inlineStr">
        <is>
          <t>No</t>
        </is>
      </c>
      <c r="M511" s="17" t="n"/>
      <c r="N511" s="17" t="n"/>
      <c r="O511" s="17" t="inlineStr">
        <is>
          <t>22 Etiquetado (T07)</t>
        </is>
      </c>
      <c r="P511" s="17" t="inlineStr">
        <is>
          <t>IRAM Anexo R (DC-PG-129)</t>
        </is>
      </c>
      <c r="Q511" s="32" t="inlineStr">
        <is>
          <t>P</t>
        </is>
      </c>
      <c r="R511" s="32" t="inlineStr">
        <is>
          <t>FL_DES_CO2_2kg</t>
        </is>
      </c>
      <c r="S511" s="17" t="inlineStr">
        <is>
          <t>numerada</t>
        </is>
      </c>
    </row>
    <row r="512">
      <c r="A512" s="32" t="inlineStr">
        <is>
          <t>FL_MAT_CO2_2kg</t>
        </is>
      </c>
      <c r="B512" s="32" t="n">
        <v>2</v>
      </c>
      <c r="C512" s="32" t="inlineStr">
        <is>
          <t>CO22-20</t>
        </is>
      </c>
      <c r="D512" s="17" t="inlineStr">
        <is>
          <t xml:space="preserve">        Tarjeta de identificación AGC (CABA)</t>
        </is>
      </c>
      <c r="E512" s="32" t="n">
        <v>1</v>
      </c>
      <c r="F512" s="32" t="inlineStr">
        <is>
          <t>u</t>
        </is>
      </c>
      <c r="G512" s="33" t="n">
        <v>0.0032</v>
      </c>
      <c r="H512" s="33">
        <f>E512*G512</f>
        <v/>
      </c>
      <c r="I512" s="32" t="inlineStr">
        <is>
          <t>Etiqueta autoadhesiva emitida por la AGC</t>
        </is>
      </c>
      <c r="J512" s="17" t="inlineStr">
        <is>
          <t>140 × 55</t>
        </is>
      </c>
      <c r="K512" s="32" t="inlineStr">
        <is>
          <t>Compra</t>
        </is>
      </c>
      <c r="L512" s="32" t="inlineStr">
        <is>
          <t>Sí</t>
        </is>
      </c>
      <c r="M512" s="17" t="inlineStr">
        <is>
          <t>Agencia Gubernamental de Control (CABA)</t>
        </is>
      </c>
      <c r="N512" s="17" t="inlineStr">
        <is>
          <t>-</t>
        </is>
      </c>
      <c r="O512" s="17" t="inlineStr">
        <is>
          <t>22 Etiquetado (T07)</t>
        </is>
      </c>
      <c r="P512" s="17" t="inlineStr">
        <is>
          <t>Ordenanza 40.473 art. 6 · Res. AGC 32/15</t>
        </is>
      </c>
      <c r="Q512" s="32" t="inlineStr">
        <is>
          <t>P</t>
        </is>
      </c>
      <c r="R512" s="32" t="inlineStr">
        <is>
          <t>FL_DES_CO2_2kg</t>
        </is>
      </c>
      <c r="S512" s="17" t="inlineStr">
        <is>
          <t>sólo destino CABA; sólo destino CABA</t>
        </is>
      </c>
    </row>
    <row r="513">
      <c r="A513" s="32" t="inlineStr">
        <is>
          <t>FL_MAT_CO2_2kg</t>
        </is>
      </c>
      <c r="B513" s="32" t="n">
        <v>2</v>
      </c>
      <c r="C513" s="32" t="inlineStr">
        <is>
          <t>CO22-21</t>
        </is>
      </c>
      <c r="D513" s="17" t="inlineStr">
        <is>
          <t xml:space="preserve">        Etiqueta de n° de serie GS1</t>
        </is>
      </c>
      <c r="E513" s="32" t="n">
        <v>1</v>
      </c>
      <c r="F513" s="32" t="inlineStr">
        <is>
          <t>u</t>
        </is>
      </c>
      <c r="G513" s="33" t="n">
        <v>0.0005</v>
      </c>
      <c r="H513" s="33">
        <f>E513*G513</f>
        <v/>
      </c>
      <c r="I513" s="32" t="inlineStr">
        <is>
          <t>Poliéster autoadhesivo impreso térmico</t>
        </is>
      </c>
      <c r="J513" s="17" t="inlineStr">
        <is>
          <t>45 × 25</t>
        </is>
      </c>
      <c r="K513" s="32" t="inlineStr">
        <is>
          <t>Compra</t>
        </is>
      </c>
      <c r="L513" s="32" t="inlineStr">
        <is>
          <t>No</t>
        </is>
      </c>
      <c r="M513" s="17" t="n"/>
      <c r="N513" s="17" t="n"/>
      <c r="O513" s="17" t="inlineStr">
        <is>
          <t>22 Etiquetado (T07)</t>
        </is>
      </c>
      <c r="P513" s="17" t="inlineStr">
        <is>
          <t>GS1 Argentina (GTIN 779) · trazabilidad IRAM 3523 5.1</t>
        </is>
      </c>
      <c r="Q513" s="32" t="inlineStr">
        <is>
          <t>P</t>
        </is>
      </c>
      <c r="R513" s="32" t="inlineStr">
        <is>
          <t>FL_DES_CO2_2kg</t>
        </is>
      </c>
      <c r="S513" s="17" t="inlineStr">
        <is>
          <t>QR GTIN + serie</t>
        </is>
      </c>
    </row>
    <row r="514">
      <c r="A514" s="32" t="inlineStr">
        <is>
          <t>FL_MAT_CO2_2kg</t>
        </is>
      </c>
      <c r="B514" s="32" t="n">
        <v>2</v>
      </c>
      <c r="C514" s="32" t="inlineStr">
        <is>
          <t>CO22-23</t>
        </is>
      </c>
      <c r="D514" s="17" t="inlineStr">
        <is>
          <t xml:space="preserve">        Faja de garantía válvula-cuello</t>
        </is>
      </c>
      <c r="E514" s="32" t="n">
        <v>1</v>
      </c>
      <c r="F514" s="32" t="inlineStr">
        <is>
          <t>u</t>
        </is>
      </c>
      <c r="G514" s="33" t="n">
        <v>0.0003</v>
      </c>
      <c r="H514" s="33">
        <f>E514*G514</f>
        <v/>
      </c>
      <c r="I514" s="32" t="inlineStr">
        <is>
          <t>Vinilo destructible rayado rojo/blanco</t>
        </is>
      </c>
      <c r="J514" s="17" t="inlineStr">
        <is>
          <t>30 × 32 (ancho × largo desarrollado), pegada sobre la unión: cuerpo de la válvula, tuerca y cuello</t>
        </is>
      </c>
      <c r="K514" s="32" t="inlineStr">
        <is>
          <t>Compra</t>
        </is>
      </c>
      <c r="L514" s="32" t="inlineStr">
        <is>
          <t>No</t>
        </is>
      </c>
      <c r="M514" s="17" t="n"/>
      <c r="N514" s="17" t="n"/>
      <c r="O514" s="17" t="inlineStr">
        <is>
          <t>22 Etiquetado (T07)</t>
        </is>
      </c>
      <c r="P514" s="17" t="inlineStr">
        <is>
          <t>Sin norma: práctica de mercado (garantía de fábrica)</t>
        </is>
      </c>
      <c r="Q514" s="32" t="inlineStr">
        <is>
          <t>P</t>
        </is>
      </c>
      <c r="R514" s="32" t="inlineStr">
        <is>
          <t>FL_DES_CO2_2kg</t>
        </is>
      </c>
      <c r="S514" s="17" t="inlineStr">
        <is>
          <t>nuevo sin abrir</t>
        </is>
      </c>
    </row>
    <row r="515">
      <c r="A515" s="32" t="inlineStr">
        <is>
          <t>FL_MAT_CO2_2kg</t>
        </is>
      </c>
      <c r="B515" s="32" t="n">
        <v>2</v>
      </c>
      <c r="C515" s="32" t="inlineStr">
        <is>
          <t>CO22-24</t>
        </is>
      </c>
      <c r="D515" s="17" t="inlineStr">
        <is>
          <t xml:space="preserve">        Precinto de fábrica</t>
        </is>
      </c>
      <c r="E515" s="32" t="n">
        <v>1</v>
      </c>
      <c r="F515" s="32" t="inlineStr">
        <is>
          <t>u</t>
        </is>
      </c>
      <c r="G515" s="33" t="n">
        <v>0.0002</v>
      </c>
      <c r="H515" s="33">
        <f>E515*G515</f>
        <v/>
      </c>
      <c r="I515" s="32" t="inlineStr">
        <is>
          <t>Polipropileno color</t>
        </is>
      </c>
      <c r="J515" s="17" t="inlineStr">
        <is>
          <t>Ø5 × 10, numerado, rotura 30-50 N</t>
        </is>
      </c>
      <c r="K515" s="32" t="inlineStr">
        <is>
          <t>Compra</t>
        </is>
      </c>
      <c r="L515" s="32" t="inlineStr">
        <is>
          <t>No</t>
        </is>
      </c>
      <c r="M515" s="17" t="n"/>
      <c r="N515" s="17" t="n"/>
      <c r="O515" s="17" t="inlineStr">
        <is>
          <t>20 Presurización (T05)</t>
        </is>
      </c>
      <c r="P515" s="17" t="inlineStr">
        <is>
          <t>IRAM 3523 3.3.2 · IRAM 3517-2:2020 9.4.13</t>
        </is>
      </c>
      <c r="Q515" s="32" t="inlineStr">
        <is>
          <t>P</t>
        </is>
      </c>
      <c r="R515" s="32" t="inlineStr">
        <is>
          <t>FL_DES_CO2_2kg</t>
        </is>
      </c>
      <c r="S515" s="17" t="inlineStr">
        <is>
          <t>id. FLAMA y lote</t>
        </is>
      </c>
    </row>
    <row r="516">
      <c r="A516" s="29" t="inlineStr">
        <is>
          <t>FL_MAT_CO2_2kg</t>
        </is>
      </c>
      <c r="B516" s="29" t="n">
        <v>1</v>
      </c>
      <c r="C516" s="29" t="inlineStr">
        <is>
          <t>CO22-S8</t>
        </is>
      </c>
      <c r="D516" s="30" t="inlineStr">
        <is>
          <t xml:space="preserve">    Soporte (accesorio de montaje)</t>
        </is>
      </c>
      <c r="E516" s="29" t="n">
        <v>1</v>
      </c>
      <c r="F516" s="29" t="inlineStr">
        <is>
          <t>u</t>
        </is>
      </c>
      <c r="G516" s="31" t="n"/>
      <c r="H516" s="31">
        <f>H517</f>
        <v/>
      </c>
      <c r="I516" s="29" t="n"/>
      <c r="J516" s="30" t="n"/>
      <c r="K516" s="29" t="inlineStr">
        <is>
          <t>Compra</t>
        </is>
      </c>
      <c r="L516" s="29" t="n"/>
      <c r="M516" s="30" t="n"/>
      <c r="N516" s="30" t="n"/>
      <c r="O516" s="30" t="inlineStr">
        <is>
          <t>23 Embalaje (va dentro de la caja)</t>
        </is>
      </c>
      <c r="P516" s="30" t="inlineStr">
        <is>
          <t>IRAM 3517-2 7.4</t>
        </is>
      </c>
      <c r="Q516" s="29" t="n"/>
      <c r="R516" s="29" t="n"/>
      <c r="S516" s="30" t="n"/>
    </row>
    <row r="517">
      <c r="A517" s="32" t="inlineStr">
        <is>
          <t>FL_MAT_CO2_2kg</t>
        </is>
      </c>
      <c r="B517" s="32" t="n">
        <v>2</v>
      </c>
      <c r="C517" s="32" t="inlineStr">
        <is>
          <t>CO22-I5</t>
        </is>
      </c>
      <c r="D517" s="17" t="inlineStr">
        <is>
          <t xml:space="preserve">        Soporte de pared (FL_ACC_01)</t>
        </is>
      </c>
      <c r="E517" s="32" t="n">
        <v>1</v>
      </c>
      <c r="F517" s="32" t="inlineStr">
        <is>
          <t>u</t>
        </is>
      </c>
      <c r="G517" s="33" t="n">
        <v>0.26</v>
      </c>
      <c r="H517" s="33">
        <f>E517*G517</f>
        <v/>
      </c>
      <c r="I517" s="32" t="inlineStr">
        <is>
          <t>Chapa acero SAE 1010 e=2 pintada</t>
        </is>
      </c>
      <c r="J517" s="17" t="inlineStr">
        <is>
          <t>placa 60 × 180, ala con ranura Ø cuello + 3</t>
        </is>
      </c>
      <c r="K517" s="32" t="inlineStr">
        <is>
          <t>Compra</t>
        </is>
      </c>
      <c r="L517" s="32" t="inlineStr">
        <is>
          <t>No</t>
        </is>
      </c>
      <c r="M517" s="17" t="n"/>
      <c r="N517" s="17" t="n"/>
      <c r="O517" s="17" t="inlineStr">
        <is>
          <t>23 Embalaje</t>
        </is>
      </c>
      <c r="P517" s="17" t="inlineStr">
        <is>
          <t>IRAM 3517-2 7.4</t>
        </is>
      </c>
      <c r="Q517" s="32" t="inlineStr">
        <is>
          <t>P</t>
        </is>
      </c>
      <c r="R517" s="32" t="inlineStr">
        <is>
          <t>FL_ACC_01</t>
        </is>
      </c>
      <c r="S517" s="17" t="n"/>
    </row>
    <row r="518">
      <c r="A518" s="32" t="inlineStr">
        <is>
          <t>FL_MAT_CO2_2kg</t>
        </is>
      </c>
      <c r="B518" s="32" t="n">
        <v>2</v>
      </c>
      <c r="C518" s="32" t="inlineStr">
        <is>
          <t>CO22-I6</t>
        </is>
      </c>
      <c r="D518" s="17" t="inlineStr">
        <is>
          <t xml:space="preserve">        Tornillo y tarugo de fijación</t>
        </is>
      </c>
      <c r="E518" s="32" t="n">
        <v>2</v>
      </c>
      <c r="F518" s="32" t="inlineStr">
        <is>
          <t>u</t>
        </is>
      </c>
      <c r="G518" s="33" t="n"/>
      <c r="H518" s="33" t="n"/>
      <c r="I518" s="32" t="inlineStr">
        <is>
          <t>Acero cincado / nylon</t>
        </is>
      </c>
      <c r="J518" s="17" t="inlineStr">
        <is>
          <t>2 agujeros Ø8,5 del plano FL_ACC_01 → tornillo M8 + tarugo</t>
        </is>
      </c>
      <c r="K518" s="32" t="inlineStr">
        <is>
          <t>Compra</t>
        </is>
      </c>
      <c r="L518" s="32" t="inlineStr">
        <is>
          <t>No</t>
        </is>
      </c>
      <c r="M518" s="17" t="n"/>
      <c r="N518" s="17" t="n"/>
      <c r="O518" s="17" t="inlineStr">
        <is>
          <t>23 Embalaje</t>
        </is>
      </c>
      <c r="P518" s="17" t="n"/>
      <c r="Q518" s="32" t="inlineStr">
        <is>
          <t>P</t>
        </is>
      </c>
      <c r="R518" s="32" t="inlineStr">
        <is>
          <t>FL_ACC_01</t>
        </is>
      </c>
      <c r="S518" s="17" t="n"/>
    </row>
    <row r="519">
      <c r="A519" s="29" t="inlineStr">
        <is>
          <t>FL_MAT_CO2_2kg</t>
        </is>
      </c>
      <c r="B519" s="29" t="n">
        <v>1</v>
      </c>
      <c r="C519" s="29" t="inlineStr">
        <is>
          <t>CO22-S7</t>
        </is>
      </c>
      <c r="D519" s="30" t="inlineStr">
        <is>
          <t xml:space="preserve">    Embalaje</t>
        </is>
      </c>
      <c r="E519" s="29" t="n">
        <v>1</v>
      </c>
      <c r="F519" s="29" t="inlineStr">
        <is>
          <t>u</t>
        </is>
      </c>
      <c r="G519" s="31" t="n"/>
      <c r="H519" s="31">
        <f>H523</f>
        <v/>
      </c>
      <c r="I519" s="29" t="n"/>
      <c r="J519" s="30" t="n"/>
      <c r="K519" s="29" t="inlineStr">
        <is>
          <t>Compra</t>
        </is>
      </c>
      <c r="L519" s="29" t="n"/>
      <c r="M519" s="30" t="n"/>
      <c r="N519" s="30" t="n"/>
      <c r="O519" s="30" t="inlineStr">
        <is>
          <t>23 Embalaje -&gt; 24 envolvedora (T11)</t>
        </is>
      </c>
      <c r="P519" s="30" t="n"/>
      <c r="Q519" s="29" t="n"/>
      <c r="R519" s="29" t="n"/>
      <c r="S519" s="30" t="n"/>
    </row>
    <row r="520">
      <c r="A520" s="32" t="inlineStr">
        <is>
          <t>FL_MAT_CO2_2kg</t>
        </is>
      </c>
      <c r="B520" s="32" t="n">
        <v>2</v>
      </c>
      <c r="C520" s="32" t="inlineStr">
        <is>
          <t>CO22-E1</t>
        </is>
      </c>
      <c r="D520" s="17" t="inlineStr">
        <is>
          <t xml:space="preserve">        Caja de cartón corrugado doble</t>
        </is>
      </c>
      <c r="E520" s="32" t="n">
        <v>1</v>
      </c>
      <c r="F520" s="32" t="inlineStr">
        <is>
          <t>u</t>
        </is>
      </c>
      <c r="G520" s="33" t="n"/>
      <c r="H520" s="33" t="n"/>
      <c r="I520" s="32" t="inlineStr">
        <is>
          <t>Cartón corrugado</t>
        </is>
      </c>
      <c r="J520" s="17" t="inlineStr">
        <is>
          <t>268 × 145 × 484 interior (envolvente del plano + 15 por lado)</t>
        </is>
      </c>
      <c r="K520" s="32" t="inlineStr">
        <is>
          <t>Compra</t>
        </is>
      </c>
      <c r="L520" s="32" t="inlineStr">
        <is>
          <t>No</t>
        </is>
      </c>
      <c r="M520" s="17" t="n"/>
      <c r="N520" s="17" t="n"/>
      <c r="O520" s="17" t="inlineStr">
        <is>
          <t>23 Embalaje</t>
        </is>
      </c>
      <c r="P520" s="17" t="n"/>
      <c r="Q520" s="32" t="inlineStr">
        <is>
          <t>P</t>
        </is>
      </c>
      <c r="R520" s="32" t="n"/>
      <c r="S520" s="17" t="inlineStr">
        <is>
          <t>Medida del plano</t>
        </is>
      </c>
    </row>
    <row r="521">
      <c r="A521" s="32" t="inlineStr">
        <is>
          <t>FL_MAT_CO2_2kg</t>
        </is>
      </c>
      <c r="B521" s="32" t="n">
        <v>2</v>
      </c>
      <c r="C521" s="32" t="inlineStr">
        <is>
          <t>CO22-E2</t>
        </is>
      </c>
      <c r="D521" s="17" t="inlineStr">
        <is>
          <t xml:space="preserve">        Instructivo de uso y mantenimiento</t>
        </is>
      </c>
      <c r="E521" s="32" t="n">
        <v>1</v>
      </c>
      <c r="F521" s="32" t="inlineStr">
        <is>
          <t>u</t>
        </is>
      </c>
      <c r="G521" s="33" t="n"/>
      <c r="H521" s="33" t="n"/>
      <c r="I521" s="32" t="inlineStr">
        <is>
          <t>Papel</t>
        </is>
      </c>
      <c r="J521" s="17" t="inlineStr">
        <is>
          <t>A5</t>
        </is>
      </c>
      <c r="K521" s="32" t="inlineStr">
        <is>
          <t>Compra</t>
        </is>
      </c>
      <c r="L521" s="32" t="inlineStr">
        <is>
          <t>No</t>
        </is>
      </c>
      <c r="M521" s="17" t="n"/>
      <c r="N521" s="17" t="n"/>
      <c r="O521" s="17" t="inlineStr">
        <is>
          <t>23 Embalaje</t>
        </is>
      </c>
      <c r="P521" s="17" t="n"/>
      <c r="Q521" s="32" t="inlineStr">
        <is>
          <t>I</t>
        </is>
      </c>
      <c r="R521" s="32" t="n"/>
      <c r="S521" s="17" t="inlineStr">
        <is>
          <t>Decisión comercial de FLAMA (las instrucciones de uso obligatorias van en la etiqueta, IRAM 3534)</t>
        </is>
      </c>
    </row>
    <row r="522">
      <c r="A522" s="32" t="inlineStr">
        <is>
          <t>FL_MAT_CO2_2kg</t>
        </is>
      </c>
      <c r="B522" s="32" t="n">
        <v>2</v>
      </c>
      <c r="C522" s="32" t="inlineStr">
        <is>
          <t>CO22-E3</t>
        </is>
      </c>
      <c r="D522" s="17" t="inlineStr">
        <is>
          <t xml:space="preserve">        Pallet 1200 × 1000 (fracción)</t>
        </is>
      </c>
      <c r="E522" s="32" t="n">
        <v>0.0208</v>
      </c>
      <c r="F522" s="32" t="inlineStr">
        <is>
          <t>u</t>
        </is>
      </c>
      <c r="G522" s="33" t="n"/>
      <c r="H522" s="33" t="n"/>
      <c r="I522" s="32" t="inlineStr">
        <is>
          <t>Madera</t>
        </is>
      </c>
      <c r="J522" s="17" t="inlineStr">
        <is>
          <t>48 u por pallet</t>
        </is>
      </c>
      <c r="K522" s="32" t="inlineStr">
        <is>
          <t>Compra</t>
        </is>
      </c>
      <c r="L522" s="32" t="inlineStr">
        <is>
          <t>No</t>
        </is>
      </c>
      <c r="M522" s="17" t="n"/>
      <c r="N522" s="17" t="n"/>
      <c r="O522" s="17" t="inlineStr">
        <is>
          <t>23 Embalaje</t>
        </is>
      </c>
      <c r="P522" s="17" t="n"/>
      <c r="Q522" s="32" t="inlineStr">
        <is>
          <t>C</t>
        </is>
      </c>
      <c r="R522" s="32" t="n"/>
      <c r="S522" s="17" t="inlineStr">
        <is>
          <t>u por pallet = acomodo de la caja (plano) en 1200 × 1000 × 1450 de alto</t>
        </is>
      </c>
    </row>
    <row r="523">
      <c r="A523" s="32" t="inlineStr">
        <is>
          <t>FL_MAT_CO2_2kg</t>
        </is>
      </c>
      <c r="B523" s="32" t="n">
        <v>2</v>
      </c>
      <c r="C523" s="32" t="inlineStr">
        <is>
          <t>CO22-E4</t>
        </is>
      </c>
      <c r="D523" s="17" t="inlineStr">
        <is>
          <t xml:space="preserve">        Film stretch (fracción del pallet)</t>
        </is>
      </c>
      <c r="E523" s="32" t="n">
        <v>0.0025</v>
      </c>
      <c r="F523" s="32" t="inlineStr">
        <is>
          <t>kg</t>
        </is>
      </c>
      <c r="G523" s="33" t="n">
        <v>1</v>
      </c>
      <c r="H523" s="33">
        <f>E523*G523</f>
        <v/>
      </c>
      <c r="I523" s="32" t="inlineStr">
        <is>
          <t>PE lineal 23 µm</t>
        </is>
      </c>
      <c r="J523" s="17" t="inlineStr">
        <is>
          <t>0,12 kg por pallet / 48 u</t>
        </is>
      </c>
      <c r="K523" s="32" t="inlineStr">
        <is>
          <t>Compra</t>
        </is>
      </c>
      <c r="L523" s="32" t="inlineStr">
        <is>
          <t>No</t>
        </is>
      </c>
      <c r="M523" s="17" t="n"/>
      <c r="N523" s="17" t="n"/>
      <c r="O523" s="17" t="inlineStr">
        <is>
          <t>24 Envolvedora (T11)</t>
        </is>
      </c>
      <c r="P523" s="17" t="n"/>
      <c r="Q523" s="32" t="inlineStr">
        <is>
          <t>C</t>
        </is>
      </c>
      <c r="R523" s="32" t="n"/>
      <c r="S523"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24">
      <c r="A524" s="32" t="inlineStr">
        <is>
          <t>FL_MAT_CO2_2kg</t>
        </is>
      </c>
      <c r="B524" s="32" t="n">
        <v>2</v>
      </c>
      <c r="C524" s="32" t="inlineStr">
        <is>
          <t>CO22-E5</t>
        </is>
      </c>
      <c r="D524" s="17" t="inlineStr">
        <is>
          <t xml:space="preserve">        Etiqueta de pallet (lote y destino, fracción)</t>
        </is>
      </c>
      <c r="E524" s="32" t="n">
        <v>0.0208</v>
      </c>
      <c r="F524" s="32" t="inlineStr">
        <is>
          <t>u</t>
        </is>
      </c>
      <c r="G524" s="33" t="n"/>
      <c r="H524" s="33" t="n"/>
      <c r="I524" s="32" t="inlineStr">
        <is>
          <t>Papel térmico</t>
        </is>
      </c>
      <c r="J524" s="17" t="inlineStr">
        <is>
          <t>100 × 150</t>
        </is>
      </c>
      <c r="K524" s="32" t="inlineStr">
        <is>
          <t>Compra</t>
        </is>
      </c>
      <c r="L524" s="32" t="inlineStr">
        <is>
          <t>No</t>
        </is>
      </c>
      <c r="M524" s="17" t="n"/>
      <c r="N524" s="17" t="n"/>
      <c r="O524" s="17" t="inlineStr">
        <is>
          <t>24 Envolvedora</t>
        </is>
      </c>
      <c r="P524" s="17" t="n"/>
      <c r="Q524" s="32" t="inlineStr">
        <is>
          <t>C</t>
        </is>
      </c>
      <c r="R524" s="32" t="n"/>
      <c r="S524" s="17" t="n"/>
    </row>
    <row r="525">
      <c r="A525" s="32" t="inlineStr">
        <is>
          <t>FL_MAT_CO2_2kg</t>
        </is>
      </c>
      <c r="B525" s="32" t="n">
        <v>2</v>
      </c>
      <c r="C525" s="32" t="inlineStr">
        <is>
          <t>CO22-E6</t>
        </is>
      </c>
      <c r="D525" s="17" t="inlineStr">
        <is>
          <t xml:space="preserve">        Cinta de embalaje PP 48 mm (cierre de la caja)</t>
        </is>
      </c>
      <c r="E525" s="32" t="n">
        <v>0.8169999999999999</v>
      </c>
      <c r="F525" s="32" t="inlineStr">
        <is>
          <t>m</t>
        </is>
      </c>
      <c r="G525" s="33" t="n"/>
      <c r="H525" s="33" t="n"/>
      <c r="I525" s="32" t="inlineStr">
        <is>
          <t>Polipropileno con adhesivo acrílico</t>
        </is>
      </c>
      <c r="J525" s="17" t="inlineStr">
        <is>
          <t>cierre en I arriba y abajo: 2 × (268 + 2 × 70 de solapa)</t>
        </is>
      </c>
      <c r="K525" s="32" t="inlineStr">
        <is>
          <t>Compra</t>
        </is>
      </c>
      <c r="L525" s="32" t="inlineStr">
        <is>
          <t>No</t>
        </is>
      </c>
      <c r="M525" s="17" t="n"/>
      <c r="N525" s="17" t="n"/>
      <c r="O525" s="17" t="inlineStr">
        <is>
          <t>23 Embalaje</t>
        </is>
      </c>
      <c r="P525" s="17" t="n"/>
      <c r="Q525" s="32" t="inlineStr">
        <is>
          <t>C</t>
        </is>
      </c>
      <c r="R525" s="32" t="n"/>
      <c r="S525" s="17" t="inlineStr">
        <is>
          <t>Solapa de 70 mm por lado: práctica de cierre de cajas (medir en la línea)</t>
        </is>
      </c>
    </row>
    <row r="526">
      <c r="A526" s="32" t="inlineStr">
        <is>
          <t>FL_MAT_CO2_2kg</t>
        </is>
      </c>
      <c r="B526" s="32" t="n">
        <v>2</v>
      </c>
      <c r="C526" s="32" t="inlineStr">
        <is>
          <t>CO22-E7</t>
        </is>
      </c>
      <c r="D526" s="17" t="inlineStr">
        <is>
          <t xml:space="preserve">        Esquineros de cartón 50 × 50 × 1200 (fracción del pallet)</t>
        </is>
      </c>
      <c r="E526" s="32" t="n">
        <v>0.0833</v>
      </c>
      <c r="F526" s="32" t="inlineStr">
        <is>
          <t>u</t>
        </is>
      </c>
      <c r="G526" s="33" t="n"/>
      <c r="H526" s="33" t="n"/>
      <c r="I526" s="32" t="inlineStr">
        <is>
          <t>Cartón</t>
        </is>
      </c>
      <c r="J526" s="17" t="inlineStr">
        <is>
          <t>4 por pallet / 48 u</t>
        </is>
      </c>
      <c r="K526" s="32" t="inlineStr">
        <is>
          <t>Compra</t>
        </is>
      </c>
      <c r="L526" s="32" t="inlineStr">
        <is>
          <t>No</t>
        </is>
      </c>
      <c r="M526" s="17" t="n"/>
      <c r="N526" s="17" t="n"/>
      <c r="O526" s="17" t="inlineStr">
        <is>
          <t>24 Envolvedora (T11)</t>
        </is>
      </c>
      <c r="P526" s="17" t="n"/>
      <c r="Q526" s="32" t="inlineStr">
        <is>
          <t>C</t>
        </is>
      </c>
      <c r="R526" s="32" t="n"/>
      <c r="S526" s="17" t="inlineStr">
        <is>
          <t>Planilla MP-64</t>
        </is>
      </c>
    </row>
    <row r="527">
      <c r="A527" s="26" t="inlineStr">
        <is>
          <t>FL_MAT_CO2_5kg</t>
        </is>
      </c>
      <c r="B527" s="26" t="n">
        <v>0</v>
      </c>
      <c r="C527" s="26" t="inlineStr">
        <is>
          <t>FL_MAT_CO2_5kg</t>
        </is>
      </c>
      <c r="D527" s="27" t="inlineStr">
        <is>
          <t>Extintor CO₂ 5 kg</t>
        </is>
      </c>
      <c r="E527" s="26" t="n">
        <v>1</v>
      </c>
      <c r="F527" s="26" t="inlineStr">
        <is>
          <t>u</t>
        </is>
      </c>
      <c r="G527" s="28" t="n"/>
      <c r="H527" s="28" t="n"/>
      <c r="I527" s="26" t="n"/>
      <c r="J527" s="27" t="n"/>
      <c r="K527" s="26" t="n"/>
      <c r="L527" s="26" t="n"/>
      <c r="M527" s="27" t="n"/>
      <c r="N527" s="27" t="n"/>
      <c r="O527" s="27" t="n"/>
      <c r="P527" s="27" t="inlineStr">
        <is>
          <t>IRAM 3509</t>
        </is>
      </c>
      <c r="Q527" s="26" t="inlineStr">
        <is>
          <t>P</t>
        </is>
      </c>
      <c r="R527" s="26" t="inlineStr">
        <is>
          <t>FL_MAT_CO2_5kg</t>
        </is>
      </c>
      <c r="S527" s="27" t="inlineStr">
        <is>
          <t>Revendido: se compra terminado al fabricante con Sello IRAM; las piezas internas quedan como referencia (no entran en MRP)</t>
        </is>
      </c>
    </row>
    <row r="528">
      <c r="A528" s="29" t="inlineStr">
        <is>
          <t>FL_MAT_CO2_5kg</t>
        </is>
      </c>
      <c r="B528" s="29" t="n">
        <v>1</v>
      </c>
      <c r="C528" s="29" t="inlineStr">
        <is>
          <t>CO25-S0</t>
        </is>
      </c>
      <c r="D528" s="30" t="inlineStr">
        <is>
          <t xml:space="preserve">    Equipo terminado comprado (fabricante con Sello IRAM)</t>
        </is>
      </c>
      <c r="E528" s="29" t="n">
        <v>1</v>
      </c>
      <c r="F528" s="29" t="inlineStr">
        <is>
          <t>u</t>
        </is>
      </c>
      <c r="G528" s="31" t="n"/>
      <c r="H528" s="31" t="n"/>
      <c r="I528" s="29" t="n"/>
      <c r="J528" s="30" t="n"/>
      <c r="K528" s="29" t="inlineStr">
        <is>
          <t>Compra</t>
        </is>
      </c>
      <c r="L528" s="29" t="inlineStr">
        <is>
          <t>Sí</t>
        </is>
      </c>
      <c r="M528" s="30" t="inlineStr">
        <is>
          <t>Mozart S.R.L.</t>
        </is>
      </c>
      <c r="N528" s="30" t="inlineStr">
        <is>
          <t>Matafuegos Georgia - venta mayorista</t>
        </is>
      </c>
      <c r="O528" s="30" t="inlineStr">
        <is>
          <t>Recepción y control de ingreso (SP-1)</t>
        </is>
      </c>
      <c r="P528" s="30" t="inlineStr">
        <is>
          <t>IRAM 3509</t>
        </is>
      </c>
      <c r="Q528" s="29" t="inlineStr">
        <is>
          <t>I</t>
        </is>
      </c>
      <c r="R528" s="29" t="inlineStr">
        <is>
          <t>FL_MAT_CO2_5kg</t>
        </is>
      </c>
      <c r="S528" s="30" t="inlineStr">
        <is>
          <t>Única fila de compra del revendido (más la tarjeta AGC si el destino es CABA)</t>
        </is>
      </c>
    </row>
    <row r="529">
      <c r="A529" s="29" t="inlineStr">
        <is>
          <t>FL_MAT_CO2_5kg</t>
        </is>
      </c>
      <c r="B529" s="29" t="n">
        <v>1</v>
      </c>
      <c r="C529" s="29" t="inlineStr">
        <is>
          <t>CO25-S1</t>
        </is>
      </c>
      <c r="D529" s="30" t="inlineStr">
        <is>
          <t xml:space="preserve">    Recipiente (cilindro)</t>
        </is>
      </c>
      <c r="E529" s="29" t="n">
        <v>1</v>
      </c>
      <c r="F529" s="29" t="inlineStr">
        <is>
          <t>u</t>
        </is>
      </c>
      <c r="G529" s="31" t="n"/>
      <c r="H529" s="31">
        <f>H530+H531</f>
        <v/>
      </c>
      <c r="I529" s="29" t="n"/>
      <c r="J529" s="30" t="n"/>
      <c r="K529" s="29" t="inlineStr">
        <is>
          <t>Compra / armado</t>
        </is>
      </c>
      <c r="L529" s="29" t="n"/>
      <c r="M529" s="30" t="n"/>
      <c r="N529" s="30" t="n"/>
      <c r="O529" s="30" t="n"/>
      <c r="P529" s="30" t="inlineStr">
        <is>
          <t>IRAM 3523 / 3550 (recipiente)</t>
        </is>
      </c>
      <c r="Q529" s="29" t="inlineStr">
        <is>
          <t>P</t>
        </is>
      </c>
      <c r="R529" s="29" t="inlineStr">
        <is>
          <t>FL_DES_CO2_5kg</t>
        </is>
      </c>
      <c r="S529" s="30" t="n"/>
    </row>
    <row r="530">
      <c r="A530" s="32" t="inlineStr">
        <is>
          <t>FL_MAT_CO2_5kg</t>
        </is>
      </c>
      <c r="B530" s="32" t="n">
        <v>2</v>
      </c>
      <c r="C530" s="32" t="inlineStr">
        <is>
          <t>CO25-01</t>
        </is>
      </c>
      <c r="D530" s="17" t="inlineStr">
        <is>
          <t xml:space="preserve">        Cilindro sin costura</t>
        </is>
      </c>
      <c r="E530" s="32" t="n">
        <v>1</v>
      </c>
      <c r="F530" s="32" t="inlineStr">
        <is>
          <t>u</t>
        </is>
      </c>
      <c r="G530" s="33" t="n">
        <v>13.2591</v>
      </c>
      <c r="H530" s="33">
        <f>E530*G530</f>
        <v/>
      </c>
      <c r="I530" s="32" t="inlineStr">
        <is>
          <t>Tubo acero 34CrMo4 sin costura e=6</t>
        </is>
      </c>
      <c r="J530" s="17" t="inlineStr">
        <is>
          <t>Cilindro sin costura Ø140 × e6 × 681,4 de alto (cuello integral)</t>
        </is>
      </c>
      <c r="K530" s="32" t="inlineStr">
        <is>
          <t>Compra (en el conjunto)</t>
        </is>
      </c>
      <c r="L530" s="32" t="inlineStr">
        <is>
          <t>No</t>
        </is>
      </c>
      <c r="M530" s="17" t="n"/>
      <c r="N530" s="17" t="n"/>
      <c r="O530" s="17" t="inlineStr">
        <is>
          <t>S4 - se compra terminado (tercerizado con sello IRAM)</t>
        </is>
      </c>
      <c r="P530" s="17" t="n"/>
      <c r="Q530" s="32" t="inlineStr">
        <is>
          <t>P</t>
        </is>
      </c>
      <c r="R530" s="32" t="inlineStr">
        <is>
          <t>FL_DES_CO2_5kg</t>
        </is>
      </c>
      <c r="S530" s="17" t="inlineStr">
        <is>
          <t>cuello integral</t>
        </is>
      </c>
    </row>
    <row r="531">
      <c r="A531" s="32" t="inlineStr">
        <is>
          <t>FL_MAT_CO2_5kg</t>
        </is>
      </c>
      <c r="B531" s="32" t="n">
        <v>2</v>
      </c>
      <c r="C531" s="32" t="inlineStr">
        <is>
          <t>CO25-13</t>
        </is>
      </c>
      <c r="D531" s="17" t="inlineStr">
        <is>
          <t xml:space="preserve">        Pie de apoyo</t>
        </is>
      </c>
      <c r="E531" s="32" t="n">
        <v>1</v>
      </c>
      <c r="F531" s="32" t="inlineStr">
        <is>
          <t>u</t>
        </is>
      </c>
      <c r="G531" s="33" t="n">
        <v>0.1008</v>
      </c>
      <c r="H531" s="33">
        <f>E531*G531</f>
        <v/>
      </c>
      <c r="I531" s="32" t="inlineStr">
        <is>
          <t>Polietileno AD</t>
        </is>
      </c>
      <c r="J531" s="17" t="inlineStr">
        <is>
          <t>140 × 140 × 38,5</t>
        </is>
      </c>
      <c r="K531" s="32" t="inlineStr">
        <is>
          <t>Compra (en el conjunto)</t>
        </is>
      </c>
      <c r="L531" s="32" t="inlineStr">
        <is>
          <t>No</t>
        </is>
      </c>
      <c r="M531" s="17" t="n"/>
      <c r="N531" s="17" t="n"/>
      <c r="O531" s="17" t="inlineStr">
        <is>
          <t>S4 - se compra terminado (tercerizado con sello IRAM)</t>
        </is>
      </c>
      <c r="P531" s="17" t="n"/>
      <c r="Q531" s="32" t="inlineStr">
        <is>
          <t>P</t>
        </is>
      </c>
      <c r="R531" s="32" t="inlineStr">
        <is>
          <t>FL_DES_CO2_5kg</t>
        </is>
      </c>
      <c r="S531" s="17" t="n"/>
    </row>
    <row r="532">
      <c r="A532" s="29" t="inlineStr">
        <is>
          <t>FL_MAT_CO2_5kg</t>
        </is>
      </c>
      <c r="B532" s="29" t="n">
        <v>1</v>
      </c>
      <c r="C532" s="29" t="inlineStr">
        <is>
          <t>CO25-S2</t>
        </is>
      </c>
      <c r="D532" s="30" t="inlineStr">
        <is>
          <t xml:space="preserve">    Conjunto de válvula</t>
        </is>
      </c>
      <c r="E532" s="29" t="n">
        <v>1</v>
      </c>
      <c r="F532" s="29" t="inlineStr">
        <is>
          <t>u</t>
        </is>
      </c>
      <c r="G532" s="31" t="n"/>
      <c r="H532" s="31">
        <f>H533+H534+H535+H536+H537+H538+H539+H540+H541+H542+H543+H544</f>
        <v/>
      </c>
      <c r="I532" s="29" t="n"/>
      <c r="J532" s="30" t="n"/>
      <c r="K532" s="29" t="inlineStr">
        <is>
          <t>Compra / armado</t>
        </is>
      </c>
      <c r="L532" s="29" t="n"/>
      <c r="M532" s="30" t="n"/>
      <c r="N532" s="30" t="n"/>
      <c r="O532" s="30" t="n"/>
      <c r="P532" s="30" t="inlineStr">
        <is>
          <t>Manómetro IRAM 3533</t>
        </is>
      </c>
      <c r="Q532" s="29" t="inlineStr">
        <is>
          <t>P</t>
        </is>
      </c>
      <c r="R532" s="29" t="inlineStr">
        <is>
          <t>FL_DES_CO2_5kg</t>
        </is>
      </c>
      <c r="S532" s="30" t="n"/>
    </row>
    <row r="533">
      <c r="A533" s="32" t="inlineStr">
        <is>
          <t>FL_MAT_CO2_5kg</t>
        </is>
      </c>
      <c r="B533" s="32" t="n">
        <v>2</v>
      </c>
      <c r="C533" s="32" t="inlineStr">
        <is>
          <t>CO25-02</t>
        </is>
      </c>
      <c r="D533" s="17" t="inlineStr">
        <is>
          <t xml:space="preserve">        Espiga roscada</t>
        </is>
      </c>
      <c r="E533" s="32" t="n">
        <v>1</v>
      </c>
      <c r="F533" s="32" t="inlineStr">
        <is>
          <t>u</t>
        </is>
      </c>
      <c r="G533" s="33" t="n">
        <v>0.0296</v>
      </c>
      <c r="H533" s="33">
        <f>E533*G533</f>
        <v/>
      </c>
      <c r="I533" s="32" t="inlineStr">
        <is>
          <t>Latón forjado</t>
        </is>
      </c>
      <c r="J533" s="17" t="inlineStr">
        <is>
          <t>29,8 × 29,8 × 10,8</t>
        </is>
      </c>
      <c r="K533" s="32" t="inlineStr">
        <is>
          <t>Compra (en el conjunto)</t>
        </is>
      </c>
      <c r="L533" s="32" t="inlineStr">
        <is>
          <t>No</t>
        </is>
      </c>
      <c r="M533" s="17" t="n"/>
      <c r="N533" s="17" t="n"/>
      <c r="O533" s="17" t="inlineStr">
        <is>
          <t>S4 - se compra terminado (tercerizado con sello IRAM)</t>
        </is>
      </c>
      <c r="P533" s="17" t="n"/>
      <c r="Q533" s="32" t="inlineStr">
        <is>
          <t>P</t>
        </is>
      </c>
      <c r="R533" s="32" t="inlineStr">
        <is>
          <t>FL_DES_CO2_5kg</t>
        </is>
      </c>
      <c r="S533" s="17" t="n"/>
    </row>
    <row r="534">
      <c r="A534" s="32" t="inlineStr">
        <is>
          <t>FL_MAT_CO2_5kg</t>
        </is>
      </c>
      <c r="B534" s="32" t="n">
        <v>2</v>
      </c>
      <c r="C534" s="32" t="inlineStr">
        <is>
          <t>CO25-03</t>
        </is>
      </c>
      <c r="D534" s="17" t="inlineStr">
        <is>
          <t xml:space="preserve">        Collarín de válvula</t>
        </is>
      </c>
      <c r="E534" s="32" t="n">
        <v>1</v>
      </c>
      <c r="F534" s="32" t="inlineStr">
        <is>
          <t>u</t>
        </is>
      </c>
      <c r="G534" s="33" t="n">
        <v>0.0072</v>
      </c>
      <c r="H534" s="33">
        <f>E534*G534</f>
        <v/>
      </c>
      <c r="I534" s="32" t="inlineStr">
        <is>
          <t>Latón forjado</t>
        </is>
      </c>
      <c r="J534" s="17" t="inlineStr">
        <is>
          <t>27,2 × 27,2 × 4,1</t>
        </is>
      </c>
      <c r="K534" s="32" t="inlineStr">
        <is>
          <t>Compra (en el conjunto)</t>
        </is>
      </c>
      <c r="L534" s="32" t="inlineStr">
        <is>
          <t>No</t>
        </is>
      </c>
      <c r="M534" s="17" t="n"/>
      <c r="N534" s="17" t="n"/>
      <c r="O534" s="17" t="inlineStr">
        <is>
          <t>S4 - se compra terminado (tercerizado con sello IRAM)</t>
        </is>
      </c>
      <c r="P534" s="17" t="n"/>
      <c r="Q534" s="32" t="inlineStr">
        <is>
          <t>P</t>
        </is>
      </c>
      <c r="R534" s="32" t="inlineStr">
        <is>
          <t>FL_DES_CO2_5kg</t>
        </is>
      </c>
      <c r="S534" s="17" t="n"/>
    </row>
    <row r="535">
      <c r="A535" s="32" t="inlineStr">
        <is>
          <t>FL_MAT_CO2_5kg</t>
        </is>
      </c>
      <c r="B535" s="32" t="n">
        <v>2</v>
      </c>
      <c r="C535" s="32" t="inlineStr">
        <is>
          <t>CO25-04</t>
        </is>
      </c>
      <c r="D535" s="17" t="inlineStr">
        <is>
          <t xml:space="preserve">        Cuerpo de válvula</t>
        </is>
      </c>
      <c r="E535" s="32" t="n">
        <v>1</v>
      </c>
      <c r="F535" s="32" t="inlineStr">
        <is>
          <t>u</t>
        </is>
      </c>
      <c r="G535" s="33" t="n">
        <v>0.134</v>
      </c>
      <c r="H535" s="33">
        <f>E535*G535</f>
        <v/>
      </c>
      <c r="I535" s="32" t="inlineStr">
        <is>
          <t>Latón forjado</t>
        </is>
      </c>
      <c r="J535" s="17" t="inlineStr">
        <is>
          <t>43,9 × 32 × 24,5</t>
        </is>
      </c>
      <c r="K535" s="32" t="inlineStr">
        <is>
          <t>Compra (en el conjunto)</t>
        </is>
      </c>
      <c r="L535" s="32" t="inlineStr">
        <is>
          <t>No</t>
        </is>
      </c>
      <c r="M535" s="17" t="n"/>
      <c r="N535" s="17" t="n"/>
      <c r="O535" s="17" t="inlineStr">
        <is>
          <t>S4 - se compra terminado (tercerizado con sello IRAM)</t>
        </is>
      </c>
      <c r="P535" s="17" t="n"/>
      <c r="Q535" s="32" t="inlineStr">
        <is>
          <t>P</t>
        </is>
      </c>
      <c r="R535" s="32" t="inlineStr">
        <is>
          <t>FL_DES_CO2_5kg</t>
        </is>
      </c>
      <c r="S535" s="17" t="n"/>
    </row>
    <row r="536">
      <c r="A536" s="32" t="inlineStr">
        <is>
          <t>FL_MAT_CO2_5kg</t>
        </is>
      </c>
      <c r="B536" s="32" t="n">
        <v>2</v>
      </c>
      <c r="C536" s="32" t="inlineStr">
        <is>
          <t>CO25-05</t>
        </is>
      </c>
      <c r="D536" s="17" t="inlineStr">
        <is>
          <t xml:space="preserve">        Disco de seguridad</t>
        </is>
      </c>
      <c r="E536" s="32" t="n">
        <v>1</v>
      </c>
      <c r="F536" s="32" t="inlineStr">
        <is>
          <t>u</t>
        </is>
      </c>
      <c r="G536" s="33" t="n">
        <v>0.0097</v>
      </c>
      <c r="H536" s="33">
        <f>E536*G536</f>
        <v/>
      </c>
      <c r="I536" s="32" t="inlineStr">
        <is>
          <t>Latón / disco de cobre</t>
        </is>
      </c>
      <c r="J536" s="17" t="inlineStr">
        <is>
          <t>14 × 12,1 × 9</t>
        </is>
      </c>
      <c r="K536" s="32" t="inlineStr">
        <is>
          <t>Compra (en el conjunto)</t>
        </is>
      </c>
      <c r="L536" s="32" t="inlineStr">
        <is>
          <t>No</t>
        </is>
      </c>
      <c r="M536" s="17" t="n"/>
      <c r="N536" s="17" t="n"/>
      <c r="O536" s="17" t="inlineStr">
        <is>
          <t>S4 - se compra terminado (tercerizado con sello IRAM)</t>
        </is>
      </c>
      <c r="P536" s="17" t="n"/>
      <c r="Q536" s="32" t="inlineStr">
        <is>
          <t>P</t>
        </is>
      </c>
      <c r="R536" s="32" t="inlineStr">
        <is>
          <t>FL_DES_CO2_5kg</t>
        </is>
      </c>
      <c r="S536" s="17" t="inlineStr">
        <is>
          <t>rotura 18 a 21 MPa</t>
        </is>
      </c>
    </row>
    <row r="537">
      <c r="A537" s="32" t="inlineStr">
        <is>
          <t>FL_MAT_CO2_5kg</t>
        </is>
      </c>
      <c r="B537" s="32" t="n">
        <v>2</v>
      </c>
      <c r="C537" s="32" t="inlineStr">
        <is>
          <t>CO25-06</t>
        </is>
      </c>
      <c r="D537" s="17" t="inlineStr">
        <is>
          <t xml:space="preserve">        Vástago</t>
        </is>
      </c>
      <c r="E537" s="32" t="n">
        <v>1</v>
      </c>
      <c r="F537" s="32" t="inlineStr">
        <is>
          <t>u</t>
        </is>
      </c>
      <c r="G537" s="33" t="n">
        <v>0.0137</v>
      </c>
      <c r="H537" s="33">
        <f>E537*G537</f>
        <v/>
      </c>
      <c r="I537" s="32" t="inlineStr">
        <is>
          <t>Latón</t>
        </is>
      </c>
      <c r="J537" s="17" t="inlineStr">
        <is>
          <t>35,6 × 14 × 14</t>
        </is>
      </c>
      <c r="K537" s="32" t="inlineStr">
        <is>
          <t>Compra (en el conjunto)</t>
        </is>
      </c>
      <c r="L537" s="32" t="inlineStr">
        <is>
          <t>No</t>
        </is>
      </c>
      <c r="M537" s="17" t="n"/>
      <c r="N537" s="17" t="n"/>
      <c r="O537" s="17" t="inlineStr">
        <is>
          <t>S4 - se compra terminado (tercerizado con sello IRAM)</t>
        </is>
      </c>
      <c r="P537" s="17" t="n"/>
      <c r="Q537" s="32" t="inlineStr">
        <is>
          <t>P</t>
        </is>
      </c>
      <c r="R537" s="32" t="inlineStr">
        <is>
          <t>FL_DES_CO2_5kg</t>
        </is>
      </c>
      <c r="S537" s="17" t="inlineStr">
        <is>
          <t>con junta tórica</t>
        </is>
      </c>
    </row>
    <row r="538">
      <c r="A538" s="32" t="inlineStr">
        <is>
          <t>FL_MAT_CO2_5kg</t>
        </is>
      </c>
      <c r="B538" s="32" t="n">
        <v>2</v>
      </c>
      <c r="C538" s="32" t="inlineStr">
        <is>
          <t>CO25-07</t>
        </is>
      </c>
      <c r="D538" s="17" t="inlineStr">
        <is>
          <t xml:space="preserve">        Resorte de válvula</t>
        </is>
      </c>
      <c r="E538" s="32" t="n">
        <v>1</v>
      </c>
      <c r="F538" s="32" t="inlineStr">
        <is>
          <t>u</t>
        </is>
      </c>
      <c r="G538" s="33" t="n">
        <v>0.0049</v>
      </c>
      <c r="H538" s="33">
        <f>E538*G538</f>
        <v/>
      </c>
      <c r="I538" s="32" t="inlineStr">
        <is>
          <t>Alambre acero inox. AISI 302</t>
        </is>
      </c>
      <c r="J538" s="17" t="inlineStr">
        <is>
          <t>28,8 × 17,3 × 17,3</t>
        </is>
      </c>
      <c r="K538" s="32" t="inlineStr">
        <is>
          <t>Compra (en el conjunto)</t>
        </is>
      </c>
      <c r="L538" s="32" t="inlineStr">
        <is>
          <t>No</t>
        </is>
      </c>
      <c r="M538" s="17" t="n"/>
      <c r="N538" s="17" t="n"/>
      <c r="O538" s="17" t="inlineStr">
        <is>
          <t>S4 - se compra terminado (tercerizado con sello IRAM)</t>
        </is>
      </c>
      <c r="P538" s="17" t="n"/>
      <c r="Q538" s="32" t="inlineStr">
        <is>
          <t>P</t>
        </is>
      </c>
      <c r="R538" s="32" t="inlineStr">
        <is>
          <t>FL_DES_CO2_5kg</t>
        </is>
      </c>
      <c r="S538" s="17" t="inlineStr">
        <is>
          <t>cierre del vástago</t>
        </is>
      </c>
    </row>
    <row r="539">
      <c r="A539" s="32" t="inlineStr">
        <is>
          <t>FL_MAT_CO2_5kg</t>
        </is>
      </c>
      <c r="B539" s="32" t="n">
        <v>2</v>
      </c>
      <c r="C539" s="32" t="inlineStr">
        <is>
          <t>CO25-08</t>
        </is>
      </c>
      <c r="D539" s="17" t="inlineStr">
        <is>
          <t xml:space="preserve">        Eje de palanca</t>
        </is>
      </c>
      <c r="E539" s="32" t="n">
        <v>1</v>
      </c>
      <c r="F539" s="32" t="inlineStr">
        <is>
          <t>u</t>
        </is>
      </c>
      <c r="G539" s="33" t="n">
        <v>0.0033</v>
      </c>
      <c r="H539" s="33">
        <f>E539*G539</f>
        <v/>
      </c>
      <c r="I539" s="32" t="inlineStr">
        <is>
          <t>Acero inox. AISI 304</t>
        </is>
      </c>
      <c r="J539" s="17" t="inlineStr">
        <is>
          <t>33 × 4 × 4</t>
        </is>
      </c>
      <c r="K539" s="32" t="inlineStr">
        <is>
          <t>Compra (en el conjunto)</t>
        </is>
      </c>
      <c r="L539" s="32" t="inlineStr">
        <is>
          <t>No</t>
        </is>
      </c>
      <c r="M539" s="17" t="n"/>
      <c r="N539" s="17" t="n"/>
      <c r="O539" s="17" t="inlineStr">
        <is>
          <t>S4 - se compra terminado (tercerizado con sello IRAM)</t>
        </is>
      </c>
      <c r="P539" s="17" t="n"/>
      <c r="Q539" s="32" t="inlineStr">
        <is>
          <t>P</t>
        </is>
      </c>
      <c r="R539" s="32" t="inlineStr">
        <is>
          <t>FL_DES_CO2_5kg</t>
        </is>
      </c>
      <c r="S539" s="17" t="n"/>
    </row>
    <row r="540">
      <c r="A540" s="32" t="inlineStr">
        <is>
          <t>FL_MAT_CO2_5kg</t>
        </is>
      </c>
      <c r="B540" s="32" t="n">
        <v>2</v>
      </c>
      <c r="C540" s="32" t="inlineStr">
        <is>
          <t>CO25-09</t>
        </is>
      </c>
      <c r="D540" s="17" t="inlineStr">
        <is>
          <t xml:space="preserve">        Pasador de seguridad</t>
        </is>
      </c>
      <c r="E540" s="32" t="n">
        <v>1</v>
      </c>
      <c r="F540" s="32" t="inlineStr">
        <is>
          <t>u</t>
        </is>
      </c>
      <c r="G540" s="33" t="n">
        <v>0.0055</v>
      </c>
      <c r="H540" s="33">
        <f>E540*G540</f>
        <v/>
      </c>
      <c r="I540" s="32" t="inlineStr">
        <is>
          <t>Alambre acero inox. AISI 304</t>
        </is>
      </c>
      <c r="J540" s="17" t="inlineStr">
        <is>
          <t>45,9 × 21 × 20,8</t>
        </is>
      </c>
      <c r="K540" s="32" t="inlineStr">
        <is>
          <t>Compra (en el conjunto)</t>
        </is>
      </c>
      <c r="L540" s="32" t="inlineStr">
        <is>
          <t>No</t>
        </is>
      </c>
      <c r="M540" s="17" t="n"/>
      <c r="N540" s="17" t="n"/>
      <c r="O540" s="17" t="inlineStr">
        <is>
          <t>S4 - se compra terminado (tercerizado con sello IRAM)</t>
        </is>
      </c>
      <c r="P540" s="17" t="n"/>
      <c r="Q540" s="32" t="inlineStr">
        <is>
          <t>P</t>
        </is>
      </c>
      <c r="R540" s="32" t="inlineStr">
        <is>
          <t>FL_DES_CO2_5kg</t>
        </is>
      </c>
      <c r="S540" s="17" t="inlineStr">
        <is>
          <t>con precinto</t>
        </is>
      </c>
    </row>
    <row r="541">
      <c r="A541" s="32" t="inlineStr">
        <is>
          <t>FL_MAT_CO2_5kg</t>
        </is>
      </c>
      <c r="B541" s="32" t="n">
        <v>2</v>
      </c>
      <c r="C541" s="32" t="inlineStr">
        <is>
          <t>CO25-10</t>
        </is>
      </c>
      <c r="D541" s="17" t="inlineStr">
        <is>
          <t xml:space="preserve">        Manija de accionamiento</t>
        </is>
      </c>
      <c r="E541" s="32" t="n">
        <v>1</v>
      </c>
      <c r="F541" s="32" t="inlineStr">
        <is>
          <t>u</t>
        </is>
      </c>
      <c r="G541" s="33" t="n">
        <v>0.0959</v>
      </c>
      <c r="H541" s="33">
        <f>E541*G541</f>
        <v/>
      </c>
      <c r="I541" s="32" t="inlineStr">
        <is>
          <t>Chapa acero SAE 1010 pintada</t>
        </is>
      </c>
      <c r="J541" s="17" t="inlineStr">
        <is>
          <t>124,6 × 31 × 29,3</t>
        </is>
      </c>
      <c r="K541" s="32" t="inlineStr">
        <is>
          <t>Compra (en el conjunto)</t>
        </is>
      </c>
      <c r="L541" s="32" t="inlineStr">
        <is>
          <t>No</t>
        </is>
      </c>
      <c r="M541" s="17" t="n"/>
      <c r="N541" s="17" t="n"/>
      <c r="O541" s="17" t="inlineStr">
        <is>
          <t>S4 - se compra terminado (tercerizado con sello IRAM)</t>
        </is>
      </c>
      <c r="P541" s="17" t="n"/>
      <c r="Q541" s="32" t="inlineStr">
        <is>
          <t>P</t>
        </is>
      </c>
      <c r="R541" s="32" t="inlineStr">
        <is>
          <t>FL_DES_CO2_5kg</t>
        </is>
      </c>
      <c r="S541" s="17" t="n"/>
    </row>
    <row r="542">
      <c r="A542" s="32" t="inlineStr">
        <is>
          <t>FL_MAT_CO2_5kg</t>
        </is>
      </c>
      <c r="B542" s="32" t="n">
        <v>2</v>
      </c>
      <c r="C542" s="32" t="inlineStr">
        <is>
          <t>CO25-11</t>
        </is>
      </c>
      <c r="D542" s="17" t="inlineStr">
        <is>
          <t xml:space="preserve">        Manija de transporte</t>
        </is>
      </c>
      <c r="E542" s="32" t="n">
        <v>1</v>
      </c>
      <c r="F542" s="32" t="inlineStr">
        <is>
          <t>u</t>
        </is>
      </c>
      <c r="G542" s="33" t="n">
        <v>0.0757</v>
      </c>
      <c r="H542" s="33">
        <f>E542*G542</f>
        <v/>
      </c>
      <c r="I542" s="32" t="inlineStr">
        <is>
          <t>Chapa acero SAE 1010 pintada</t>
        </is>
      </c>
      <c r="J542" s="17" t="inlineStr">
        <is>
          <t>102,6 × 35 × 25,4</t>
        </is>
      </c>
      <c r="K542" s="32" t="inlineStr">
        <is>
          <t>Compra (en el conjunto)</t>
        </is>
      </c>
      <c r="L542" s="32" t="inlineStr">
        <is>
          <t>No</t>
        </is>
      </c>
      <c r="M542" s="17" t="n"/>
      <c r="N542" s="17" t="n"/>
      <c r="O542" s="17" t="inlineStr">
        <is>
          <t>S4 - se compra terminado (tercerizado con sello IRAM)</t>
        </is>
      </c>
      <c r="P542" s="17" t="n"/>
      <c r="Q542" s="32" t="inlineStr">
        <is>
          <t>P</t>
        </is>
      </c>
      <c r="R542" s="32" t="inlineStr">
        <is>
          <t>FL_DES_CO2_5kg</t>
        </is>
      </c>
      <c r="S542" s="17" t="n"/>
    </row>
    <row r="543">
      <c r="A543" s="32" t="inlineStr">
        <is>
          <t>FL_MAT_CO2_5kg</t>
        </is>
      </c>
      <c r="B543" s="32" t="n">
        <v>2</v>
      </c>
      <c r="C543" s="32" t="inlineStr">
        <is>
          <t>CO25-12</t>
        </is>
      </c>
      <c r="D543" s="17" t="inlineStr">
        <is>
          <t xml:space="preserve">        Caño de pesca (sifón)</t>
        </is>
      </c>
      <c r="E543" s="32" t="n">
        <v>1</v>
      </c>
      <c r="F543" s="32" t="inlineStr">
        <is>
          <t>u</t>
        </is>
      </c>
      <c r="G543" s="33" t="n">
        <v>0.0699</v>
      </c>
      <c r="H543" s="33">
        <f>E543*G543</f>
        <v/>
      </c>
      <c r="I543" s="32" t="inlineStr">
        <is>
          <t>Tubo aluminio</t>
        </is>
      </c>
      <c r="J543" s="17" t="inlineStr">
        <is>
          <t>Ø10 × 646,6 de largo</t>
        </is>
      </c>
      <c r="K543" s="32" t="inlineStr">
        <is>
          <t>Compra (en el conjunto)</t>
        </is>
      </c>
      <c r="L543" s="32" t="inlineStr">
        <is>
          <t>No</t>
        </is>
      </c>
      <c r="M543" s="17" t="n"/>
      <c r="N543" s="17" t="n"/>
      <c r="O543" s="17" t="inlineStr">
        <is>
          <t>S4 - se compra terminado (tercerizado con sello IRAM)</t>
        </is>
      </c>
      <c r="P543" s="17" t="n"/>
      <c r="Q543" s="32" t="inlineStr">
        <is>
          <t>P</t>
        </is>
      </c>
      <c r="R543" s="32" t="inlineStr">
        <is>
          <t>FL_DES_CO2_5kg</t>
        </is>
      </c>
      <c r="S543" s="17" t="n"/>
    </row>
    <row r="544">
      <c r="A544" s="32" t="inlineStr">
        <is>
          <t>FL_MAT_CO2_5kg</t>
        </is>
      </c>
      <c r="B544" s="32" t="n">
        <v>2</v>
      </c>
      <c r="C544" s="32" t="inlineStr">
        <is>
          <t>CO25-24</t>
        </is>
      </c>
      <c r="D544" s="17" t="inlineStr">
        <is>
          <t xml:space="preserve">        Junta tórica de asiento</t>
        </is>
      </c>
      <c r="E544" s="32" t="n">
        <v>1</v>
      </c>
      <c r="F544" s="32" t="inlineStr">
        <is>
          <t>u</t>
        </is>
      </c>
      <c r="G544" s="33" t="n">
        <v>0.001</v>
      </c>
      <c r="H544" s="33">
        <f>E544*G544</f>
        <v/>
      </c>
      <c r="I544" s="32" t="inlineStr">
        <is>
          <t>NBR 70 Shore A</t>
        </is>
      </c>
      <c r="J544" s="17" t="inlineStr">
        <is>
          <t>Ø32,8 ext. × cordón 3</t>
        </is>
      </c>
      <c r="K544" s="32" t="inlineStr">
        <is>
          <t>Compra (en el conjunto)</t>
        </is>
      </c>
      <c r="L544" s="32" t="inlineStr">
        <is>
          <t>No</t>
        </is>
      </c>
      <c r="M544" s="17" t="n"/>
      <c r="N544" s="17" t="n"/>
      <c r="O544" s="17" t="inlineStr">
        <is>
          <t>S4 - se compra terminado (tercerizado con sello IRAM)</t>
        </is>
      </c>
      <c r="P544" s="17" t="n"/>
      <c r="Q544" s="32" t="inlineStr">
        <is>
          <t>P</t>
        </is>
      </c>
      <c r="R544" s="32" t="inlineStr">
        <is>
          <t>FL_DES_CO2_5kg</t>
        </is>
      </c>
      <c r="S544" s="17" t="inlineStr">
        <is>
          <t>cambio c/recarga</t>
        </is>
      </c>
    </row>
    <row r="545">
      <c r="A545" s="32" t="inlineStr">
        <is>
          <t>FL_MAT_CO2_5kg</t>
        </is>
      </c>
      <c r="B545" s="32" t="n">
        <v>2</v>
      </c>
      <c r="C545" s="32" t="inlineStr">
        <is>
          <t>CO25-V3</t>
        </is>
      </c>
      <c r="D545" s="17" t="inlineStr">
        <is>
          <t xml:space="preserve">        Junta tórica del vástago</t>
        </is>
      </c>
      <c r="E545" s="32" t="n">
        <v>1</v>
      </c>
      <c r="F545" s="32" t="inlineStr">
        <is>
          <t>u</t>
        </is>
      </c>
      <c r="G545" s="33" t="n"/>
      <c r="H545" s="33" t="n"/>
      <c r="I545" s="32" t="inlineStr">
        <is>
          <t>NBR 70 Shore A</t>
        </is>
      </c>
      <c r="J545" s="17" t="inlineStr">
        <is>
          <t>incluida en la válvula</t>
        </is>
      </c>
      <c r="K545" s="32" t="inlineStr">
        <is>
          <t>Compra (en el conjunto)</t>
        </is>
      </c>
      <c r="L545" s="32" t="inlineStr">
        <is>
          <t>No</t>
        </is>
      </c>
      <c r="M545" s="17" t="n"/>
      <c r="N545" s="17" t="n"/>
      <c r="O545" s="17" t="inlineStr">
        <is>
          <t>19 Ensamblaje</t>
        </is>
      </c>
      <c r="P545" s="17" t="n"/>
      <c r="Q545" s="32" t="inlineStr">
        <is>
          <t>P</t>
        </is>
      </c>
      <c r="R545" s="32" t="n"/>
      <c r="S545" s="17" t="inlineStr">
        <is>
          <t>Figura en el plano como «vástago con junta tórica»</t>
        </is>
      </c>
    </row>
    <row r="546">
      <c r="A546" s="29" t="inlineStr">
        <is>
          <t>FL_MAT_CO2_5kg</t>
        </is>
      </c>
      <c r="B546" s="29" t="n">
        <v>1</v>
      </c>
      <c r="C546" s="29" t="inlineStr">
        <is>
          <t>CO25-S3</t>
        </is>
      </c>
      <c r="D546" s="30" t="inlineStr">
        <is>
          <t xml:space="preserve">    Dispositivo de descarga</t>
        </is>
      </c>
      <c r="E546" s="29" t="n">
        <v>1</v>
      </c>
      <c r="F546" s="29" t="inlineStr">
        <is>
          <t>u</t>
        </is>
      </c>
      <c r="G546" s="31" t="n"/>
      <c r="H546" s="31">
        <f>H547+H548+H549+H550+H551</f>
        <v/>
      </c>
      <c r="I546" s="29" t="n"/>
      <c r="J546" s="30" t="n"/>
      <c r="K546" s="29" t="inlineStr">
        <is>
          <t>Compra / armado</t>
        </is>
      </c>
      <c r="L546" s="29" t="n"/>
      <c r="M546" s="30" t="n"/>
      <c r="N546" s="30" t="n"/>
      <c r="O546" s="30" t="n"/>
      <c r="P546" s="30" t="n"/>
      <c r="Q546" s="29" t="inlineStr">
        <is>
          <t>P</t>
        </is>
      </c>
      <c r="R546" s="29" t="inlineStr">
        <is>
          <t>FL_DES_CO2_5kg</t>
        </is>
      </c>
      <c r="S546" s="30" t="n"/>
    </row>
    <row r="547">
      <c r="A547" s="32" t="inlineStr">
        <is>
          <t>FL_MAT_CO2_5kg</t>
        </is>
      </c>
      <c r="B547" s="32" t="n">
        <v>2</v>
      </c>
      <c r="C547" s="32" t="inlineStr">
        <is>
          <t>CO25-14</t>
        </is>
      </c>
      <c r="D547" s="17" t="inlineStr">
        <is>
          <t xml:space="preserve">        Racor de manguera</t>
        </is>
      </c>
      <c r="E547" s="32" t="n">
        <v>1</v>
      </c>
      <c r="F547" s="32" t="inlineStr">
        <is>
          <t>u</t>
        </is>
      </c>
      <c r="G547" s="33" t="n">
        <v>0.0258</v>
      </c>
      <c r="H547" s="33">
        <f>E547*G547</f>
        <v/>
      </c>
      <c r="I547" s="32" t="inlineStr">
        <is>
          <t>Latón</t>
        </is>
      </c>
      <c r="J547" s="17" t="inlineStr">
        <is>
          <t>18 × 18 × 12</t>
        </is>
      </c>
      <c r="K547" s="32" t="inlineStr">
        <is>
          <t>Compra (en el conjunto)</t>
        </is>
      </c>
      <c r="L547" s="32" t="inlineStr">
        <is>
          <t>No</t>
        </is>
      </c>
      <c r="M547" s="17" t="n"/>
      <c r="N547" s="17" t="n"/>
      <c r="O547" s="17" t="inlineStr">
        <is>
          <t>S4 - se compra terminado (tercerizado con sello IRAM)</t>
        </is>
      </c>
      <c r="P547" s="17" t="n"/>
      <c r="Q547" s="32" t="inlineStr">
        <is>
          <t>P</t>
        </is>
      </c>
      <c r="R547" s="32" t="inlineStr">
        <is>
          <t>FL_DES_CO2_5kg</t>
        </is>
      </c>
      <c r="S547" s="17" t="n"/>
    </row>
    <row r="548">
      <c r="A548" s="32" t="inlineStr">
        <is>
          <t>FL_MAT_CO2_5kg</t>
        </is>
      </c>
      <c r="B548" s="32" t="n">
        <v>2</v>
      </c>
      <c r="C548" s="32" t="inlineStr">
        <is>
          <t>CO25-15</t>
        </is>
      </c>
      <c r="D548" s="17" t="inlineStr">
        <is>
          <t xml:space="preserve">        Manguera</t>
        </is>
      </c>
      <c r="E548" s="32" t="n">
        <v>1</v>
      </c>
      <c r="F548" s="32" t="inlineStr">
        <is>
          <t>u</t>
        </is>
      </c>
      <c r="G548" s="33" t="n">
        <v>0.044</v>
      </c>
      <c r="H548" s="33">
        <f>E548*G548</f>
        <v/>
      </c>
      <c r="I548" s="32" t="inlineStr">
        <is>
          <t>Manga alta presión c/malla acero</t>
        </is>
      </c>
      <c r="J548" s="17" t="inlineStr">
        <is>
          <t>Ø16 × 285 de largo desarrollado</t>
        </is>
      </c>
      <c r="K548" s="32" t="inlineStr">
        <is>
          <t>Compra (en el conjunto)</t>
        </is>
      </c>
      <c r="L548" s="32" t="inlineStr">
        <is>
          <t>No</t>
        </is>
      </c>
      <c r="M548" s="17" t="n"/>
      <c r="N548" s="17" t="n"/>
      <c r="O548" s="17" t="inlineStr">
        <is>
          <t>S4 - se compra terminado (tercerizado con sello IRAM)</t>
        </is>
      </c>
      <c r="P548" s="17" t="n"/>
      <c r="Q548" s="32" t="inlineStr">
        <is>
          <t>P</t>
        </is>
      </c>
      <c r="R548" s="32" t="inlineStr">
        <is>
          <t>FL_DES_CO2_5kg</t>
        </is>
      </c>
      <c r="S548" s="17" t="n"/>
    </row>
    <row r="549">
      <c r="A549" s="32" t="inlineStr">
        <is>
          <t>FL_MAT_CO2_5kg</t>
        </is>
      </c>
      <c r="B549" s="32" t="n">
        <v>2</v>
      </c>
      <c r="C549" s="32" t="inlineStr">
        <is>
          <t>CO25-16</t>
        </is>
      </c>
      <c r="D549" s="17" t="inlineStr">
        <is>
          <t xml:space="preserve">        Difusor (bocina)</t>
        </is>
      </c>
      <c r="E549" s="32" t="n">
        <v>1</v>
      </c>
      <c r="F549" s="32" t="inlineStr">
        <is>
          <t>u</t>
        </is>
      </c>
      <c r="G549" s="33" t="n">
        <v>0.09429999999999999</v>
      </c>
      <c r="H549" s="33">
        <f>E549*G549</f>
        <v/>
      </c>
      <c r="I549" s="32" t="inlineStr">
        <is>
          <t>Polietileno AD</t>
        </is>
      </c>
      <c r="J549" s="17" t="inlineStr">
        <is>
          <t>260 × 90 × 90</t>
        </is>
      </c>
      <c r="K549" s="32" t="inlineStr">
        <is>
          <t>Compra (en el conjunto)</t>
        </is>
      </c>
      <c r="L549" s="32" t="inlineStr">
        <is>
          <t>No</t>
        </is>
      </c>
      <c r="M549" s="17" t="n"/>
      <c r="N549" s="17" t="n"/>
      <c r="O549" s="17" t="inlineStr">
        <is>
          <t>S4 - se compra terminado (tercerizado con sello IRAM)</t>
        </is>
      </c>
      <c r="P549" s="17" t="n"/>
      <c r="Q549" s="32" t="inlineStr">
        <is>
          <t>P</t>
        </is>
      </c>
      <c r="R549" s="32" t="inlineStr">
        <is>
          <t>FL_DES_CO2_5kg</t>
        </is>
      </c>
      <c r="S549" s="17" t="inlineStr">
        <is>
          <t>aislante térmico y eléctrico</t>
        </is>
      </c>
    </row>
    <row r="550">
      <c r="A550" s="32" t="inlineStr">
        <is>
          <t>FL_MAT_CO2_5kg</t>
        </is>
      </c>
      <c r="B550" s="32" t="n">
        <v>2</v>
      </c>
      <c r="C550" s="32" t="inlineStr">
        <is>
          <t>CO25-17</t>
        </is>
      </c>
      <c r="D550" s="17" t="inlineStr">
        <is>
          <t xml:space="preserve">        Empuñadura</t>
        </is>
      </c>
      <c r="E550" s="32" t="n">
        <v>1</v>
      </c>
      <c r="F550" s="32" t="inlineStr">
        <is>
          <t>u</t>
        </is>
      </c>
      <c r="G550" s="33" t="n">
        <v>0.0201</v>
      </c>
      <c r="H550" s="33">
        <f>E550*G550</f>
        <v/>
      </c>
      <c r="I550" s="32" t="inlineStr">
        <is>
          <t>Polipropileno</t>
        </is>
      </c>
      <c r="J550" s="17" t="inlineStr">
        <is>
          <t>40 × 36 × 36</t>
        </is>
      </c>
      <c r="K550" s="32" t="inlineStr">
        <is>
          <t>Compra (en el conjunto)</t>
        </is>
      </c>
      <c r="L550" s="32" t="inlineStr">
        <is>
          <t>No</t>
        </is>
      </c>
      <c r="M550" s="17" t="n"/>
      <c r="N550" s="17" t="n"/>
      <c r="O550" s="17" t="inlineStr">
        <is>
          <t>S4 - se compra terminado (tercerizado con sello IRAM)</t>
        </is>
      </c>
      <c r="P550" s="17" t="n"/>
      <c r="Q550" s="32" t="inlineStr">
        <is>
          <t>P</t>
        </is>
      </c>
      <c r="R550" s="32" t="inlineStr">
        <is>
          <t>FL_DES_CO2_5kg</t>
        </is>
      </c>
      <c r="S550" s="17" t="n"/>
    </row>
    <row r="551">
      <c r="A551" s="32" t="inlineStr">
        <is>
          <t>FL_MAT_CO2_5kg</t>
        </is>
      </c>
      <c r="B551" s="32" t="n">
        <v>2</v>
      </c>
      <c r="C551" s="32" t="inlineStr">
        <is>
          <t>CO25-18</t>
        </is>
      </c>
      <c r="D551" s="17" t="inlineStr">
        <is>
          <t xml:space="preserve">        Suncho soporte de difusor</t>
        </is>
      </c>
      <c r="E551" s="32" t="n">
        <v>1</v>
      </c>
      <c r="F551" s="32" t="inlineStr">
        <is>
          <t>u</t>
        </is>
      </c>
      <c r="G551" s="33" t="n">
        <v>0.1231</v>
      </c>
      <c r="H551" s="33">
        <f>E551*G551</f>
        <v/>
      </c>
      <c r="I551" s="32" t="inlineStr">
        <is>
          <t>Fleje acero SAE 1010 pintado</t>
        </is>
      </c>
      <c r="J551" s="17" t="inlineStr">
        <is>
          <t>160,7 × 143,6 × 18</t>
        </is>
      </c>
      <c r="K551" s="32" t="inlineStr">
        <is>
          <t>Compra (en el conjunto)</t>
        </is>
      </c>
      <c r="L551" s="32" t="inlineStr">
        <is>
          <t>No</t>
        </is>
      </c>
      <c r="M551" s="17" t="n"/>
      <c r="N551" s="17" t="n"/>
      <c r="O551" s="17" t="inlineStr">
        <is>
          <t>S4 - se compra terminado (tercerizado con sello IRAM)</t>
        </is>
      </c>
      <c r="P551" s="17" t="n"/>
      <c r="Q551" s="32" t="inlineStr">
        <is>
          <t>P</t>
        </is>
      </c>
      <c r="R551" s="32" t="inlineStr">
        <is>
          <t>FL_DES_CO2_5kg</t>
        </is>
      </c>
      <c r="S551" s="17" t="n"/>
    </row>
    <row r="552">
      <c r="A552" s="29" t="inlineStr">
        <is>
          <t>FL_MAT_CO2_5kg</t>
        </is>
      </c>
      <c r="B552" s="29" t="n">
        <v>1</v>
      </c>
      <c r="C552" s="29" t="inlineStr">
        <is>
          <t>CO25-S5</t>
        </is>
      </c>
      <c r="D552" s="30" t="inlineStr">
        <is>
          <t xml:space="preserve">    Carga: agente extintor y gas impulsor</t>
        </is>
      </c>
      <c r="E552" s="29" t="n">
        <v>1</v>
      </c>
      <c r="F552" s="29" t="inlineStr">
        <is>
          <t>u</t>
        </is>
      </c>
      <c r="G552" s="31" t="n"/>
      <c r="H552" s="31">
        <f>H553</f>
        <v/>
      </c>
      <c r="I552" s="29" t="n"/>
      <c r="J552" s="30" t="n"/>
      <c r="K552" s="29" t="inlineStr">
        <is>
          <t>Compra</t>
        </is>
      </c>
      <c r="L552" s="29" t="n"/>
      <c r="M552" s="30" t="n"/>
      <c r="N552" s="30" t="n"/>
      <c r="O552" s="30" t="n"/>
      <c r="P552" s="30" t="n"/>
      <c r="Q552" s="29" t="n"/>
      <c r="R552" s="29" t="n"/>
      <c r="S552" s="30" t="n"/>
    </row>
    <row r="553">
      <c r="A553" s="32" t="inlineStr">
        <is>
          <t>FL_MAT_CO2_5kg</t>
        </is>
      </c>
      <c r="B553" s="32" t="n">
        <v>2</v>
      </c>
      <c r="C553" s="32" t="inlineStr">
        <is>
          <t>CO25-A1</t>
        </is>
      </c>
      <c r="D553" s="17" t="inlineStr">
        <is>
          <t xml:space="preserve">        Dióxido de carbono (IRAM 41170)</t>
        </is>
      </c>
      <c r="E553" s="32" t="n">
        <v>5</v>
      </c>
      <c r="F553" s="32" t="inlineStr">
        <is>
          <t>kg</t>
        </is>
      </c>
      <c r="G553" s="33" t="n">
        <v>1</v>
      </c>
      <c r="H553" s="33">
        <f>E553*G553</f>
        <v/>
      </c>
      <c r="I553" s="32" t="inlineStr">
        <is>
          <t>Dióxido de carbono (IRAM 41170)</t>
        </is>
      </c>
      <c r="J553" s="17" t="inlineStr">
        <is>
          <t>nominal 5 kg; tolerancia 0 / -5 % (IRAM 3517-2:2020 tabla 3)</t>
        </is>
      </c>
      <c r="K553" s="32" t="inlineStr">
        <is>
          <t>Compra</t>
        </is>
      </c>
      <c r="L553" s="32" t="inlineStr">
        <is>
          <t>No</t>
        </is>
      </c>
      <c r="M553" s="17" t="n"/>
      <c r="N553" s="17" t="n"/>
      <c r="O553" s="17" t="inlineStr">
        <is>
          <t>SP-1 almacén previo a la carga</t>
        </is>
      </c>
      <c r="P553" s="17" t="inlineStr">
        <is>
          <t>IRAM 41170</t>
        </is>
      </c>
      <c r="Q553" s="32" t="inlineStr">
        <is>
          <t>N</t>
        </is>
      </c>
      <c r="R553" s="32" t="n"/>
      <c r="S553" s="17" t="n"/>
    </row>
    <row r="554">
      <c r="A554" s="29" t="inlineStr">
        <is>
          <t>FL_MAT_CO2_5kg</t>
        </is>
      </c>
      <c r="B554" s="29" t="n">
        <v>1</v>
      </c>
      <c r="C554" s="29" t="inlineStr">
        <is>
          <t>CO25-S6</t>
        </is>
      </c>
      <c r="D554" s="30" t="inlineStr">
        <is>
          <t xml:space="preserve">    Identificación y precinto</t>
        </is>
      </c>
      <c r="E554" s="29" t="n">
        <v>1</v>
      </c>
      <c r="F554" s="29" t="inlineStr">
        <is>
          <t>u</t>
        </is>
      </c>
      <c r="G554" s="31" t="n"/>
      <c r="H554" s="31">
        <f>H555+H556+H557+H558+H559+H560+H561</f>
        <v/>
      </c>
      <c r="I554" s="29" t="n"/>
      <c r="J554" s="30" t="n"/>
      <c r="K554" s="29" t="inlineStr">
        <is>
          <t>Compra</t>
        </is>
      </c>
      <c r="L554" s="29" t="n"/>
      <c r="M554" s="30" t="n"/>
      <c r="N554" s="30" t="n"/>
      <c r="O554" s="30" t="inlineStr">
        <is>
          <t>22 Etiquetado (T07)</t>
        </is>
      </c>
      <c r="P554" s="30" t="n"/>
      <c r="Q554" s="29" t="n"/>
      <c r="R554" s="29" t="n"/>
      <c r="S554" s="30" t="n"/>
    </row>
    <row r="555">
      <c r="A555" s="32" t="inlineStr">
        <is>
          <t>FL_MAT_CO2_5kg</t>
        </is>
      </c>
      <c r="B555" s="32" t="n">
        <v>2</v>
      </c>
      <c r="C555" s="32" t="inlineStr">
        <is>
          <t>CO25-19</t>
        </is>
      </c>
      <c r="D555" s="17" t="inlineStr">
        <is>
          <t xml:space="preserve">        Etiqueta / placa de características</t>
        </is>
      </c>
      <c r="E555" s="32" t="n">
        <v>1</v>
      </c>
      <c r="F555" s="32" t="inlineStr">
        <is>
          <t>u</t>
        </is>
      </c>
      <c r="G555" s="33" t="n">
        <v>0.026</v>
      </c>
      <c r="H555" s="33">
        <f>E555*G555</f>
        <v/>
      </c>
      <c r="I555" s="32" t="inlineStr">
        <is>
          <t>Vinilo autoadhesivo laminado</t>
        </is>
      </c>
      <c r="J555" s="17" t="inlineStr">
        <is>
          <t>264 × 234 (desarrollo × alto: panel central 108° + 2 alas laterales), e ≈ 0,3, laminado UV</t>
        </is>
      </c>
      <c r="K555" s="32" t="inlineStr">
        <is>
          <t>Compra</t>
        </is>
      </c>
      <c r="L555" s="32" t="inlineStr">
        <is>
          <t>No</t>
        </is>
      </c>
      <c r="M555" s="17" t="n"/>
      <c r="N555" s="17" t="n"/>
      <c r="O555" s="17" t="inlineStr">
        <is>
          <t>22 Etiquetado (T07)</t>
        </is>
      </c>
      <c r="P555" s="17" t="inlineStr">
        <is>
          <t>IRAM 3534 · IRAM 3509 cap. 5 · relevamiento de mercado</t>
        </is>
      </c>
      <c r="Q555" s="32" t="inlineStr">
        <is>
          <t>P</t>
        </is>
      </c>
      <c r="R555" s="32" t="inlineStr">
        <is>
          <t>FL_DES_CO2_5kg</t>
        </is>
      </c>
      <c r="S555" s="17" t="inlineStr">
        <is>
          <t>IRAM 3534</t>
        </is>
      </c>
    </row>
    <row r="556">
      <c r="A556" s="32" t="inlineStr">
        <is>
          <t>FL_MAT_CO2_5kg</t>
        </is>
      </c>
      <c r="B556" s="32" t="n">
        <v>2</v>
      </c>
      <c r="C556" s="32" t="inlineStr">
        <is>
          <t>CO25-20</t>
        </is>
      </c>
      <c r="D556" s="17" t="inlineStr">
        <is>
          <t xml:space="preserve">        Oblea de fabricación (PBA)</t>
        </is>
      </c>
      <c r="E556" s="32" t="n">
        <v>1</v>
      </c>
      <c r="F556" s="32" t="inlineStr">
        <is>
          <t>u</t>
        </is>
      </c>
      <c r="G556" s="33" t="n">
        <v>0.0009</v>
      </c>
      <c r="H556" s="33">
        <f>E556*G556</f>
        <v/>
      </c>
      <c r="I556" s="32" t="inlineStr">
        <is>
          <t>Papel de seguridad autodestructible</t>
        </is>
      </c>
      <c r="J556" s="17" t="inlineStr">
        <is>
          <t>Ø46 (Res. OPDS 522/07), numerada, autodestructible</t>
        </is>
      </c>
      <c r="K556" s="32" t="inlineStr">
        <is>
          <t>Compra</t>
        </is>
      </c>
      <c r="L556" s="32" t="inlineStr">
        <is>
          <t>No</t>
        </is>
      </c>
      <c r="M556" s="17" t="n"/>
      <c r="N556" s="17" t="n"/>
      <c r="O556" s="17" t="inlineStr">
        <is>
          <t>22 Etiquetado (T07)</t>
        </is>
      </c>
      <c r="P556" s="17" t="inlineStr">
        <is>
          <t>Res. OPDS 522/07 anexos 1, 2 y 6</t>
        </is>
      </c>
      <c r="Q556" s="32" t="inlineStr">
        <is>
          <t>P</t>
        </is>
      </c>
      <c r="R556" s="32" t="inlineStr">
        <is>
          <t>FL_DES_CO2_5kg</t>
        </is>
      </c>
      <c r="S556" s="17" t="inlineStr">
        <is>
          <t>Res. 522/07</t>
        </is>
      </c>
    </row>
    <row r="557">
      <c r="A557" s="32" t="inlineStr">
        <is>
          <t>FL_MAT_CO2_5kg</t>
        </is>
      </c>
      <c r="B557" s="32" t="n">
        <v>2</v>
      </c>
      <c r="C557" s="32" t="inlineStr">
        <is>
          <t>CO25-21</t>
        </is>
      </c>
      <c r="D557" s="17" t="inlineStr">
        <is>
          <t xml:space="preserve">        Estampilla IRAM de conformidad</t>
        </is>
      </c>
      <c r="E557" s="32" t="n">
        <v>1</v>
      </c>
      <c r="F557" s="32" t="inlineStr">
        <is>
          <t>u</t>
        </is>
      </c>
      <c r="G557" s="33" t="n">
        <v>0.001</v>
      </c>
      <c r="H557" s="33">
        <f>E557*G557</f>
        <v/>
      </c>
      <c r="I557" s="32" t="inlineStr">
        <is>
          <t>Provista por IRAM (Anexo R)</t>
        </is>
      </c>
      <c r="J557" s="17" t="inlineStr">
        <is>
          <t>60 × 40</t>
        </is>
      </c>
      <c r="K557" s="32" t="inlineStr">
        <is>
          <t>Compra</t>
        </is>
      </c>
      <c r="L557" s="32" t="inlineStr">
        <is>
          <t>No</t>
        </is>
      </c>
      <c r="M557" s="17" t="n"/>
      <c r="N557" s="17" t="n"/>
      <c r="O557" s="17" t="inlineStr">
        <is>
          <t>22 Etiquetado (T07)</t>
        </is>
      </c>
      <c r="P557" s="17" t="inlineStr">
        <is>
          <t>IRAM Anexo R (DC-PG-129)</t>
        </is>
      </c>
      <c r="Q557" s="32" t="inlineStr">
        <is>
          <t>P</t>
        </is>
      </c>
      <c r="R557" s="32" t="inlineStr">
        <is>
          <t>FL_DES_CO2_5kg</t>
        </is>
      </c>
      <c r="S557" s="17" t="inlineStr">
        <is>
          <t>numerada</t>
        </is>
      </c>
    </row>
    <row r="558">
      <c r="A558" s="32" t="inlineStr">
        <is>
          <t>FL_MAT_CO2_5kg</t>
        </is>
      </c>
      <c r="B558" s="32" t="n">
        <v>2</v>
      </c>
      <c r="C558" s="32" t="inlineStr">
        <is>
          <t>CO25-22</t>
        </is>
      </c>
      <c r="D558" s="17" t="inlineStr">
        <is>
          <t xml:space="preserve">        Tarjeta de identificación AGC (CABA)</t>
        </is>
      </c>
      <c r="E558" s="32" t="n">
        <v>1</v>
      </c>
      <c r="F558" s="32" t="inlineStr">
        <is>
          <t>u</t>
        </is>
      </c>
      <c r="G558" s="33" t="n">
        <v>0.0032</v>
      </c>
      <c r="H558" s="33">
        <f>E558*G558</f>
        <v/>
      </c>
      <c r="I558" s="32" t="inlineStr">
        <is>
          <t>Etiqueta autoadhesiva emitida por la AGC</t>
        </is>
      </c>
      <c r="J558" s="17" t="inlineStr">
        <is>
          <t>140 × 55</t>
        </is>
      </c>
      <c r="K558" s="32" t="inlineStr">
        <is>
          <t>Compra</t>
        </is>
      </c>
      <c r="L558" s="32" t="inlineStr">
        <is>
          <t>Sí</t>
        </is>
      </c>
      <c r="M558" s="17" t="inlineStr">
        <is>
          <t>Agencia Gubernamental de Control (CABA)</t>
        </is>
      </c>
      <c r="N558" s="17" t="inlineStr">
        <is>
          <t>-</t>
        </is>
      </c>
      <c r="O558" s="17" t="inlineStr">
        <is>
          <t>22 Etiquetado (T07)</t>
        </is>
      </c>
      <c r="P558" s="17" t="inlineStr">
        <is>
          <t>Ordenanza 40.473 art. 6 · Res. AGC 32/15</t>
        </is>
      </c>
      <c r="Q558" s="32" t="inlineStr">
        <is>
          <t>P</t>
        </is>
      </c>
      <c r="R558" s="32" t="inlineStr">
        <is>
          <t>FL_DES_CO2_5kg</t>
        </is>
      </c>
      <c r="S558" s="17" t="inlineStr">
        <is>
          <t>sólo destino CABA; sólo destino CABA</t>
        </is>
      </c>
    </row>
    <row r="559">
      <c r="A559" s="32" t="inlineStr">
        <is>
          <t>FL_MAT_CO2_5kg</t>
        </is>
      </c>
      <c r="B559" s="32" t="n">
        <v>2</v>
      </c>
      <c r="C559" s="32" t="inlineStr">
        <is>
          <t>CO25-23</t>
        </is>
      </c>
      <c r="D559" s="17" t="inlineStr">
        <is>
          <t xml:space="preserve">        Etiqueta de n° de serie GS1</t>
        </is>
      </c>
      <c r="E559" s="32" t="n">
        <v>1</v>
      </c>
      <c r="F559" s="32" t="inlineStr">
        <is>
          <t>u</t>
        </is>
      </c>
      <c r="G559" s="33" t="n">
        <v>0.0005</v>
      </c>
      <c r="H559" s="33">
        <f>E559*G559</f>
        <v/>
      </c>
      <c r="I559" s="32" t="inlineStr">
        <is>
          <t>Poliéster autoadhesivo impreso térmico</t>
        </is>
      </c>
      <c r="J559" s="17" t="inlineStr">
        <is>
          <t>45 × 25</t>
        </is>
      </c>
      <c r="K559" s="32" t="inlineStr">
        <is>
          <t>Compra</t>
        </is>
      </c>
      <c r="L559" s="32" t="inlineStr">
        <is>
          <t>No</t>
        </is>
      </c>
      <c r="M559" s="17" t="n"/>
      <c r="N559" s="17" t="n"/>
      <c r="O559" s="17" t="inlineStr">
        <is>
          <t>22 Etiquetado (T07)</t>
        </is>
      </c>
      <c r="P559" s="17" t="inlineStr">
        <is>
          <t>GS1 Argentina (GTIN 779) · trazabilidad IRAM 3523 5.1</t>
        </is>
      </c>
      <c r="Q559" s="32" t="inlineStr">
        <is>
          <t>P</t>
        </is>
      </c>
      <c r="R559" s="32" t="inlineStr">
        <is>
          <t>FL_DES_CO2_5kg</t>
        </is>
      </c>
      <c r="S559" s="17" t="inlineStr">
        <is>
          <t>QR GTIN + serie</t>
        </is>
      </c>
    </row>
    <row r="560">
      <c r="A560" s="32" t="inlineStr">
        <is>
          <t>FL_MAT_CO2_5kg</t>
        </is>
      </c>
      <c r="B560" s="32" t="n">
        <v>2</v>
      </c>
      <c r="C560" s="32" t="inlineStr">
        <is>
          <t>CO25-25</t>
        </is>
      </c>
      <c r="D560" s="17" t="inlineStr">
        <is>
          <t xml:space="preserve">        Faja de garantía válvula-cuello</t>
        </is>
      </c>
      <c r="E560" s="32" t="n">
        <v>1</v>
      </c>
      <c r="F560" s="32" t="inlineStr">
        <is>
          <t>u</t>
        </is>
      </c>
      <c r="G560" s="33" t="n">
        <v>0.0003</v>
      </c>
      <c r="H560" s="33">
        <f>E560*G560</f>
        <v/>
      </c>
      <c r="I560" s="32" t="inlineStr">
        <is>
          <t>Vinilo destructible rayado rojo/blanco</t>
        </is>
      </c>
      <c r="J560" s="17" t="inlineStr">
        <is>
          <t>30 × 32 (ancho × largo desarrollado), pegada sobre la unión: cuerpo de la válvula, tuerca y cuello</t>
        </is>
      </c>
      <c r="K560" s="32" t="inlineStr">
        <is>
          <t>Compra</t>
        </is>
      </c>
      <c r="L560" s="32" t="inlineStr">
        <is>
          <t>No</t>
        </is>
      </c>
      <c r="M560" s="17" t="n"/>
      <c r="N560" s="17" t="n"/>
      <c r="O560" s="17" t="inlineStr">
        <is>
          <t>22 Etiquetado (T07)</t>
        </is>
      </c>
      <c r="P560" s="17" t="inlineStr">
        <is>
          <t>Sin norma: práctica de mercado (garantía de fábrica)</t>
        </is>
      </c>
      <c r="Q560" s="32" t="inlineStr">
        <is>
          <t>P</t>
        </is>
      </c>
      <c r="R560" s="32" t="inlineStr">
        <is>
          <t>FL_DES_CO2_5kg</t>
        </is>
      </c>
      <c r="S560" s="17" t="inlineStr">
        <is>
          <t>nuevo sin abrir</t>
        </is>
      </c>
    </row>
    <row r="561">
      <c r="A561" s="32" t="inlineStr">
        <is>
          <t>FL_MAT_CO2_5kg</t>
        </is>
      </c>
      <c r="B561" s="32" t="n">
        <v>2</v>
      </c>
      <c r="C561" s="32" t="inlineStr">
        <is>
          <t>CO25-26</t>
        </is>
      </c>
      <c r="D561" s="17" t="inlineStr">
        <is>
          <t xml:space="preserve">        Precinto de fábrica</t>
        </is>
      </c>
      <c r="E561" s="32" t="n">
        <v>1</v>
      </c>
      <c r="F561" s="32" t="inlineStr">
        <is>
          <t>u</t>
        </is>
      </c>
      <c r="G561" s="33" t="n">
        <v>0.0002</v>
      </c>
      <c r="H561" s="33">
        <f>E561*G561</f>
        <v/>
      </c>
      <c r="I561" s="32" t="inlineStr">
        <is>
          <t>Polipropileno color</t>
        </is>
      </c>
      <c r="J561" s="17" t="inlineStr">
        <is>
          <t>Ø5 × 10, numerado, rotura 30-50 N</t>
        </is>
      </c>
      <c r="K561" s="32" t="inlineStr">
        <is>
          <t>Compra</t>
        </is>
      </c>
      <c r="L561" s="32" t="inlineStr">
        <is>
          <t>No</t>
        </is>
      </c>
      <c r="M561" s="17" t="n"/>
      <c r="N561" s="17" t="n"/>
      <c r="O561" s="17" t="inlineStr">
        <is>
          <t>20 Presurización (T05)</t>
        </is>
      </c>
      <c r="P561" s="17" t="inlineStr">
        <is>
          <t>IRAM 3523 3.3.2 · IRAM 3517-2:2020 9.4.13</t>
        </is>
      </c>
      <c r="Q561" s="32" t="inlineStr">
        <is>
          <t>P</t>
        </is>
      </c>
      <c r="R561" s="32" t="inlineStr">
        <is>
          <t>FL_DES_CO2_5kg</t>
        </is>
      </c>
      <c r="S561" s="17" t="inlineStr">
        <is>
          <t>id. FLAMA y lote</t>
        </is>
      </c>
    </row>
    <row r="562">
      <c r="A562" s="29" t="inlineStr">
        <is>
          <t>FL_MAT_CO2_5kg</t>
        </is>
      </c>
      <c r="B562" s="29" t="n">
        <v>1</v>
      </c>
      <c r="C562" s="29" t="inlineStr">
        <is>
          <t>CO25-S8</t>
        </is>
      </c>
      <c r="D562" s="30" t="inlineStr">
        <is>
          <t xml:space="preserve">    Soporte (accesorio de montaje)</t>
        </is>
      </c>
      <c r="E562" s="29" t="n">
        <v>1</v>
      </c>
      <c r="F562" s="29" t="inlineStr">
        <is>
          <t>u</t>
        </is>
      </c>
      <c r="G562" s="31" t="n"/>
      <c r="H562" s="31">
        <f>H563</f>
        <v/>
      </c>
      <c r="I562" s="29" t="n"/>
      <c r="J562" s="30" t="n"/>
      <c r="K562" s="29" t="inlineStr">
        <is>
          <t>Compra</t>
        </is>
      </c>
      <c r="L562" s="29" t="n"/>
      <c r="M562" s="30" t="n"/>
      <c r="N562" s="30" t="n"/>
      <c r="O562" s="30" t="inlineStr">
        <is>
          <t>23 Embalaje (va dentro de la caja)</t>
        </is>
      </c>
      <c r="P562" s="30" t="inlineStr">
        <is>
          <t>IRAM 3517-2 7.4</t>
        </is>
      </c>
      <c r="Q562" s="29" t="n"/>
      <c r="R562" s="29" t="n"/>
      <c r="S562" s="30" t="n"/>
    </row>
    <row r="563">
      <c r="A563" s="32" t="inlineStr">
        <is>
          <t>FL_MAT_CO2_5kg</t>
        </is>
      </c>
      <c r="B563" s="32" t="n">
        <v>2</v>
      </c>
      <c r="C563" s="32" t="inlineStr">
        <is>
          <t>CO25-I5</t>
        </is>
      </c>
      <c r="D563" s="17" t="inlineStr">
        <is>
          <t xml:space="preserve">        Soporte de pared (FL_ACC_01)</t>
        </is>
      </c>
      <c r="E563" s="32" t="n">
        <v>1</v>
      </c>
      <c r="F563" s="32" t="inlineStr">
        <is>
          <t>u</t>
        </is>
      </c>
      <c r="G563" s="33" t="n">
        <v>0.283</v>
      </c>
      <c r="H563" s="33">
        <f>E563*G563</f>
        <v/>
      </c>
      <c r="I563" s="32" t="inlineStr">
        <is>
          <t>Chapa acero SAE 1010 e=2 pintada</t>
        </is>
      </c>
      <c r="J563" s="17" t="inlineStr">
        <is>
          <t>placa 60 × 180, ala con ranura Ø cuello + 3</t>
        </is>
      </c>
      <c r="K563" s="32" t="inlineStr">
        <is>
          <t>Compra</t>
        </is>
      </c>
      <c r="L563" s="32" t="inlineStr">
        <is>
          <t>No</t>
        </is>
      </c>
      <c r="M563" s="17" t="n"/>
      <c r="N563" s="17" t="n"/>
      <c r="O563" s="17" t="inlineStr">
        <is>
          <t>23 Embalaje</t>
        </is>
      </c>
      <c r="P563" s="17" t="inlineStr">
        <is>
          <t>IRAM 3517-2 7.4</t>
        </is>
      </c>
      <c r="Q563" s="32" t="inlineStr">
        <is>
          <t>P</t>
        </is>
      </c>
      <c r="R563" s="32" t="inlineStr">
        <is>
          <t>FL_ACC_01</t>
        </is>
      </c>
      <c r="S563" s="17" t="n"/>
    </row>
    <row r="564">
      <c r="A564" s="32" t="inlineStr">
        <is>
          <t>FL_MAT_CO2_5kg</t>
        </is>
      </c>
      <c r="B564" s="32" t="n">
        <v>2</v>
      </c>
      <c r="C564" s="32" t="inlineStr">
        <is>
          <t>CO25-I6</t>
        </is>
      </c>
      <c r="D564" s="17" t="inlineStr">
        <is>
          <t xml:space="preserve">        Tornillo y tarugo de fijación</t>
        </is>
      </c>
      <c r="E564" s="32" t="n">
        <v>2</v>
      </c>
      <c r="F564" s="32" t="inlineStr">
        <is>
          <t>u</t>
        </is>
      </c>
      <c r="G564" s="33" t="n"/>
      <c r="H564" s="33" t="n"/>
      <c r="I564" s="32" t="inlineStr">
        <is>
          <t>Acero cincado / nylon</t>
        </is>
      </c>
      <c r="J564" s="17" t="inlineStr">
        <is>
          <t>2 agujeros Ø8,5 del plano FL_ACC_01 → tornillo M8 + tarugo</t>
        </is>
      </c>
      <c r="K564" s="32" t="inlineStr">
        <is>
          <t>Compra</t>
        </is>
      </c>
      <c r="L564" s="32" t="inlineStr">
        <is>
          <t>No</t>
        </is>
      </c>
      <c r="M564" s="17" t="n"/>
      <c r="N564" s="17" t="n"/>
      <c r="O564" s="17" t="inlineStr">
        <is>
          <t>23 Embalaje</t>
        </is>
      </c>
      <c r="P564" s="17" t="n"/>
      <c r="Q564" s="32" t="inlineStr">
        <is>
          <t>P</t>
        </is>
      </c>
      <c r="R564" s="32" t="inlineStr">
        <is>
          <t>FL_ACC_01</t>
        </is>
      </c>
      <c r="S564" s="17" t="n"/>
    </row>
    <row r="565">
      <c r="A565" s="29" t="inlineStr">
        <is>
          <t>FL_MAT_CO2_5kg</t>
        </is>
      </c>
      <c r="B565" s="29" t="n">
        <v>1</v>
      </c>
      <c r="C565" s="29" t="inlineStr">
        <is>
          <t>CO25-S7</t>
        </is>
      </c>
      <c r="D565" s="30" t="inlineStr">
        <is>
          <t xml:space="preserve">    Embalaje</t>
        </is>
      </c>
      <c r="E565" s="29" t="n">
        <v>1</v>
      </c>
      <c r="F565" s="29" t="inlineStr">
        <is>
          <t>u</t>
        </is>
      </c>
      <c r="G565" s="31" t="n"/>
      <c r="H565" s="31">
        <f>H569</f>
        <v/>
      </c>
      <c r="I565" s="29" t="n"/>
      <c r="J565" s="30" t="n"/>
      <c r="K565" s="29" t="inlineStr">
        <is>
          <t>Compra</t>
        </is>
      </c>
      <c r="L565" s="29" t="n"/>
      <c r="M565" s="30" t="n"/>
      <c r="N565" s="30" t="n"/>
      <c r="O565" s="30" t="inlineStr">
        <is>
          <t>23 Embalaje -&gt; 24 envolvedora (T11)</t>
        </is>
      </c>
      <c r="P565" s="30" t="n"/>
      <c r="Q565" s="29" t="n"/>
      <c r="R565" s="29" t="n"/>
      <c r="S565" s="30" t="n"/>
    </row>
    <row r="566">
      <c r="A566" s="32" t="inlineStr">
        <is>
          <t>FL_MAT_CO2_5kg</t>
        </is>
      </c>
      <c r="B566" s="32" t="n">
        <v>2</v>
      </c>
      <c r="C566" s="32" t="inlineStr">
        <is>
          <t>CO25-E1</t>
        </is>
      </c>
      <c r="D566" s="17" t="inlineStr">
        <is>
          <t xml:space="preserve">        Caja de cartón corrugado doble</t>
        </is>
      </c>
      <c r="E566" s="32" t="n">
        <v>1</v>
      </c>
      <c r="F566" s="32" t="inlineStr">
        <is>
          <t>u</t>
        </is>
      </c>
      <c r="G566" s="33" t="n"/>
      <c r="H566" s="33" t="n"/>
      <c r="I566" s="32" t="inlineStr">
        <is>
          <t>Cartón corrugado</t>
        </is>
      </c>
      <c r="J566" s="17" t="inlineStr">
        <is>
          <t>301 × 174 × 755 interior (envolvente del plano + 15 por lado)</t>
        </is>
      </c>
      <c r="K566" s="32" t="inlineStr">
        <is>
          <t>Compra</t>
        </is>
      </c>
      <c r="L566" s="32" t="inlineStr">
        <is>
          <t>No</t>
        </is>
      </c>
      <c r="M566" s="17" t="n"/>
      <c r="N566" s="17" t="n"/>
      <c r="O566" s="17" t="inlineStr">
        <is>
          <t>23 Embalaje</t>
        </is>
      </c>
      <c r="P566" s="17" t="n"/>
      <c r="Q566" s="32" t="inlineStr">
        <is>
          <t>P</t>
        </is>
      </c>
      <c r="R566" s="32" t="n"/>
      <c r="S566" s="17" t="inlineStr">
        <is>
          <t>Medida del plano</t>
        </is>
      </c>
    </row>
    <row r="567">
      <c r="A567" s="32" t="inlineStr">
        <is>
          <t>FL_MAT_CO2_5kg</t>
        </is>
      </c>
      <c r="B567" s="32" t="n">
        <v>2</v>
      </c>
      <c r="C567" s="32" t="inlineStr">
        <is>
          <t>CO25-E2</t>
        </is>
      </c>
      <c r="D567" s="17" t="inlineStr">
        <is>
          <t xml:space="preserve">        Instructivo de uso y mantenimiento</t>
        </is>
      </c>
      <c r="E567" s="32" t="n">
        <v>1</v>
      </c>
      <c r="F567" s="32" t="inlineStr">
        <is>
          <t>u</t>
        </is>
      </c>
      <c r="G567" s="33" t="n"/>
      <c r="H567" s="33" t="n"/>
      <c r="I567" s="32" t="inlineStr">
        <is>
          <t>Papel</t>
        </is>
      </c>
      <c r="J567" s="17" t="inlineStr">
        <is>
          <t>A5</t>
        </is>
      </c>
      <c r="K567" s="32" t="inlineStr">
        <is>
          <t>Compra</t>
        </is>
      </c>
      <c r="L567" s="32" t="inlineStr">
        <is>
          <t>No</t>
        </is>
      </c>
      <c r="M567" s="17" t="n"/>
      <c r="N567" s="17" t="n"/>
      <c r="O567" s="17" t="inlineStr">
        <is>
          <t>23 Embalaje</t>
        </is>
      </c>
      <c r="P567" s="17" t="n"/>
      <c r="Q567" s="32" t="inlineStr">
        <is>
          <t>I</t>
        </is>
      </c>
      <c r="R567" s="32" t="n"/>
      <c r="S567" s="17" t="inlineStr">
        <is>
          <t>Decisión comercial de FLAMA (las instrucciones de uso obligatorias van en la etiqueta, IRAM 3534)</t>
        </is>
      </c>
    </row>
    <row r="568">
      <c r="A568" s="32" t="inlineStr">
        <is>
          <t>FL_MAT_CO2_5kg</t>
        </is>
      </c>
      <c r="B568" s="32" t="n">
        <v>2</v>
      </c>
      <c r="C568" s="32" t="inlineStr">
        <is>
          <t>CO25-E3</t>
        </is>
      </c>
      <c r="D568" s="17" t="inlineStr">
        <is>
          <t xml:space="preserve">        Pallet 1200 × 1000 (fracción)</t>
        </is>
      </c>
      <c r="E568" s="32" t="n">
        <v>0.0556</v>
      </c>
      <c r="F568" s="32" t="inlineStr">
        <is>
          <t>u</t>
        </is>
      </c>
      <c r="G568" s="33" t="n"/>
      <c r="H568" s="33" t="n"/>
      <c r="I568" s="32" t="inlineStr">
        <is>
          <t>Madera</t>
        </is>
      </c>
      <c r="J568" s="17" t="inlineStr">
        <is>
          <t>18 u por pallet</t>
        </is>
      </c>
      <c r="K568" s="32" t="inlineStr">
        <is>
          <t>Compra</t>
        </is>
      </c>
      <c r="L568" s="32" t="inlineStr">
        <is>
          <t>No</t>
        </is>
      </c>
      <c r="M568" s="17" t="n"/>
      <c r="N568" s="17" t="n"/>
      <c r="O568" s="17" t="inlineStr">
        <is>
          <t>23 Embalaje</t>
        </is>
      </c>
      <c r="P568" s="17" t="n"/>
      <c r="Q568" s="32" t="inlineStr">
        <is>
          <t>C</t>
        </is>
      </c>
      <c r="R568" s="32" t="n"/>
      <c r="S568" s="17" t="inlineStr">
        <is>
          <t>u por pallet = acomodo de la caja (plano) en 1200 × 1000 × 1450 de alto</t>
        </is>
      </c>
    </row>
    <row r="569">
      <c r="A569" s="32" t="inlineStr">
        <is>
          <t>FL_MAT_CO2_5kg</t>
        </is>
      </c>
      <c r="B569" s="32" t="n">
        <v>2</v>
      </c>
      <c r="C569" s="32" t="inlineStr">
        <is>
          <t>CO25-E4</t>
        </is>
      </c>
      <c r="D569" s="17" t="inlineStr">
        <is>
          <t xml:space="preserve">        Film stretch (fracción del pallet)</t>
        </is>
      </c>
      <c r="E569" s="32" t="n">
        <v>0.0067</v>
      </c>
      <c r="F569" s="32" t="inlineStr">
        <is>
          <t>kg</t>
        </is>
      </c>
      <c r="G569" s="33" t="n">
        <v>1</v>
      </c>
      <c r="H569" s="33">
        <f>E569*G569</f>
        <v/>
      </c>
      <c r="I569" s="32" t="inlineStr">
        <is>
          <t>PE lineal 23 µm</t>
        </is>
      </c>
      <c r="J569" s="17" t="inlineStr">
        <is>
          <t>0,12 kg por pallet / 18 u</t>
        </is>
      </c>
      <c r="K569" s="32" t="inlineStr">
        <is>
          <t>Compra</t>
        </is>
      </c>
      <c r="L569" s="32" t="inlineStr">
        <is>
          <t>No</t>
        </is>
      </c>
      <c r="M569" s="17" t="n"/>
      <c r="N569" s="17" t="n"/>
      <c r="O569" s="17" t="inlineStr">
        <is>
          <t>24 Envolvedora (T11)</t>
        </is>
      </c>
      <c r="P569" s="17" t="n"/>
      <c r="Q569" s="32" t="inlineStr">
        <is>
          <t>C</t>
        </is>
      </c>
      <c r="R569" s="32" t="n"/>
      <c r="S569"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70">
      <c r="A570" s="32" t="inlineStr">
        <is>
          <t>FL_MAT_CO2_5kg</t>
        </is>
      </c>
      <c r="B570" s="32" t="n">
        <v>2</v>
      </c>
      <c r="C570" s="32" t="inlineStr">
        <is>
          <t>CO25-E5</t>
        </is>
      </c>
      <c r="D570" s="17" t="inlineStr">
        <is>
          <t xml:space="preserve">        Etiqueta de pallet (lote y destino, fracción)</t>
        </is>
      </c>
      <c r="E570" s="32" t="n">
        <v>0.0556</v>
      </c>
      <c r="F570" s="32" t="inlineStr">
        <is>
          <t>u</t>
        </is>
      </c>
      <c r="G570" s="33" t="n"/>
      <c r="H570" s="33" t="n"/>
      <c r="I570" s="32" t="inlineStr">
        <is>
          <t>Papel térmico</t>
        </is>
      </c>
      <c r="J570" s="17" t="inlineStr">
        <is>
          <t>100 × 150</t>
        </is>
      </c>
      <c r="K570" s="32" t="inlineStr">
        <is>
          <t>Compra</t>
        </is>
      </c>
      <c r="L570" s="32" t="inlineStr">
        <is>
          <t>No</t>
        </is>
      </c>
      <c r="M570" s="17" t="n"/>
      <c r="N570" s="17" t="n"/>
      <c r="O570" s="17" t="inlineStr">
        <is>
          <t>24 Envolvedora</t>
        </is>
      </c>
      <c r="P570" s="17" t="n"/>
      <c r="Q570" s="32" t="inlineStr">
        <is>
          <t>C</t>
        </is>
      </c>
      <c r="R570" s="32" t="n"/>
      <c r="S570" s="17" t="n"/>
    </row>
    <row r="571">
      <c r="A571" s="32" t="inlineStr">
        <is>
          <t>FL_MAT_CO2_5kg</t>
        </is>
      </c>
      <c r="B571" s="32" t="n">
        <v>2</v>
      </c>
      <c r="C571" s="32" t="inlineStr">
        <is>
          <t>CO25-E6</t>
        </is>
      </c>
      <c r="D571" s="17" t="inlineStr">
        <is>
          <t xml:space="preserve">        Cinta de embalaje PP 48 mm (cierre de la caja)</t>
        </is>
      </c>
      <c r="E571" s="32" t="n">
        <v>0.883</v>
      </c>
      <c r="F571" s="32" t="inlineStr">
        <is>
          <t>m</t>
        </is>
      </c>
      <c r="G571" s="33" t="n"/>
      <c r="H571" s="33" t="n"/>
      <c r="I571" s="32" t="inlineStr">
        <is>
          <t>Polipropileno con adhesivo acrílico</t>
        </is>
      </c>
      <c r="J571" s="17" t="inlineStr">
        <is>
          <t>cierre en I arriba y abajo: 2 × (301 + 2 × 70 de solapa)</t>
        </is>
      </c>
      <c r="K571" s="32" t="inlineStr">
        <is>
          <t>Compra</t>
        </is>
      </c>
      <c r="L571" s="32" t="inlineStr">
        <is>
          <t>No</t>
        </is>
      </c>
      <c r="M571" s="17" t="n"/>
      <c r="N571" s="17" t="n"/>
      <c r="O571" s="17" t="inlineStr">
        <is>
          <t>23 Embalaje</t>
        </is>
      </c>
      <c r="P571" s="17" t="n"/>
      <c r="Q571" s="32" t="inlineStr">
        <is>
          <t>C</t>
        </is>
      </c>
      <c r="R571" s="32" t="n"/>
      <c r="S571" s="17" t="inlineStr">
        <is>
          <t>Solapa de 70 mm por lado: práctica de cierre de cajas (medir en la línea)</t>
        </is>
      </c>
    </row>
    <row r="572">
      <c r="A572" s="32" t="inlineStr">
        <is>
          <t>FL_MAT_CO2_5kg</t>
        </is>
      </c>
      <c r="B572" s="32" t="n">
        <v>2</v>
      </c>
      <c r="C572" s="32" t="inlineStr">
        <is>
          <t>CO25-E7</t>
        </is>
      </c>
      <c r="D572" s="17" t="inlineStr">
        <is>
          <t xml:space="preserve">        Esquineros de cartón 50 × 50 × 1200 (fracción del pallet)</t>
        </is>
      </c>
      <c r="E572" s="32" t="n">
        <v>0.2222</v>
      </c>
      <c r="F572" s="32" t="inlineStr">
        <is>
          <t>u</t>
        </is>
      </c>
      <c r="G572" s="33" t="n"/>
      <c r="H572" s="33" t="n"/>
      <c r="I572" s="32" t="inlineStr">
        <is>
          <t>Cartón</t>
        </is>
      </c>
      <c r="J572" s="17" t="inlineStr">
        <is>
          <t>4 por pallet / 18 u</t>
        </is>
      </c>
      <c r="K572" s="32" t="inlineStr">
        <is>
          <t>Compra</t>
        </is>
      </c>
      <c r="L572" s="32" t="inlineStr">
        <is>
          <t>No</t>
        </is>
      </c>
      <c r="M572" s="17" t="n"/>
      <c r="N572" s="17" t="n"/>
      <c r="O572" s="17" t="inlineStr">
        <is>
          <t>24 Envolvedora (T11)</t>
        </is>
      </c>
      <c r="P572" s="17" t="n"/>
      <c r="Q572" s="32" t="inlineStr">
        <is>
          <t>C</t>
        </is>
      </c>
      <c r="R572" s="32" t="n"/>
      <c r="S572" s="17" t="inlineStr">
        <is>
          <t>Planilla MP-64</t>
        </is>
      </c>
    </row>
    <row r="573">
      <c r="A573" s="26" t="inlineStr">
        <is>
          <t>FL_MAT_HCFC-HFC_5kg</t>
        </is>
      </c>
      <c r="B573" s="26" t="n">
        <v>0</v>
      </c>
      <c r="C573" s="26" t="inlineStr">
        <is>
          <t>FL_MAT_HCFC-HFC_5kg</t>
        </is>
      </c>
      <c r="D573" s="27" t="inlineStr">
        <is>
          <t>Extintor HCFC/HFC 5 kg</t>
        </is>
      </c>
      <c r="E573" s="26" t="n">
        <v>1</v>
      </c>
      <c r="F573" s="26" t="inlineStr">
        <is>
          <t>u</t>
        </is>
      </c>
      <c r="G573" s="28" t="n"/>
      <c r="H573" s="28" t="n"/>
      <c r="I573" s="26" t="n"/>
      <c r="J573" s="27" t="n"/>
      <c r="K573" s="26" t="n"/>
      <c r="L573" s="26" t="n"/>
      <c r="M573" s="27" t="n"/>
      <c r="N573" s="27" t="n"/>
      <c r="O573" s="27" t="n"/>
      <c r="P573" s="27" t="inlineStr">
        <is>
          <t>IRAM 3504</t>
        </is>
      </c>
      <c r="Q573" s="26" t="inlineStr">
        <is>
          <t>P</t>
        </is>
      </c>
      <c r="R573" s="26" t="inlineStr">
        <is>
          <t>FL_MAT_HCFC-HFC_5kg</t>
        </is>
      </c>
      <c r="S573" s="27" t="inlineStr">
        <is>
          <t>Revendido: se compra terminado al fabricante con Sello IRAM; las piezas internas quedan como referencia (no entran en MRP)</t>
        </is>
      </c>
    </row>
    <row r="574">
      <c r="A574" s="29" t="inlineStr">
        <is>
          <t>FL_MAT_HCFC-HFC_5kg</t>
        </is>
      </c>
      <c r="B574" s="29" t="n">
        <v>1</v>
      </c>
      <c r="C574" s="29" t="inlineStr">
        <is>
          <t>HCFCHFC5-S0</t>
        </is>
      </c>
      <c r="D574" s="30" t="inlineStr">
        <is>
          <t xml:space="preserve">    Equipo terminado comprado (fabricante con Sello IRAM)</t>
        </is>
      </c>
      <c r="E574" s="29" t="n">
        <v>1</v>
      </c>
      <c r="F574" s="29" t="inlineStr">
        <is>
          <t>u</t>
        </is>
      </c>
      <c r="G574" s="31" t="n"/>
      <c r="H574" s="31" t="n"/>
      <c r="I574" s="29" t="n"/>
      <c r="J574" s="30" t="n"/>
      <c r="K574" s="29" t="inlineStr">
        <is>
          <t>Compra</t>
        </is>
      </c>
      <c r="L574" s="29" t="inlineStr">
        <is>
          <t>Sí</t>
        </is>
      </c>
      <c r="M574" s="30" t="inlineStr">
        <is>
          <t>Matafuegos Georgia - venta mayorista</t>
        </is>
      </c>
      <c r="N574" s="30" t="inlineStr">
        <is>
          <t>Melisam</t>
        </is>
      </c>
      <c r="O574" s="30" t="inlineStr">
        <is>
          <t>Recepción y control de ingreso (SP-1)</t>
        </is>
      </c>
      <c r="P574" s="30" t="inlineStr">
        <is>
          <t>IRAM 3504</t>
        </is>
      </c>
      <c r="Q574" s="29" t="inlineStr">
        <is>
          <t>I</t>
        </is>
      </c>
      <c r="R574" s="29" t="inlineStr">
        <is>
          <t>FL_MAT_HCFC-HFC_5kg</t>
        </is>
      </c>
      <c r="S574" s="30" t="inlineStr">
        <is>
          <t>Única fila de compra del revendido (más la tarjeta AGC si el destino es CABA)</t>
        </is>
      </c>
    </row>
    <row r="575">
      <c r="A575" s="29" t="inlineStr">
        <is>
          <t>FL_MAT_HCFC-HFC_5kg</t>
        </is>
      </c>
      <c r="B575" s="29" t="n">
        <v>1</v>
      </c>
      <c r="C575" s="29" t="inlineStr">
        <is>
          <t>HCFCHFC5-S1</t>
        </is>
      </c>
      <c r="D575" s="30" t="inlineStr">
        <is>
          <t xml:space="preserve">    Recipiente (cilindro)</t>
        </is>
      </c>
      <c r="E575" s="29" t="n">
        <v>1</v>
      </c>
      <c r="F575" s="29" t="inlineStr">
        <is>
          <t>u</t>
        </is>
      </c>
      <c r="G575" s="31" t="n"/>
      <c r="H575" s="31">
        <f>H576+H577+H578+H579</f>
        <v/>
      </c>
      <c r="I575" s="29" t="n"/>
      <c r="J575" s="30" t="n"/>
      <c r="K575" s="29" t="inlineStr">
        <is>
          <t>Compra / armado</t>
        </is>
      </c>
      <c r="L575" s="29" t="n"/>
      <c r="M575" s="30" t="n"/>
      <c r="N575" s="30" t="n"/>
      <c r="O575" s="30" t="n"/>
      <c r="P575" s="30" t="inlineStr">
        <is>
          <t>IRAM 3523 / 3550 (recipiente)</t>
        </is>
      </c>
      <c r="Q575" s="29" t="inlineStr">
        <is>
          <t>P</t>
        </is>
      </c>
      <c r="R575" s="29" t="inlineStr">
        <is>
          <t>FL_DES_HCFC-HFC_5kg</t>
        </is>
      </c>
      <c r="S575" s="30" t="n"/>
    </row>
    <row r="576">
      <c r="A576" s="32" t="inlineStr">
        <is>
          <t>FL_MAT_HCFC-HFC_5kg</t>
        </is>
      </c>
      <c r="B576" s="32" t="n">
        <v>2</v>
      </c>
      <c r="C576" s="32" t="inlineStr">
        <is>
          <t>HCFCHFC5-01</t>
        </is>
      </c>
      <c r="D576" s="17" t="inlineStr">
        <is>
          <t xml:space="preserve">        Cuerpo (virola)</t>
        </is>
      </c>
      <c r="E576" s="32" t="n">
        <v>1</v>
      </c>
      <c r="F576" s="32" t="inlineStr">
        <is>
          <t>u</t>
        </is>
      </c>
      <c r="G576" s="33" t="n">
        <v>1.9541</v>
      </c>
      <c r="H576" s="33">
        <f>E576*G576</f>
        <v/>
      </c>
      <c r="I576" s="32" t="inlineStr">
        <is>
          <t>Chapa LAF IRAM-IAS U 500-05 e=1,6</t>
        </is>
      </c>
      <c r="J576" s="17" t="inlineStr">
        <is>
          <t>Ø153 × e1,6 × 327,3 de alto; desarrollo 475,6 × 327,3</t>
        </is>
      </c>
      <c r="K576" s="32" t="inlineStr">
        <is>
          <t>Compra (en el conjunto)</t>
        </is>
      </c>
      <c r="L576" s="32" t="inlineStr">
        <is>
          <t>No</t>
        </is>
      </c>
      <c r="M576" s="17" t="n"/>
      <c r="N576" s="17" t="n"/>
      <c r="O576" s="17" t="inlineStr">
        <is>
          <t>S4 - se compra terminado (tercerizado con sello IRAM)</t>
        </is>
      </c>
      <c r="P576" s="17" t="n"/>
      <c r="Q576" s="32" t="inlineStr">
        <is>
          <t>P</t>
        </is>
      </c>
      <c r="R576" s="32" t="inlineStr">
        <is>
          <t>FL_DES_HCFC-HFC_5kg</t>
        </is>
      </c>
      <c r="S576" s="17" t="inlineStr">
        <is>
          <t>costura long. MAG</t>
        </is>
      </c>
    </row>
    <row r="577">
      <c r="A577" s="32" t="inlineStr">
        <is>
          <t>FL_MAT_HCFC-HFC_5kg</t>
        </is>
      </c>
      <c r="B577" s="32" t="n">
        <v>2</v>
      </c>
      <c r="C577" s="32" t="inlineStr">
        <is>
          <t>HCFCHFC5-02</t>
        </is>
      </c>
      <c r="D577" s="17" t="inlineStr">
        <is>
          <t xml:space="preserve">        Cúpula</t>
        </is>
      </c>
      <c r="E577" s="32" t="n">
        <v>1</v>
      </c>
      <c r="F577" s="32" t="inlineStr">
        <is>
          <t>u</t>
        </is>
      </c>
      <c r="G577" s="33" t="n">
        <v>0.3608</v>
      </c>
      <c r="H577" s="33">
        <f>E577*G577</f>
        <v/>
      </c>
      <c r="I577" s="32" t="inlineStr">
        <is>
          <t>Chapa LAF IRAM-IAS U 500-05 e=1,6</t>
        </is>
      </c>
      <c r="J577" s="17" t="inlineStr">
        <is>
          <t>Ø153 × e1,6 × 53,2 de alto; disco Ø221</t>
        </is>
      </c>
      <c r="K577" s="32" t="inlineStr">
        <is>
          <t>Compra (en el conjunto)</t>
        </is>
      </c>
      <c r="L577" s="32" t="inlineStr">
        <is>
          <t>No</t>
        </is>
      </c>
      <c r="M577" s="17" t="n"/>
      <c r="N577" s="17" t="n"/>
      <c r="O577" s="17" t="inlineStr">
        <is>
          <t>S4 - se compra terminado (tercerizado con sello IRAM)</t>
        </is>
      </c>
      <c r="P577" s="17" t="n"/>
      <c r="Q577" s="32" t="inlineStr">
        <is>
          <t>P</t>
        </is>
      </c>
      <c r="R577" s="32" t="inlineStr">
        <is>
          <t>FL_DES_HCFC-HFC_5kg</t>
        </is>
      </c>
      <c r="S577" s="17" t="inlineStr">
        <is>
          <t>embutida</t>
        </is>
      </c>
    </row>
    <row r="578">
      <c r="A578" s="32" t="inlineStr">
        <is>
          <t>FL_MAT_HCFC-HFC_5kg</t>
        </is>
      </c>
      <c r="B578" s="32" t="n">
        <v>2</v>
      </c>
      <c r="C578" s="32" t="inlineStr">
        <is>
          <t>HCFCHFC5-03</t>
        </is>
      </c>
      <c r="D578" s="17" t="inlineStr">
        <is>
          <t xml:space="preserve">        Fondo</t>
        </is>
      </c>
      <c r="E578" s="32" t="n">
        <v>1</v>
      </c>
      <c r="F578" s="32" t="inlineStr">
        <is>
          <t>u</t>
        </is>
      </c>
      <c r="G578" s="33" t="n">
        <v>0.3173</v>
      </c>
      <c r="H578" s="33">
        <f>E578*G578</f>
        <v/>
      </c>
      <c r="I578" s="32" t="inlineStr">
        <is>
          <t>Chapa LAF IRAM-IAS U 500-05 e=1,6</t>
        </is>
      </c>
      <c r="J578" s="17" t="inlineStr">
        <is>
          <t>Ø153 × e1,6 × 26 de alto; disco Ø177</t>
        </is>
      </c>
      <c r="K578" s="32" t="inlineStr">
        <is>
          <t>Compra (en el conjunto)</t>
        </is>
      </c>
      <c r="L578" s="32" t="inlineStr">
        <is>
          <t>No</t>
        </is>
      </c>
      <c r="M578" s="17" t="n"/>
      <c r="N578" s="17" t="n"/>
      <c r="O578" s="17" t="inlineStr">
        <is>
          <t>S4 - se compra terminado (tercerizado con sello IRAM)</t>
        </is>
      </c>
      <c r="P578" s="17" t="n"/>
      <c r="Q578" s="32" t="inlineStr">
        <is>
          <t>P</t>
        </is>
      </c>
      <c r="R578" s="32" t="inlineStr">
        <is>
          <t>FL_DES_HCFC-HFC_5kg</t>
        </is>
      </c>
      <c r="S578" s="17" t="inlineStr">
        <is>
          <t>embutido</t>
        </is>
      </c>
    </row>
    <row r="579">
      <c r="A579" s="32" t="inlineStr">
        <is>
          <t>FL_MAT_HCFC-HFC_5kg</t>
        </is>
      </c>
      <c r="B579" s="32" t="n">
        <v>2</v>
      </c>
      <c r="C579" s="32" t="inlineStr">
        <is>
          <t>HCFCHFC5-04</t>
        </is>
      </c>
      <c r="D579" s="17" t="inlineStr">
        <is>
          <t xml:space="preserve">        Cuello roscado</t>
        </is>
      </c>
      <c r="E579" s="32" t="n">
        <v>1</v>
      </c>
      <c r="F579" s="32" t="inlineStr">
        <is>
          <t>u</t>
        </is>
      </c>
      <c r="G579" s="33" t="n">
        <v>0.0589</v>
      </c>
      <c r="H579" s="33">
        <f>E579*G579</f>
        <v/>
      </c>
      <c r="I579" s="32" t="inlineStr">
        <is>
          <t>Acero SAE 1010</t>
        </is>
      </c>
      <c r="J579" s="17" t="inlineStr">
        <is>
          <t>Ø37 × 15 de alto, rosca M30x1,5, asiento Ø35</t>
        </is>
      </c>
      <c r="K579" s="32" t="inlineStr">
        <is>
          <t>Compra (en el conjunto)</t>
        </is>
      </c>
      <c r="L579" s="32" t="inlineStr">
        <is>
          <t>No</t>
        </is>
      </c>
      <c r="M579" s="17" t="n"/>
      <c r="N579" s="17" t="n"/>
      <c r="O579" s="17" t="inlineStr">
        <is>
          <t>S4 - se compra terminado (tercerizado con sello IRAM)</t>
        </is>
      </c>
      <c r="P579" s="17" t="n"/>
      <c r="Q579" s="32" t="inlineStr">
        <is>
          <t>P</t>
        </is>
      </c>
      <c r="R579" s="32" t="inlineStr">
        <is>
          <t>FL_DES_HCFC-HFC_5kg</t>
        </is>
      </c>
      <c r="S579" s="17" t="inlineStr">
        <is>
          <t>M30x1,5</t>
        </is>
      </c>
    </row>
    <row r="580">
      <c r="A580" s="29" t="inlineStr">
        <is>
          <t>FL_MAT_HCFC-HFC_5kg</t>
        </is>
      </c>
      <c r="B580" s="29" t="n">
        <v>1</v>
      </c>
      <c r="C580" s="29" t="inlineStr">
        <is>
          <t>HCFCHFC5-S2</t>
        </is>
      </c>
      <c r="D580" s="30" t="inlineStr">
        <is>
          <t xml:space="preserve">    Conjunto de válvula</t>
        </is>
      </c>
      <c r="E580" s="29" t="n">
        <v>1</v>
      </c>
      <c r="F580" s="29" t="inlineStr">
        <is>
          <t>u</t>
        </is>
      </c>
      <c r="G580" s="31" t="n"/>
      <c r="H580" s="31">
        <f>H581+H582+H583+H585+H586+H587+H588+H589+H590+H591+H592</f>
        <v/>
      </c>
      <c r="I580" s="29" t="n"/>
      <c r="J580" s="30" t="n"/>
      <c r="K580" s="29" t="inlineStr">
        <is>
          <t>Compra / armado</t>
        </is>
      </c>
      <c r="L580" s="29" t="n"/>
      <c r="M580" s="30" t="n"/>
      <c r="N580" s="30" t="n"/>
      <c r="O580" s="30" t="n"/>
      <c r="P580" s="30" t="inlineStr">
        <is>
          <t>Manómetro IRAM 3533</t>
        </is>
      </c>
      <c r="Q580" s="29" t="inlineStr">
        <is>
          <t>P</t>
        </is>
      </c>
      <c r="R580" s="29" t="inlineStr">
        <is>
          <t>FL_DES_HCFC-HFC_5kg</t>
        </is>
      </c>
      <c r="S580" s="30" t="n"/>
    </row>
    <row r="581">
      <c r="A581" s="32" t="inlineStr">
        <is>
          <t>FL_MAT_HCFC-HFC_5kg</t>
        </is>
      </c>
      <c r="B581" s="32" t="n">
        <v>2</v>
      </c>
      <c r="C581" s="32" t="inlineStr">
        <is>
          <t>HCFCHFC5-05</t>
        </is>
      </c>
      <c r="D581" s="17" t="inlineStr">
        <is>
          <t xml:space="preserve">        Espiga roscada</t>
        </is>
      </c>
      <c r="E581" s="32" t="n">
        <v>1</v>
      </c>
      <c r="F581" s="32" t="inlineStr">
        <is>
          <t>u</t>
        </is>
      </c>
      <c r="G581" s="33" t="n">
        <v>0.0245</v>
      </c>
      <c r="H581" s="33">
        <f>E581*G581</f>
        <v/>
      </c>
      <c r="I581" s="32" t="inlineStr">
        <is>
          <t>Latón forjado</t>
        </is>
      </c>
      <c r="J581" s="17" t="inlineStr">
        <is>
          <t>29,8 × 29,8 × 10,8</t>
        </is>
      </c>
      <c r="K581" s="32" t="inlineStr">
        <is>
          <t>Compra (en el conjunto)</t>
        </is>
      </c>
      <c r="L581" s="32" t="inlineStr">
        <is>
          <t>No</t>
        </is>
      </c>
      <c r="M581" s="17" t="n"/>
      <c r="N581" s="17" t="n"/>
      <c r="O581" s="17" t="inlineStr">
        <is>
          <t>S4 - se compra terminado (tercerizado con sello IRAM)</t>
        </is>
      </c>
      <c r="P581" s="17" t="n"/>
      <c r="Q581" s="32" t="inlineStr">
        <is>
          <t>P</t>
        </is>
      </c>
      <c r="R581" s="32" t="inlineStr">
        <is>
          <t>FL_DES_HCFC-HFC_5kg</t>
        </is>
      </c>
      <c r="S581" s="17" t="n"/>
    </row>
    <row r="582">
      <c r="A582" s="32" t="inlineStr">
        <is>
          <t>FL_MAT_HCFC-HFC_5kg</t>
        </is>
      </c>
      <c r="B582" s="32" t="n">
        <v>2</v>
      </c>
      <c r="C582" s="32" t="inlineStr">
        <is>
          <t>HCFCHFC5-06</t>
        </is>
      </c>
      <c r="D582" s="17" t="inlineStr">
        <is>
          <t xml:space="preserve">        Collarín de válvula</t>
        </is>
      </c>
      <c r="E582" s="32" t="n">
        <v>1</v>
      </c>
      <c r="F582" s="32" t="inlineStr">
        <is>
          <t>u</t>
        </is>
      </c>
      <c r="G582" s="33" t="n">
        <v>0.0053</v>
      </c>
      <c r="H582" s="33">
        <f>E582*G582</f>
        <v/>
      </c>
      <c r="I582" s="32" t="inlineStr">
        <is>
          <t>Latón forjado</t>
        </is>
      </c>
      <c r="J582" s="17" t="inlineStr">
        <is>
          <t>27,2 × 27,2 × 4,1</t>
        </is>
      </c>
      <c r="K582" s="32" t="inlineStr">
        <is>
          <t>Compra (en el conjunto)</t>
        </is>
      </c>
      <c r="L582" s="32" t="inlineStr">
        <is>
          <t>No</t>
        </is>
      </c>
      <c r="M582" s="17" t="n"/>
      <c r="N582" s="17" t="n"/>
      <c r="O582" s="17" t="inlineStr">
        <is>
          <t>S4 - se compra terminado (tercerizado con sello IRAM)</t>
        </is>
      </c>
      <c r="P582" s="17" t="n"/>
      <c r="Q582" s="32" t="inlineStr">
        <is>
          <t>P</t>
        </is>
      </c>
      <c r="R582" s="32" t="inlineStr">
        <is>
          <t>FL_DES_HCFC-HFC_5kg</t>
        </is>
      </c>
      <c r="S582" s="17" t="n"/>
    </row>
    <row r="583">
      <c r="A583" s="32" t="inlineStr">
        <is>
          <t>FL_MAT_HCFC-HFC_5kg</t>
        </is>
      </c>
      <c r="B583" s="32" t="n">
        <v>2</v>
      </c>
      <c r="C583" s="32" t="inlineStr">
        <is>
          <t>HCFCHFC5-07</t>
        </is>
      </c>
      <c r="D583" s="17" t="inlineStr">
        <is>
          <t xml:space="preserve">        Cuerpo de válvula</t>
        </is>
      </c>
      <c r="E583" s="32" t="n">
        <v>1</v>
      </c>
      <c r="F583" s="32" t="inlineStr">
        <is>
          <t>u</t>
        </is>
      </c>
      <c r="G583" s="33" t="n">
        <v>0.1328</v>
      </c>
      <c r="H583" s="33">
        <f>E583*G583</f>
        <v/>
      </c>
      <c r="I583" s="32" t="inlineStr">
        <is>
          <t>Latón forjado</t>
        </is>
      </c>
      <c r="J583" s="17" t="inlineStr">
        <is>
          <t>43,9 × 32 × 24,5</t>
        </is>
      </c>
      <c r="K583" s="32" t="inlineStr">
        <is>
          <t>Compra (en el conjunto)</t>
        </is>
      </c>
      <c r="L583" s="32" t="inlineStr">
        <is>
          <t>No</t>
        </is>
      </c>
      <c r="M583" s="17" t="n"/>
      <c r="N583" s="17" t="n"/>
      <c r="O583" s="17" t="inlineStr">
        <is>
          <t>S4 - se compra terminado (tercerizado con sello IRAM)</t>
        </is>
      </c>
      <c r="P583" s="17" t="n"/>
      <c r="Q583" s="32" t="inlineStr">
        <is>
          <t>P</t>
        </is>
      </c>
      <c r="R583" s="32" t="inlineStr">
        <is>
          <t>FL_DES_HCFC-HFC_5kg</t>
        </is>
      </c>
      <c r="S583" s="17" t="n"/>
    </row>
    <row r="584">
      <c r="A584" s="32" t="inlineStr">
        <is>
          <t>FL_MAT_HCFC-HFC_5kg</t>
        </is>
      </c>
      <c r="B584" s="32" t="n">
        <v>2</v>
      </c>
      <c r="C584" s="32" t="inlineStr">
        <is>
          <t>HCFCHFC5-08</t>
        </is>
      </c>
      <c r="D584" s="17" t="inlineStr">
        <is>
          <t xml:space="preserve">        Manómetro</t>
        </is>
      </c>
      <c r="E584" s="32" t="n">
        <v>1</v>
      </c>
      <c r="F584" s="32" t="inlineStr">
        <is>
          <t>u</t>
        </is>
      </c>
      <c r="G584" s="33" t="n"/>
      <c r="H584" s="33" t="n"/>
      <c r="I584" s="32" t="inlineStr">
        <is>
          <t>Comercial</t>
        </is>
      </c>
      <c r="J584" s="17" t="inlineStr">
        <is>
          <t>Ø36 esfera, rango 0-2 MPa, sector verde en 0,8</t>
        </is>
      </c>
      <c r="K584" s="32" t="inlineStr">
        <is>
          <t>Compra (en el conjunto)</t>
        </is>
      </c>
      <c r="L584" s="32" t="inlineStr">
        <is>
          <t>No</t>
        </is>
      </c>
      <c r="M584" s="17" t="n"/>
      <c r="N584" s="17" t="n"/>
      <c r="O584" s="17" t="inlineStr">
        <is>
          <t>S4 - se compra terminado (tercerizado con sello IRAM)</t>
        </is>
      </c>
      <c r="P584" s="17" t="inlineStr">
        <is>
          <t>IRAM 3533</t>
        </is>
      </c>
      <c r="Q584" s="32" t="inlineStr">
        <is>
          <t>P</t>
        </is>
      </c>
      <c r="R584" s="32" t="inlineStr">
        <is>
          <t>FL_DES_HCFC-HFC_5kg</t>
        </is>
      </c>
      <c r="S584" s="17" t="inlineStr">
        <is>
          <t>Pieza comercial; sello IRAM 3533; peso: completar con la ficha del proveedor (no afecta el MRP)</t>
        </is>
      </c>
    </row>
    <row r="585">
      <c r="A585" s="32" t="inlineStr">
        <is>
          <t>FL_MAT_HCFC-HFC_5kg</t>
        </is>
      </c>
      <c r="B585" s="32" t="n">
        <v>2</v>
      </c>
      <c r="C585" s="32" t="inlineStr">
        <is>
          <t>HCFCHFC5-09</t>
        </is>
      </c>
      <c r="D585" s="17" t="inlineStr">
        <is>
          <t xml:space="preserve">        Vástago</t>
        </is>
      </c>
      <c r="E585" s="32" t="n">
        <v>1</v>
      </c>
      <c r="F585" s="32" t="inlineStr">
        <is>
          <t>u</t>
        </is>
      </c>
      <c r="G585" s="33" t="n">
        <v>0.0137</v>
      </c>
      <c r="H585" s="33">
        <f>E585*G585</f>
        <v/>
      </c>
      <c r="I585" s="32" t="inlineStr">
        <is>
          <t>Latón</t>
        </is>
      </c>
      <c r="J585" s="17" t="inlineStr">
        <is>
          <t>35,6 × 14 × 14</t>
        </is>
      </c>
      <c r="K585" s="32" t="inlineStr">
        <is>
          <t>Compra (en el conjunto)</t>
        </is>
      </c>
      <c r="L585" s="32" t="inlineStr">
        <is>
          <t>No</t>
        </is>
      </c>
      <c r="M585" s="17" t="n"/>
      <c r="N585" s="17" t="n"/>
      <c r="O585" s="17" t="inlineStr">
        <is>
          <t>S4 - se compra terminado (tercerizado con sello IRAM)</t>
        </is>
      </c>
      <c r="P585" s="17" t="n"/>
      <c r="Q585" s="32" t="inlineStr">
        <is>
          <t>P</t>
        </is>
      </c>
      <c r="R585" s="32" t="inlineStr">
        <is>
          <t>FL_DES_HCFC-HFC_5kg</t>
        </is>
      </c>
      <c r="S585" s="17" t="inlineStr">
        <is>
          <t>con junta tórica</t>
        </is>
      </c>
    </row>
    <row r="586">
      <c r="A586" s="32" t="inlineStr">
        <is>
          <t>FL_MAT_HCFC-HFC_5kg</t>
        </is>
      </c>
      <c r="B586" s="32" t="n">
        <v>2</v>
      </c>
      <c r="C586" s="32" t="inlineStr">
        <is>
          <t>HCFCHFC5-10</t>
        </is>
      </c>
      <c r="D586" s="17" t="inlineStr">
        <is>
          <t xml:space="preserve">        Resorte de válvula</t>
        </is>
      </c>
      <c r="E586" s="32" t="n">
        <v>1</v>
      </c>
      <c r="F586" s="32" t="inlineStr">
        <is>
          <t>u</t>
        </is>
      </c>
      <c r="G586" s="33" t="n">
        <v>0.0049</v>
      </c>
      <c r="H586" s="33">
        <f>E586*G586</f>
        <v/>
      </c>
      <c r="I586" s="32" t="inlineStr">
        <is>
          <t>Alambre acero inox. AISI 302</t>
        </is>
      </c>
      <c r="J586" s="17" t="inlineStr">
        <is>
          <t>28,8 × 17,3 × 17,3</t>
        </is>
      </c>
      <c r="K586" s="32" t="inlineStr">
        <is>
          <t>Compra (en el conjunto)</t>
        </is>
      </c>
      <c r="L586" s="32" t="inlineStr">
        <is>
          <t>No</t>
        </is>
      </c>
      <c r="M586" s="17" t="n"/>
      <c r="N586" s="17" t="n"/>
      <c r="O586" s="17" t="inlineStr">
        <is>
          <t>S4 - se compra terminado (tercerizado con sello IRAM)</t>
        </is>
      </c>
      <c r="P586" s="17" t="n"/>
      <c r="Q586" s="32" t="inlineStr">
        <is>
          <t>P</t>
        </is>
      </c>
      <c r="R586" s="32" t="inlineStr">
        <is>
          <t>FL_DES_HCFC-HFC_5kg</t>
        </is>
      </c>
      <c r="S586" s="17" t="inlineStr">
        <is>
          <t>cierre del vástago</t>
        </is>
      </c>
    </row>
    <row r="587">
      <c r="A587" s="32" t="inlineStr">
        <is>
          <t>FL_MAT_HCFC-HFC_5kg</t>
        </is>
      </c>
      <c r="B587" s="32" t="n">
        <v>2</v>
      </c>
      <c r="C587" s="32" t="inlineStr">
        <is>
          <t>HCFCHFC5-11</t>
        </is>
      </c>
      <c r="D587" s="17" t="inlineStr">
        <is>
          <t xml:space="preserve">        Eje de palanca</t>
        </is>
      </c>
      <c r="E587" s="32" t="n">
        <v>1</v>
      </c>
      <c r="F587" s="32" t="inlineStr">
        <is>
          <t>u</t>
        </is>
      </c>
      <c r="G587" s="33" t="n">
        <v>0.0033</v>
      </c>
      <c r="H587" s="33">
        <f>E587*G587</f>
        <v/>
      </c>
      <c r="I587" s="32" t="inlineStr">
        <is>
          <t>Acero inox. AISI 304</t>
        </is>
      </c>
      <c r="J587" s="17" t="inlineStr">
        <is>
          <t>33 × 4 × 4</t>
        </is>
      </c>
      <c r="K587" s="32" t="inlineStr">
        <is>
          <t>Compra (en el conjunto)</t>
        </is>
      </c>
      <c r="L587" s="32" t="inlineStr">
        <is>
          <t>No</t>
        </is>
      </c>
      <c r="M587" s="17" t="n"/>
      <c r="N587" s="17" t="n"/>
      <c r="O587" s="17" t="inlineStr">
        <is>
          <t>S4 - se compra terminado (tercerizado con sello IRAM)</t>
        </is>
      </c>
      <c r="P587" s="17" t="n"/>
      <c r="Q587" s="32" t="inlineStr">
        <is>
          <t>P</t>
        </is>
      </c>
      <c r="R587" s="32" t="inlineStr">
        <is>
          <t>FL_DES_HCFC-HFC_5kg</t>
        </is>
      </c>
      <c r="S587" s="17" t="n"/>
    </row>
    <row r="588">
      <c r="A588" s="32" t="inlineStr">
        <is>
          <t>FL_MAT_HCFC-HFC_5kg</t>
        </is>
      </c>
      <c r="B588" s="32" t="n">
        <v>2</v>
      </c>
      <c r="C588" s="32" t="inlineStr">
        <is>
          <t>HCFCHFC5-12</t>
        </is>
      </c>
      <c r="D588" s="17" t="inlineStr">
        <is>
          <t xml:space="preserve">        Pasador de seguridad</t>
        </is>
      </c>
      <c r="E588" s="32" t="n">
        <v>1</v>
      </c>
      <c r="F588" s="32" t="inlineStr">
        <is>
          <t>u</t>
        </is>
      </c>
      <c r="G588" s="33" t="n">
        <v>0.0055</v>
      </c>
      <c r="H588" s="33">
        <f>E588*G588</f>
        <v/>
      </c>
      <c r="I588" s="32" t="inlineStr">
        <is>
          <t>Alambre acero inox. AISI 304</t>
        </is>
      </c>
      <c r="J588" s="17" t="inlineStr">
        <is>
          <t>45,9 × 21 × 20,8</t>
        </is>
      </c>
      <c r="K588" s="32" t="inlineStr">
        <is>
          <t>Compra (en el conjunto)</t>
        </is>
      </c>
      <c r="L588" s="32" t="inlineStr">
        <is>
          <t>No</t>
        </is>
      </c>
      <c r="M588" s="17" t="n"/>
      <c r="N588" s="17" t="n"/>
      <c r="O588" s="17" t="inlineStr">
        <is>
          <t>S4 - se compra terminado (tercerizado con sello IRAM)</t>
        </is>
      </c>
      <c r="P588" s="17" t="n"/>
      <c r="Q588" s="32" t="inlineStr">
        <is>
          <t>P</t>
        </is>
      </c>
      <c r="R588" s="32" t="inlineStr">
        <is>
          <t>FL_DES_HCFC-HFC_5kg</t>
        </is>
      </c>
      <c r="S588" s="17" t="inlineStr">
        <is>
          <t>con precinto</t>
        </is>
      </c>
    </row>
    <row r="589">
      <c r="A589" s="32" t="inlineStr">
        <is>
          <t>FL_MAT_HCFC-HFC_5kg</t>
        </is>
      </c>
      <c r="B589" s="32" t="n">
        <v>2</v>
      </c>
      <c r="C589" s="32" t="inlineStr">
        <is>
          <t>HCFCHFC5-13</t>
        </is>
      </c>
      <c r="D589" s="17" t="inlineStr">
        <is>
          <t xml:space="preserve">        Manija de accionamiento</t>
        </is>
      </c>
      <c r="E589" s="32" t="n">
        <v>1</v>
      </c>
      <c r="F589" s="32" t="inlineStr">
        <is>
          <t>u</t>
        </is>
      </c>
      <c r="G589" s="33" t="n">
        <v>0.0959</v>
      </c>
      <c r="H589" s="33">
        <f>E589*G589</f>
        <v/>
      </c>
      <c r="I589" s="32" t="inlineStr">
        <is>
          <t>Chapa acero SAE 1010 pintada</t>
        </is>
      </c>
      <c r="J589" s="17" t="inlineStr">
        <is>
          <t>124,6 × 31 × 29,3</t>
        </is>
      </c>
      <c r="K589" s="32" t="inlineStr">
        <is>
          <t>Compra (en el conjunto)</t>
        </is>
      </c>
      <c r="L589" s="32" t="inlineStr">
        <is>
          <t>No</t>
        </is>
      </c>
      <c r="M589" s="17" t="n"/>
      <c r="N589" s="17" t="n"/>
      <c r="O589" s="17" t="inlineStr">
        <is>
          <t>S4 - se compra terminado (tercerizado con sello IRAM)</t>
        </is>
      </c>
      <c r="P589" s="17" t="n"/>
      <c r="Q589" s="32" t="inlineStr">
        <is>
          <t>P</t>
        </is>
      </c>
      <c r="R589" s="32" t="inlineStr">
        <is>
          <t>FL_DES_HCFC-HFC_5kg</t>
        </is>
      </c>
      <c r="S589" s="17" t="n"/>
    </row>
    <row r="590">
      <c r="A590" s="32" t="inlineStr">
        <is>
          <t>FL_MAT_HCFC-HFC_5kg</t>
        </is>
      </c>
      <c r="B590" s="32" t="n">
        <v>2</v>
      </c>
      <c r="C590" s="32" t="inlineStr">
        <is>
          <t>HCFCHFC5-14</t>
        </is>
      </c>
      <c r="D590" s="17" t="inlineStr">
        <is>
          <t xml:space="preserve">        Manija de transporte</t>
        </is>
      </c>
      <c r="E590" s="32" t="n">
        <v>1</v>
      </c>
      <c r="F590" s="32" t="inlineStr">
        <is>
          <t>u</t>
        </is>
      </c>
      <c r="G590" s="33" t="n">
        <v>0.0757</v>
      </c>
      <c r="H590" s="33">
        <f>E590*G590</f>
        <v/>
      </c>
      <c r="I590" s="32" t="inlineStr">
        <is>
          <t>Chapa acero SAE 1010 pintada</t>
        </is>
      </c>
      <c r="J590" s="17" t="inlineStr">
        <is>
          <t>102,6 × 35 × 25,4</t>
        </is>
      </c>
      <c r="K590" s="32" t="inlineStr">
        <is>
          <t>Compra (en el conjunto)</t>
        </is>
      </c>
      <c r="L590" s="32" t="inlineStr">
        <is>
          <t>No</t>
        </is>
      </c>
      <c r="M590" s="17" t="n"/>
      <c r="N590" s="17" t="n"/>
      <c r="O590" s="17" t="inlineStr">
        <is>
          <t>S4 - se compra terminado (tercerizado con sello IRAM)</t>
        </is>
      </c>
      <c r="P590" s="17" t="n"/>
      <c r="Q590" s="32" t="inlineStr">
        <is>
          <t>P</t>
        </is>
      </c>
      <c r="R590" s="32" t="inlineStr">
        <is>
          <t>FL_DES_HCFC-HFC_5kg</t>
        </is>
      </c>
      <c r="S590" s="17" t="n"/>
    </row>
    <row r="591">
      <c r="A591" s="32" t="inlineStr">
        <is>
          <t>FL_MAT_HCFC-HFC_5kg</t>
        </is>
      </c>
      <c r="B591" s="32" t="n">
        <v>2</v>
      </c>
      <c r="C591" s="32" t="inlineStr">
        <is>
          <t>HCFCHFC5-15</t>
        </is>
      </c>
      <c r="D591" s="17" t="inlineStr">
        <is>
          <t xml:space="preserve">        Caño de pesca (sifón)</t>
        </is>
      </c>
      <c r="E591" s="32" t="n">
        <v>1</v>
      </c>
      <c r="F591" s="32" t="inlineStr">
        <is>
          <t>u</t>
        </is>
      </c>
      <c r="G591" s="33" t="n">
        <v>0.0462</v>
      </c>
      <c r="H591" s="33">
        <f>E591*G591</f>
        <v/>
      </c>
      <c r="I591" s="32" t="inlineStr">
        <is>
          <t>Tubo PVC rígido</t>
        </is>
      </c>
      <c r="J591" s="17" t="inlineStr">
        <is>
          <t>Ø21,3 × 353,6 de largo</t>
        </is>
      </c>
      <c r="K591" s="32" t="inlineStr">
        <is>
          <t>Compra (en el conjunto)</t>
        </is>
      </c>
      <c r="L591" s="32" t="inlineStr">
        <is>
          <t>No</t>
        </is>
      </c>
      <c r="M591" s="17" t="n"/>
      <c r="N591" s="17" t="n"/>
      <c r="O591" s="17" t="inlineStr">
        <is>
          <t>S4 - se compra terminado (tercerizado con sello IRAM)</t>
        </is>
      </c>
      <c r="P591" s="17" t="n"/>
      <c r="Q591" s="32" t="inlineStr">
        <is>
          <t>P</t>
        </is>
      </c>
      <c r="R591" s="32" t="inlineStr">
        <is>
          <t>FL_DES_HCFC-HFC_5kg</t>
        </is>
      </c>
      <c r="S591" s="17" t="n"/>
    </row>
    <row r="592">
      <c r="A592" s="32" t="inlineStr">
        <is>
          <t>FL_MAT_HCFC-HFC_5kg</t>
        </is>
      </c>
      <c r="B592" s="32" t="n">
        <v>2</v>
      </c>
      <c r="C592" s="32" t="inlineStr">
        <is>
          <t>HCFCHFC5-25</t>
        </is>
      </c>
      <c r="D592" s="17" t="inlineStr">
        <is>
          <t xml:space="preserve">        Junta tórica de asiento</t>
        </is>
      </c>
      <c r="E592" s="32" t="n">
        <v>1</v>
      </c>
      <c r="F592" s="32" t="inlineStr">
        <is>
          <t>u</t>
        </is>
      </c>
      <c r="G592" s="33" t="n">
        <v>0.001</v>
      </c>
      <c r="H592" s="33">
        <f>E592*G592</f>
        <v/>
      </c>
      <c r="I592" s="32" t="inlineStr">
        <is>
          <t>EPDM (compatible con HCFC/HFC)</t>
        </is>
      </c>
      <c r="J592" s="17" t="inlineStr">
        <is>
          <t>Ø32,8 ext. × cordón 3</t>
        </is>
      </c>
      <c r="K592" s="32" t="inlineStr">
        <is>
          <t>Compra (en el conjunto)</t>
        </is>
      </c>
      <c r="L592" s="32" t="inlineStr">
        <is>
          <t>No</t>
        </is>
      </c>
      <c r="M592" s="17" t="n"/>
      <c r="N592" s="17" t="n"/>
      <c r="O592" s="17" t="inlineStr">
        <is>
          <t>S4 - se compra terminado (tercerizado con sello IRAM)</t>
        </is>
      </c>
      <c r="P592" s="17" t="n"/>
      <c r="Q592" s="32" t="inlineStr">
        <is>
          <t>P</t>
        </is>
      </c>
      <c r="R592" s="32" t="inlineStr">
        <is>
          <t>FL_DES_HCFC-HFC_5kg</t>
        </is>
      </c>
      <c r="S592" s="17" t="inlineStr">
        <is>
          <t>cambio c/recarga</t>
        </is>
      </c>
    </row>
    <row r="593">
      <c r="A593" s="32" t="inlineStr">
        <is>
          <t>FL_MAT_HCFC-HFC_5kg</t>
        </is>
      </c>
      <c r="B593" s="32" t="n">
        <v>2</v>
      </c>
      <c r="C593" s="32" t="inlineStr">
        <is>
          <t>HCFCHFC5-V2</t>
        </is>
      </c>
      <c r="D593" s="17" t="inlineStr">
        <is>
          <t xml:space="preserve">        Resorte de retorno del vástago</t>
        </is>
      </c>
      <c r="E593" s="32" t="n">
        <v>1</v>
      </c>
      <c r="F593" s="32" t="inlineStr">
        <is>
          <t>u</t>
        </is>
      </c>
      <c r="G593" s="33" t="n"/>
      <c r="H593" s="33" t="n"/>
      <c r="I593" s="32" t="inlineStr">
        <is>
          <t>Acero para resortes</t>
        </is>
      </c>
      <c r="J593" s="17" t="inlineStr">
        <is>
          <t>incluido en la válvula</t>
        </is>
      </c>
      <c r="K593" s="32" t="inlineStr">
        <is>
          <t>Compra (en el conjunto)</t>
        </is>
      </c>
      <c r="L593" s="32" t="inlineStr">
        <is>
          <t>No</t>
        </is>
      </c>
      <c r="M593" s="17" t="n"/>
      <c r="N593" s="17" t="n"/>
      <c r="O593" s="17" t="inlineStr">
        <is>
          <t>19 Ensamblaje</t>
        </is>
      </c>
      <c r="P593" s="17" t="n"/>
      <c r="Q593" s="32" t="inlineStr">
        <is>
          <t>Q</t>
        </is>
      </c>
      <c r="R593" s="32" t="n"/>
      <c r="S593" s="17" t="inlineStr">
        <is>
          <t>Lista de precios HZ: válvula «c/resorte» (Q-AGENTES)</t>
        </is>
      </c>
    </row>
    <row r="594">
      <c r="A594" s="32" t="inlineStr">
        <is>
          <t>FL_MAT_HCFC-HFC_5kg</t>
        </is>
      </c>
      <c r="B594" s="32" t="n">
        <v>2</v>
      </c>
      <c r="C594" s="32" t="inlineStr">
        <is>
          <t>HCFCHFC5-V3</t>
        </is>
      </c>
      <c r="D594" s="17" t="inlineStr">
        <is>
          <t xml:space="preserve">        Junta tórica del vástago</t>
        </is>
      </c>
      <c r="E594" s="32" t="n">
        <v>1</v>
      </c>
      <c r="F594" s="32" t="inlineStr">
        <is>
          <t>u</t>
        </is>
      </c>
      <c r="G594" s="33" t="n"/>
      <c r="H594" s="33" t="n"/>
      <c r="I594" s="32" t="inlineStr">
        <is>
          <t>NBR 70 Shore A</t>
        </is>
      </c>
      <c r="J594" s="17" t="inlineStr">
        <is>
          <t>incluida en la válvula</t>
        </is>
      </c>
      <c r="K594" s="32" t="inlineStr">
        <is>
          <t>Compra (en el conjunto)</t>
        </is>
      </c>
      <c r="L594" s="32" t="inlineStr">
        <is>
          <t>No</t>
        </is>
      </c>
      <c r="M594" s="17" t="n"/>
      <c r="N594" s="17" t="n"/>
      <c r="O594" s="17" t="inlineStr">
        <is>
          <t>19 Ensamblaje</t>
        </is>
      </c>
      <c r="P594" s="17" t="n"/>
      <c r="Q594" s="32" t="inlineStr">
        <is>
          <t>P</t>
        </is>
      </c>
      <c r="R594" s="32" t="n"/>
      <c r="S594" s="17" t="inlineStr">
        <is>
          <t>Figura en el plano como «vástago con junta tórica»</t>
        </is>
      </c>
    </row>
    <row r="595">
      <c r="A595" s="29" t="inlineStr">
        <is>
          <t>FL_MAT_HCFC-HFC_5kg</t>
        </is>
      </c>
      <c r="B595" s="29" t="n">
        <v>1</v>
      </c>
      <c r="C595" s="29" t="inlineStr">
        <is>
          <t>HCFCHFC5-S3</t>
        </is>
      </c>
      <c r="D595" s="30" t="inlineStr">
        <is>
          <t xml:space="preserve">    Dispositivo de descarga</t>
        </is>
      </c>
      <c r="E595" s="29" t="n">
        <v>1</v>
      </c>
      <c r="F595" s="29" t="inlineStr">
        <is>
          <t>u</t>
        </is>
      </c>
      <c r="G595" s="31" t="n"/>
      <c r="H595" s="31">
        <f>H596+H597+H598+H599</f>
        <v/>
      </c>
      <c r="I595" s="29" t="n"/>
      <c r="J595" s="30" t="n"/>
      <c r="K595" s="29" t="inlineStr">
        <is>
          <t>Compra / armado</t>
        </is>
      </c>
      <c r="L595" s="29" t="n"/>
      <c r="M595" s="30" t="n"/>
      <c r="N595" s="30" t="n"/>
      <c r="O595" s="30" t="n"/>
      <c r="P595" s="30" t="n"/>
      <c r="Q595" s="29" t="inlineStr">
        <is>
          <t>P</t>
        </is>
      </c>
      <c r="R595" s="29" t="inlineStr">
        <is>
          <t>FL_DES_HCFC-HFC_5kg</t>
        </is>
      </c>
      <c r="S595" s="30" t="n"/>
    </row>
    <row r="596">
      <c r="A596" s="32" t="inlineStr">
        <is>
          <t>FL_MAT_HCFC-HFC_5kg</t>
        </is>
      </c>
      <c r="B596" s="32" t="n">
        <v>2</v>
      </c>
      <c r="C596" s="32" t="inlineStr">
        <is>
          <t>HCFCHFC5-16</t>
        </is>
      </c>
      <c r="D596" s="17" t="inlineStr">
        <is>
          <t xml:space="preserve">        Racor de manguera</t>
        </is>
      </c>
      <c r="E596" s="32" t="n">
        <v>1</v>
      </c>
      <c r="F596" s="32" t="inlineStr">
        <is>
          <t>u</t>
        </is>
      </c>
      <c r="G596" s="33" t="n">
        <v>0.0394</v>
      </c>
      <c r="H596" s="33">
        <f>E596*G596</f>
        <v/>
      </c>
      <c r="I596" s="32" t="inlineStr">
        <is>
          <t>Latón</t>
        </is>
      </c>
      <c r="J596" s="17" t="inlineStr">
        <is>
          <t>19,4 × 18,8 × 18,8</t>
        </is>
      </c>
      <c r="K596" s="32" t="inlineStr">
        <is>
          <t>Compra (en el conjunto)</t>
        </is>
      </c>
      <c r="L596" s="32" t="inlineStr">
        <is>
          <t>No</t>
        </is>
      </c>
      <c r="M596" s="17" t="n"/>
      <c r="N596" s="17" t="n"/>
      <c r="O596" s="17" t="inlineStr">
        <is>
          <t>S4 - se compra terminado (tercerizado con sello IRAM)</t>
        </is>
      </c>
      <c r="P596" s="17" t="n"/>
      <c r="Q596" s="32" t="inlineStr">
        <is>
          <t>P</t>
        </is>
      </c>
      <c r="R596" s="32" t="inlineStr">
        <is>
          <t>FL_DES_HCFC-HFC_5kg</t>
        </is>
      </c>
      <c r="S596" s="17" t="n"/>
    </row>
    <row r="597">
      <c r="A597" s="32" t="inlineStr">
        <is>
          <t>FL_MAT_HCFC-HFC_5kg</t>
        </is>
      </c>
      <c r="B597" s="32" t="n">
        <v>2</v>
      </c>
      <c r="C597" s="32" t="inlineStr">
        <is>
          <t>HCFCHFC5-17</t>
        </is>
      </c>
      <c r="D597" s="17" t="inlineStr">
        <is>
          <t xml:space="preserve">        Manguera</t>
        </is>
      </c>
      <c r="E597" s="32" t="n">
        <v>1</v>
      </c>
      <c r="F597" s="32" t="inlineStr">
        <is>
          <t>u</t>
        </is>
      </c>
      <c r="G597" s="33" t="n">
        <v>0.0509</v>
      </c>
      <c r="H597" s="33">
        <f>E597*G597</f>
        <v/>
      </c>
      <c r="I597" s="32" t="inlineStr">
        <is>
          <t>Caucho sintético</t>
        </is>
      </c>
      <c r="J597" s="17" t="inlineStr">
        <is>
          <t>Ø16 × 329 de largo desarrollado</t>
        </is>
      </c>
      <c r="K597" s="32" t="inlineStr">
        <is>
          <t>Compra (en el conjunto)</t>
        </is>
      </c>
      <c r="L597" s="32" t="inlineStr">
        <is>
          <t>No</t>
        </is>
      </c>
      <c r="M597" s="17" t="n"/>
      <c r="N597" s="17" t="n"/>
      <c r="O597" s="17" t="inlineStr">
        <is>
          <t>S4 - se compra terminado (tercerizado con sello IRAM)</t>
        </is>
      </c>
      <c r="P597" s="17" t="n"/>
      <c r="Q597" s="32" t="inlineStr">
        <is>
          <t>P</t>
        </is>
      </c>
      <c r="R597" s="32" t="inlineStr">
        <is>
          <t>FL_DES_HCFC-HFC_5kg</t>
        </is>
      </c>
      <c r="S597" s="17" t="n"/>
    </row>
    <row r="598">
      <c r="A598" s="32" t="inlineStr">
        <is>
          <t>FL_MAT_HCFC-HFC_5kg</t>
        </is>
      </c>
      <c r="B598" s="32" t="n">
        <v>2</v>
      </c>
      <c r="C598" s="32" t="inlineStr">
        <is>
          <t>HCFCHFC5-18</t>
        </is>
      </c>
      <c r="D598" s="17" t="inlineStr">
        <is>
          <t xml:space="preserve">        Tobera con portatobera</t>
        </is>
      </c>
      <c r="E598" s="32" t="n">
        <v>1</v>
      </c>
      <c r="F598" s="32" t="inlineStr">
        <is>
          <t>u</t>
        </is>
      </c>
      <c r="G598" s="33" t="n">
        <v>0.0168</v>
      </c>
      <c r="H598" s="33">
        <f>E598*G598</f>
        <v/>
      </c>
      <c r="I598" s="32" t="inlineStr">
        <is>
          <t>Polipropileno</t>
        </is>
      </c>
      <c r="J598" s="17" t="inlineStr">
        <is>
          <t>73,5 × 19,9 × 19,9</t>
        </is>
      </c>
      <c r="K598" s="32" t="inlineStr">
        <is>
          <t>Compra (en el conjunto)</t>
        </is>
      </c>
      <c r="L598" s="32" t="inlineStr">
        <is>
          <t>No</t>
        </is>
      </c>
      <c r="M598" s="17" t="n"/>
      <c r="N598" s="17" t="n"/>
      <c r="O598" s="17" t="inlineStr">
        <is>
          <t>S4 - se compra terminado (tercerizado con sello IRAM)</t>
        </is>
      </c>
      <c r="P598" s="17" t="n"/>
      <c r="Q598" s="32" t="inlineStr">
        <is>
          <t>P</t>
        </is>
      </c>
      <c r="R598" s="32" t="inlineStr">
        <is>
          <t>FL_DES_HCFC-HFC_5kg</t>
        </is>
      </c>
      <c r="S598" s="17" t="n"/>
    </row>
    <row r="599">
      <c r="A599" s="32" t="inlineStr">
        <is>
          <t>FL_MAT_HCFC-HFC_5kg</t>
        </is>
      </c>
      <c r="B599" s="32" t="n">
        <v>2</v>
      </c>
      <c r="C599" s="32" t="inlineStr">
        <is>
          <t>HCFCHFC5-19</t>
        </is>
      </c>
      <c r="D599" s="17" t="inlineStr">
        <is>
          <t xml:space="preserve">        Suncho portatobera</t>
        </is>
      </c>
      <c r="E599" s="32" t="n">
        <v>1</v>
      </c>
      <c r="F599" s="32" t="inlineStr">
        <is>
          <t>u</t>
        </is>
      </c>
      <c r="G599" s="33" t="n">
        <v>0.0945</v>
      </c>
      <c r="H599" s="33">
        <f>E599*G599</f>
        <v/>
      </c>
      <c r="I599" s="32" t="inlineStr">
        <is>
          <t>Fleje acero SAE 1010 pintado</t>
        </is>
      </c>
      <c r="J599" s="17" t="inlineStr">
        <is>
          <t>166,6 × 156,6 × 14,4</t>
        </is>
      </c>
      <c r="K599" s="32" t="inlineStr">
        <is>
          <t>Compra (en el conjunto)</t>
        </is>
      </c>
      <c r="L599" s="32" t="inlineStr">
        <is>
          <t>No</t>
        </is>
      </c>
      <c r="M599" s="17" t="n"/>
      <c r="N599" s="17" t="n"/>
      <c r="O599" s="17" t="inlineStr">
        <is>
          <t>S4 - se compra terminado (tercerizado con sello IRAM)</t>
        </is>
      </c>
      <c r="P599" s="17" t="n"/>
      <c r="Q599" s="32" t="inlineStr">
        <is>
          <t>P</t>
        </is>
      </c>
      <c r="R599" s="32" t="inlineStr">
        <is>
          <t>FL_DES_HCFC-HFC_5kg</t>
        </is>
      </c>
      <c r="S599" s="17" t="n"/>
    </row>
    <row r="600">
      <c r="A600" s="29" t="inlineStr">
        <is>
          <t>FL_MAT_HCFC-HFC_5kg</t>
        </is>
      </c>
      <c r="B600" s="29" t="n">
        <v>1</v>
      </c>
      <c r="C600" s="29" t="inlineStr">
        <is>
          <t>HCFCHFC5-S5</t>
        </is>
      </c>
      <c r="D600" s="30" t="inlineStr">
        <is>
          <t xml:space="preserve">    Carga: agente extintor y gas impulsor</t>
        </is>
      </c>
      <c r="E600" s="29" t="n">
        <v>1</v>
      </c>
      <c r="F600" s="29" t="inlineStr">
        <is>
          <t>u</t>
        </is>
      </c>
      <c r="G600" s="31" t="n"/>
      <c r="H600" s="31">
        <f>H601+H602</f>
        <v/>
      </c>
      <c r="I600" s="29" t="n"/>
      <c r="J600" s="30" t="n"/>
      <c r="K600" s="29" t="inlineStr">
        <is>
          <t>Compra</t>
        </is>
      </c>
      <c r="L600" s="29" t="n"/>
      <c r="M600" s="30" t="n"/>
      <c r="N600" s="30" t="n"/>
      <c r="O600" s="30" t="n"/>
      <c r="P600" s="30" t="n"/>
      <c r="Q600" s="29" t="n"/>
      <c r="R600" s="29" t="n"/>
      <c r="S600" s="30" t="n"/>
    </row>
    <row r="601">
      <c r="A601" s="32" t="inlineStr">
        <is>
          <t>FL_MAT_HCFC-HFC_5kg</t>
        </is>
      </c>
      <c r="B601" s="32" t="n">
        <v>2</v>
      </c>
      <c r="C601" s="32" t="inlineStr">
        <is>
          <t>HCFCHFC5-A1</t>
        </is>
      </c>
      <c r="D601" s="17" t="inlineStr">
        <is>
          <t xml:space="preserve">        HCFC 123 / HFC 236fa - HCFC-123 (Mezcla B) &gt; 93 %</t>
        </is>
      </c>
      <c r="E601" s="32" t="n">
        <v>5</v>
      </c>
      <c r="F601" s="32" t="inlineStr">
        <is>
          <t>kg</t>
        </is>
      </c>
      <c r="G601" s="33" t="n">
        <v>1</v>
      </c>
      <c r="H601" s="33">
        <f>E601*G601</f>
        <v/>
      </c>
      <c r="I601" s="32" t="inlineStr">
        <is>
          <t>HCFC 123 / HFC 236fa - HCFC-123 (Mezcla B) &gt; 93 %</t>
        </is>
      </c>
      <c r="J601" s="17" t="inlineStr">
        <is>
          <t>nominal 5 kg; tolerancia 0 / -3 % (IRAM 3517-2:2020 tabla 3)</t>
        </is>
      </c>
      <c r="K601" s="32" t="inlineStr">
        <is>
          <t>Compra</t>
        </is>
      </c>
      <c r="L601" s="32" t="inlineStr">
        <is>
          <t>No</t>
        </is>
      </c>
      <c r="M601" s="17" t="n"/>
      <c r="N601" s="17" t="n"/>
      <c r="O601" s="17" t="inlineStr">
        <is>
          <t>SP-1 almacén previo a la carga</t>
        </is>
      </c>
      <c r="P601" s="17" t="inlineStr">
        <is>
          <t>IRAM 3526-1</t>
        </is>
      </c>
      <c r="Q601" s="32" t="inlineStr">
        <is>
          <t>N</t>
        </is>
      </c>
      <c r="R601" s="32" t="n"/>
      <c r="S601" s="17" t="inlineStr">
        <is>
          <t>potencial -</t>
        </is>
      </c>
    </row>
    <row r="602">
      <c r="A602" s="32" t="inlineStr">
        <is>
          <t>FL_MAT_HCFC-HFC_5kg</t>
        </is>
      </c>
      <c r="B602" s="32" t="n">
        <v>2</v>
      </c>
      <c r="C602" s="32" t="inlineStr">
        <is>
          <t>HCFCHFC5-A2</t>
        </is>
      </c>
      <c r="D602" s="17" t="inlineStr">
        <is>
          <t xml:space="preserve">        Gas impulsor: Argón</t>
        </is>
      </c>
      <c r="E602" s="32" t="n">
        <v>0.0388</v>
      </c>
      <c r="F602" s="32" t="inlineStr">
        <is>
          <t>kg</t>
        </is>
      </c>
      <c r="G602" s="33" t="n">
        <v>1</v>
      </c>
      <c r="H602" s="33">
        <f>E602*G602</f>
        <v/>
      </c>
      <c r="I602" s="32" t="inlineStr">
        <is>
          <t>Argón</t>
        </is>
      </c>
      <c r="J602" s="17" t="inlineStr">
        <is>
          <t>21,7 L normales para 0,8 MPa a 20 °C en 2,62 dm³ libres</t>
        </is>
      </c>
      <c r="K602" s="32" t="inlineStr">
        <is>
          <t>Compra</t>
        </is>
      </c>
      <c r="L602" s="32" t="inlineStr">
        <is>
          <t>No</t>
        </is>
      </c>
      <c r="M602" s="17" t="n"/>
      <c r="N602" s="17" t="n"/>
      <c r="O602" s="17" t="inlineStr">
        <is>
          <t>20 Presurización (T05) / C10</t>
        </is>
      </c>
      <c r="P602" s="17" t="inlineStr">
        <is>
          <t>IRAM 3517-2 9.4.9 (tabla 2) · IRAM 3523 2.3 y 3.10</t>
        </is>
      </c>
      <c r="Q602" s="32" t="inlineStr">
        <is>
          <t>C</t>
        </is>
      </c>
      <c r="R602" s="32" t="n"/>
      <c r="S602" s="17" t="inlineStr">
        <is>
          <t>Batería en SP-1; punto de rocío ≤ -56,7 °C para gases limpios</t>
        </is>
      </c>
    </row>
    <row r="603">
      <c r="A603" s="29" t="inlineStr">
        <is>
          <t>FL_MAT_HCFC-HFC_5kg</t>
        </is>
      </c>
      <c r="B603" s="29" t="n">
        <v>1</v>
      </c>
      <c r="C603" s="29" t="inlineStr">
        <is>
          <t>HCFCHFC5-S6</t>
        </is>
      </c>
      <c r="D603" s="30" t="inlineStr">
        <is>
          <t xml:space="preserve">    Identificación y precinto</t>
        </is>
      </c>
      <c r="E603" s="29" t="n">
        <v>1</v>
      </c>
      <c r="F603" s="29" t="inlineStr">
        <is>
          <t>u</t>
        </is>
      </c>
      <c r="G603" s="31" t="n"/>
      <c r="H603" s="31">
        <f>H604+H605+H606+H607+H608+H609+H610</f>
        <v/>
      </c>
      <c r="I603" s="29" t="n"/>
      <c r="J603" s="30" t="n"/>
      <c r="K603" s="29" t="inlineStr">
        <is>
          <t>Compra</t>
        </is>
      </c>
      <c r="L603" s="29" t="n"/>
      <c r="M603" s="30" t="n"/>
      <c r="N603" s="30" t="n"/>
      <c r="O603" s="30" t="inlineStr">
        <is>
          <t>22 Etiquetado (T07)</t>
        </is>
      </c>
      <c r="P603" s="30" t="n"/>
      <c r="Q603" s="29" t="n"/>
      <c r="R603" s="29" t="n"/>
      <c r="S603" s="30" t="n"/>
    </row>
    <row r="604">
      <c r="A604" s="32" t="inlineStr">
        <is>
          <t>FL_MAT_HCFC-HFC_5kg</t>
        </is>
      </c>
      <c r="B604" s="32" t="n">
        <v>2</v>
      </c>
      <c r="C604" s="32" t="inlineStr">
        <is>
          <t>HCFCHFC5-20</t>
        </is>
      </c>
      <c r="D604" s="17" t="inlineStr">
        <is>
          <t xml:space="preserve">        Etiqueta / placa de características</t>
        </is>
      </c>
      <c r="E604" s="32" t="n">
        <v>1</v>
      </c>
      <c r="F604" s="32" t="inlineStr">
        <is>
          <t>u</t>
        </is>
      </c>
      <c r="G604" s="33" t="n">
        <v>0.0184</v>
      </c>
      <c r="H604" s="33">
        <f>E604*G604</f>
        <v/>
      </c>
      <c r="I604" s="32" t="inlineStr">
        <is>
          <t>Vinilo autoadhesivo laminado</t>
        </is>
      </c>
      <c r="J604" s="17" t="inlineStr">
        <is>
          <t>289 × 152 (desarrollo × alto: panel central 108° + 2 alas laterales), e ≈ 0,3, laminado UV</t>
        </is>
      </c>
      <c r="K604" s="32" t="inlineStr">
        <is>
          <t>Compra</t>
        </is>
      </c>
      <c r="L604" s="32" t="inlineStr">
        <is>
          <t>No</t>
        </is>
      </c>
      <c r="M604" s="17" t="n"/>
      <c r="N604" s="17" t="n"/>
      <c r="O604" s="17" t="inlineStr">
        <is>
          <t>22 Etiquetado (T07)</t>
        </is>
      </c>
      <c r="P604" s="17" t="inlineStr">
        <is>
          <t>IRAM 3534 · IRAM 3504 cap. 5 · relevamiento de mercado</t>
        </is>
      </c>
      <c r="Q604" s="32" t="inlineStr">
        <is>
          <t>P</t>
        </is>
      </c>
      <c r="R604" s="32" t="inlineStr">
        <is>
          <t>FL_DES_HCFC-HFC_5kg</t>
        </is>
      </c>
      <c r="S604" s="17" t="inlineStr">
        <is>
          <t>IRAM 3534</t>
        </is>
      </c>
    </row>
    <row r="605">
      <c r="A605" s="32" t="inlineStr">
        <is>
          <t>FL_MAT_HCFC-HFC_5kg</t>
        </is>
      </c>
      <c r="B605" s="32" t="n">
        <v>2</v>
      </c>
      <c r="C605" s="32" t="inlineStr">
        <is>
          <t>HCFCHFC5-21</t>
        </is>
      </c>
      <c r="D605" s="17" t="inlineStr">
        <is>
          <t xml:space="preserve">        Oblea de fabricación (PBA)</t>
        </is>
      </c>
      <c r="E605" s="32" t="n">
        <v>1</v>
      </c>
      <c r="F605" s="32" t="inlineStr">
        <is>
          <t>u</t>
        </is>
      </c>
      <c r="G605" s="33" t="n">
        <v>0.0009</v>
      </c>
      <c r="H605" s="33">
        <f>E605*G605</f>
        <v/>
      </c>
      <c r="I605" s="32" t="inlineStr">
        <is>
          <t>Papel de seguridad autodestructible</t>
        </is>
      </c>
      <c r="J605" s="17" t="inlineStr">
        <is>
          <t>Ø46 (Res. OPDS 522/07), numerada, autodestructible</t>
        </is>
      </c>
      <c r="K605" s="32" t="inlineStr">
        <is>
          <t>Compra</t>
        </is>
      </c>
      <c r="L605" s="32" t="inlineStr">
        <is>
          <t>No</t>
        </is>
      </c>
      <c r="M605" s="17" t="n"/>
      <c r="N605" s="17" t="n"/>
      <c r="O605" s="17" t="inlineStr">
        <is>
          <t>22 Etiquetado (T07)</t>
        </is>
      </c>
      <c r="P605" s="17" t="inlineStr">
        <is>
          <t>Res. OPDS 522/07 anexos 1, 2 y 6</t>
        </is>
      </c>
      <c r="Q605" s="32" t="inlineStr">
        <is>
          <t>P</t>
        </is>
      </c>
      <c r="R605" s="32" t="inlineStr">
        <is>
          <t>FL_DES_HCFC-HFC_5kg</t>
        </is>
      </c>
      <c r="S605" s="17" t="inlineStr">
        <is>
          <t>Res. 522/07</t>
        </is>
      </c>
    </row>
    <row r="606">
      <c r="A606" s="32" t="inlineStr">
        <is>
          <t>FL_MAT_HCFC-HFC_5kg</t>
        </is>
      </c>
      <c r="B606" s="32" t="n">
        <v>2</v>
      </c>
      <c r="C606" s="32" t="inlineStr">
        <is>
          <t>HCFCHFC5-22</t>
        </is>
      </c>
      <c r="D606" s="17" t="inlineStr">
        <is>
          <t xml:space="preserve">        Estampilla IRAM de conformidad</t>
        </is>
      </c>
      <c r="E606" s="32" t="n">
        <v>1</v>
      </c>
      <c r="F606" s="32" t="inlineStr">
        <is>
          <t>u</t>
        </is>
      </c>
      <c r="G606" s="33" t="n">
        <v>0.001</v>
      </c>
      <c r="H606" s="33">
        <f>E606*G606</f>
        <v/>
      </c>
      <c r="I606" s="32" t="inlineStr">
        <is>
          <t>Provista por IRAM (Anexo R)</t>
        </is>
      </c>
      <c r="J606" s="17" t="inlineStr">
        <is>
          <t>60 × 40</t>
        </is>
      </c>
      <c r="K606" s="32" t="inlineStr">
        <is>
          <t>Compra</t>
        </is>
      </c>
      <c r="L606" s="32" t="inlineStr">
        <is>
          <t>No</t>
        </is>
      </c>
      <c r="M606" s="17" t="n"/>
      <c r="N606" s="17" t="n"/>
      <c r="O606" s="17" t="inlineStr">
        <is>
          <t>22 Etiquetado (T07)</t>
        </is>
      </c>
      <c r="P606" s="17" t="inlineStr">
        <is>
          <t>IRAM Anexo R (DC-PG-129)</t>
        </is>
      </c>
      <c r="Q606" s="32" t="inlineStr">
        <is>
          <t>P</t>
        </is>
      </c>
      <c r="R606" s="32" t="inlineStr">
        <is>
          <t>FL_DES_HCFC-HFC_5kg</t>
        </is>
      </c>
      <c r="S606" s="17" t="inlineStr">
        <is>
          <t>numerada</t>
        </is>
      </c>
    </row>
    <row r="607">
      <c r="A607" s="32" t="inlineStr">
        <is>
          <t>FL_MAT_HCFC-HFC_5kg</t>
        </is>
      </c>
      <c r="B607" s="32" t="n">
        <v>2</v>
      </c>
      <c r="C607" s="32" t="inlineStr">
        <is>
          <t>HCFCHFC5-23</t>
        </is>
      </c>
      <c r="D607" s="17" t="inlineStr">
        <is>
          <t xml:space="preserve">        Tarjeta de identificación AGC (CABA)</t>
        </is>
      </c>
      <c r="E607" s="32" t="n">
        <v>1</v>
      </c>
      <c r="F607" s="32" t="inlineStr">
        <is>
          <t>u</t>
        </is>
      </c>
      <c r="G607" s="33" t="n">
        <v>0.0032</v>
      </c>
      <c r="H607" s="33">
        <f>E607*G607</f>
        <v/>
      </c>
      <c r="I607" s="32" t="inlineStr">
        <is>
          <t>Etiqueta autoadhesiva emitida por la AGC</t>
        </is>
      </c>
      <c r="J607" s="17" t="inlineStr">
        <is>
          <t>140 × 55</t>
        </is>
      </c>
      <c r="K607" s="32" t="inlineStr">
        <is>
          <t>Compra</t>
        </is>
      </c>
      <c r="L607" s="32" t="inlineStr">
        <is>
          <t>Sí</t>
        </is>
      </c>
      <c r="M607" s="17" t="inlineStr">
        <is>
          <t>Agencia Gubernamental de Control (CABA)</t>
        </is>
      </c>
      <c r="N607" s="17" t="inlineStr">
        <is>
          <t>-</t>
        </is>
      </c>
      <c r="O607" s="17" t="inlineStr">
        <is>
          <t>22 Etiquetado (T07)</t>
        </is>
      </c>
      <c r="P607" s="17" t="inlineStr">
        <is>
          <t>Ordenanza 40.473 art. 6 · Res. AGC 32/15</t>
        </is>
      </c>
      <c r="Q607" s="32" t="inlineStr">
        <is>
          <t>P</t>
        </is>
      </c>
      <c r="R607" s="32" t="inlineStr">
        <is>
          <t>FL_DES_HCFC-HFC_5kg</t>
        </is>
      </c>
      <c r="S607" s="17" t="inlineStr">
        <is>
          <t>sólo destino CABA; sólo destino CABA</t>
        </is>
      </c>
    </row>
    <row r="608">
      <c r="A608" s="32" t="inlineStr">
        <is>
          <t>FL_MAT_HCFC-HFC_5kg</t>
        </is>
      </c>
      <c r="B608" s="32" t="n">
        <v>2</v>
      </c>
      <c r="C608" s="32" t="inlineStr">
        <is>
          <t>HCFCHFC5-24</t>
        </is>
      </c>
      <c r="D608" s="17" t="inlineStr">
        <is>
          <t xml:space="preserve">        Etiqueta de n° de serie GS1</t>
        </is>
      </c>
      <c r="E608" s="32" t="n">
        <v>1</v>
      </c>
      <c r="F608" s="32" t="inlineStr">
        <is>
          <t>u</t>
        </is>
      </c>
      <c r="G608" s="33" t="n">
        <v>0.0005</v>
      </c>
      <c r="H608" s="33">
        <f>E608*G608</f>
        <v/>
      </c>
      <c r="I608" s="32" t="inlineStr">
        <is>
          <t>Poliéster autoadhesivo impreso térmico</t>
        </is>
      </c>
      <c r="J608" s="17" t="inlineStr">
        <is>
          <t>45 × 25</t>
        </is>
      </c>
      <c r="K608" s="32" t="inlineStr">
        <is>
          <t>Compra</t>
        </is>
      </c>
      <c r="L608" s="32" t="inlineStr">
        <is>
          <t>No</t>
        </is>
      </c>
      <c r="M608" s="17" t="n"/>
      <c r="N608" s="17" t="n"/>
      <c r="O608" s="17" t="inlineStr">
        <is>
          <t>22 Etiquetado (T07)</t>
        </is>
      </c>
      <c r="P608" s="17" t="inlineStr">
        <is>
          <t>GS1 Argentina (GTIN 779) · trazabilidad IRAM 3523 5.1</t>
        </is>
      </c>
      <c r="Q608" s="32" t="inlineStr">
        <is>
          <t>P</t>
        </is>
      </c>
      <c r="R608" s="32" t="inlineStr">
        <is>
          <t>FL_DES_HCFC-HFC_5kg</t>
        </is>
      </c>
      <c r="S608" s="17" t="inlineStr">
        <is>
          <t>QR GTIN + serie</t>
        </is>
      </c>
    </row>
    <row r="609">
      <c r="A609" s="32" t="inlineStr">
        <is>
          <t>FL_MAT_HCFC-HFC_5kg</t>
        </is>
      </c>
      <c r="B609" s="32" t="n">
        <v>2</v>
      </c>
      <c r="C609" s="32" t="inlineStr">
        <is>
          <t>HCFCHFC5-26</t>
        </is>
      </c>
      <c r="D609" s="17" t="inlineStr">
        <is>
          <t xml:space="preserve">        Faja de garantía válvula-cuello</t>
        </is>
      </c>
      <c r="E609" s="32" t="n">
        <v>1</v>
      </c>
      <c r="F609" s="32" t="inlineStr">
        <is>
          <t>u</t>
        </is>
      </c>
      <c r="G609" s="33" t="n">
        <v>0.0001</v>
      </c>
      <c r="H609" s="33">
        <f>E609*G609</f>
        <v/>
      </c>
      <c r="I609" s="32" t="inlineStr">
        <is>
          <t>Vinilo destructible rayado rojo/blanco</t>
        </is>
      </c>
      <c r="J609" s="17" t="inlineStr">
        <is>
          <t>22 × 23 (ancho × largo desarrollado), pegada sobre la unión: cuerpo de la válvula, tuerca y cuello</t>
        </is>
      </c>
      <c r="K609" s="32" t="inlineStr">
        <is>
          <t>Compra</t>
        </is>
      </c>
      <c r="L609" s="32" t="inlineStr">
        <is>
          <t>No</t>
        </is>
      </c>
      <c r="M609" s="17" t="n"/>
      <c r="N609" s="17" t="n"/>
      <c r="O609" s="17" t="inlineStr">
        <is>
          <t>22 Etiquetado (T07)</t>
        </is>
      </c>
      <c r="P609" s="17" t="inlineStr">
        <is>
          <t>Sin norma: práctica de mercado (garantía de fábrica)</t>
        </is>
      </c>
      <c r="Q609" s="32" t="inlineStr">
        <is>
          <t>P</t>
        </is>
      </c>
      <c r="R609" s="32" t="inlineStr">
        <is>
          <t>FL_DES_HCFC-HFC_5kg</t>
        </is>
      </c>
      <c r="S609" s="17" t="inlineStr">
        <is>
          <t>nuevo sin abrir</t>
        </is>
      </c>
    </row>
    <row r="610">
      <c r="A610" s="32" t="inlineStr">
        <is>
          <t>FL_MAT_HCFC-HFC_5kg</t>
        </is>
      </c>
      <c r="B610" s="32" t="n">
        <v>2</v>
      </c>
      <c r="C610" s="32" t="inlineStr">
        <is>
          <t>HCFCHFC5-27</t>
        </is>
      </c>
      <c r="D610" s="17" t="inlineStr">
        <is>
          <t xml:space="preserve">        Precinto de fábrica</t>
        </is>
      </c>
      <c r="E610" s="32" t="n">
        <v>1</v>
      </c>
      <c r="F610" s="32" t="inlineStr">
        <is>
          <t>u</t>
        </is>
      </c>
      <c r="G610" s="33" t="n">
        <v>0.0002</v>
      </c>
      <c r="H610" s="33">
        <f>E610*G610</f>
        <v/>
      </c>
      <c r="I610" s="32" t="inlineStr">
        <is>
          <t>Polipropileno color</t>
        </is>
      </c>
      <c r="J610" s="17" t="inlineStr">
        <is>
          <t>Ø5 × 10, numerado, rotura 30-50 N</t>
        </is>
      </c>
      <c r="K610" s="32" t="inlineStr">
        <is>
          <t>Compra</t>
        </is>
      </c>
      <c r="L610" s="32" t="inlineStr">
        <is>
          <t>No</t>
        </is>
      </c>
      <c r="M610" s="17" t="n"/>
      <c r="N610" s="17" t="n"/>
      <c r="O610" s="17" t="inlineStr">
        <is>
          <t>20 Presurización (T05)</t>
        </is>
      </c>
      <c r="P610" s="17" t="inlineStr">
        <is>
          <t>IRAM 3523 3.3.2 · IRAM 3517-2:2020 9.4.13</t>
        </is>
      </c>
      <c r="Q610" s="32" t="inlineStr">
        <is>
          <t>P</t>
        </is>
      </c>
      <c r="R610" s="32" t="inlineStr">
        <is>
          <t>FL_DES_HCFC-HFC_5kg</t>
        </is>
      </c>
      <c r="S610" s="17" t="inlineStr">
        <is>
          <t>id. FLAMA y lote</t>
        </is>
      </c>
    </row>
    <row r="611">
      <c r="A611" s="29" t="inlineStr">
        <is>
          <t>FL_MAT_HCFC-HFC_5kg</t>
        </is>
      </c>
      <c r="B611" s="29" t="n">
        <v>1</v>
      </c>
      <c r="C611" s="29" t="inlineStr">
        <is>
          <t>HCFCHFC5-S8</t>
        </is>
      </c>
      <c r="D611" s="30" t="inlineStr">
        <is>
          <t xml:space="preserve">    Soporte (accesorio de montaje)</t>
        </is>
      </c>
      <c r="E611" s="29" t="n">
        <v>1</v>
      </c>
      <c r="F611" s="29" t="inlineStr">
        <is>
          <t>u</t>
        </is>
      </c>
      <c r="G611" s="31" t="n"/>
      <c r="H611" s="31">
        <f>H612</f>
        <v/>
      </c>
      <c r="I611" s="29" t="n"/>
      <c r="J611" s="30" t="n"/>
      <c r="K611" s="29" t="inlineStr">
        <is>
          <t>Compra</t>
        </is>
      </c>
      <c r="L611" s="29" t="n"/>
      <c r="M611" s="30" t="n"/>
      <c r="N611" s="30" t="n"/>
      <c r="O611" s="30" t="inlineStr">
        <is>
          <t>23 Embalaje (va dentro de la caja)</t>
        </is>
      </c>
      <c r="P611" s="30" t="inlineStr">
        <is>
          <t>IRAM 3517-2 7.4</t>
        </is>
      </c>
      <c r="Q611" s="29" t="n"/>
      <c r="R611" s="29" t="n"/>
      <c r="S611" s="30" t="n"/>
    </row>
    <row r="612">
      <c r="A612" s="32" t="inlineStr">
        <is>
          <t>FL_MAT_HCFC-HFC_5kg</t>
        </is>
      </c>
      <c r="B612" s="32" t="n">
        <v>2</v>
      </c>
      <c r="C612" s="32" t="inlineStr">
        <is>
          <t>HCFCHFC5-I5</t>
        </is>
      </c>
      <c r="D612" s="17" t="inlineStr">
        <is>
          <t xml:space="preserve">        Soporte de pared (FL_ACC_01)</t>
        </is>
      </c>
      <c r="E612" s="32" t="n">
        <v>1</v>
      </c>
      <c r="F612" s="32" t="inlineStr">
        <is>
          <t>u</t>
        </is>
      </c>
      <c r="G612" s="33" t="n">
        <v>0.29</v>
      </c>
      <c r="H612" s="33">
        <f>E612*G612</f>
        <v/>
      </c>
      <c r="I612" s="32" t="inlineStr">
        <is>
          <t>Chapa acero SAE 1010 e=2 pintada</t>
        </is>
      </c>
      <c r="J612" s="17" t="inlineStr">
        <is>
          <t>placa 60 × 180, ala con ranura Ø cuello + 3</t>
        </is>
      </c>
      <c r="K612" s="32" t="inlineStr">
        <is>
          <t>Compra</t>
        </is>
      </c>
      <c r="L612" s="32" t="inlineStr">
        <is>
          <t>No</t>
        </is>
      </c>
      <c r="M612" s="17" t="n"/>
      <c r="N612" s="17" t="n"/>
      <c r="O612" s="17" t="inlineStr">
        <is>
          <t>23 Embalaje</t>
        </is>
      </c>
      <c r="P612" s="17" t="inlineStr">
        <is>
          <t>IRAM 3517-2 7.4</t>
        </is>
      </c>
      <c r="Q612" s="32" t="inlineStr">
        <is>
          <t>P</t>
        </is>
      </c>
      <c r="R612" s="32" t="inlineStr">
        <is>
          <t>FL_ACC_01</t>
        </is>
      </c>
      <c r="S612" s="17" t="n"/>
    </row>
    <row r="613">
      <c r="A613" s="32" t="inlineStr">
        <is>
          <t>FL_MAT_HCFC-HFC_5kg</t>
        </is>
      </c>
      <c r="B613" s="32" t="n">
        <v>2</v>
      </c>
      <c r="C613" s="32" t="inlineStr">
        <is>
          <t>HCFCHFC5-I6</t>
        </is>
      </c>
      <c r="D613" s="17" t="inlineStr">
        <is>
          <t xml:space="preserve">        Tornillo y tarugo de fijación</t>
        </is>
      </c>
      <c r="E613" s="32" t="n">
        <v>2</v>
      </c>
      <c r="F613" s="32" t="inlineStr">
        <is>
          <t>u</t>
        </is>
      </c>
      <c r="G613" s="33" t="n"/>
      <c r="H613" s="33" t="n"/>
      <c r="I613" s="32" t="inlineStr">
        <is>
          <t>Acero cincado / nylon</t>
        </is>
      </c>
      <c r="J613" s="17" t="inlineStr">
        <is>
          <t>2 agujeros Ø8,5 del plano FL_ACC_01 → tornillo M8 + tarugo</t>
        </is>
      </c>
      <c r="K613" s="32" t="inlineStr">
        <is>
          <t>Compra</t>
        </is>
      </c>
      <c r="L613" s="32" t="inlineStr">
        <is>
          <t>No</t>
        </is>
      </c>
      <c r="M613" s="17" t="n"/>
      <c r="N613" s="17" t="n"/>
      <c r="O613" s="17" t="inlineStr">
        <is>
          <t>23 Embalaje</t>
        </is>
      </c>
      <c r="P613" s="17" t="n"/>
      <c r="Q613" s="32" t="inlineStr">
        <is>
          <t>P</t>
        </is>
      </c>
      <c r="R613" s="32" t="inlineStr">
        <is>
          <t>FL_ACC_01</t>
        </is>
      </c>
      <c r="S613" s="17" t="n"/>
    </row>
    <row r="614">
      <c r="A614" s="32" t="inlineStr">
        <is>
          <t>FL_MAT_HCFC-HFC_5kg</t>
        </is>
      </c>
      <c r="B614" s="32" t="n">
        <v>2</v>
      </c>
      <c r="C614" s="32" t="inlineStr">
        <is>
          <t>HCFCHFC5-I8</t>
        </is>
      </c>
      <c r="D614" s="17" t="inlineStr">
        <is>
          <t xml:space="preserve">        Soporte opcional (pared o vehicular, según pedido)</t>
        </is>
      </c>
      <c r="E614" s="32" t="n">
        <v>0</v>
      </c>
      <c r="F614" s="32" t="inlineStr">
        <is>
          <t>u</t>
        </is>
      </c>
      <c r="G614" s="33" t="n"/>
      <c r="H614" s="33" t="n"/>
      <c r="I614" s="32" t="inlineStr">
        <is>
          <t>-</t>
        </is>
      </c>
      <c r="J614" s="17" t="inlineStr">
        <is>
          <t>-</t>
        </is>
      </c>
      <c r="K614" s="32" t="inlineStr">
        <is>
          <t>Compra</t>
        </is>
      </c>
      <c r="L614" s="32" t="inlineStr">
        <is>
          <t>No</t>
        </is>
      </c>
      <c r="M614" s="17" t="n"/>
      <c r="N614" s="17" t="n"/>
      <c r="O614" s="17" t="n"/>
      <c r="P614" s="17" t="inlineStr">
        <is>
          <t>IRAM 3517-2 7.4</t>
        </is>
      </c>
      <c r="Q614" s="32" t="inlineStr">
        <is>
          <t>N</t>
        </is>
      </c>
      <c r="R614" s="32" t="n"/>
      <c r="S614" s="17" t="inlineStr">
        <is>
          <t>Sólo si el pedido lo incluye</t>
        </is>
      </c>
    </row>
    <row r="615">
      <c r="A615" s="29" t="inlineStr">
        <is>
          <t>FL_MAT_HCFC-HFC_5kg</t>
        </is>
      </c>
      <c r="B615" s="29" t="n">
        <v>1</v>
      </c>
      <c r="C615" s="29" t="inlineStr">
        <is>
          <t>HCFCHFC5-S7</t>
        </is>
      </c>
      <c r="D615" s="30" t="inlineStr">
        <is>
          <t xml:space="preserve">    Embalaje</t>
        </is>
      </c>
      <c r="E615" s="29" t="n">
        <v>1</v>
      </c>
      <c r="F615" s="29" t="inlineStr">
        <is>
          <t>u</t>
        </is>
      </c>
      <c r="G615" s="31" t="n"/>
      <c r="H615" s="31">
        <f>H619</f>
        <v/>
      </c>
      <c r="I615" s="29" t="n"/>
      <c r="J615" s="30" t="n"/>
      <c r="K615" s="29" t="inlineStr">
        <is>
          <t>Compra</t>
        </is>
      </c>
      <c r="L615" s="29" t="n"/>
      <c r="M615" s="30" t="n"/>
      <c r="N615" s="30" t="n"/>
      <c r="O615" s="30" t="inlineStr">
        <is>
          <t>23 Embalaje -&gt; 24 envolvedora (T11)</t>
        </is>
      </c>
      <c r="P615" s="30" t="n"/>
      <c r="Q615" s="29" t="n"/>
      <c r="R615" s="29" t="n"/>
      <c r="S615" s="30" t="n"/>
    </row>
    <row r="616">
      <c r="A616" s="32" t="inlineStr">
        <is>
          <t>FL_MAT_HCFC-HFC_5kg</t>
        </is>
      </c>
      <c r="B616" s="32" t="n">
        <v>2</v>
      </c>
      <c r="C616" s="32" t="inlineStr">
        <is>
          <t>HCFCHFC5-E1</t>
        </is>
      </c>
      <c r="D616" s="17" t="inlineStr">
        <is>
          <t xml:space="preserve">        Caja de cartón corrugado simple</t>
        </is>
      </c>
      <c r="E616" s="32" t="n">
        <v>1</v>
      </c>
      <c r="F616" s="32" t="inlineStr">
        <is>
          <t>u</t>
        </is>
      </c>
      <c r="G616" s="33" t="n"/>
      <c r="H616" s="33" t="n"/>
      <c r="I616" s="32" t="inlineStr">
        <is>
          <t>Cartón corrugado</t>
        </is>
      </c>
      <c r="J616" s="17" t="inlineStr">
        <is>
          <t>244 × 187 × 455 interior (envolvente del plano + 15 por lado)</t>
        </is>
      </c>
      <c r="K616" s="32" t="inlineStr">
        <is>
          <t>Compra</t>
        </is>
      </c>
      <c r="L616" s="32" t="inlineStr">
        <is>
          <t>No</t>
        </is>
      </c>
      <c r="M616" s="17" t="n"/>
      <c r="N616" s="17" t="n"/>
      <c r="O616" s="17" t="inlineStr">
        <is>
          <t>23 Embalaje</t>
        </is>
      </c>
      <c r="P616" s="17" t="n"/>
      <c r="Q616" s="32" t="inlineStr">
        <is>
          <t>P</t>
        </is>
      </c>
      <c r="R616" s="32" t="n"/>
      <c r="S616" s="17" t="inlineStr">
        <is>
          <t>Medida del plano</t>
        </is>
      </c>
    </row>
    <row r="617">
      <c r="A617" s="32" t="inlineStr">
        <is>
          <t>FL_MAT_HCFC-HFC_5kg</t>
        </is>
      </c>
      <c r="B617" s="32" t="n">
        <v>2</v>
      </c>
      <c r="C617" s="32" t="inlineStr">
        <is>
          <t>HCFCHFC5-E2</t>
        </is>
      </c>
      <c r="D617" s="17" t="inlineStr">
        <is>
          <t xml:space="preserve">        Instructivo de uso y mantenimiento</t>
        </is>
      </c>
      <c r="E617" s="32" t="n">
        <v>1</v>
      </c>
      <c r="F617" s="32" t="inlineStr">
        <is>
          <t>u</t>
        </is>
      </c>
      <c r="G617" s="33" t="n"/>
      <c r="H617" s="33" t="n"/>
      <c r="I617" s="32" t="inlineStr">
        <is>
          <t>Papel</t>
        </is>
      </c>
      <c r="J617" s="17" t="inlineStr">
        <is>
          <t>A5</t>
        </is>
      </c>
      <c r="K617" s="32" t="inlineStr">
        <is>
          <t>Compra</t>
        </is>
      </c>
      <c r="L617" s="32" t="inlineStr">
        <is>
          <t>No</t>
        </is>
      </c>
      <c r="M617" s="17" t="n"/>
      <c r="N617" s="17" t="n"/>
      <c r="O617" s="17" t="inlineStr">
        <is>
          <t>23 Embalaje</t>
        </is>
      </c>
      <c r="P617" s="17" t="n"/>
      <c r="Q617" s="32" t="inlineStr">
        <is>
          <t>I</t>
        </is>
      </c>
      <c r="R617" s="32" t="n"/>
      <c r="S617" s="17" t="inlineStr">
        <is>
          <t>Decisión comercial de FLAMA (las instrucciones de uso obligatorias van en la etiqueta, IRAM 3534)</t>
        </is>
      </c>
    </row>
    <row r="618">
      <c r="A618" s="32" t="inlineStr">
        <is>
          <t>FL_MAT_HCFC-HFC_5kg</t>
        </is>
      </c>
      <c r="B618" s="32" t="n">
        <v>2</v>
      </c>
      <c r="C618" s="32" t="inlineStr">
        <is>
          <t>HCFCHFC5-E3</t>
        </is>
      </c>
      <c r="D618" s="17" t="inlineStr">
        <is>
          <t xml:space="preserve">        Pallet 1200 × 1000 (fracción)</t>
        </is>
      </c>
      <c r="E618" s="32" t="n">
        <v>0.0139</v>
      </c>
      <c r="F618" s="32" t="inlineStr">
        <is>
          <t>u</t>
        </is>
      </c>
      <c r="G618" s="33" t="n"/>
      <c r="H618" s="33" t="n"/>
      <c r="I618" s="32" t="inlineStr">
        <is>
          <t>Madera</t>
        </is>
      </c>
      <c r="J618" s="17" t="inlineStr">
        <is>
          <t>72 u por pallet</t>
        </is>
      </c>
      <c r="K618" s="32" t="inlineStr">
        <is>
          <t>Compra</t>
        </is>
      </c>
      <c r="L618" s="32" t="inlineStr">
        <is>
          <t>No</t>
        </is>
      </c>
      <c r="M618" s="17" t="n"/>
      <c r="N618" s="17" t="n"/>
      <c r="O618" s="17" t="inlineStr">
        <is>
          <t>23 Embalaje</t>
        </is>
      </c>
      <c r="P618" s="17" t="n"/>
      <c r="Q618" s="32" t="inlineStr">
        <is>
          <t>C</t>
        </is>
      </c>
      <c r="R618" s="32" t="n"/>
      <c r="S618" s="17" t="inlineStr">
        <is>
          <t>u por pallet = acomodo de la caja (plano) en 1200 × 1000 × 1450 de alto</t>
        </is>
      </c>
    </row>
    <row r="619">
      <c r="A619" s="32" t="inlineStr">
        <is>
          <t>FL_MAT_HCFC-HFC_5kg</t>
        </is>
      </c>
      <c r="B619" s="32" t="n">
        <v>2</v>
      </c>
      <c r="C619" s="32" t="inlineStr">
        <is>
          <t>HCFCHFC5-E4</t>
        </is>
      </c>
      <c r="D619" s="17" t="inlineStr">
        <is>
          <t xml:space="preserve">        Film stretch (fracción del pallet)</t>
        </is>
      </c>
      <c r="E619" s="32" t="n">
        <v>0.0017</v>
      </c>
      <c r="F619" s="32" t="inlineStr">
        <is>
          <t>kg</t>
        </is>
      </c>
      <c r="G619" s="33" t="n">
        <v>1</v>
      </c>
      <c r="H619" s="33">
        <f>E619*G619</f>
        <v/>
      </c>
      <c r="I619" s="32" t="inlineStr">
        <is>
          <t>PE lineal 23 µm</t>
        </is>
      </c>
      <c r="J619" s="17" t="inlineStr">
        <is>
          <t>0,12 kg por pallet / 72 u</t>
        </is>
      </c>
      <c r="K619" s="32" t="inlineStr">
        <is>
          <t>Compra</t>
        </is>
      </c>
      <c r="L619" s="32" t="inlineStr">
        <is>
          <t>No</t>
        </is>
      </c>
      <c r="M619" s="17" t="n"/>
      <c r="N619" s="17" t="n"/>
      <c r="O619" s="17" t="inlineStr">
        <is>
          <t>24 Envolvedora (T11)</t>
        </is>
      </c>
      <c r="P619" s="17" t="n"/>
      <c r="Q619" s="32" t="inlineStr">
        <is>
          <t>C</t>
        </is>
      </c>
      <c r="R619" s="32" t="n"/>
      <c r="S619"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20">
      <c r="A620" s="32" t="inlineStr">
        <is>
          <t>FL_MAT_HCFC-HFC_5kg</t>
        </is>
      </c>
      <c r="B620" s="32" t="n">
        <v>2</v>
      </c>
      <c r="C620" s="32" t="inlineStr">
        <is>
          <t>HCFCHFC5-E5</t>
        </is>
      </c>
      <c r="D620" s="17" t="inlineStr">
        <is>
          <t xml:space="preserve">        Etiqueta de pallet (lote y destino, fracción)</t>
        </is>
      </c>
      <c r="E620" s="32" t="n">
        <v>0.0139</v>
      </c>
      <c r="F620" s="32" t="inlineStr">
        <is>
          <t>u</t>
        </is>
      </c>
      <c r="G620" s="33" t="n"/>
      <c r="H620" s="33" t="n"/>
      <c r="I620" s="32" t="inlineStr">
        <is>
          <t>Papel térmico</t>
        </is>
      </c>
      <c r="J620" s="17" t="inlineStr">
        <is>
          <t>100 × 150</t>
        </is>
      </c>
      <c r="K620" s="32" t="inlineStr">
        <is>
          <t>Compra</t>
        </is>
      </c>
      <c r="L620" s="32" t="inlineStr">
        <is>
          <t>No</t>
        </is>
      </c>
      <c r="M620" s="17" t="n"/>
      <c r="N620" s="17" t="n"/>
      <c r="O620" s="17" t="inlineStr">
        <is>
          <t>24 Envolvedora</t>
        </is>
      </c>
      <c r="P620" s="17" t="n"/>
      <c r="Q620" s="32" t="inlineStr">
        <is>
          <t>C</t>
        </is>
      </c>
      <c r="R620" s="32" t="n"/>
      <c r="S620" s="17" t="n"/>
    </row>
    <row r="621">
      <c r="A621" s="32" t="inlineStr">
        <is>
          <t>FL_MAT_HCFC-HFC_5kg</t>
        </is>
      </c>
      <c r="B621" s="32" t="n">
        <v>2</v>
      </c>
      <c r="C621" s="32" t="inlineStr">
        <is>
          <t>HCFCHFC5-E6</t>
        </is>
      </c>
      <c r="D621" s="17" t="inlineStr">
        <is>
          <t xml:space="preserve">        Cinta de embalaje PP 48 mm (cierre de la caja)</t>
        </is>
      </c>
      <c r="E621" s="32" t="n">
        <v>0.767</v>
      </c>
      <c r="F621" s="32" t="inlineStr">
        <is>
          <t>m</t>
        </is>
      </c>
      <c r="G621" s="33" t="n"/>
      <c r="H621" s="33" t="n"/>
      <c r="I621" s="32" t="inlineStr">
        <is>
          <t>Polipropileno con adhesivo acrílico</t>
        </is>
      </c>
      <c r="J621" s="17" t="inlineStr">
        <is>
          <t>cierre en I arriba y abajo: 2 × (244 + 2 × 70 de solapa)</t>
        </is>
      </c>
      <c r="K621" s="32" t="inlineStr">
        <is>
          <t>Compra</t>
        </is>
      </c>
      <c r="L621" s="32" t="inlineStr">
        <is>
          <t>No</t>
        </is>
      </c>
      <c r="M621" s="17" t="n"/>
      <c r="N621" s="17" t="n"/>
      <c r="O621" s="17" t="inlineStr">
        <is>
          <t>23 Embalaje</t>
        </is>
      </c>
      <c r="P621" s="17" t="n"/>
      <c r="Q621" s="32" t="inlineStr">
        <is>
          <t>C</t>
        </is>
      </c>
      <c r="R621" s="32" t="n"/>
      <c r="S621" s="17" t="inlineStr">
        <is>
          <t>Solapa de 70 mm por lado: práctica de cierre de cajas (medir en la línea)</t>
        </is>
      </c>
    </row>
    <row r="622">
      <c r="A622" s="32" t="inlineStr">
        <is>
          <t>FL_MAT_HCFC-HFC_5kg</t>
        </is>
      </c>
      <c r="B622" s="32" t="n">
        <v>2</v>
      </c>
      <c r="C622" s="32" t="inlineStr">
        <is>
          <t>HCFCHFC5-E7</t>
        </is>
      </c>
      <c r="D622" s="17" t="inlineStr">
        <is>
          <t xml:space="preserve">        Esquineros de cartón 50 × 50 × 1200 (fracción del pallet)</t>
        </is>
      </c>
      <c r="E622" s="32" t="n">
        <v>0.0556</v>
      </c>
      <c r="F622" s="32" t="inlineStr">
        <is>
          <t>u</t>
        </is>
      </c>
      <c r="G622" s="33" t="n"/>
      <c r="H622" s="33" t="n"/>
      <c r="I622" s="32" t="inlineStr">
        <is>
          <t>Cartón</t>
        </is>
      </c>
      <c r="J622" s="17" t="inlineStr">
        <is>
          <t>4 por pallet / 72 u</t>
        </is>
      </c>
      <c r="K622" s="32" t="inlineStr">
        <is>
          <t>Compra</t>
        </is>
      </c>
      <c r="L622" s="32" t="inlineStr">
        <is>
          <t>No</t>
        </is>
      </c>
      <c r="M622" s="17" t="n"/>
      <c r="N622" s="17" t="n"/>
      <c r="O622" s="17" t="inlineStr">
        <is>
          <t>24 Envolvedora (T11)</t>
        </is>
      </c>
      <c r="P622" s="17" t="n"/>
      <c r="Q622" s="32" t="inlineStr">
        <is>
          <t>C</t>
        </is>
      </c>
      <c r="R622" s="32" t="n"/>
      <c r="S622" s="17" t="inlineStr">
        <is>
          <t>Planilla MP-64</t>
        </is>
      </c>
    </row>
    <row r="623">
      <c r="A623" s="26" t="inlineStr">
        <is>
          <t>FL_MAT_CLASED_9l</t>
        </is>
      </c>
      <c r="B623" s="26" t="n">
        <v>0</v>
      </c>
      <c r="C623" s="26" t="inlineStr">
        <is>
          <t>FL_MAT_CLASED_9l</t>
        </is>
      </c>
      <c r="D623" s="27" t="inlineStr">
        <is>
          <t>Extintor Clase D 9 l</t>
        </is>
      </c>
      <c r="E623" s="26" t="n">
        <v>1</v>
      </c>
      <c r="F623" s="26" t="inlineStr">
        <is>
          <t>u</t>
        </is>
      </c>
      <c r="G623" s="28" t="n"/>
      <c r="H623" s="28" t="n"/>
      <c r="I623" s="26" t="n"/>
      <c r="J623" s="27" t="n"/>
      <c r="K623" s="26" t="n"/>
      <c r="L623" s="26" t="n"/>
      <c r="M623" s="27" t="n"/>
      <c r="N623" s="27" t="n"/>
      <c r="O623" s="27" t="n"/>
      <c r="P623" s="27" t="inlineStr">
        <is>
          <t>IRAM 3523</t>
        </is>
      </c>
      <c r="Q623" s="26" t="inlineStr">
        <is>
          <t>P</t>
        </is>
      </c>
      <c r="R623" s="26" t="inlineStr">
        <is>
          <t>FL_MAT_CLASED_9l</t>
        </is>
      </c>
      <c r="S623" s="27" t="inlineStr">
        <is>
          <t>Revendido: se compra terminado al fabricante con Sello IRAM; las piezas internas quedan como referencia (no entran en MRP)</t>
        </is>
      </c>
    </row>
    <row r="624">
      <c r="A624" s="29" t="inlineStr">
        <is>
          <t>FL_MAT_CLASED_9l</t>
        </is>
      </c>
      <c r="B624" s="29" t="n">
        <v>1</v>
      </c>
      <c r="C624" s="29" t="inlineStr">
        <is>
          <t>CLASED9-S0</t>
        </is>
      </c>
      <c r="D624" s="30" t="inlineStr">
        <is>
          <t xml:space="preserve">    Equipo terminado comprado (fabricante con Sello IRAM)</t>
        </is>
      </c>
      <c r="E624" s="29" t="n">
        <v>1</v>
      </c>
      <c r="F624" s="29" t="inlineStr">
        <is>
          <t>u</t>
        </is>
      </c>
      <c r="G624" s="31" t="n"/>
      <c r="H624" s="31" t="n"/>
      <c r="I624" s="29" t="n"/>
      <c r="J624" s="30" t="n"/>
      <c r="K624" s="29" t="inlineStr">
        <is>
          <t>Compra</t>
        </is>
      </c>
      <c r="L624" s="29" t="inlineStr">
        <is>
          <t>Sí</t>
        </is>
      </c>
      <c r="M624" s="30" t="inlineStr">
        <is>
          <t>Matafuegos Georgia - venta mayorista</t>
        </is>
      </c>
      <c r="N624" s="30" t="inlineStr">
        <is>
          <t>Melisam</t>
        </is>
      </c>
      <c r="O624" s="30" t="inlineStr">
        <is>
          <t>Recepción y control de ingreso (SP-1)</t>
        </is>
      </c>
      <c r="P624" s="30" t="inlineStr">
        <is>
          <t>IRAM 3523</t>
        </is>
      </c>
      <c r="Q624" s="29" t="inlineStr">
        <is>
          <t>I</t>
        </is>
      </c>
      <c r="R624" s="29" t="inlineStr">
        <is>
          <t>FL_MAT_CLASED_9l</t>
        </is>
      </c>
      <c r="S624" s="30" t="inlineStr">
        <is>
          <t>Única fila de compra del revendido (más la tarjeta AGC si el destino es CABA)</t>
        </is>
      </c>
    </row>
    <row r="625">
      <c r="A625" s="29" t="inlineStr">
        <is>
          <t>FL_MAT_CLASED_9l</t>
        </is>
      </c>
      <c r="B625" s="29" t="n">
        <v>1</v>
      </c>
      <c r="C625" s="29" t="inlineStr">
        <is>
          <t>CLASED9-S1</t>
        </is>
      </c>
      <c r="D625" s="30" t="inlineStr">
        <is>
          <t xml:space="preserve">    Recipiente (cilindro)</t>
        </is>
      </c>
      <c r="E625" s="29" t="n">
        <v>1</v>
      </c>
      <c r="F625" s="29" t="inlineStr">
        <is>
          <t>u</t>
        </is>
      </c>
      <c r="G625" s="31" t="n"/>
      <c r="H625" s="31">
        <f>H626+H627+H628+H629</f>
        <v/>
      </c>
      <c r="I625" s="29" t="n"/>
      <c r="J625" s="30" t="n"/>
      <c r="K625" s="29" t="inlineStr">
        <is>
          <t>Compra / armado</t>
        </is>
      </c>
      <c r="L625" s="29" t="n"/>
      <c r="M625" s="30" t="n"/>
      <c r="N625" s="30" t="n"/>
      <c r="O625" s="30" t="n"/>
      <c r="P625" s="30" t="inlineStr">
        <is>
          <t>IRAM 3523 / 3550 (recipiente)</t>
        </is>
      </c>
      <c r="Q625" s="29" t="inlineStr">
        <is>
          <t>P</t>
        </is>
      </c>
      <c r="R625" s="29" t="inlineStr">
        <is>
          <t>FL_DES_CLASED_9l</t>
        </is>
      </c>
      <c r="S625" s="30" t="n"/>
    </row>
    <row r="626">
      <c r="A626" s="32" t="inlineStr">
        <is>
          <t>FL_MAT_CLASED_9l</t>
        </is>
      </c>
      <c r="B626" s="32" t="n">
        <v>2</v>
      </c>
      <c r="C626" s="32" t="inlineStr">
        <is>
          <t>CLASED9-01</t>
        </is>
      </c>
      <c r="D626" s="17" t="inlineStr">
        <is>
          <t xml:space="preserve">        Cuerpo (virola)</t>
        </is>
      </c>
      <c r="E626" s="32" t="n">
        <v>1</v>
      </c>
      <c r="F626" s="32" t="inlineStr">
        <is>
          <t>u</t>
        </is>
      </c>
      <c r="G626" s="33" t="n">
        <v>4.3636</v>
      </c>
      <c r="H626" s="33">
        <f>E626*G626</f>
        <v/>
      </c>
      <c r="I626" s="32" t="inlineStr">
        <is>
          <t>Chapa LAF IRAM-IAS U 500-05 e=2</t>
        </is>
      </c>
      <c r="J626" s="17" t="inlineStr">
        <is>
          <t>Ø181,5 × e2 × 493,1 de alto; desarrollo 563,9 × 493,1</t>
        </is>
      </c>
      <c r="K626" s="32" t="inlineStr">
        <is>
          <t>Compra (en el conjunto)</t>
        </is>
      </c>
      <c r="L626" s="32" t="inlineStr">
        <is>
          <t>No</t>
        </is>
      </c>
      <c r="M626" s="17" t="n"/>
      <c r="N626" s="17" t="n"/>
      <c r="O626" s="17" t="inlineStr">
        <is>
          <t>S4 - se compra terminado (tercerizado con sello IRAM)</t>
        </is>
      </c>
      <c r="P626" s="17" t="n"/>
      <c r="Q626" s="32" t="inlineStr">
        <is>
          <t>P</t>
        </is>
      </c>
      <c r="R626" s="32" t="inlineStr">
        <is>
          <t>FL_DES_CLASED_9l</t>
        </is>
      </c>
      <c r="S626" s="17" t="inlineStr">
        <is>
          <t>costura long. MAG</t>
        </is>
      </c>
    </row>
    <row r="627">
      <c r="A627" s="32" t="inlineStr">
        <is>
          <t>FL_MAT_CLASED_9l</t>
        </is>
      </c>
      <c r="B627" s="32" t="n">
        <v>2</v>
      </c>
      <c r="C627" s="32" t="inlineStr">
        <is>
          <t>CLASED9-02</t>
        </is>
      </c>
      <c r="D627" s="17" t="inlineStr">
        <is>
          <t xml:space="preserve">        Cúpula</t>
        </is>
      </c>
      <c r="E627" s="32" t="n">
        <v>1</v>
      </c>
      <c r="F627" s="32" t="inlineStr">
        <is>
          <t>u</t>
        </is>
      </c>
      <c r="G627" s="33" t="n">
        <v>0.501</v>
      </c>
      <c r="H627" s="33">
        <f>E627*G627</f>
        <v/>
      </c>
      <c r="I627" s="32" t="inlineStr">
        <is>
          <t>Chapa LAF IRAM-IAS U 500-05 e=1,6</t>
        </is>
      </c>
      <c r="J627" s="17" t="inlineStr">
        <is>
          <t>Ø181,5 × e1,6 × 61,4 de alto; disco Ø232,1</t>
        </is>
      </c>
      <c r="K627" s="32" t="inlineStr">
        <is>
          <t>Compra (en el conjunto)</t>
        </is>
      </c>
      <c r="L627" s="32" t="inlineStr">
        <is>
          <t>No</t>
        </is>
      </c>
      <c r="M627" s="17" t="n"/>
      <c r="N627" s="17" t="n"/>
      <c r="O627" s="17" t="inlineStr">
        <is>
          <t>S4 - se compra terminado (tercerizado con sello IRAM)</t>
        </is>
      </c>
      <c r="P627" s="17" t="n"/>
      <c r="Q627" s="32" t="inlineStr">
        <is>
          <t>P</t>
        </is>
      </c>
      <c r="R627" s="32" t="inlineStr">
        <is>
          <t>FL_DES_CLASED_9l</t>
        </is>
      </c>
      <c r="S627" s="17" t="inlineStr">
        <is>
          <t>embutida</t>
        </is>
      </c>
    </row>
    <row r="628">
      <c r="A628" s="32" t="inlineStr">
        <is>
          <t>FL_MAT_CLASED_9l</t>
        </is>
      </c>
      <c r="B628" s="32" t="n">
        <v>2</v>
      </c>
      <c r="C628" s="32" t="inlineStr">
        <is>
          <t>CLASED9-03</t>
        </is>
      </c>
      <c r="D628" s="17" t="inlineStr">
        <is>
          <t xml:space="preserve">        Fondo</t>
        </is>
      </c>
      <c r="E628" s="32" t="n">
        <v>1</v>
      </c>
      <c r="F628" s="32" t="inlineStr">
        <is>
          <t>u</t>
        </is>
      </c>
      <c r="G628" s="33" t="n">
        <v>0.5084</v>
      </c>
      <c r="H628" s="33">
        <f>E628*G628</f>
        <v/>
      </c>
      <c r="I628" s="32" t="inlineStr">
        <is>
          <t>Chapa LAF IRAM-IAS U 500-05 e=2</t>
        </is>
      </c>
      <c r="J628" s="17" t="inlineStr">
        <is>
          <t>Ø181,5 × e2 × 21,7 de alto; disco Ø209,1</t>
        </is>
      </c>
      <c r="K628" s="32" t="inlineStr">
        <is>
          <t>Compra (en el conjunto)</t>
        </is>
      </c>
      <c r="L628" s="32" t="inlineStr">
        <is>
          <t>No</t>
        </is>
      </c>
      <c r="M628" s="17" t="n"/>
      <c r="N628" s="17" t="n"/>
      <c r="O628" s="17" t="inlineStr">
        <is>
          <t>S4 - se compra terminado (tercerizado con sello IRAM)</t>
        </is>
      </c>
      <c r="P628" s="17" t="n"/>
      <c r="Q628" s="32" t="inlineStr">
        <is>
          <t>P</t>
        </is>
      </c>
      <c r="R628" s="32" t="inlineStr">
        <is>
          <t>FL_DES_CLASED_9l</t>
        </is>
      </c>
      <c r="S628" s="17" t="inlineStr">
        <is>
          <t>embutido</t>
        </is>
      </c>
    </row>
    <row r="629">
      <c r="A629" s="32" t="inlineStr">
        <is>
          <t>FL_MAT_CLASED_9l</t>
        </is>
      </c>
      <c r="B629" s="32" t="n">
        <v>2</v>
      </c>
      <c r="C629" s="32" t="inlineStr">
        <is>
          <t>CLASED9-04</t>
        </is>
      </c>
      <c r="D629" s="17" t="inlineStr">
        <is>
          <t xml:space="preserve">        Cuello roscado</t>
        </is>
      </c>
      <c r="E629" s="32" t="n">
        <v>1</v>
      </c>
      <c r="F629" s="32" t="inlineStr">
        <is>
          <t>u</t>
        </is>
      </c>
      <c r="G629" s="33" t="n">
        <v>0.0541</v>
      </c>
      <c r="H629" s="33">
        <f>E629*G629</f>
        <v/>
      </c>
      <c r="I629" s="32" t="inlineStr">
        <is>
          <t>Acero SAE 1010</t>
        </is>
      </c>
      <c r="J629" s="17" t="inlineStr">
        <is>
          <t>Ø36,8 × 14 de alto, rosca M30x1,5, asiento Ø35</t>
        </is>
      </c>
      <c r="K629" s="32" t="inlineStr">
        <is>
          <t>Compra (en el conjunto)</t>
        </is>
      </c>
      <c r="L629" s="32" t="inlineStr">
        <is>
          <t>No</t>
        </is>
      </c>
      <c r="M629" s="17" t="n"/>
      <c r="N629" s="17" t="n"/>
      <c r="O629" s="17" t="inlineStr">
        <is>
          <t>S4 - se compra terminado (tercerizado con sello IRAM)</t>
        </is>
      </c>
      <c r="P629" s="17" t="n"/>
      <c r="Q629" s="32" t="inlineStr">
        <is>
          <t>P</t>
        </is>
      </c>
      <c r="R629" s="32" t="inlineStr">
        <is>
          <t>FL_DES_CLASED_9l</t>
        </is>
      </c>
      <c r="S629" s="17" t="inlineStr">
        <is>
          <t>M30x1,5</t>
        </is>
      </c>
    </row>
    <row r="630">
      <c r="A630" s="29" t="inlineStr">
        <is>
          <t>FL_MAT_CLASED_9l</t>
        </is>
      </c>
      <c r="B630" s="29" t="n">
        <v>1</v>
      </c>
      <c r="C630" s="29" t="inlineStr">
        <is>
          <t>CLASED9-S2</t>
        </is>
      </c>
      <c r="D630" s="30" t="inlineStr">
        <is>
          <t xml:space="preserve">    Conjunto de válvula</t>
        </is>
      </c>
      <c r="E630" s="29" t="n">
        <v>1</v>
      </c>
      <c r="F630" s="29" t="inlineStr">
        <is>
          <t>u</t>
        </is>
      </c>
      <c r="G630" s="31" t="n"/>
      <c r="H630" s="31">
        <f>H631+H632+H633+H635+H636+H637+H638+H639+H640+H641+H642</f>
        <v/>
      </c>
      <c r="I630" s="29" t="n"/>
      <c r="J630" s="30" t="n"/>
      <c r="K630" s="29" t="inlineStr">
        <is>
          <t>Compra / armado</t>
        </is>
      </c>
      <c r="L630" s="29" t="n"/>
      <c r="M630" s="30" t="n"/>
      <c r="N630" s="30" t="n"/>
      <c r="O630" s="30" t="n"/>
      <c r="P630" s="30" t="inlineStr">
        <is>
          <t>Manómetro IRAM 3533</t>
        </is>
      </c>
      <c r="Q630" s="29" t="inlineStr">
        <is>
          <t>P</t>
        </is>
      </c>
      <c r="R630" s="29" t="inlineStr">
        <is>
          <t>FL_DES_CLASED_9l</t>
        </is>
      </c>
      <c r="S630" s="30" t="n"/>
    </row>
    <row r="631">
      <c r="A631" s="32" t="inlineStr">
        <is>
          <t>FL_MAT_CLASED_9l</t>
        </is>
      </c>
      <c r="B631" s="32" t="n">
        <v>2</v>
      </c>
      <c r="C631" s="32" t="inlineStr">
        <is>
          <t>CLASED9-05</t>
        </is>
      </c>
      <c r="D631" s="17" t="inlineStr">
        <is>
          <t xml:space="preserve">        Espiga roscada</t>
        </is>
      </c>
      <c r="E631" s="32" t="n">
        <v>1</v>
      </c>
      <c r="F631" s="32" t="inlineStr">
        <is>
          <t>u</t>
        </is>
      </c>
      <c r="G631" s="33" t="n">
        <v>0.0245</v>
      </c>
      <c r="H631" s="33">
        <f>E631*G631</f>
        <v/>
      </c>
      <c r="I631" s="32" t="inlineStr">
        <is>
          <t>Latón forjado</t>
        </is>
      </c>
      <c r="J631" s="17" t="inlineStr">
        <is>
          <t>29,8 × 29,8 × 10,8</t>
        </is>
      </c>
      <c r="K631" s="32" t="inlineStr">
        <is>
          <t>Compra (en el conjunto)</t>
        </is>
      </c>
      <c r="L631" s="32" t="inlineStr">
        <is>
          <t>No</t>
        </is>
      </c>
      <c r="M631" s="17" t="n"/>
      <c r="N631" s="17" t="n"/>
      <c r="O631" s="17" t="inlineStr">
        <is>
          <t>S4 - se compra terminado (tercerizado con sello IRAM)</t>
        </is>
      </c>
      <c r="P631" s="17" t="n"/>
      <c r="Q631" s="32" t="inlineStr">
        <is>
          <t>P</t>
        </is>
      </c>
      <c r="R631" s="32" t="inlineStr">
        <is>
          <t>FL_DES_CLASED_9l</t>
        </is>
      </c>
      <c r="S631" s="17" t="n"/>
    </row>
    <row r="632">
      <c r="A632" s="32" t="inlineStr">
        <is>
          <t>FL_MAT_CLASED_9l</t>
        </is>
      </c>
      <c r="B632" s="32" t="n">
        <v>2</v>
      </c>
      <c r="C632" s="32" t="inlineStr">
        <is>
          <t>CLASED9-06</t>
        </is>
      </c>
      <c r="D632" s="17" t="inlineStr">
        <is>
          <t xml:space="preserve">        Collarín de válvula</t>
        </is>
      </c>
      <c r="E632" s="32" t="n">
        <v>1</v>
      </c>
      <c r="F632" s="32" t="inlineStr">
        <is>
          <t>u</t>
        </is>
      </c>
      <c r="G632" s="33" t="n">
        <v>0.0053</v>
      </c>
      <c r="H632" s="33">
        <f>E632*G632</f>
        <v/>
      </c>
      <c r="I632" s="32" t="inlineStr">
        <is>
          <t>Latón forjado</t>
        </is>
      </c>
      <c r="J632" s="17" t="inlineStr">
        <is>
          <t>27,2 × 27,2 × 4,1</t>
        </is>
      </c>
      <c r="K632" s="32" t="inlineStr">
        <is>
          <t>Compra (en el conjunto)</t>
        </is>
      </c>
      <c r="L632" s="32" t="inlineStr">
        <is>
          <t>No</t>
        </is>
      </c>
      <c r="M632" s="17" t="n"/>
      <c r="N632" s="17" t="n"/>
      <c r="O632" s="17" t="inlineStr">
        <is>
          <t>S4 - se compra terminado (tercerizado con sello IRAM)</t>
        </is>
      </c>
      <c r="P632" s="17" t="n"/>
      <c r="Q632" s="32" t="inlineStr">
        <is>
          <t>P</t>
        </is>
      </c>
      <c r="R632" s="32" t="inlineStr">
        <is>
          <t>FL_DES_CLASED_9l</t>
        </is>
      </c>
      <c r="S632" s="17" t="n"/>
    </row>
    <row r="633">
      <c r="A633" s="32" t="inlineStr">
        <is>
          <t>FL_MAT_CLASED_9l</t>
        </is>
      </c>
      <c r="B633" s="32" t="n">
        <v>2</v>
      </c>
      <c r="C633" s="32" t="inlineStr">
        <is>
          <t>CLASED9-07</t>
        </is>
      </c>
      <c r="D633" s="17" t="inlineStr">
        <is>
          <t xml:space="preserve">        Cuerpo de válvula</t>
        </is>
      </c>
      <c r="E633" s="32" t="n">
        <v>1</v>
      </c>
      <c r="F633" s="32" t="inlineStr">
        <is>
          <t>u</t>
        </is>
      </c>
      <c r="G633" s="33" t="n">
        <v>0.1328</v>
      </c>
      <c r="H633" s="33">
        <f>E633*G633</f>
        <v/>
      </c>
      <c r="I633" s="32" t="inlineStr">
        <is>
          <t>Latón forjado</t>
        </is>
      </c>
      <c r="J633" s="17" t="inlineStr">
        <is>
          <t>43,9 × 32 × 24,5</t>
        </is>
      </c>
      <c r="K633" s="32" t="inlineStr">
        <is>
          <t>Compra (en el conjunto)</t>
        </is>
      </c>
      <c r="L633" s="32" t="inlineStr">
        <is>
          <t>No</t>
        </is>
      </c>
      <c r="M633" s="17" t="n"/>
      <c r="N633" s="17" t="n"/>
      <c r="O633" s="17" t="inlineStr">
        <is>
          <t>S4 - se compra terminado (tercerizado con sello IRAM)</t>
        </is>
      </c>
      <c r="P633" s="17" t="n"/>
      <c r="Q633" s="32" t="inlineStr">
        <is>
          <t>P</t>
        </is>
      </c>
      <c r="R633" s="32" t="inlineStr">
        <is>
          <t>FL_DES_CLASED_9l</t>
        </is>
      </c>
      <c r="S633" s="17" t="n"/>
    </row>
    <row r="634">
      <c r="A634" s="32" t="inlineStr">
        <is>
          <t>FL_MAT_CLASED_9l</t>
        </is>
      </c>
      <c r="B634" s="32" t="n">
        <v>2</v>
      </c>
      <c r="C634" s="32" t="inlineStr">
        <is>
          <t>CLASED9-08</t>
        </is>
      </c>
      <c r="D634" s="17" t="inlineStr">
        <is>
          <t xml:space="preserve">        Manómetro</t>
        </is>
      </c>
      <c r="E634" s="32" t="n">
        <v>1</v>
      </c>
      <c r="F634" s="32" t="inlineStr">
        <is>
          <t>u</t>
        </is>
      </c>
      <c r="G634" s="33" t="n"/>
      <c r="H634" s="33" t="n"/>
      <c r="I634" s="32" t="inlineStr">
        <is>
          <t>Comercial</t>
        </is>
      </c>
      <c r="J634" s="17" t="inlineStr">
        <is>
          <t>Ø36 esfera, rango 0-3,5 MPa, sector verde en 1,4</t>
        </is>
      </c>
      <c r="K634" s="32" t="inlineStr">
        <is>
          <t>Compra (en el conjunto)</t>
        </is>
      </c>
      <c r="L634" s="32" t="inlineStr">
        <is>
          <t>No</t>
        </is>
      </c>
      <c r="M634" s="17" t="n"/>
      <c r="N634" s="17" t="n"/>
      <c r="O634" s="17" t="inlineStr">
        <is>
          <t>S4 - se compra terminado (tercerizado con sello IRAM)</t>
        </is>
      </c>
      <c r="P634" s="17" t="inlineStr">
        <is>
          <t>IRAM 3533</t>
        </is>
      </c>
      <c r="Q634" s="32" t="inlineStr">
        <is>
          <t>P</t>
        </is>
      </c>
      <c r="R634" s="32" t="inlineStr">
        <is>
          <t>FL_DES_CLASED_9l</t>
        </is>
      </c>
      <c r="S634" s="17" t="inlineStr">
        <is>
          <t>Pieza comercial; sello IRAM 3533; peso: completar con la ficha del proveedor (no afecta el MRP)</t>
        </is>
      </c>
    </row>
    <row r="635">
      <c r="A635" s="32" t="inlineStr">
        <is>
          <t>FL_MAT_CLASED_9l</t>
        </is>
      </c>
      <c r="B635" s="32" t="n">
        <v>2</v>
      </c>
      <c r="C635" s="32" t="inlineStr">
        <is>
          <t>CLASED9-09</t>
        </is>
      </c>
      <c r="D635" s="17" t="inlineStr">
        <is>
          <t xml:space="preserve">        Vástago</t>
        </is>
      </c>
      <c r="E635" s="32" t="n">
        <v>1</v>
      </c>
      <c r="F635" s="32" t="inlineStr">
        <is>
          <t>u</t>
        </is>
      </c>
      <c r="G635" s="33" t="n">
        <v>0.0137</v>
      </c>
      <c r="H635" s="33">
        <f>E635*G635</f>
        <v/>
      </c>
      <c r="I635" s="32" t="inlineStr">
        <is>
          <t>Latón</t>
        </is>
      </c>
      <c r="J635" s="17" t="inlineStr">
        <is>
          <t>35,6 × 14 × 14</t>
        </is>
      </c>
      <c r="K635" s="32" t="inlineStr">
        <is>
          <t>Compra (en el conjunto)</t>
        </is>
      </c>
      <c r="L635" s="32" t="inlineStr">
        <is>
          <t>No</t>
        </is>
      </c>
      <c r="M635" s="17" t="n"/>
      <c r="N635" s="17" t="n"/>
      <c r="O635" s="17" t="inlineStr">
        <is>
          <t>S4 - se compra terminado (tercerizado con sello IRAM)</t>
        </is>
      </c>
      <c r="P635" s="17" t="n"/>
      <c r="Q635" s="32" t="inlineStr">
        <is>
          <t>P</t>
        </is>
      </c>
      <c r="R635" s="32" t="inlineStr">
        <is>
          <t>FL_DES_CLASED_9l</t>
        </is>
      </c>
      <c r="S635" s="17" t="inlineStr">
        <is>
          <t>con junta tórica</t>
        </is>
      </c>
    </row>
    <row r="636">
      <c r="A636" s="32" t="inlineStr">
        <is>
          <t>FL_MAT_CLASED_9l</t>
        </is>
      </c>
      <c r="B636" s="32" t="n">
        <v>2</v>
      </c>
      <c r="C636" s="32" t="inlineStr">
        <is>
          <t>CLASED9-10</t>
        </is>
      </c>
      <c r="D636" s="17" t="inlineStr">
        <is>
          <t xml:space="preserve">        Resorte de válvula</t>
        </is>
      </c>
      <c r="E636" s="32" t="n">
        <v>1</v>
      </c>
      <c r="F636" s="32" t="inlineStr">
        <is>
          <t>u</t>
        </is>
      </c>
      <c r="G636" s="33" t="n">
        <v>0.0049</v>
      </c>
      <c r="H636" s="33">
        <f>E636*G636</f>
        <v/>
      </c>
      <c r="I636" s="32" t="inlineStr">
        <is>
          <t>Alambre acero inox. AISI 302</t>
        </is>
      </c>
      <c r="J636" s="17" t="inlineStr">
        <is>
          <t>28,8 × 17,3 × 17,3</t>
        </is>
      </c>
      <c r="K636" s="32" t="inlineStr">
        <is>
          <t>Compra (en el conjunto)</t>
        </is>
      </c>
      <c r="L636" s="32" t="inlineStr">
        <is>
          <t>No</t>
        </is>
      </c>
      <c r="M636" s="17" t="n"/>
      <c r="N636" s="17" t="n"/>
      <c r="O636" s="17" t="inlineStr">
        <is>
          <t>S4 - se compra terminado (tercerizado con sello IRAM)</t>
        </is>
      </c>
      <c r="P636" s="17" t="n"/>
      <c r="Q636" s="32" t="inlineStr">
        <is>
          <t>P</t>
        </is>
      </c>
      <c r="R636" s="32" t="inlineStr">
        <is>
          <t>FL_DES_CLASED_9l</t>
        </is>
      </c>
      <c r="S636" s="17" t="inlineStr">
        <is>
          <t>cierre del vástago</t>
        </is>
      </c>
    </row>
    <row r="637">
      <c r="A637" s="32" t="inlineStr">
        <is>
          <t>FL_MAT_CLASED_9l</t>
        </is>
      </c>
      <c r="B637" s="32" t="n">
        <v>2</v>
      </c>
      <c r="C637" s="32" t="inlineStr">
        <is>
          <t>CLASED9-11</t>
        </is>
      </c>
      <c r="D637" s="17" t="inlineStr">
        <is>
          <t xml:space="preserve">        Eje de palanca</t>
        </is>
      </c>
      <c r="E637" s="32" t="n">
        <v>1</v>
      </c>
      <c r="F637" s="32" t="inlineStr">
        <is>
          <t>u</t>
        </is>
      </c>
      <c r="G637" s="33" t="n">
        <v>0.0033</v>
      </c>
      <c r="H637" s="33">
        <f>E637*G637</f>
        <v/>
      </c>
      <c r="I637" s="32" t="inlineStr">
        <is>
          <t>Acero inox. AISI 304</t>
        </is>
      </c>
      <c r="J637" s="17" t="inlineStr">
        <is>
          <t>33 × 4 × 4</t>
        </is>
      </c>
      <c r="K637" s="32" t="inlineStr">
        <is>
          <t>Compra (en el conjunto)</t>
        </is>
      </c>
      <c r="L637" s="32" t="inlineStr">
        <is>
          <t>No</t>
        </is>
      </c>
      <c r="M637" s="17" t="n"/>
      <c r="N637" s="17" t="n"/>
      <c r="O637" s="17" t="inlineStr">
        <is>
          <t>S4 - se compra terminado (tercerizado con sello IRAM)</t>
        </is>
      </c>
      <c r="P637" s="17" t="n"/>
      <c r="Q637" s="32" t="inlineStr">
        <is>
          <t>P</t>
        </is>
      </c>
      <c r="R637" s="32" t="inlineStr">
        <is>
          <t>FL_DES_CLASED_9l</t>
        </is>
      </c>
      <c r="S637" s="17" t="n"/>
    </row>
    <row r="638">
      <c r="A638" s="32" t="inlineStr">
        <is>
          <t>FL_MAT_CLASED_9l</t>
        </is>
      </c>
      <c r="B638" s="32" t="n">
        <v>2</v>
      </c>
      <c r="C638" s="32" t="inlineStr">
        <is>
          <t>CLASED9-12</t>
        </is>
      </c>
      <c r="D638" s="17" t="inlineStr">
        <is>
          <t xml:space="preserve">        Pasador de seguridad</t>
        </is>
      </c>
      <c r="E638" s="32" t="n">
        <v>1</v>
      </c>
      <c r="F638" s="32" t="inlineStr">
        <is>
          <t>u</t>
        </is>
      </c>
      <c r="G638" s="33" t="n">
        <v>0.0055</v>
      </c>
      <c r="H638" s="33">
        <f>E638*G638</f>
        <v/>
      </c>
      <c r="I638" s="32" t="inlineStr">
        <is>
          <t>Alambre acero inox. AISI 304</t>
        </is>
      </c>
      <c r="J638" s="17" t="inlineStr">
        <is>
          <t>45,9 × 21 × 20,8</t>
        </is>
      </c>
      <c r="K638" s="32" t="inlineStr">
        <is>
          <t>Compra (en el conjunto)</t>
        </is>
      </c>
      <c r="L638" s="32" t="inlineStr">
        <is>
          <t>No</t>
        </is>
      </c>
      <c r="M638" s="17" t="n"/>
      <c r="N638" s="17" t="n"/>
      <c r="O638" s="17" t="inlineStr">
        <is>
          <t>S4 - se compra terminado (tercerizado con sello IRAM)</t>
        </is>
      </c>
      <c r="P638" s="17" t="n"/>
      <c r="Q638" s="32" t="inlineStr">
        <is>
          <t>P</t>
        </is>
      </c>
      <c r="R638" s="32" t="inlineStr">
        <is>
          <t>FL_DES_CLASED_9l</t>
        </is>
      </c>
      <c r="S638" s="17" t="inlineStr">
        <is>
          <t>con precinto</t>
        </is>
      </c>
    </row>
    <row r="639">
      <c r="A639" s="32" t="inlineStr">
        <is>
          <t>FL_MAT_CLASED_9l</t>
        </is>
      </c>
      <c r="B639" s="32" t="n">
        <v>2</v>
      </c>
      <c r="C639" s="32" t="inlineStr">
        <is>
          <t>CLASED9-13</t>
        </is>
      </c>
      <c r="D639" s="17" t="inlineStr">
        <is>
          <t xml:space="preserve">        Manija de accionamiento</t>
        </is>
      </c>
      <c r="E639" s="32" t="n">
        <v>1</v>
      </c>
      <c r="F639" s="32" t="inlineStr">
        <is>
          <t>u</t>
        </is>
      </c>
      <c r="G639" s="33" t="n">
        <v>0.0959</v>
      </c>
      <c r="H639" s="33">
        <f>E639*G639</f>
        <v/>
      </c>
      <c r="I639" s="32" t="inlineStr">
        <is>
          <t>Chapa acero SAE 1010 pintada</t>
        </is>
      </c>
      <c r="J639" s="17" t="inlineStr">
        <is>
          <t>124,6 × 31 × 29,3</t>
        </is>
      </c>
      <c r="K639" s="32" t="inlineStr">
        <is>
          <t>Compra (en el conjunto)</t>
        </is>
      </c>
      <c r="L639" s="32" t="inlineStr">
        <is>
          <t>No</t>
        </is>
      </c>
      <c r="M639" s="17" t="n"/>
      <c r="N639" s="17" t="n"/>
      <c r="O639" s="17" t="inlineStr">
        <is>
          <t>S4 - se compra terminado (tercerizado con sello IRAM)</t>
        </is>
      </c>
      <c r="P639" s="17" t="n"/>
      <c r="Q639" s="32" t="inlineStr">
        <is>
          <t>P</t>
        </is>
      </c>
      <c r="R639" s="32" t="inlineStr">
        <is>
          <t>FL_DES_CLASED_9l</t>
        </is>
      </c>
      <c r="S639" s="17" t="n"/>
    </row>
    <row r="640">
      <c r="A640" s="32" t="inlineStr">
        <is>
          <t>FL_MAT_CLASED_9l</t>
        </is>
      </c>
      <c r="B640" s="32" t="n">
        <v>2</v>
      </c>
      <c r="C640" s="32" t="inlineStr">
        <is>
          <t>CLASED9-14</t>
        </is>
      </c>
      <c r="D640" s="17" t="inlineStr">
        <is>
          <t xml:space="preserve">        Manija de transporte</t>
        </is>
      </c>
      <c r="E640" s="32" t="n">
        <v>1</v>
      </c>
      <c r="F640" s="32" t="inlineStr">
        <is>
          <t>u</t>
        </is>
      </c>
      <c r="G640" s="33" t="n">
        <v>0.0757</v>
      </c>
      <c r="H640" s="33">
        <f>E640*G640</f>
        <v/>
      </c>
      <c r="I640" s="32" t="inlineStr">
        <is>
          <t>Chapa acero SAE 1010 pintada</t>
        </is>
      </c>
      <c r="J640" s="17" t="inlineStr">
        <is>
          <t>102,6 × 35 × 25,4</t>
        </is>
      </c>
      <c r="K640" s="32" t="inlineStr">
        <is>
          <t>Compra (en el conjunto)</t>
        </is>
      </c>
      <c r="L640" s="32" t="inlineStr">
        <is>
          <t>No</t>
        </is>
      </c>
      <c r="M640" s="17" t="n"/>
      <c r="N640" s="17" t="n"/>
      <c r="O640" s="17" t="inlineStr">
        <is>
          <t>S4 - se compra terminado (tercerizado con sello IRAM)</t>
        </is>
      </c>
      <c r="P640" s="17" t="n"/>
      <c r="Q640" s="32" t="inlineStr">
        <is>
          <t>P</t>
        </is>
      </c>
      <c r="R640" s="32" t="inlineStr">
        <is>
          <t>FL_DES_CLASED_9l</t>
        </is>
      </c>
      <c r="S640" s="17" t="n"/>
    </row>
    <row r="641">
      <c r="A641" s="32" t="inlineStr">
        <is>
          <t>FL_MAT_CLASED_9l</t>
        </is>
      </c>
      <c r="B641" s="32" t="n">
        <v>2</v>
      </c>
      <c r="C641" s="32" t="inlineStr">
        <is>
          <t>CLASED9-15</t>
        </is>
      </c>
      <c r="D641" s="17" t="inlineStr">
        <is>
          <t xml:space="preserve">        Caño de pesca (sifón)</t>
        </is>
      </c>
      <c r="E641" s="32" t="n">
        <v>1</v>
      </c>
      <c r="F641" s="32" t="inlineStr">
        <is>
          <t>u</t>
        </is>
      </c>
      <c r="G641" s="33" t="n">
        <v>0.0688</v>
      </c>
      <c r="H641" s="33">
        <f>E641*G641</f>
        <v/>
      </c>
      <c r="I641" s="32" t="inlineStr">
        <is>
          <t>Tubo PVC rígido</t>
        </is>
      </c>
      <c r="J641" s="17" t="inlineStr">
        <is>
          <t>Ø21,3 × 526,9 de largo</t>
        </is>
      </c>
      <c r="K641" s="32" t="inlineStr">
        <is>
          <t>Compra (en el conjunto)</t>
        </is>
      </c>
      <c r="L641" s="32" t="inlineStr">
        <is>
          <t>No</t>
        </is>
      </c>
      <c r="M641" s="17" t="n"/>
      <c r="N641" s="17" t="n"/>
      <c r="O641" s="17" t="inlineStr">
        <is>
          <t>S4 - se compra terminado (tercerizado con sello IRAM)</t>
        </is>
      </c>
      <c r="P641" s="17" t="n"/>
      <c r="Q641" s="32" t="inlineStr">
        <is>
          <t>P</t>
        </is>
      </c>
      <c r="R641" s="32" t="inlineStr">
        <is>
          <t>FL_DES_CLASED_9l</t>
        </is>
      </c>
      <c r="S641" s="17" t="n"/>
    </row>
    <row r="642">
      <c r="A642" s="32" t="inlineStr">
        <is>
          <t>FL_MAT_CLASED_9l</t>
        </is>
      </c>
      <c r="B642" s="32" t="n">
        <v>2</v>
      </c>
      <c r="C642" s="32" t="inlineStr">
        <is>
          <t>CLASED9-26</t>
        </is>
      </c>
      <c r="D642" s="17" t="inlineStr">
        <is>
          <t xml:space="preserve">        Junta tórica de asiento</t>
        </is>
      </c>
      <c r="E642" s="32" t="n">
        <v>1</v>
      </c>
      <c r="F642" s="32" t="inlineStr">
        <is>
          <t>u</t>
        </is>
      </c>
      <c r="G642" s="33" t="n">
        <v>0.001</v>
      </c>
      <c r="H642" s="33">
        <f>E642*G642</f>
        <v/>
      </c>
      <c r="I642" s="32" t="inlineStr">
        <is>
          <t>NBR 70 Shore A</t>
        </is>
      </c>
      <c r="J642" s="17" t="inlineStr">
        <is>
          <t>Ø32,8 ext. × cordón 3</t>
        </is>
      </c>
      <c r="K642" s="32" t="inlineStr">
        <is>
          <t>Compra (en el conjunto)</t>
        </is>
      </c>
      <c r="L642" s="32" t="inlineStr">
        <is>
          <t>No</t>
        </is>
      </c>
      <c r="M642" s="17" t="n"/>
      <c r="N642" s="17" t="n"/>
      <c r="O642" s="17" t="inlineStr">
        <is>
          <t>S4 - se compra terminado (tercerizado con sello IRAM)</t>
        </is>
      </c>
      <c r="P642" s="17" t="n"/>
      <c r="Q642" s="32" t="inlineStr">
        <is>
          <t>P</t>
        </is>
      </c>
      <c r="R642" s="32" t="inlineStr">
        <is>
          <t>FL_DES_CLASED_9l</t>
        </is>
      </c>
      <c r="S642" s="17" t="inlineStr">
        <is>
          <t>cambio c/recarga</t>
        </is>
      </c>
    </row>
    <row r="643">
      <c r="A643" s="32" t="inlineStr">
        <is>
          <t>FL_MAT_CLASED_9l</t>
        </is>
      </c>
      <c r="B643" s="32" t="n">
        <v>2</v>
      </c>
      <c r="C643" s="32" t="inlineStr">
        <is>
          <t>CLASED9-V2</t>
        </is>
      </c>
      <c r="D643" s="17" t="inlineStr">
        <is>
          <t xml:space="preserve">        Resorte de retorno del vástago</t>
        </is>
      </c>
      <c r="E643" s="32" t="n">
        <v>1</v>
      </c>
      <c r="F643" s="32" t="inlineStr">
        <is>
          <t>u</t>
        </is>
      </c>
      <c r="G643" s="33" t="n"/>
      <c r="H643" s="33" t="n"/>
      <c r="I643" s="32" t="inlineStr">
        <is>
          <t>Acero para resortes</t>
        </is>
      </c>
      <c r="J643" s="17" t="inlineStr">
        <is>
          <t>incluido en la válvula</t>
        </is>
      </c>
      <c r="K643" s="32" t="inlineStr">
        <is>
          <t>Compra (en el conjunto)</t>
        </is>
      </c>
      <c r="L643" s="32" t="inlineStr">
        <is>
          <t>No</t>
        </is>
      </c>
      <c r="M643" s="17" t="n"/>
      <c r="N643" s="17" t="n"/>
      <c r="O643" s="17" t="inlineStr">
        <is>
          <t>19 Ensamblaje</t>
        </is>
      </c>
      <c r="P643" s="17" t="n"/>
      <c r="Q643" s="32" t="inlineStr">
        <is>
          <t>Q</t>
        </is>
      </c>
      <c r="R643" s="32" t="n"/>
      <c r="S643" s="17" t="inlineStr">
        <is>
          <t>Lista de precios HZ: válvula «c/resorte» (Q-AGENTES)</t>
        </is>
      </c>
    </row>
    <row r="644">
      <c r="A644" s="32" t="inlineStr">
        <is>
          <t>FL_MAT_CLASED_9l</t>
        </is>
      </c>
      <c r="B644" s="32" t="n">
        <v>2</v>
      </c>
      <c r="C644" s="32" t="inlineStr">
        <is>
          <t>CLASED9-V3</t>
        </is>
      </c>
      <c r="D644" s="17" t="inlineStr">
        <is>
          <t xml:space="preserve">        Junta tórica del vástago</t>
        </is>
      </c>
      <c r="E644" s="32" t="n">
        <v>1</v>
      </c>
      <c r="F644" s="32" t="inlineStr">
        <is>
          <t>u</t>
        </is>
      </c>
      <c r="G644" s="33" t="n"/>
      <c r="H644" s="33" t="n"/>
      <c r="I644" s="32" t="inlineStr">
        <is>
          <t>NBR 70 Shore A</t>
        </is>
      </c>
      <c r="J644" s="17" t="inlineStr">
        <is>
          <t>incluida en la válvula</t>
        </is>
      </c>
      <c r="K644" s="32" t="inlineStr">
        <is>
          <t>Compra (en el conjunto)</t>
        </is>
      </c>
      <c r="L644" s="32" t="inlineStr">
        <is>
          <t>No</t>
        </is>
      </c>
      <c r="M644" s="17" t="n"/>
      <c r="N644" s="17" t="n"/>
      <c r="O644" s="17" t="inlineStr">
        <is>
          <t>19 Ensamblaje</t>
        </is>
      </c>
      <c r="P644" s="17" t="n"/>
      <c r="Q644" s="32" t="inlineStr">
        <is>
          <t>P</t>
        </is>
      </c>
      <c r="R644" s="32" t="n"/>
      <c r="S644" s="17" t="inlineStr">
        <is>
          <t>Figura en el plano como «vástago con junta tórica»</t>
        </is>
      </c>
    </row>
    <row r="645">
      <c r="A645" s="29" t="inlineStr">
        <is>
          <t>FL_MAT_CLASED_9l</t>
        </is>
      </c>
      <c r="B645" s="29" t="n">
        <v>1</v>
      </c>
      <c r="C645" s="29" t="inlineStr">
        <is>
          <t>CLASED9-S3</t>
        </is>
      </c>
      <c r="D645" s="30" t="inlineStr">
        <is>
          <t xml:space="preserve">    Dispositivo de descarga</t>
        </is>
      </c>
      <c r="E645" s="29" t="n">
        <v>1</v>
      </c>
      <c r="F645" s="29" t="inlineStr">
        <is>
          <t>u</t>
        </is>
      </c>
      <c r="G645" s="31" t="n"/>
      <c r="H645" s="31">
        <f>H646+H647+H648+H649+H650</f>
        <v/>
      </c>
      <c r="I645" s="29" t="n"/>
      <c r="J645" s="30" t="n"/>
      <c r="K645" s="29" t="inlineStr">
        <is>
          <t>Compra / armado</t>
        </is>
      </c>
      <c r="L645" s="29" t="n"/>
      <c r="M645" s="30" t="n"/>
      <c r="N645" s="30" t="n"/>
      <c r="O645" s="30" t="n"/>
      <c r="P645" s="30" t="n"/>
      <c r="Q645" s="29" t="inlineStr">
        <is>
          <t>P</t>
        </is>
      </c>
      <c r="R645" s="29" t="inlineStr">
        <is>
          <t>FL_DES_CLASED_9l</t>
        </is>
      </c>
      <c r="S645" s="30" t="n"/>
    </row>
    <row r="646">
      <c r="A646" s="32" t="inlineStr">
        <is>
          <t>FL_MAT_CLASED_9l</t>
        </is>
      </c>
      <c r="B646" s="32" t="n">
        <v>2</v>
      </c>
      <c r="C646" s="32" t="inlineStr">
        <is>
          <t>CLASED9-16</t>
        </is>
      </c>
      <c r="D646" s="17" t="inlineStr">
        <is>
          <t xml:space="preserve">        Racor de manguera</t>
        </is>
      </c>
      <c r="E646" s="32" t="n">
        <v>1</v>
      </c>
      <c r="F646" s="32" t="inlineStr">
        <is>
          <t>u</t>
        </is>
      </c>
      <c r="G646" s="33" t="n">
        <v>0.0258</v>
      </c>
      <c r="H646" s="33">
        <f>E646*G646</f>
        <v/>
      </c>
      <c r="I646" s="32" t="inlineStr">
        <is>
          <t>Latón</t>
        </is>
      </c>
      <c r="J646" s="17" t="inlineStr">
        <is>
          <t>18 × 18 × 12</t>
        </is>
      </c>
      <c r="K646" s="32" t="inlineStr">
        <is>
          <t>Compra (en el conjunto)</t>
        </is>
      </c>
      <c r="L646" s="32" t="inlineStr">
        <is>
          <t>No</t>
        </is>
      </c>
      <c r="M646" s="17" t="n"/>
      <c r="N646" s="17" t="n"/>
      <c r="O646" s="17" t="inlineStr">
        <is>
          <t>S4 - se compra terminado (tercerizado con sello IRAM)</t>
        </is>
      </c>
      <c r="P646" s="17" t="n"/>
      <c r="Q646" s="32" t="inlineStr">
        <is>
          <t>P</t>
        </is>
      </c>
      <c r="R646" s="32" t="inlineStr">
        <is>
          <t>FL_DES_CLASED_9l</t>
        </is>
      </c>
      <c r="S646" s="17" t="n"/>
    </row>
    <row r="647">
      <c r="A647" s="32" t="inlineStr">
        <is>
          <t>FL_MAT_CLASED_9l</t>
        </is>
      </c>
      <c r="B647" s="32" t="n">
        <v>2</v>
      </c>
      <c r="C647" s="32" t="inlineStr">
        <is>
          <t>CLASED9-17</t>
        </is>
      </c>
      <c r="D647" s="17" t="inlineStr">
        <is>
          <t xml:space="preserve">        Manguera</t>
        </is>
      </c>
      <c r="E647" s="32" t="n">
        <v>1</v>
      </c>
      <c r="F647" s="32" t="inlineStr">
        <is>
          <t>u</t>
        </is>
      </c>
      <c r="G647" s="33" t="n">
        <v>0.0297</v>
      </c>
      <c r="H647" s="33">
        <f>E647*G647</f>
        <v/>
      </c>
      <c r="I647" s="32" t="inlineStr">
        <is>
          <t>Caucho sintético</t>
        </is>
      </c>
      <c r="J647" s="17" t="inlineStr">
        <is>
          <t>Ø16 × 192 de largo desarrollado</t>
        </is>
      </c>
      <c r="K647" s="32" t="inlineStr">
        <is>
          <t>Compra (en el conjunto)</t>
        </is>
      </c>
      <c r="L647" s="32" t="inlineStr">
        <is>
          <t>No</t>
        </is>
      </c>
      <c r="M647" s="17" t="n"/>
      <c r="N647" s="17" t="n"/>
      <c r="O647" s="17" t="inlineStr">
        <is>
          <t>S4 - se compra terminado (tercerizado con sello IRAM)</t>
        </is>
      </c>
      <c r="P647" s="17" t="n"/>
      <c r="Q647" s="32" t="inlineStr">
        <is>
          <t>P</t>
        </is>
      </c>
      <c r="R647" s="32" t="inlineStr">
        <is>
          <t>FL_DES_CLASED_9l</t>
        </is>
      </c>
      <c r="S647" s="17" t="n"/>
    </row>
    <row r="648">
      <c r="A648" s="32" t="inlineStr">
        <is>
          <t>FL_MAT_CLASED_9l</t>
        </is>
      </c>
      <c r="B648" s="32" t="n">
        <v>2</v>
      </c>
      <c r="C648" s="32" t="inlineStr">
        <is>
          <t>CLASED9-18</t>
        </is>
      </c>
      <c r="D648" s="17" t="inlineStr">
        <is>
          <t xml:space="preserve">        Lanza aplicadora flujo suave</t>
        </is>
      </c>
      <c r="E648" s="32" t="n">
        <v>1</v>
      </c>
      <c r="F648" s="32" t="inlineStr">
        <is>
          <t>u</t>
        </is>
      </c>
      <c r="G648" s="33" t="n">
        <v>0.1201</v>
      </c>
      <c r="H648" s="33">
        <f>E648*G648</f>
        <v/>
      </c>
      <c r="I648" s="32" t="inlineStr">
        <is>
          <t>Tubo aluminio</t>
        </is>
      </c>
      <c r="J648" s="17" t="inlineStr">
        <is>
          <t>360 × 40 × 40</t>
        </is>
      </c>
      <c r="K648" s="32" t="inlineStr">
        <is>
          <t>Compra (en el conjunto)</t>
        </is>
      </c>
      <c r="L648" s="32" t="inlineStr">
        <is>
          <t>No</t>
        </is>
      </c>
      <c r="M648" s="17" t="n"/>
      <c r="N648" s="17" t="n"/>
      <c r="O648" s="17" t="inlineStr">
        <is>
          <t>S4 - se compra terminado (tercerizado con sello IRAM)</t>
        </is>
      </c>
      <c r="P648" s="17" t="n"/>
      <c r="Q648" s="32" t="inlineStr">
        <is>
          <t>P</t>
        </is>
      </c>
      <c r="R648" s="32" t="inlineStr">
        <is>
          <t>FL_DES_CLASED_9l</t>
        </is>
      </c>
      <c r="S648" s="17" t="n"/>
    </row>
    <row r="649">
      <c r="A649" s="32" t="inlineStr">
        <is>
          <t>FL_MAT_CLASED_9l</t>
        </is>
      </c>
      <c r="B649" s="32" t="n">
        <v>2</v>
      </c>
      <c r="C649" s="32" t="inlineStr">
        <is>
          <t>CLASED9-19</t>
        </is>
      </c>
      <c r="D649" s="17" t="inlineStr">
        <is>
          <t xml:space="preserve">        Empuñadura</t>
        </is>
      </c>
      <c r="E649" s="32" t="n">
        <v>1</v>
      </c>
      <c r="F649" s="32" t="inlineStr">
        <is>
          <t>u</t>
        </is>
      </c>
      <c r="G649" s="33" t="n">
        <v>0.0239</v>
      </c>
      <c r="H649" s="33">
        <f>E649*G649</f>
        <v/>
      </c>
      <c r="I649" s="32" t="inlineStr">
        <is>
          <t>Polipropileno</t>
        </is>
      </c>
      <c r="J649" s="17" t="inlineStr">
        <is>
          <t>90 × 28 × 28</t>
        </is>
      </c>
      <c r="K649" s="32" t="inlineStr">
        <is>
          <t>Compra (en el conjunto)</t>
        </is>
      </c>
      <c r="L649" s="32" t="inlineStr">
        <is>
          <t>No</t>
        </is>
      </c>
      <c r="M649" s="17" t="n"/>
      <c r="N649" s="17" t="n"/>
      <c r="O649" s="17" t="inlineStr">
        <is>
          <t>S4 - se compra terminado (tercerizado con sello IRAM)</t>
        </is>
      </c>
      <c r="P649" s="17" t="n"/>
      <c r="Q649" s="32" t="inlineStr">
        <is>
          <t>P</t>
        </is>
      </c>
      <c r="R649" s="32" t="inlineStr">
        <is>
          <t>FL_DES_CLASED_9l</t>
        </is>
      </c>
      <c r="S649" s="17" t="n"/>
    </row>
    <row r="650">
      <c r="A650" s="32" t="inlineStr">
        <is>
          <t>FL_MAT_CLASED_9l</t>
        </is>
      </c>
      <c r="B650" s="32" t="n">
        <v>2</v>
      </c>
      <c r="C650" s="32" t="inlineStr">
        <is>
          <t>CLASED9-20</t>
        </is>
      </c>
      <c r="D650" s="17" t="inlineStr">
        <is>
          <t xml:space="preserve">        Suncho portatobera</t>
        </is>
      </c>
      <c r="E650" s="32" t="n">
        <v>1</v>
      </c>
      <c r="F650" s="32" t="inlineStr">
        <is>
          <t>u</t>
        </is>
      </c>
      <c r="G650" s="33" t="n">
        <v>0.1438</v>
      </c>
      <c r="H650" s="33">
        <f>E650*G650</f>
        <v/>
      </c>
      <c r="I650" s="32" t="inlineStr">
        <is>
          <t>Fleje acero SAE 1010 pintado</t>
        </is>
      </c>
      <c r="J650" s="17" t="inlineStr">
        <is>
          <t>199,1 × 185,1 × 18</t>
        </is>
      </c>
      <c r="K650" s="32" t="inlineStr">
        <is>
          <t>Compra (en el conjunto)</t>
        </is>
      </c>
      <c r="L650" s="32" t="inlineStr">
        <is>
          <t>No</t>
        </is>
      </c>
      <c r="M650" s="17" t="n"/>
      <c r="N650" s="17" t="n"/>
      <c r="O650" s="17" t="inlineStr">
        <is>
          <t>S4 - se compra terminado (tercerizado con sello IRAM)</t>
        </is>
      </c>
      <c r="P650" s="17" t="n"/>
      <c r="Q650" s="32" t="inlineStr">
        <is>
          <t>P</t>
        </is>
      </c>
      <c r="R650" s="32" t="inlineStr">
        <is>
          <t>FL_DES_CLASED_9l</t>
        </is>
      </c>
      <c r="S650" s="17" t="n"/>
    </row>
    <row r="651">
      <c r="A651" s="29" t="inlineStr">
        <is>
          <t>FL_MAT_CLASED_9l</t>
        </is>
      </c>
      <c r="B651" s="29" t="n">
        <v>1</v>
      </c>
      <c r="C651" s="29" t="inlineStr">
        <is>
          <t>CLASED9-S5</t>
        </is>
      </c>
      <c r="D651" s="30" t="inlineStr">
        <is>
          <t xml:space="preserve">    Carga: agente extintor y gas impulsor</t>
        </is>
      </c>
      <c r="E651" s="29" t="n">
        <v>1</v>
      </c>
      <c r="F651" s="29" t="inlineStr">
        <is>
          <t>u</t>
        </is>
      </c>
      <c r="G651" s="31" t="n"/>
      <c r="H651" s="31">
        <f>H652+H653</f>
        <v/>
      </c>
      <c r="I651" s="29" t="n"/>
      <c r="J651" s="30" t="n"/>
      <c r="K651" s="29" t="inlineStr">
        <is>
          <t>Compra</t>
        </is>
      </c>
      <c r="L651" s="29" t="n"/>
      <c r="M651" s="30" t="n"/>
      <c r="N651" s="30" t="n"/>
      <c r="O651" s="30" t="n"/>
      <c r="P651" s="30" t="n"/>
      <c r="Q651" s="29" t="n"/>
      <c r="R651" s="29" t="n"/>
      <c r="S651" s="30" t="n"/>
    </row>
    <row r="652">
      <c r="A652" s="32" t="inlineStr">
        <is>
          <t>FL_MAT_CLASED_9l</t>
        </is>
      </c>
      <c r="B652" s="32" t="n">
        <v>2</v>
      </c>
      <c r="C652" s="32" t="inlineStr">
        <is>
          <t>CLASED9-A1</t>
        </is>
      </c>
      <c r="D652" s="17" t="inlineStr">
        <is>
          <t xml:space="preserve">        Polvo para metales combustibles clase D - Clase D (NaCl &gt; 90 %)</t>
        </is>
      </c>
      <c r="E652" s="32" t="n">
        <v>9.15</v>
      </c>
      <c r="F652" s="32" t="inlineStr">
        <is>
          <t>kg</t>
        </is>
      </c>
      <c r="G652" s="33" t="n">
        <v>1</v>
      </c>
      <c r="H652" s="33">
        <f>E652*G652</f>
        <v/>
      </c>
      <c r="I652" s="32" t="inlineStr">
        <is>
          <t>Polvo para metales combustibles clase D - Clase D (NaCl &gt; 90 %)</t>
        </is>
      </c>
      <c r="J652" s="17" t="inlineStr">
        <is>
          <t>nominal 9 kg; tolerancia 0 / +300 g (IRAM 3517-2:2020 tabla 3 · IRAM 3523 tabla II)</t>
        </is>
      </c>
      <c r="K652" s="32" t="inlineStr">
        <is>
          <t>Compra</t>
        </is>
      </c>
      <c r="L652" s="32" t="inlineStr">
        <is>
          <t>No</t>
        </is>
      </c>
      <c r="M652" s="17" t="n"/>
      <c r="N652" s="17" t="n"/>
      <c r="O652" s="17" t="inlineStr">
        <is>
          <t>SP-1 almacén previo a la carga</t>
        </is>
      </c>
      <c r="P652" s="17" t="inlineStr">
        <is>
          <t>sin norma IRAM de agente (DEMSA ISO 9001)</t>
        </is>
      </c>
      <c r="Q652" s="32" t="inlineStr">
        <is>
          <t>N</t>
        </is>
      </c>
      <c r="R652" s="32" t="n"/>
      <c r="S652" s="17" t="inlineStr">
        <is>
          <t>potencial -</t>
        </is>
      </c>
    </row>
    <row r="653">
      <c r="A653" s="32" t="inlineStr">
        <is>
          <t>FL_MAT_CLASED_9l</t>
        </is>
      </c>
      <c r="B653" s="32" t="n">
        <v>2</v>
      </c>
      <c r="C653" s="32" t="inlineStr">
        <is>
          <t>CLASED9-A2</t>
        </is>
      </c>
      <c r="D653" s="17" t="inlineStr">
        <is>
          <t xml:space="preserve">        Gas impulsor: N₂</t>
        </is>
      </c>
      <c r="E653" s="32" t="n">
        <v>0.0604</v>
      </c>
      <c r="F653" s="32" t="inlineStr">
        <is>
          <t>kg</t>
        </is>
      </c>
      <c r="G653" s="33" t="n">
        <v>1</v>
      </c>
      <c r="H653" s="33">
        <f>E653*G653</f>
        <v/>
      </c>
      <c r="I653" s="32" t="inlineStr">
        <is>
          <t>N₂</t>
        </is>
      </c>
      <c r="J653" s="17" t="inlineStr">
        <is>
          <t>48,3 L normales para 1,4 MPa a 20 °C en 3,5 dm³ libres</t>
        </is>
      </c>
      <c r="K653" s="32" t="inlineStr">
        <is>
          <t>Compra</t>
        </is>
      </c>
      <c r="L653" s="32" t="inlineStr">
        <is>
          <t>No</t>
        </is>
      </c>
      <c r="M653" s="17" t="n"/>
      <c r="N653" s="17" t="n"/>
      <c r="O653" s="17" t="inlineStr">
        <is>
          <t>20 Presurización (T05) / C10</t>
        </is>
      </c>
      <c r="P653" s="17" t="inlineStr">
        <is>
          <t>IRAM 3517-2 9.4.9 (tabla 2) · IRAM 3523 2.3 y 3.10</t>
        </is>
      </c>
      <c r="Q653" s="32" t="inlineStr">
        <is>
          <t>C</t>
        </is>
      </c>
      <c r="R653" s="32" t="n"/>
      <c r="S653" s="17" t="inlineStr">
        <is>
          <t>N₂ ≥ 99,8 %, H₂O ≤ 40 ppm (Q-N2, Air Liquide)</t>
        </is>
      </c>
    </row>
    <row r="654">
      <c r="A654" s="29" t="inlineStr">
        <is>
          <t>FL_MAT_CLASED_9l</t>
        </is>
      </c>
      <c r="B654" s="29" t="n">
        <v>1</v>
      </c>
      <c r="C654" s="29" t="inlineStr">
        <is>
          <t>CLASED9-S6</t>
        </is>
      </c>
      <c r="D654" s="30" t="inlineStr">
        <is>
          <t xml:space="preserve">    Identificación y precinto</t>
        </is>
      </c>
      <c r="E654" s="29" t="n">
        <v>1</v>
      </c>
      <c r="F654" s="29" t="inlineStr">
        <is>
          <t>u</t>
        </is>
      </c>
      <c r="G654" s="31" t="n"/>
      <c r="H654" s="31">
        <f>H655+H656+H657+H658+H659+H660+H661</f>
        <v/>
      </c>
      <c r="I654" s="29" t="n"/>
      <c r="J654" s="30" t="n"/>
      <c r="K654" s="29" t="inlineStr">
        <is>
          <t>Compra</t>
        </is>
      </c>
      <c r="L654" s="29" t="n"/>
      <c r="M654" s="30" t="n"/>
      <c r="N654" s="30" t="n"/>
      <c r="O654" s="30" t="inlineStr">
        <is>
          <t>22 Etiquetado (T07)</t>
        </is>
      </c>
      <c r="P654" s="30" t="n"/>
      <c r="Q654" s="29" t="n"/>
      <c r="R654" s="29" t="n"/>
      <c r="S654" s="30" t="n"/>
    </row>
    <row r="655">
      <c r="A655" s="32" t="inlineStr">
        <is>
          <t>FL_MAT_CLASED_9l</t>
        </is>
      </c>
      <c r="B655" s="32" t="n">
        <v>2</v>
      </c>
      <c r="C655" s="32" t="inlineStr">
        <is>
          <t>CLASED9-21</t>
        </is>
      </c>
      <c r="D655" s="17" t="inlineStr">
        <is>
          <t xml:space="preserve">        Etiqueta / placa de características</t>
        </is>
      </c>
      <c r="E655" s="32" t="n">
        <v>1</v>
      </c>
      <c r="F655" s="32" t="inlineStr">
        <is>
          <t>u</t>
        </is>
      </c>
      <c r="G655" s="33" t="n">
        <v>0.0338</v>
      </c>
      <c r="H655" s="33">
        <f>E655*G655</f>
        <v/>
      </c>
      <c r="I655" s="32" t="inlineStr">
        <is>
          <t>Vinilo autoadhesivo laminado</t>
        </is>
      </c>
      <c r="J655" s="17" t="inlineStr">
        <is>
          <t>343 × 235 (desarrollo × alto: panel central 108° + 2 alas laterales), e ≈ 0,3, laminado UV</t>
        </is>
      </c>
      <c r="K655" s="32" t="inlineStr">
        <is>
          <t>Compra</t>
        </is>
      </c>
      <c r="L655" s="32" t="inlineStr">
        <is>
          <t>No</t>
        </is>
      </c>
      <c r="M655" s="17" t="n"/>
      <c r="N655" s="17" t="n"/>
      <c r="O655" s="17" t="inlineStr">
        <is>
          <t>22 Etiquetado (T07)</t>
        </is>
      </c>
      <c r="P655" s="17" t="inlineStr">
        <is>
          <t>IRAM 3534 · IRAM 3523 cap. 5 · relevamiento de mercado</t>
        </is>
      </c>
      <c r="Q655" s="32" t="inlineStr">
        <is>
          <t>P</t>
        </is>
      </c>
      <c r="R655" s="32" t="inlineStr">
        <is>
          <t>FL_DES_CLASED_9l</t>
        </is>
      </c>
      <c r="S655" s="17" t="inlineStr">
        <is>
          <t>IRAM 3534</t>
        </is>
      </c>
    </row>
    <row r="656">
      <c r="A656" s="32" t="inlineStr">
        <is>
          <t>FL_MAT_CLASED_9l</t>
        </is>
      </c>
      <c r="B656" s="32" t="n">
        <v>2</v>
      </c>
      <c r="C656" s="32" t="inlineStr">
        <is>
          <t>CLASED9-22</t>
        </is>
      </c>
      <c r="D656" s="17" t="inlineStr">
        <is>
          <t xml:space="preserve">        Oblea de fabricación (PBA)</t>
        </is>
      </c>
      <c r="E656" s="32" t="n">
        <v>1</v>
      </c>
      <c r="F656" s="32" t="inlineStr">
        <is>
          <t>u</t>
        </is>
      </c>
      <c r="G656" s="33" t="n">
        <v>0.0009</v>
      </c>
      <c r="H656" s="33">
        <f>E656*G656</f>
        <v/>
      </c>
      <c r="I656" s="32" t="inlineStr">
        <is>
          <t>Papel de seguridad autodestructible</t>
        </is>
      </c>
      <c r="J656" s="17" t="inlineStr">
        <is>
          <t>Ø46 (Res. OPDS 522/07), numerada, autodestructible</t>
        </is>
      </c>
      <c r="K656" s="32" t="inlineStr">
        <is>
          <t>Compra</t>
        </is>
      </c>
      <c r="L656" s="32" t="inlineStr">
        <is>
          <t>No</t>
        </is>
      </c>
      <c r="M656" s="17" t="n"/>
      <c r="N656" s="17" t="n"/>
      <c r="O656" s="17" t="inlineStr">
        <is>
          <t>22 Etiquetado (T07)</t>
        </is>
      </c>
      <c r="P656" s="17" t="inlineStr">
        <is>
          <t>Res. OPDS 522/07 anexos 1, 2 y 6</t>
        </is>
      </c>
      <c r="Q656" s="32" t="inlineStr">
        <is>
          <t>P</t>
        </is>
      </c>
      <c r="R656" s="32" t="inlineStr">
        <is>
          <t>FL_DES_CLASED_9l</t>
        </is>
      </c>
      <c r="S656" s="17" t="inlineStr">
        <is>
          <t>Res. 522/07</t>
        </is>
      </c>
    </row>
    <row r="657">
      <c r="A657" s="32" t="inlineStr">
        <is>
          <t>FL_MAT_CLASED_9l</t>
        </is>
      </c>
      <c r="B657" s="32" t="n">
        <v>2</v>
      </c>
      <c r="C657" s="32" t="inlineStr">
        <is>
          <t>CLASED9-23</t>
        </is>
      </c>
      <c r="D657" s="17" t="inlineStr">
        <is>
          <t xml:space="preserve">        Estampilla IRAM de conformidad</t>
        </is>
      </c>
      <c r="E657" s="32" t="n">
        <v>1</v>
      </c>
      <c r="F657" s="32" t="inlineStr">
        <is>
          <t>u</t>
        </is>
      </c>
      <c r="G657" s="33" t="n">
        <v>0.001</v>
      </c>
      <c r="H657" s="33">
        <f>E657*G657</f>
        <v/>
      </c>
      <c r="I657" s="32" t="inlineStr">
        <is>
          <t>Provista por IRAM (Anexo R)</t>
        </is>
      </c>
      <c r="J657" s="17" t="inlineStr">
        <is>
          <t>60 × 40</t>
        </is>
      </c>
      <c r="K657" s="32" t="inlineStr">
        <is>
          <t>Compra</t>
        </is>
      </c>
      <c r="L657" s="32" t="inlineStr">
        <is>
          <t>No</t>
        </is>
      </c>
      <c r="M657" s="17" t="n"/>
      <c r="N657" s="17" t="n"/>
      <c r="O657" s="17" t="inlineStr">
        <is>
          <t>22 Etiquetado (T07)</t>
        </is>
      </c>
      <c r="P657" s="17" t="inlineStr">
        <is>
          <t>IRAM Anexo R (DC-PG-129)</t>
        </is>
      </c>
      <c r="Q657" s="32" t="inlineStr">
        <is>
          <t>P</t>
        </is>
      </c>
      <c r="R657" s="32" t="inlineStr">
        <is>
          <t>FL_DES_CLASED_9l</t>
        </is>
      </c>
      <c r="S657" s="17" t="inlineStr">
        <is>
          <t>numerada</t>
        </is>
      </c>
    </row>
    <row r="658">
      <c r="A658" s="32" t="inlineStr">
        <is>
          <t>FL_MAT_CLASED_9l</t>
        </is>
      </c>
      <c r="B658" s="32" t="n">
        <v>2</v>
      </c>
      <c r="C658" s="32" t="inlineStr">
        <is>
          <t>CLASED9-24</t>
        </is>
      </c>
      <c r="D658" s="17" t="inlineStr">
        <is>
          <t xml:space="preserve">        Tarjeta de identificación AGC (CABA)</t>
        </is>
      </c>
      <c r="E658" s="32" t="n">
        <v>1</v>
      </c>
      <c r="F658" s="32" t="inlineStr">
        <is>
          <t>u</t>
        </is>
      </c>
      <c r="G658" s="33" t="n">
        <v>0.0032</v>
      </c>
      <c r="H658" s="33">
        <f>E658*G658</f>
        <v/>
      </c>
      <c r="I658" s="32" t="inlineStr">
        <is>
          <t>Etiqueta autoadhesiva emitida por la AGC</t>
        </is>
      </c>
      <c r="J658" s="17" t="inlineStr">
        <is>
          <t>140 × 55</t>
        </is>
      </c>
      <c r="K658" s="32" t="inlineStr">
        <is>
          <t>Compra</t>
        </is>
      </c>
      <c r="L658" s="32" t="inlineStr">
        <is>
          <t>Sí</t>
        </is>
      </c>
      <c r="M658" s="17" t="inlineStr">
        <is>
          <t>Agencia Gubernamental de Control (CABA)</t>
        </is>
      </c>
      <c r="N658" s="17" t="inlineStr">
        <is>
          <t>-</t>
        </is>
      </c>
      <c r="O658" s="17" t="inlineStr">
        <is>
          <t>22 Etiquetado (T07)</t>
        </is>
      </c>
      <c r="P658" s="17" t="inlineStr">
        <is>
          <t>Ordenanza 40.473 art. 6 · Res. AGC 32/15</t>
        </is>
      </c>
      <c r="Q658" s="32" t="inlineStr">
        <is>
          <t>P</t>
        </is>
      </c>
      <c r="R658" s="32" t="inlineStr">
        <is>
          <t>FL_DES_CLASED_9l</t>
        </is>
      </c>
      <c r="S658" s="17" t="inlineStr">
        <is>
          <t>sólo destino CABA; sólo destino CABA</t>
        </is>
      </c>
    </row>
    <row r="659">
      <c r="A659" s="32" t="inlineStr">
        <is>
          <t>FL_MAT_CLASED_9l</t>
        </is>
      </c>
      <c r="B659" s="32" t="n">
        <v>2</v>
      </c>
      <c r="C659" s="32" t="inlineStr">
        <is>
          <t>CLASED9-25</t>
        </is>
      </c>
      <c r="D659" s="17" t="inlineStr">
        <is>
          <t xml:space="preserve">        Etiqueta de n° de serie GS1</t>
        </is>
      </c>
      <c r="E659" s="32" t="n">
        <v>1</v>
      </c>
      <c r="F659" s="32" t="inlineStr">
        <is>
          <t>u</t>
        </is>
      </c>
      <c r="G659" s="33" t="n">
        <v>0.0005</v>
      </c>
      <c r="H659" s="33">
        <f>E659*G659</f>
        <v/>
      </c>
      <c r="I659" s="32" t="inlineStr">
        <is>
          <t>Poliéster autoadhesivo impreso térmico</t>
        </is>
      </c>
      <c r="J659" s="17" t="inlineStr">
        <is>
          <t>45 × 25</t>
        </is>
      </c>
      <c r="K659" s="32" t="inlineStr">
        <is>
          <t>Compra</t>
        </is>
      </c>
      <c r="L659" s="32" t="inlineStr">
        <is>
          <t>No</t>
        </is>
      </c>
      <c r="M659" s="17" t="n"/>
      <c r="N659" s="17" t="n"/>
      <c r="O659" s="17" t="inlineStr">
        <is>
          <t>22 Etiquetado (T07)</t>
        </is>
      </c>
      <c r="P659" s="17" t="inlineStr">
        <is>
          <t>GS1 Argentina (GTIN 779) · trazabilidad IRAM 3523 5.1</t>
        </is>
      </c>
      <c r="Q659" s="32" t="inlineStr">
        <is>
          <t>P</t>
        </is>
      </c>
      <c r="R659" s="32" t="inlineStr">
        <is>
          <t>FL_DES_CLASED_9l</t>
        </is>
      </c>
      <c r="S659" s="17" t="inlineStr">
        <is>
          <t>QR GTIN + serie</t>
        </is>
      </c>
    </row>
    <row r="660">
      <c r="A660" s="32" t="inlineStr">
        <is>
          <t>FL_MAT_CLASED_9l</t>
        </is>
      </c>
      <c r="B660" s="32" t="n">
        <v>2</v>
      </c>
      <c r="C660" s="32" t="inlineStr">
        <is>
          <t>CLASED9-27</t>
        </is>
      </c>
      <c r="D660" s="17" t="inlineStr">
        <is>
          <t xml:space="preserve">        Faja de garantía válvula-cuello</t>
        </is>
      </c>
      <c r="E660" s="32" t="n">
        <v>1</v>
      </c>
      <c r="F660" s="32" t="inlineStr">
        <is>
          <t>u</t>
        </is>
      </c>
      <c r="G660" s="33" t="n">
        <v>0.0001</v>
      </c>
      <c r="H660" s="33">
        <f>E660*G660</f>
        <v/>
      </c>
      <c r="I660" s="32" t="inlineStr">
        <is>
          <t>Vinilo destructible rayado rojo/blanco</t>
        </is>
      </c>
      <c r="J660" s="17" t="inlineStr">
        <is>
          <t>22 × 22 (ancho × largo desarrollado), pegada sobre la unión: cuerpo de la válvula, tuerca y cuello</t>
        </is>
      </c>
      <c r="K660" s="32" t="inlineStr">
        <is>
          <t>Compra</t>
        </is>
      </c>
      <c r="L660" s="32" t="inlineStr">
        <is>
          <t>No</t>
        </is>
      </c>
      <c r="M660" s="17" t="n"/>
      <c r="N660" s="17" t="n"/>
      <c r="O660" s="17" t="inlineStr">
        <is>
          <t>22 Etiquetado (T07)</t>
        </is>
      </c>
      <c r="P660" s="17" t="inlineStr">
        <is>
          <t>Sin norma: práctica de mercado (garantía de fábrica)</t>
        </is>
      </c>
      <c r="Q660" s="32" t="inlineStr">
        <is>
          <t>P</t>
        </is>
      </c>
      <c r="R660" s="32" t="inlineStr">
        <is>
          <t>FL_DES_CLASED_9l</t>
        </is>
      </c>
      <c r="S660" s="17" t="inlineStr">
        <is>
          <t>nuevo sin abrir</t>
        </is>
      </c>
    </row>
    <row r="661">
      <c r="A661" s="32" t="inlineStr">
        <is>
          <t>FL_MAT_CLASED_9l</t>
        </is>
      </c>
      <c r="B661" s="32" t="n">
        <v>2</v>
      </c>
      <c r="C661" s="32" t="inlineStr">
        <is>
          <t>CLASED9-28</t>
        </is>
      </c>
      <c r="D661" s="17" t="inlineStr">
        <is>
          <t xml:space="preserve">        Precinto de fábrica</t>
        </is>
      </c>
      <c r="E661" s="32" t="n">
        <v>1</v>
      </c>
      <c r="F661" s="32" t="inlineStr">
        <is>
          <t>u</t>
        </is>
      </c>
      <c r="G661" s="33" t="n">
        <v>0.0002</v>
      </c>
      <c r="H661" s="33">
        <f>E661*G661</f>
        <v/>
      </c>
      <c r="I661" s="32" t="inlineStr">
        <is>
          <t>Polipropileno color</t>
        </is>
      </c>
      <c r="J661" s="17" t="inlineStr">
        <is>
          <t>Ø5 × 10, numerado, rotura 30-50 N</t>
        </is>
      </c>
      <c r="K661" s="32" t="inlineStr">
        <is>
          <t>Compra</t>
        </is>
      </c>
      <c r="L661" s="32" t="inlineStr">
        <is>
          <t>No</t>
        </is>
      </c>
      <c r="M661" s="17" t="n"/>
      <c r="N661" s="17" t="n"/>
      <c r="O661" s="17" t="inlineStr">
        <is>
          <t>20 Presurización (T05)</t>
        </is>
      </c>
      <c r="P661" s="17" t="inlineStr">
        <is>
          <t>IRAM 3523 3.3.2 · IRAM 3517-2:2020 9.4.13</t>
        </is>
      </c>
      <c r="Q661" s="32" t="inlineStr">
        <is>
          <t>P</t>
        </is>
      </c>
      <c r="R661" s="32" t="inlineStr">
        <is>
          <t>FL_DES_CLASED_9l</t>
        </is>
      </c>
      <c r="S661" s="17" t="inlineStr">
        <is>
          <t>id. FLAMA y lote</t>
        </is>
      </c>
    </row>
    <row r="662">
      <c r="A662" s="29" t="inlineStr">
        <is>
          <t>FL_MAT_CLASED_9l</t>
        </is>
      </c>
      <c r="B662" s="29" t="n">
        <v>1</v>
      </c>
      <c r="C662" s="29" t="inlineStr">
        <is>
          <t>CLASED9-S8</t>
        </is>
      </c>
      <c r="D662" s="30" t="inlineStr">
        <is>
          <t xml:space="preserve">    Soporte (accesorio de montaje)</t>
        </is>
      </c>
      <c r="E662" s="29" t="n">
        <v>1</v>
      </c>
      <c r="F662" s="29" t="inlineStr">
        <is>
          <t>u</t>
        </is>
      </c>
      <c r="G662" s="31" t="n"/>
      <c r="H662" s="31">
        <f>H663</f>
        <v/>
      </c>
      <c r="I662" s="29" t="n"/>
      <c r="J662" s="30" t="n"/>
      <c r="K662" s="29" t="inlineStr">
        <is>
          <t>Compra</t>
        </is>
      </c>
      <c r="L662" s="29" t="n"/>
      <c r="M662" s="30" t="n"/>
      <c r="N662" s="30" t="n"/>
      <c r="O662" s="30" t="inlineStr">
        <is>
          <t>23 Embalaje (va dentro de la caja)</t>
        </is>
      </c>
      <c r="P662" s="30" t="inlineStr">
        <is>
          <t>IRAM 3517-2 7.4</t>
        </is>
      </c>
      <c r="Q662" s="29" t="n"/>
      <c r="R662" s="29" t="n"/>
      <c r="S662" s="30" t="n"/>
    </row>
    <row r="663">
      <c r="A663" s="32" t="inlineStr">
        <is>
          <t>FL_MAT_CLASED_9l</t>
        </is>
      </c>
      <c r="B663" s="32" t="n">
        <v>2</v>
      </c>
      <c r="C663" s="32" t="inlineStr">
        <is>
          <t>CLASED9-I5</t>
        </is>
      </c>
      <c r="D663" s="17" t="inlineStr">
        <is>
          <t xml:space="preserve">        Soporte de pared (FL_ACC_01)</t>
        </is>
      </c>
      <c r="E663" s="32" t="n">
        <v>1</v>
      </c>
      <c r="F663" s="32" t="inlineStr">
        <is>
          <t>u</t>
        </is>
      </c>
      <c r="G663" s="33" t="n">
        <v>0.319</v>
      </c>
      <c r="H663" s="33">
        <f>E663*G663</f>
        <v/>
      </c>
      <c r="I663" s="32" t="inlineStr">
        <is>
          <t>Chapa acero SAE 1010 e=2 pintada</t>
        </is>
      </c>
      <c r="J663" s="17" t="inlineStr">
        <is>
          <t>placa 60 × 180, ala con ranura Ø cuello + 3</t>
        </is>
      </c>
      <c r="K663" s="32" t="inlineStr">
        <is>
          <t>Compra</t>
        </is>
      </c>
      <c r="L663" s="32" t="inlineStr">
        <is>
          <t>No</t>
        </is>
      </c>
      <c r="M663" s="17" t="n"/>
      <c r="N663" s="17" t="n"/>
      <c r="O663" s="17" t="inlineStr">
        <is>
          <t>23 Embalaje</t>
        </is>
      </c>
      <c r="P663" s="17" t="inlineStr">
        <is>
          <t>IRAM 3517-2 7.4</t>
        </is>
      </c>
      <c r="Q663" s="32" t="inlineStr">
        <is>
          <t>P</t>
        </is>
      </c>
      <c r="R663" s="32" t="inlineStr">
        <is>
          <t>FL_ACC_01</t>
        </is>
      </c>
      <c r="S663" s="17" t="n"/>
    </row>
    <row r="664">
      <c r="A664" s="32" t="inlineStr">
        <is>
          <t>FL_MAT_CLASED_9l</t>
        </is>
      </c>
      <c r="B664" s="32" t="n">
        <v>2</v>
      </c>
      <c r="C664" s="32" t="inlineStr">
        <is>
          <t>CLASED9-I6</t>
        </is>
      </c>
      <c r="D664" s="17" t="inlineStr">
        <is>
          <t xml:space="preserve">        Tornillo y tarugo de fijación</t>
        </is>
      </c>
      <c r="E664" s="32" t="n">
        <v>2</v>
      </c>
      <c r="F664" s="32" t="inlineStr">
        <is>
          <t>u</t>
        </is>
      </c>
      <c r="G664" s="33" t="n"/>
      <c r="H664" s="33" t="n"/>
      <c r="I664" s="32" t="inlineStr">
        <is>
          <t>Acero cincado / nylon</t>
        </is>
      </c>
      <c r="J664" s="17" t="inlineStr">
        <is>
          <t>2 agujeros Ø8,5 del plano FL_ACC_01 → tornillo M8 + tarugo</t>
        </is>
      </c>
      <c r="K664" s="32" t="inlineStr">
        <is>
          <t>Compra</t>
        </is>
      </c>
      <c r="L664" s="32" t="inlineStr">
        <is>
          <t>No</t>
        </is>
      </c>
      <c r="M664" s="17" t="n"/>
      <c r="N664" s="17" t="n"/>
      <c r="O664" s="17" t="inlineStr">
        <is>
          <t>23 Embalaje</t>
        </is>
      </c>
      <c r="P664" s="17" t="n"/>
      <c r="Q664" s="32" t="inlineStr">
        <is>
          <t>P</t>
        </is>
      </c>
      <c r="R664" s="32" t="inlineStr">
        <is>
          <t>FL_ACC_01</t>
        </is>
      </c>
      <c r="S664" s="17" t="n"/>
    </row>
    <row r="665">
      <c r="A665" s="29" t="inlineStr">
        <is>
          <t>FL_MAT_CLASED_9l</t>
        </is>
      </c>
      <c r="B665" s="29" t="n">
        <v>1</v>
      </c>
      <c r="C665" s="29" t="inlineStr">
        <is>
          <t>CLASED9-S7</t>
        </is>
      </c>
      <c r="D665" s="30" t="inlineStr">
        <is>
          <t xml:space="preserve">    Embalaje</t>
        </is>
      </c>
      <c r="E665" s="29" t="n">
        <v>1</v>
      </c>
      <c r="F665" s="29" t="inlineStr">
        <is>
          <t>u</t>
        </is>
      </c>
      <c r="G665" s="31" t="n"/>
      <c r="H665" s="31">
        <f>H669</f>
        <v/>
      </c>
      <c r="I665" s="29" t="n"/>
      <c r="J665" s="30" t="n"/>
      <c r="K665" s="29" t="inlineStr">
        <is>
          <t>Compra</t>
        </is>
      </c>
      <c r="L665" s="29" t="n"/>
      <c r="M665" s="30" t="n"/>
      <c r="N665" s="30" t="n"/>
      <c r="O665" s="30" t="inlineStr">
        <is>
          <t>23 Embalaje -&gt; 24 envolvedora (T11)</t>
        </is>
      </c>
      <c r="P665" s="30" t="n"/>
      <c r="Q665" s="29" t="n"/>
      <c r="R665" s="29" t="n"/>
      <c r="S665" s="30" t="n"/>
    </row>
    <row r="666">
      <c r="A666" s="32" t="inlineStr">
        <is>
          <t>FL_MAT_CLASED_9l</t>
        </is>
      </c>
      <c r="B666" s="32" t="n">
        <v>2</v>
      </c>
      <c r="C666" s="32" t="inlineStr">
        <is>
          <t>CLASED9-E1</t>
        </is>
      </c>
      <c r="D666" s="17" t="inlineStr">
        <is>
          <t xml:space="preserve">        Caja de cartón corrugado doble</t>
        </is>
      </c>
      <c r="E666" s="32" t="n">
        <v>1</v>
      </c>
      <c r="F666" s="32" t="inlineStr">
        <is>
          <t>u</t>
        </is>
      </c>
      <c r="G666" s="33" t="n"/>
      <c r="H666" s="33" t="n"/>
      <c r="I666" s="32" t="inlineStr">
        <is>
          <t>Cartón corrugado</t>
        </is>
      </c>
      <c r="J666" s="17" t="inlineStr">
        <is>
          <t>272 × 215 × 628 interior (envolvente del plano + 15 por lado)</t>
        </is>
      </c>
      <c r="K666" s="32" t="inlineStr">
        <is>
          <t>Compra</t>
        </is>
      </c>
      <c r="L666" s="32" t="inlineStr">
        <is>
          <t>No</t>
        </is>
      </c>
      <c r="M666" s="17" t="n"/>
      <c r="N666" s="17" t="n"/>
      <c r="O666" s="17" t="inlineStr">
        <is>
          <t>23 Embalaje</t>
        </is>
      </c>
      <c r="P666" s="17" t="n"/>
      <c r="Q666" s="32" t="inlineStr">
        <is>
          <t>P</t>
        </is>
      </c>
      <c r="R666" s="32" t="n"/>
      <c r="S666" s="17" t="inlineStr">
        <is>
          <t>Medida del plano</t>
        </is>
      </c>
    </row>
    <row r="667">
      <c r="A667" s="32" t="inlineStr">
        <is>
          <t>FL_MAT_CLASED_9l</t>
        </is>
      </c>
      <c r="B667" s="32" t="n">
        <v>2</v>
      </c>
      <c r="C667" s="32" t="inlineStr">
        <is>
          <t>CLASED9-E2</t>
        </is>
      </c>
      <c r="D667" s="17" t="inlineStr">
        <is>
          <t xml:space="preserve">        Instructivo de uso y mantenimiento</t>
        </is>
      </c>
      <c r="E667" s="32" t="n">
        <v>1</v>
      </c>
      <c r="F667" s="32" t="inlineStr">
        <is>
          <t>u</t>
        </is>
      </c>
      <c r="G667" s="33" t="n"/>
      <c r="H667" s="33" t="n"/>
      <c r="I667" s="32" t="inlineStr">
        <is>
          <t>Papel</t>
        </is>
      </c>
      <c r="J667" s="17" t="inlineStr">
        <is>
          <t>A5</t>
        </is>
      </c>
      <c r="K667" s="32" t="inlineStr">
        <is>
          <t>Compra</t>
        </is>
      </c>
      <c r="L667" s="32" t="inlineStr">
        <is>
          <t>No</t>
        </is>
      </c>
      <c r="M667" s="17" t="n"/>
      <c r="N667" s="17" t="n"/>
      <c r="O667" s="17" t="inlineStr">
        <is>
          <t>23 Embalaje</t>
        </is>
      </c>
      <c r="P667" s="17" t="n"/>
      <c r="Q667" s="32" t="inlineStr">
        <is>
          <t>I</t>
        </is>
      </c>
      <c r="R667" s="32" t="n"/>
      <c r="S667" s="17" t="inlineStr">
        <is>
          <t>Decisión comercial de FLAMA (las instrucciones de uso obligatorias van en la etiqueta, IRAM 3534)</t>
        </is>
      </c>
    </row>
    <row r="668">
      <c r="A668" s="32" t="inlineStr">
        <is>
          <t>FL_MAT_CLASED_9l</t>
        </is>
      </c>
      <c r="B668" s="32" t="n">
        <v>2</v>
      </c>
      <c r="C668" s="32" t="inlineStr">
        <is>
          <t>CLASED9-E3</t>
        </is>
      </c>
      <c r="D668" s="17" t="inlineStr">
        <is>
          <t xml:space="preserve">        Pallet 1200 × 1000 (fracción)</t>
        </is>
      </c>
      <c r="E668" s="32" t="n">
        <v>0.0312</v>
      </c>
      <c r="F668" s="32" t="inlineStr">
        <is>
          <t>u</t>
        </is>
      </c>
      <c r="G668" s="33" t="n"/>
      <c r="H668" s="33" t="n"/>
      <c r="I668" s="32" t="inlineStr">
        <is>
          <t>Madera</t>
        </is>
      </c>
      <c r="J668" s="17" t="inlineStr">
        <is>
          <t>32 u por pallet</t>
        </is>
      </c>
      <c r="K668" s="32" t="inlineStr">
        <is>
          <t>Compra</t>
        </is>
      </c>
      <c r="L668" s="32" t="inlineStr">
        <is>
          <t>No</t>
        </is>
      </c>
      <c r="M668" s="17" t="n"/>
      <c r="N668" s="17" t="n"/>
      <c r="O668" s="17" t="inlineStr">
        <is>
          <t>23 Embalaje</t>
        </is>
      </c>
      <c r="P668" s="17" t="n"/>
      <c r="Q668" s="32" t="inlineStr">
        <is>
          <t>C</t>
        </is>
      </c>
      <c r="R668" s="32" t="n"/>
      <c r="S668" s="17" t="inlineStr">
        <is>
          <t>u por pallet = acomodo de la caja (plano) en 1200 × 1000 × 1450 de alto</t>
        </is>
      </c>
    </row>
    <row r="669">
      <c r="A669" s="32" t="inlineStr">
        <is>
          <t>FL_MAT_CLASED_9l</t>
        </is>
      </c>
      <c r="B669" s="32" t="n">
        <v>2</v>
      </c>
      <c r="C669" s="32" t="inlineStr">
        <is>
          <t>CLASED9-E4</t>
        </is>
      </c>
      <c r="D669" s="17" t="inlineStr">
        <is>
          <t xml:space="preserve">        Film stretch (fracción del pallet)</t>
        </is>
      </c>
      <c r="E669" s="32" t="n">
        <v>0.0037</v>
      </c>
      <c r="F669" s="32" t="inlineStr">
        <is>
          <t>kg</t>
        </is>
      </c>
      <c r="G669" s="33" t="n">
        <v>1</v>
      </c>
      <c r="H669" s="33">
        <f>E669*G669</f>
        <v/>
      </c>
      <c r="I669" s="32" t="inlineStr">
        <is>
          <t>PE lineal 23 µm</t>
        </is>
      </c>
      <c r="J669" s="17" t="inlineStr">
        <is>
          <t>0,12 kg por pallet / 32 u</t>
        </is>
      </c>
      <c r="K669" s="32" t="inlineStr">
        <is>
          <t>Compra</t>
        </is>
      </c>
      <c r="L669" s="32" t="inlineStr">
        <is>
          <t>No</t>
        </is>
      </c>
      <c r="M669" s="17" t="n"/>
      <c r="N669" s="17" t="n"/>
      <c r="O669" s="17" t="inlineStr">
        <is>
          <t>24 Envolvedora (T11)</t>
        </is>
      </c>
      <c r="P669" s="17" t="n"/>
      <c r="Q669" s="32" t="inlineStr">
        <is>
          <t>C</t>
        </is>
      </c>
      <c r="R669" s="32" t="n"/>
      <c r="S669"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70">
      <c r="A670" s="32" t="inlineStr">
        <is>
          <t>FL_MAT_CLASED_9l</t>
        </is>
      </c>
      <c r="B670" s="32" t="n">
        <v>2</v>
      </c>
      <c r="C670" s="32" t="inlineStr">
        <is>
          <t>CLASED9-E5</t>
        </is>
      </c>
      <c r="D670" s="17" t="inlineStr">
        <is>
          <t xml:space="preserve">        Etiqueta de pallet (lote y destino, fracción)</t>
        </is>
      </c>
      <c r="E670" s="32" t="n">
        <v>0.0312</v>
      </c>
      <c r="F670" s="32" t="inlineStr">
        <is>
          <t>u</t>
        </is>
      </c>
      <c r="G670" s="33" t="n"/>
      <c r="H670" s="33" t="n"/>
      <c r="I670" s="32" t="inlineStr">
        <is>
          <t>Papel térmico</t>
        </is>
      </c>
      <c r="J670" s="17" t="inlineStr">
        <is>
          <t>100 × 150</t>
        </is>
      </c>
      <c r="K670" s="32" t="inlineStr">
        <is>
          <t>Compra</t>
        </is>
      </c>
      <c r="L670" s="32" t="inlineStr">
        <is>
          <t>No</t>
        </is>
      </c>
      <c r="M670" s="17" t="n"/>
      <c r="N670" s="17" t="n"/>
      <c r="O670" s="17" t="inlineStr">
        <is>
          <t>24 Envolvedora</t>
        </is>
      </c>
      <c r="P670" s="17" t="n"/>
      <c r="Q670" s="32" t="inlineStr">
        <is>
          <t>C</t>
        </is>
      </c>
      <c r="R670" s="32" t="n"/>
      <c r="S670" s="17" t="n"/>
    </row>
    <row r="671">
      <c r="A671" s="32" t="inlineStr">
        <is>
          <t>FL_MAT_CLASED_9l</t>
        </is>
      </c>
      <c r="B671" s="32" t="n">
        <v>2</v>
      </c>
      <c r="C671" s="32" t="inlineStr">
        <is>
          <t>CLASED9-E6</t>
        </is>
      </c>
      <c r="D671" s="17" t="inlineStr">
        <is>
          <t xml:space="preserve">        Cinta de embalaje PP 48 mm (cierre de la caja)</t>
        </is>
      </c>
      <c r="E671" s="32" t="n">
        <v>0.824</v>
      </c>
      <c r="F671" s="32" t="inlineStr">
        <is>
          <t>m</t>
        </is>
      </c>
      <c r="G671" s="33" t="n"/>
      <c r="H671" s="33" t="n"/>
      <c r="I671" s="32" t="inlineStr">
        <is>
          <t>Polipropileno con adhesivo acrílico</t>
        </is>
      </c>
      <c r="J671" s="17" t="inlineStr">
        <is>
          <t>cierre en I arriba y abajo: 2 × (272 + 2 × 70 de solapa)</t>
        </is>
      </c>
      <c r="K671" s="32" t="inlineStr">
        <is>
          <t>Compra</t>
        </is>
      </c>
      <c r="L671" s="32" t="inlineStr">
        <is>
          <t>No</t>
        </is>
      </c>
      <c r="M671" s="17" t="n"/>
      <c r="N671" s="17" t="n"/>
      <c r="O671" s="17" t="inlineStr">
        <is>
          <t>23 Embalaje</t>
        </is>
      </c>
      <c r="P671" s="17" t="n"/>
      <c r="Q671" s="32" t="inlineStr">
        <is>
          <t>C</t>
        </is>
      </c>
      <c r="R671" s="32" t="n"/>
      <c r="S671" s="17" t="inlineStr">
        <is>
          <t>Solapa de 70 mm por lado: práctica de cierre de cajas (medir en la línea)</t>
        </is>
      </c>
    </row>
    <row r="672">
      <c r="A672" s="32" t="inlineStr">
        <is>
          <t>FL_MAT_CLASED_9l</t>
        </is>
      </c>
      <c r="B672" s="32" t="n">
        <v>2</v>
      </c>
      <c r="C672" s="32" t="inlineStr">
        <is>
          <t>CLASED9-E7</t>
        </is>
      </c>
      <c r="D672" s="17" t="inlineStr">
        <is>
          <t xml:space="preserve">        Esquineros de cartón 50 × 50 × 1200 (fracción del pallet)</t>
        </is>
      </c>
      <c r="E672" s="32" t="n">
        <v>0.125</v>
      </c>
      <c r="F672" s="32" t="inlineStr">
        <is>
          <t>u</t>
        </is>
      </c>
      <c r="G672" s="33" t="n"/>
      <c r="H672" s="33" t="n"/>
      <c r="I672" s="32" t="inlineStr">
        <is>
          <t>Cartón</t>
        </is>
      </c>
      <c r="J672" s="17" t="inlineStr">
        <is>
          <t>4 por pallet / 32 u</t>
        </is>
      </c>
      <c r="K672" s="32" t="inlineStr">
        <is>
          <t>Compra</t>
        </is>
      </c>
      <c r="L672" s="32" t="inlineStr">
        <is>
          <t>No</t>
        </is>
      </c>
      <c r="M672" s="17" t="n"/>
      <c r="N672" s="17" t="n"/>
      <c r="O672" s="17" t="inlineStr">
        <is>
          <t>24 Envolvedora (T11)</t>
        </is>
      </c>
      <c r="P672" s="17" t="n"/>
      <c r="Q672" s="32" t="inlineStr">
        <is>
          <t>C</t>
        </is>
      </c>
      <c r="R672" s="32" t="n"/>
      <c r="S672" s="17" t="inlineStr">
        <is>
          <t>Planilla MP-64</t>
        </is>
      </c>
    </row>
    <row r="673">
      <c r="A673" s="26" t="inlineStr">
        <is>
          <t>FL_MAT_ABC_25kg</t>
        </is>
      </c>
      <c r="B673" s="26" t="n">
        <v>0</v>
      </c>
      <c r="C673" s="26" t="inlineStr">
        <is>
          <t>FL_MAT_ABC_25kg</t>
        </is>
      </c>
      <c r="D673" s="27" t="inlineStr">
        <is>
          <t>Extintor ABC 25 kg sobre ruedas</t>
        </is>
      </c>
      <c r="E673" s="26" t="n">
        <v>1</v>
      </c>
      <c r="F673" s="26" t="inlineStr">
        <is>
          <t>u</t>
        </is>
      </c>
      <c r="G673" s="28" t="n"/>
      <c r="H673" s="28" t="n"/>
      <c r="I673" s="26" t="n"/>
      <c r="J673" s="27" t="n"/>
      <c r="K673" s="26" t="n"/>
      <c r="L673" s="26" t="n"/>
      <c r="M673" s="27" t="n"/>
      <c r="N673" s="27" t="n"/>
      <c r="O673" s="27" t="n"/>
      <c r="P673" s="27" t="inlineStr">
        <is>
          <t>IRAM 3550</t>
        </is>
      </c>
      <c r="Q673" s="26" t="inlineStr">
        <is>
          <t>P</t>
        </is>
      </c>
      <c r="R673" s="26" t="inlineStr">
        <is>
          <t>FL_MAT_ABC_25kg</t>
        </is>
      </c>
      <c r="S673" s="27" t="inlineStr">
        <is>
          <t>Fabricación propia</t>
        </is>
      </c>
    </row>
    <row r="674">
      <c r="A674" s="29" t="inlineStr">
        <is>
          <t>FL_MAT_ABC_25kg</t>
        </is>
      </c>
      <c r="B674" s="29" t="n">
        <v>1</v>
      </c>
      <c r="C674" s="29" t="inlineStr">
        <is>
          <t>FL_REC_ABC_25kg</t>
        </is>
      </c>
      <c r="D674" s="30" t="inlineStr">
        <is>
          <t xml:space="preserve">    Recipiente (cilindro)</t>
        </is>
      </c>
      <c r="E674" s="29" t="n">
        <v>1</v>
      </c>
      <c r="F674" s="29" t="inlineStr">
        <is>
          <t>u</t>
        </is>
      </c>
      <c r="G674" s="31" t="n"/>
      <c r="H674" s="31">
        <f>H675+H677+H678+H679+H680</f>
        <v/>
      </c>
      <c r="I674" s="29" t="n"/>
      <c r="J674" s="30" t="n"/>
      <c r="K674" s="29" t="inlineStr">
        <is>
          <t>Fabricación</t>
        </is>
      </c>
      <c r="L674" s="29" t="n"/>
      <c r="M674" s="30" t="n"/>
      <c r="N674" s="30" t="n"/>
      <c r="O674" s="30" t="n"/>
      <c r="P674" s="30" t="inlineStr">
        <is>
          <t>IRAM 3523 / 3550 (recipiente)</t>
        </is>
      </c>
      <c r="Q674" s="29" t="inlineStr">
        <is>
          <t>P</t>
        </is>
      </c>
      <c r="R674" s="29" t="inlineStr">
        <is>
          <t>FL_REC_ABC_25kg</t>
        </is>
      </c>
      <c r="S674" s="30" t="n"/>
    </row>
    <row r="675">
      <c r="A675" s="32" t="inlineStr">
        <is>
          <t>FL_MAT_ABC_25kg</t>
        </is>
      </c>
      <c r="B675" s="32" t="n">
        <v>2</v>
      </c>
      <c r="C675" s="32" t="inlineStr">
        <is>
          <t>ABC25-01</t>
        </is>
      </c>
      <c r="D675" s="17" t="inlineStr">
        <is>
          <t xml:space="preserve">        Cuerpo (virola)</t>
        </is>
      </c>
      <c r="E675" s="32" t="n">
        <v>1</v>
      </c>
      <c r="F675" s="32" t="inlineStr">
        <is>
          <t>u</t>
        </is>
      </c>
      <c r="G675" s="33" t="n">
        <v>10.633</v>
      </c>
      <c r="H675" s="33">
        <f>E675*G675</f>
        <v/>
      </c>
      <c r="I675" s="32" t="inlineStr">
        <is>
          <t>Chapa LAC IRAM-IAS U 500-04 e=3,2</t>
        </is>
      </c>
      <c r="J675" s="17" t="inlineStr">
        <is>
          <t>Ø276,5 × e3,2 × 493 de alto; desarrollo 858,6 × 493</t>
        </is>
      </c>
      <c r="K675" s="32" t="inlineStr">
        <is>
          <t>Fabricación</t>
        </is>
      </c>
      <c r="L675" s="32" t="inlineStr">
        <is>
          <t>No</t>
        </is>
      </c>
      <c r="M675" s="17" t="n"/>
      <c r="N675" s="17" t="n"/>
      <c r="O675"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P675" s="17" t="n"/>
      <c r="Q675" s="32" t="inlineStr">
        <is>
          <t>P</t>
        </is>
      </c>
      <c r="R675" s="32" t="inlineStr">
        <is>
          <t>FL_DES_ABC_25kg</t>
        </is>
      </c>
      <c r="S675" s="17" t="inlineStr">
        <is>
          <t>costura long. MAG</t>
        </is>
      </c>
    </row>
    <row r="676">
      <c r="A676" s="34" t="inlineStr">
        <is>
          <t>FL_MAT_ABC_25kg</t>
        </is>
      </c>
      <c r="B676" s="34" t="n">
        <v>3</v>
      </c>
      <c r="C676" s="34" t="inlineStr">
        <is>
          <t>MP-HOJA</t>
        </is>
      </c>
      <c r="D676" s="35" t="inlineStr">
        <is>
          <t xml:space="preserve">            Recorte de hoja LAC 1500 × 3000 e=3,2</t>
        </is>
      </c>
      <c r="E676" s="34" t="n">
        <v>1</v>
      </c>
      <c r="F676" s="34" t="inlineStr">
        <is>
          <t>u</t>
        </is>
      </c>
      <c r="G676" s="36" t="n">
        <v>12.558</v>
      </c>
      <c r="H676" s="36">
        <f>E676*G676</f>
        <v/>
      </c>
      <c r="I676" s="34" t="inlineStr">
        <is>
          <t>Chapa LAC IRAM-IAS U 500-04 LAC</t>
        </is>
      </c>
      <c r="J676" s="35" t="inlineStr">
        <is>
          <t>490 × 858 (aprovech. 84,1 %)</t>
        </is>
      </c>
      <c r="K676" s="34" t="inlineStr">
        <is>
          <t>Compra</t>
        </is>
      </c>
      <c r="L676" s="34" t="inlineStr">
        <is>
          <t>Sí</t>
        </is>
      </c>
      <c r="M676" s="35" t="inlineStr">
        <is>
          <t>Pradecon S.A.</t>
        </is>
      </c>
      <c r="N676" s="35" t="inlineStr">
        <is>
          <t>Pacheco Chapas</t>
        </is>
      </c>
      <c r="O676" s="35" t="inlineStr">
        <is>
          <t>AL-1H paquetes de hojas</t>
        </is>
      </c>
      <c r="P676" s="35" t="n"/>
      <c r="Q676" s="34" t="inlineStr">
        <is>
          <t>L</t>
        </is>
      </c>
      <c r="R676" s="34" t="inlineStr">
        <is>
          <t>FL_PI_04 h2</t>
        </is>
      </c>
      <c r="S676" s="35" t="n"/>
    </row>
    <row r="677">
      <c r="A677" s="32" t="inlineStr">
        <is>
          <t>FL_MAT_ABC_25kg</t>
        </is>
      </c>
      <c r="B677" s="32" t="n">
        <v>2</v>
      </c>
      <c r="C677" s="32" t="inlineStr">
        <is>
          <t>ABC25-02</t>
        </is>
      </c>
      <c r="D677" s="17" t="inlineStr">
        <is>
          <t xml:space="preserve">        Cúpula</t>
        </is>
      </c>
      <c r="E677" s="32" t="n">
        <v>1</v>
      </c>
      <c r="F677" s="32" t="inlineStr">
        <is>
          <t>u</t>
        </is>
      </c>
      <c r="G677" s="33" t="n">
        <v>2.3872</v>
      </c>
      <c r="H677" s="33">
        <f>E677*G677</f>
        <v/>
      </c>
      <c r="I677" s="32" t="inlineStr">
        <is>
          <t>Chapa LAC IRAM-IAS U 500-04 e=3,2</t>
        </is>
      </c>
      <c r="J677" s="17" t="inlineStr">
        <is>
          <t>Ø276,5 × e3,2 × 94,4 de alto; disco Ø358,3</t>
        </is>
      </c>
      <c r="K677" s="32" t="inlineStr">
        <is>
          <t>Compra (tapa embutida tercerizada)</t>
        </is>
      </c>
      <c r="L677" s="32" t="inlineStr">
        <is>
          <t>Sí</t>
        </is>
      </c>
      <c r="M677" s="17" t="inlineStr">
        <is>
          <t>Gockel Ingeniería S.R.L.</t>
        </is>
      </c>
      <c r="N677" s="17" t="inlineStr">
        <is>
          <t>-</t>
        </is>
      </c>
      <c r="O677" s="17" t="inlineStr">
        <is>
          <t>Compra -&gt; 6 soldadura de cupla -&gt; 7 armado y sold. circunferencial -&gt; 11 marcado (estampado en arco junto al cuello)</t>
        </is>
      </c>
      <c r="P677" s="17" t="n"/>
      <c r="Q677" s="32" t="inlineStr">
        <is>
          <t>P</t>
        </is>
      </c>
      <c r="R677" s="32" t="inlineStr">
        <is>
          <t>FL_DES_ABC_25kg</t>
        </is>
      </c>
      <c r="S677" s="17" t="inlineStr">
        <is>
          <t>embutida</t>
        </is>
      </c>
    </row>
    <row r="678">
      <c r="A678" s="32" t="inlineStr">
        <is>
          <t>FL_MAT_ABC_25kg</t>
        </is>
      </c>
      <c r="B678" s="32" t="n">
        <v>2</v>
      </c>
      <c r="C678" s="32" t="inlineStr">
        <is>
          <t>ABC25-03</t>
        </is>
      </c>
      <c r="D678" s="17" t="inlineStr">
        <is>
          <t xml:space="preserve">        Fondo</t>
        </is>
      </c>
      <c r="E678" s="32" t="n">
        <v>1</v>
      </c>
      <c r="F678" s="32" t="inlineStr">
        <is>
          <t>u</t>
        </is>
      </c>
      <c r="G678" s="33" t="n">
        <v>2.4433</v>
      </c>
      <c r="H678" s="33">
        <f>E678*G678</f>
        <v/>
      </c>
      <c r="I678" s="32" t="inlineStr">
        <is>
          <t>Chapa LAC IRAM-IAS U 500-04 e=3,2</t>
        </is>
      </c>
      <c r="J678" s="17" t="inlineStr">
        <is>
          <t>Ø276,5 × e3,2 × 95 de alto; disco Ø362,5</t>
        </is>
      </c>
      <c r="K678" s="32" t="inlineStr">
        <is>
          <t>Compra (tapa embutida tercerizada)</t>
        </is>
      </c>
      <c r="L678" s="32" t="inlineStr">
        <is>
          <t>Sí</t>
        </is>
      </c>
      <c r="M678" s="17" t="inlineStr">
        <is>
          <t>Gockel Ingeniería S.R.L.</t>
        </is>
      </c>
      <c r="N678" s="17" t="inlineStr">
        <is>
          <t>-</t>
        </is>
      </c>
      <c r="O678" s="17" t="inlineStr">
        <is>
          <t>Compra -&gt; 7 armado y sold. circunferencial</t>
        </is>
      </c>
      <c r="P678" s="17" t="n"/>
      <c r="Q678" s="32" t="inlineStr">
        <is>
          <t>P</t>
        </is>
      </c>
      <c r="R678" s="32" t="inlineStr">
        <is>
          <t>FL_DES_ABC_25kg</t>
        </is>
      </c>
      <c r="S678" s="17" t="inlineStr">
        <is>
          <t>embutido</t>
        </is>
      </c>
    </row>
    <row r="679">
      <c r="A679" s="32" t="inlineStr">
        <is>
          <t>FL_MAT_ABC_25kg</t>
        </is>
      </c>
      <c r="B679" s="32" t="n">
        <v>2</v>
      </c>
      <c r="C679" s="32" t="inlineStr">
        <is>
          <t>ABC25-04</t>
        </is>
      </c>
      <c r="D679" s="17" t="inlineStr">
        <is>
          <t xml:space="preserve">        Cuello roscado</t>
        </is>
      </c>
      <c r="E679" s="32" t="n">
        <v>1</v>
      </c>
      <c r="F679" s="32" t="inlineStr">
        <is>
          <t>u</t>
        </is>
      </c>
      <c r="G679" s="33" t="n">
        <v>0.1326</v>
      </c>
      <c r="H679" s="33">
        <f>E679*G679</f>
        <v/>
      </c>
      <c r="I679" s="32" t="inlineStr">
        <is>
          <t>Acero SAE 1010</t>
        </is>
      </c>
      <c r="J679" s="17" t="inlineStr">
        <is>
          <t>Ø37 × 35 de alto, rosca M30x1,5, asiento Ø35</t>
        </is>
      </c>
      <c r="K679" s="32" t="inlineStr">
        <is>
          <t>Compra (mecanizado, Eli-Met)</t>
        </is>
      </c>
      <c r="L679" s="32" t="inlineStr">
        <is>
          <t>Sí</t>
        </is>
      </c>
      <c r="M679" s="17" t="inlineStr">
        <is>
          <t>Eli-Met</t>
        </is>
      </c>
      <c r="N679" s="17" t="inlineStr">
        <is>
          <t>-</t>
        </is>
      </c>
      <c r="O679" s="17" t="inlineStr">
        <is>
          <t>Compra -&gt; 6 soldadura de cupla en la cúpula (tapón plástico hasta la carga)</t>
        </is>
      </c>
      <c r="P679" s="17" t="n"/>
      <c r="Q679" s="32" t="inlineStr">
        <is>
          <t>P</t>
        </is>
      </c>
      <c r="R679" s="32" t="inlineStr">
        <is>
          <t>FL_DES_ABC_25kg</t>
        </is>
      </c>
      <c r="S679" s="17" t="inlineStr">
        <is>
          <t>M30x1,5</t>
        </is>
      </c>
    </row>
    <row r="680">
      <c r="A680" s="37" t="inlineStr">
        <is>
          <t>FL_MAT_ABC_25kg</t>
        </is>
      </c>
      <c r="B680" s="37" t="n">
        <v>2</v>
      </c>
      <c r="C680" s="37" t="inlineStr">
        <is>
          <t>ABC25-C1</t>
        </is>
      </c>
      <c r="D680" s="18" t="inlineStr">
        <is>
          <t xml:space="preserve">        Alambre MAG ER70S-6 Ø1,0 (AWS A5.18)</t>
        </is>
      </c>
      <c r="E680" s="37" t="n">
        <v>0.3431</v>
      </c>
      <c r="F680" s="37" t="inlineStr">
        <is>
          <t>kg</t>
        </is>
      </c>
      <c r="G680" s="38" t="n">
        <v>0.95</v>
      </c>
      <c r="H680" s="38">
        <f>E680*G680</f>
        <v/>
      </c>
      <c r="I680" s="37" t="inlineStr">
        <is>
          <t>ER70S-6</t>
        </is>
      </c>
      <c r="J680" s="18" t="inlineStr">
        <is>
          <t>metal depositado de los cordones del plano 326 g / rendimiento 0,95</t>
        </is>
      </c>
      <c r="K680" s="37" t="inlineStr">
        <is>
          <t>Compra</t>
        </is>
      </c>
      <c r="L680" s="37" t="inlineStr">
        <is>
          <t>Sí</t>
        </is>
      </c>
      <c r="M680" s="18" t="inlineStr">
        <is>
          <t>Conarco (ESAB Argentina)</t>
        </is>
      </c>
      <c r="N680" s="18" t="inlineStr">
        <is>
          <t>-</t>
        </is>
      </c>
      <c r="O680" s="18" t="inlineStr">
        <is>
          <t>5 sold. long. / 6 cupla / 7 circunferencial</t>
        </is>
      </c>
      <c r="P680" s="18" t="inlineStr">
        <is>
          <t>IRAM 3523 3.2.4.2 · IRAM 3550 4.1.2</t>
        </is>
      </c>
      <c r="Q680" s="37" t="inlineStr">
        <is>
          <t>C</t>
        </is>
      </c>
      <c r="R680" s="37" t="n"/>
      <c r="S68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681">
      <c r="A681" s="37" t="inlineStr">
        <is>
          <t>FL_MAT_ABC_25kg</t>
        </is>
      </c>
      <c r="B681" s="37" t="n">
        <v>2</v>
      </c>
      <c r="C681" s="37" t="inlineStr">
        <is>
          <t>ABC25-C2</t>
        </is>
      </c>
      <c r="D681" s="18" t="inlineStr">
        <is>
          <t xml:space="preserve">        Gas de protección MAG Arcal 21 / ARCAL Speed (Ar + 8 % CO₂, M20)</t>
        </is>
      </c>
      <c r="E681" s="37" t="n">
        <v>54.8</v>
      </c>
      <c r="F681" s="37" t="inlineStr">
        <is>
          <t>L</t>
        </is>
      </c>
      <c r="G681" s="38" t="n"/>
      <c r="H681" s="38" t="n"/>
      <c r="I681" s="37" t="inlineStr">
        <is>
          <t>EN ISO 14175 M20-ArC-8</t>
        </is>
      </c>
      <c r="J681" s="18" t="inlineStr">
        <is>
          <t>14 L/min × 3,91 min de arco (cordones 2.347 mm: long. 493 + circ. 1.737 + cuello 116, a 600 mm/min)</t>
        </is>
      </c>
      <c r="K681" s="37" t="inlineStr">
        <is>
          <t>Compra</t>
        </is>
      </c>
      <c r="L681" s="37" t="inlineStr">
        <is>
          <t>Sí</t>
        </is>
      </c>
      <c r="M681" s="18" t="inlineStr">
        <is>
          <t>Air Liquide Argentina - sucursal Piñeyro</t>
        </is>
      </c>
      <c r="N681" s="18" t="inlineStr">
        <is>
          <t>Gogniat</t>
        </is>
      </c>
      <c r="O681" s="18" t="inlineStr">
        <is>
          <t>Colector SC</t>
        </is>
      </c>
      <c r="P681" s="18" t="inlineStr">
        <is>
          <t>IRAM 3523 3.2.4.2 · IRAM 3550 3.2.2.2</t>
        </is>
      </c>
      <c r="Q681" s="37" t="inlineStr">
        <is>
          <t>C</t>
        </is>
      </c>
      <c r="R681" s="37" t="n"/>
      <c r="S68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682">
      <c r="A682" s="32" t="inlineStr">
        <is>
          <t>FL_MAT_ABC_25kg</t>
        </is>
      </c>
      <c r="B682" s="32" t="n">
        <v>2</v>
      </c>
      <c r="C682" s="32" t="inlineStr">
        <is>
          <t>ABC25-C4</t>
        </is>
      </c>
      <c r="D682" s="17" t="inlineStr">
        <is>
          <t xml:space="preserve">        Servicio de pintura en polvo al horno, rojo 03-1-050 (con preparación por quemado)</t>
        </is>
      </c>
      <c r="E682" s="32" t="n">
        <v>1</v>
      </c>
      <c r="F682" s="32" t="inlineStr">
        <is>
          <t>u</t>
        </is>
      </c>
      <c r="G682" s="33" t="n"/>
      <c r="H682" s="33" t="n"/>
      <c r="I682" s="32" t="inlineStr">
        <is>
          <t>Servicio tercerizado</t>
        </is>
      </c>
      <c r="J682" s="17" t="inlineStr">
        <is>
          <t>superficie exterior 0,616 m²</t>
        </is>
      </c>
      <c r="K682" s="32" t="inlineStr">
        <is>
          <t>Compra (servicio)</t>
        </is>
      </c>
      <c r="L682" s="32" t="inlineStr">
        <is>
          <t>Sí</t>
        </is>
      </c>
      <c r="M682" s="17" t="inlineStr">
        <is>
          <t>Pintor de carros (cotización por mensaje)</t>
        </is>
      </c>
      <c r="N682" s="17" t="inlineStr">
        <is>
          <t>Prymax</t>
        </is>
      </c>
      <c r="O682" s="17" t="inlineStr">
        <is>
          <t>17 Pintura tercerizada</t>
        </is>
      </c>
      <c r="P682" s="17" t="inlineStr">
        <is>
          <t>IRAM 3523 5.3 / IRAM 3550 3.11 · IRAM 121</t>
        </is>
      </c>
      <c r="Q682" s="32" t="inlineStr">
        <is>
          <t>Q</t>
        </is>
      </c>
      <c r="R682" s="32" t="n"/>
      <c r="S682" s="17" t="inlineStr">
        <is>
          <t>Q-CARROS (precio por carro); exigir informe de niebla salina del sistema de pintura; tercerización aceptada por el Ministerio (Res. 349/07 art. 18)</t>
        </is>
      </c>
    </row>
    <row r="683">
      <c r="A683" s="29" t="inlineStr">
        <is>
          <t>FL_MAT_ABC_25kg</t>
        </is>
      </c>
      <c r="B683" s="29" t="n">
        <v>1</v>
      </c>
      <c r="C683" s="29" t="inlineStr">
        <is>
          <t>ABC25-S2</t>
        </is>
      </c>
      <c r="D683" s="30" t="inlineStr">
        <is>
          <t xml:space="preserve">    Conjunto de válvula</t>
        </is>
      </c>
      <c r="E683" s="29" t="n">
        <v>1</v>
      </c>
      <c r="F683" s="29" t="inlineStr">
        <is>
          <t>u</t>
        </is>
      </c>
      <c r="G683" s="31" t="n"/>
      <c r="H683" s="31">
        <f>H684+H685+H686+H688+H689+H690+H691+H692+H693+H694+H695</f>
        <v/>
      </c>
      <c r="I683" s="29" t="n"/>
      <c r="J683" s="30" t="n"/>
      <c r="K683" s="29" t="inlineStr">
        <is>
          <t>Compra / armado</t>
        </is>
      </c>
      <c r="L683" s="29" t="n"/>
      <c r="M683" s="30" t="n"/>
      <c r="N683" s="30" t="n"/>
      <c r="O683" s="30" t="n"/>
      <c r="P683" s="30" t="inlineStr">
        <is>
          <t>Manómetro IRAM 3533</t>
        </is>
      </c>
      <c r="Q683" s="29" t="inlineStr">
        <is>
          <t>P</t>
        </is>
      </c>
      <c r="R683" s="29" t="inlineStr">
        <is>
          <t>FL_DES_ABC_25kg</t>
        </is>
      </c>
      <c r="S683" s="30" t="n"/>
    </row>
    <row r="684">
      <c r="A684" s="32" t="inlineStr">
        <is>
          <t>FL_MAT_ABC_25kg</t>
        </is>
      </c>
      <c r="B684" s="32" t="n">
        <v>2</v>
      </c>
      <c r="C684" s="32" t="inlineStr">
        <is>
          <t>ABC25-14</t>
        </is>
      </c>
      <c r="D684" s="17" t="inlineStr">
        <is>
          <t xml:space="preserve">        Espiga roscada</t>
        </is>
      </c>
      <c r="E684" s="32" t="n">
        <v>1</v>
      </c>
      <c r="F684" s="32" t="inlineStr">
        <is>
          <t>u</t>
        </is>
      </c>
      <c r="G684" s="33" t="n">
        <v>0.0245</v>
      </c>
      <c r="H684" s="33">
        <f>E684*G684</f>
        <v/>
      </c>
      <c r="I684" s="32" t="inlineStr">
        <is>
          <t>Latón forjado</t>
        </is>
      </c>
      <c r="J684" s="17" t="inlineStr">
        <is>
          <t>29,8 × 29,8 × 10,8</t>
        </is>
      </c>
      <c r="K684" s="32" t="inlineStr">
        <is>
          <t>Incluido en válvula HZ</t>
        </is>
      </c>
      <c r="L684" s="32" t="inlineStr">
        <is>
          <t>No</t>
        </is>
      </c>
      <c r="M684" s="17" t="n"/>
      <c r="N684" s="17" t="n"/>
      <c r="O684" s="17" t="inlineStr">
        <is>
          <t>13 carga de polvo y N₂: armado de válvula</t>
        </is>
      </c>
      <c r="P684" s="17" t="n"/>
      <c r="Q684" s="32" t="inlineStr">
        <is>
          <t>P</t>
        </is>
      </c>
      <c r="R684" s="32" t="inlineStr">
        <is>
          <t>FL_DES_ABC_25kg</t>
        </is>
      </c>
      <c r="S684" s="17" t="n"/>
    </row>
    <row r="685">
      <c r="A685" s="32" t="inlineStr">
        <is>
          <t>FL_MAT_ABC_25kg</t>
        </is>
      </c>
      <c r="B685" s="32" t="n">
        <v>2</v>
      </c>
      <c r="C685" s="32" t="inlineStr">
        <is>
          <t>ABC25-15</t>
        </is>
      </c>
      <c r="D685" s="17" t="inlineStr">
        <is>
          <t xml:space="preserve">        Collarín de válvula</t>
        </is>
      </c>
      <c r="E685" s="32" t="n">
        <v>1</v>
      </c>
      <c r="F685" s="32" t="inlineStr">
        <is>
          <t>u</t>
        </is>
      </c>
      <c r="G685" s="33" t="n">
        <v>0.0053</v>
      </c>
      <c r="H685" s="33">
        <f>E685*G685</f>
        <v/>
      </c>
      <c r="I685" s="32" t="inlineStr">
        <is>
          <t>Latón forjado</t>
        </is>
      </c>
      <c r="J685" s="17" t="inlineStr">
        <is>
          <t>27,2 × 27,2 × 4,1</t>
        </is>
      </c>
      <c r="K685" s="32" t="inlineStr">
        <is>
          <t>Incluido en válvula HZ</t>
        </is>
      </c>
      <c r="L685" s="32" t="inlineStr">
        <is>
          <t>No</t>
        </is>
      </c>
      <c r="M685" s="17" t="n"/>
      <c r="N685" s="17" t="n"/>
      <c r="O685" s="17" t="inlineStr">
        <is>
          <t>13 carga de polvo y N₂: armado de válvula</t>
        </is>
      </c>
      <c r="P685" s="17" t="n"/>
      <c r="Q685" s="32" t="inlineStr">
        <is>
          <t>P</t>
        </is>
      </c>
      <c r="R685" s="32" t="inlineStr">
        <is>
          <t>FL_DES_ABC_25kg</t>
        </is>
      </c>
      <c r="S685" s="17" t="n"/>
    </row>
    <row r="686">
      <c r="A686" s="32" t="inlineStr">
        <is>
          <t>FL_MAT_ABC_25kg</t>
        </is>
      </c>
      <c r="B686" s="32" t="n">
        <v>2</v>
      </c>
      <c r="C686" s="32" t="inlineStr">
        <is>
          <t>ABC25-16</t>
        </is>
      </c>
      <c r="D686" s="17" t="inlineStr">
        <is>
          <t xml:space="preserve">        Cuerpo de válvula</t>
        </is>
      </c>
      <c r="E686" s="32" t="n">
        <v>1</v>
      </c>
      <c r="F686" s="32" t="inlineStr">
        <is>
          <t>u</t>
        </is>
      </c>
      <c r="G686" s="33" t="n">
        <v>0.1328</v>
      </c>
      <c r="H686" s="33">
        <f>E686*G686</f>
        <v/>
      </c>
      <c r="I686" s="32" t="inlineStr">
        <is>
          <t>Latón forjado</t>
        </is>
      </c>
      <c r="J686" s="17" t="inlineStr">
        <is>
          <t>43,9 × 32 × 24,5</t>
        </is>
      </c>
      <c r="K686" s="32" t="inlineStr">
        <is>
          <t>Incluido en válvula HZ</t>
        </is>
      </c>
      <c r="L686" s="32" t="inlineStr">
        <is>
          <t>No</t>
        </is>
      </c>
      <c r="M686" s="17" t="n"/>
      <c r="N686" s="17" t="n"/>
      <c r="O686" s="17" t="inlineStr">
        <is>
          <t>13 carga de polvo y N₂: armado de válvula</t>
        </is>
      </c>
      <c r="P686" s="17" t="n"/>
      <c r="Q686" s="32" t="inlineStr">
        <is>
          <t>P</t>
        </is>
      </c>
      <c r="R686" s="32" t="inlineStr">
        <is>
          <t>FL_DES_ABC_25kg</t>
        </is>
      </c>
      <c r="S686" s="17" t="n"/>
    </row>
    <row r="687">
      <c r="A687" s="41" t="inlineStr">
        <is>
          <t>FL_MAT_ABC_25kg</t>
        </is>
      </c>
      <c r="B687" s="41" t="n">
        <v>2</v>
      </c>
      <c r="C687" s="41" t="inlineStr">
        <is>
          <t>ABC25-17</t>
        </is>
      </c>
      <c r="D687" s="42" t="inlineStr">
        <is>
          <t xml:space="preserve">        Manómetro</t>
        </is>
      </c>
      <c r="E687" s="41" t="n">
        <v>1</v>
      </c>
      <c r="F687" s="41" t="inlineStr">
        <is>
          <t>u</t>
        </is>
      </c>
      <c r="G687" s="43" t="n"/>
      <c r="H687" s="43" t="n"/>
      <c r="I687" s="41" t="inlineStr">
        <is>
          <t>Comercial</t>
        </is>
      </c>
      <c r="J687" s="42" t="inlineStr">
        <is>
          <t>Ø47 esfera, rango 0-3,5 MPa, sector verde en 1,4</t>
        </is>
      </c>
      <c r="K687" s="41" t="inlineStr">
        <is>
          <t>Compra</t>
        </is>
      </c>
      <c r="L687" s="41" t="inlineStr">
        <is>
          <t>Sí</t>
        </is>
      </c>
      <c r="M687" s="42" t="inlineStr">
        <is>
          <t>Yukon / MatafuegosYa S.R.L.</t>
        </is>
      </c>
      <c r="N687" s="42" t="inlineStr">
        <is>
          <t>Matafuegos Iglesias</t>
        </is>
      </c>
      <c r="O687" s="42" t="inlineStr">
        <is>
          <t>13 carga de polvo y N₂: armado de válvula</t>
        </is>
      </c>
      <c r="P687" s="42" t="inlineStr">
        <is>
          <t>IRAM 3533</t>
        </is>
      </c>
      <c r="Q687" s="41" t="inlineStr">
        <is>
          <t>P</t>
        </is>
      </c>
      <c r="R687" s="41" t="inlineStr">
        <is>
          <t>FL_DES_ABC_25kg</t>
        </is>
      </c>
      <c r="S687" s="42" t="inlineStr">
        <is>
          <t>Pieza comercial; sello IRAM 3533; peso: completar con la ficha del proveedor (no afecta el MRP)</t>
        </is>
      </c>
    </row>
    <row r="688">
      <c r="A688" s="32" t="inlineStr">
        <is>
          <t>FL_MAT_ABC_25kg</t>
        </is>
      </c>
      <c r="B688" s="32" t="n">
        <v>2</v>
      </c>
      <c r="C688" s="32" t="inlineStr">
        <is>
          <t>ABC25-18</t>
        </is>
      </c>
      <c r="D688" s="17" t="inlineStr">
        <is>
          <t xml:space="preserve">        Vástago</t>
        </is>
      </c>
      <c r="E688" s="32" t="n">
        <v>1</v>
      </c>
      <c r="F688" s="32" t="inlineStr">
        <is>
          <t>u</t>
        </is>
      </c>
      <c r="G688" s="33" t="n">
        <v>0.0137</v>
      </c>
      <c r="H688" s="33">
        <f>E688*G688</f>
        <v/>
      </c>
      <c r="I688" s="32" t="inlineStr">
        <is>
          <t>Latón</t>
        </is>
      </c>
      <c r="J688" s="17" t="inlineStr">
        <is>
          <t>35,6 × 14 × 14</t>
        </is>
      </c>
      <c r="K688" s="32" t="inlineStr">
        <is>
          <t>Incluido en válvula HZ</t>
        </is>
      </c>
      <c r="L688" s="32" t="inlineStr">
        <is>
          <t>No</t>
        </is>
      </c>
      <c r="M688" s="17" t="n"/>
      <c r="N688" s="17" t="n"/>
      <c r="O688" s="17" t="inlineStr">
        <is>
          <t>13 carga de polvo y N₂: armado de válvula</t>
        </is>
      </c>
      <c r="P688" s="17" t="n"/>
      <c r="Q688" s="32" t="inlineStr">
        <is>
          <t>P</t>
        </is>
      </c>
      <c r="R688" s="32" t="inlineStr">
        <is>
          <t>FL_DES_ABC_25kg</t>
        </is>
      </c>
      <c r="S688" s="17" t="inlineStr">
        <is>
          <t>con junta tórica</t>
        </is>
      </c>
    </row>
    <row r="689">
      <c r="A689" s="32" t="inlineStr">
        <is>
          <t>FL_MAT_ABC_25kg</t>
        </is>
      </c>
      <c r="B689" s="32" t="n">
        <v>2</v>
      </c>
      <c r="C689" s="32" t="inlineStr">
        <is>
          <t>ABC25-19</t>
        </is>
      </c>
      <c r="D689" s="17" t="inlineStr">
        <is>
          <t xml:space="preserve">        Resorte de válvula</t>
        </is>
      </c>
      <c r="E689" s="32" t="n">
        <v>1</v>
      </c>
      <c r="F689" s="32" t="inlineStr">
        <is>
          <t>u</t>
        </is>
      </c>
      <c r="G689" s="33" t="n">
        <v>0.0049</v>
      </c>
      <c r="H689" s="33">
        <f>E689*G689</f>
        <v/>
      </c>
      <c r="I689" s="32" t="inlineStr">
        <is>
          <t>Alambre acero inox. AISI 302</t>
        </is>
      </c>
      <c r="J689" s="17" t="inlineStr">
        <is>
          <t>28,8 × 17,3 × 17,3</t>
        </is>
      </c>
      <c r="K689" s="32" t="inlineStr">
        <is>
          <t>Incluido en válvula HZ</t>
        </is>
      </c>
      <c r="L689" s="32" t="inlineStr">
        <is>
          <t>No</t>
        </is>
      </c>
      <c r="M689" s="17" t="n"/>
      <c r="N689" s="17" t="n"/>
      <c r="O689" s="17" t="inlineStr">
        <is>
          <t>13 carga de polvo y N₂: armado de válvula</t>
        </is>
      </c>
      <c r="P689" s="17" t="n"/>
      <c r="Q689" s="32" t="inlineStr">
        <is>
          <t>P</t>
        </is>
      </c>
      <c r="R689" s="32" t="inlineStr">
        <is>
          <t>FL_DES_ABC_25kg</t>
        </is>
      </c>
      <c r="S689" s="17" t="inlineStr">
        <is>
          <t>cierre del vástago</t>
        </is>
      </c>
    </row>
    <row r="690">
      <c r="A690" s="32" t="inlineStr">
        <is>
          <t>FL_MAT_ABC_25kg</t>
        </is>
      </c>
      <c r="B690" s="32" t="n">
        <v>2</v>
      </c>
      <c r="C690" s="32" t="inlineStr">
        <is>
          <t>ABC25-20</t>
        </is>
      </c>
      <c r="D690" s="17" t="inlineStr">
        <is>
          <t xml:space="preserve">        Eje de palanca</t>
        </is>
      </c>
      <c r="E690" s="32" t="n">
        <v>1</v>
      </c>
      <c r="F690" s="32" t="inlineStr">
        <is>
          <t>u</t>
        </is>
      </c>
      <c r="G690" s="33" t="n">
        <v>0.0033</v>
      </c>
      <c r="H690" s="33">
        <f>E690*G690</f>
        <v/>
      </c>
      <c r="I690" s="32" t="inlineStr">
        <is>
          <t>Acero inox. AISI 304</t>
        </is>
      </c>
      <c r="J690" s="17" t="inlineStr">
        <is>
          <t>33 × 4 × 4</t>
        </is>
      </c>
      <c r="K690" s="32" t="inlineStr">
        <is>
          <t>Incluido en válvula HZ</t>
        </is>
      </c>
      <c r="L690" s="32" t="inlineStr">
        <is>
          <t>No</t>
        </is>
      </c>
      <c r="M690" s="17" t="n"/>
      <c r="N690" s="17" t="n"/>
      <c r="O690" s="17" t="inlineStr">
        <is>
          <t>13 carga de polvo y N₂: armado de válvula</t>
        </is>
      </c>
      <c r="P690" s="17" t="n"/>
      <c r="Q690" s="32" t="inlineStr">
        <is>
          <t>P</t>
        </is>
      </c>
      <c r="R690" s="32" t="inlineStr">
        <is>
          <t>FL_DES_ABC_25kg</t>
        </is>
      </c>
      <c r="S690" s="17" t="n"/>
    </row>
    <row r="691">
      <c r="A691" s="32" t="inlineStr">
        <is>
          <t>FL_MAT_ABC_25kg</t>
        </is>
      </c>
      <c r="B691" s="32" t="n">
        <v>2</v>
      </c>
      <c r="C691" s="32" t="inlineStr">
        <is>
          <t>ABC25-21</t>
        </is>
      </c>
      <c r="D691" s="17" t="inlineStr">
        <is>
          <t xml:space="preserve">        Pasador de seguridad</t>
        </is>
      </c>
      <c r="E691" s="32" t="n">
        <v>1</v>
      </c>
      <c r="F691" s="32" t="inlineStr">
        <is>
          <t>u</t>
        </is>
      </c>
      <c r="G691" s="33" t="n">
        <v>0.0055</v>
      </c>
      <c r="H691" s="33">
        <f>E691*G691</f>
        <v/>
      </c>
      <c r="I691" s="32" t="inlineStr">
        <is>
          <t>Alambre acero inox. AISI 304</t>
        </is>
      </c>
      <c r="J691" s="17" t="inlineStr">
        <is>
          <t>45,9 × 21 × 20,8</t>
        </is>
      </c>
      <c r="K691" s="32" t="inlineStr">
        <is>
          <t>Incluido en válvula HZ</t>
        </is>
      </c>
      <c r="L691" s="32" t="inlineStr">
        <is>
          <t>No</t>
        </is>
      </c>
      <c r="M691" s="17" t="n"/>
      <c r="N691" s="17" t="n"/>
      <c r="O691" s="17" t="inlineStr">
        <is>
          <t>13 carga de polvo y N₂: armado de válvula</t>
        </is>
      </c>
      <c r="P691" s="17" t="n"/>
      <c r="Q691" s="32" t="inlineStr">
        <is>
          <t>P</t>
        </is>
      </c>
      <c r="R691" s="32" t="inlineStr">
        <is>
          <t>FL_DES_ABC_25kg</t>
        </is>
      </c>
      <c r="S691" s="17" t="inlineStr">
        <is>
          <t>con precinto</t>
        </is>
      </c>
    </row>
    <row r="692">
      <c r="A692" s="32" t="inlineStr">
        <is>
          <t>FL_MAT_ABC_25kg</t>
        </is>
      </c>
      <c r="B692" s="32" t="n">
        <v>2</v>
      </c>
      <c r="C692" s="32" t="inlineStr">
        <is>
          <t>ABC25-22</t>
        </is>
      </c>
      <c r="D692" s="17" t="inlineStr">
        <is>
          <t xml:space="preserve">        Manija de accionamiento</t>
        </is>
      </c>
      <c r="E692" s="32" t="n">
        <v>1</v>
      </c>
      <c r="F692" s="32" t="inlineStr">
        <is>
          <t>u</t>
        </is>
      </c>
      <c r="G692" s="33" t="n">
        <v>0.0959</v>
      </c>
      <c r="H692" s="33">
        <f>E692*G692</f>
        <v/>
      </c>
      <c r="I692" s="32" t="inlineStr">
        <is>
          <t>Chapa acero SAE 1010 pintada</t>
        </is>
      </c>
      <c r="J692" s="17" t="inlineStr">
        <is>
          <t>124,6 × 31 × 29,3</t>
        </is>
      </c>
      <c r="K692" s="32" t="inlineStr">
        <is>
          <t>Incluido en válvula HZ</t>
        </is>
      </c>
      <c r="L692" s="32" t="inlineStr">
        <is>
          <t>No</t>
        </is>
      </c>
      <c r="M692" s="17" t="n"/>
      <c r="N692" s="17" t="n"/>
      <c r="O692" s="17" t="inlineStr">
        <is>
          <t>13 carga de polvo y N₂: armado de válvula</t>
        </is>
      </c>
      <c r="P692" s="17" t="n"/>
      <c r="Q692" s="32" t="inlineStr">
        <is>
          <t>P</t>
        </is>
      </c>
      <c r="R692" s="32" t="inlineStr">
        <is>
          <t>FL_DES_ABC_25kg</t>
        </is>
      </c>
      <c r="S692" s="17" t="n"/>
    </row>
    <row r="693">
      <c r="A693" s="32" t="inlineStr">
        <is>
          <t>FL_MAT_ABC_25kg</t>
        </is>
      </c>
      <c r="B693" s="32" t="n">
        <v>2</v>
      </c>
      <c r="C693" s="32" t="inlineStr">
        <is>
          <t>ABC25-23</t>
        </is>
      </c>
      <c r="D693" s="17" t="inlineStr">
        <is>
          <t xml:space="preserve">        Manija de transporte</t>
        </is>
      </c>
      <c r="E693" s="32" t="n">
        <v>1</v>
      </c>
      <c r="F693" s="32" t="inlineStr">
        <is>
          <t>u</t>
        </is>
      </c>
      <c r="G693" s="33" t="n">
        <v>0.0757</v>
      </c>
      <c r="H693" s="33">
        <f>E693*G693</f>
        <v/>
      </c>
      <c r="I693" s="32" t="inlineStr">
        <is>
          <t>Chapa acero SAE 1010 pintada</t>
        </is>
      </c>
      <c r="J693" s="17" t="inlineStr">
        <is>
          <t>102,6 × 35 × 25,4</t>
        </is>
      </c>
      <c r="K693" s="32" t="inlineStr">
        <is>
          <t>Incluido en válvula HZ</t>
        </is>
      </c>
      <c r="L693" s="32" t="inlineStr">
        <is>
          <t>No</t>
        </is>
      </c>
      <c r="M693" s="17" t="n"/>
      <c r="N693" s="17" t="n"/>
      <c r="O693" s="17" t="inlineStr">
        <is>
          <t>13 carga de polvo y N₂: armado de válvula</t>
        </is>
      </c>
      <c r="P693" s="17" t="n"/>
      <c r="Q693" s="32" t="inlineStr">
        <is>
          <t>P</t>
        </is>
      </c>
      <c r="R693" s="32" t="inlineStr">
        <is>
          <t>FL_DES_ABC_25kg</t>
        </is>
      </c>
      <c r="S693" s="17" t="n"/>
    </row>
    <row r="694">
      <c r="A694" s="32" t="inlineStr">
        <is>
          <t>FL_MAT_ABC_25kg</t>
        </is>
      </c>
      <c r="B694" s="32" t="n">
        <v>2</v>
      </c>
      <c r="C694" s="32" t="inlineStr">
        <is>
          <t>ABC25-24</t>
        </is>
      </c>
      <c r="D694" s="17" t="inlineStr">
        <is>
          <t xml:space="preserve">        Caño de pesca (sifón)</t>
        </is>
      </c>
      <c r="E694" s="32" t="n">
        <v>1</v>
      </c>
      <c r="F694" s="32" t="inlineStr">
        <is>
          <t>u</t>
        </is>
      </c>
      <c r="G694" s="33" t="n">
        <v>0.1563</v>
      </c>
      <c r="H694" s="33">
        <f>E694*G694</f>
        <v/>
      </c>
      <c r="I694" s="32" t="inlineStr">
        <is>
          <t>Tubo PVC rígido</t>
        </is>
      </c>
      <c r="J694" s="17" t="inlineStr">
        <is>
          <t>Ø24 × 661,2 de largo</t>
        </is>
      </c>
      <c r="K694" s="32" t="inlineStr">
        <is>
          <t>Incluido en válvula HZ</t>
        </is>
      </c>
      <c r="L694" s="32" t="inlineStr">
        <is>
          <t>No</t>
        </is>
      </c>
      <c r="M694" s="17" t="n"/>
      <c r="N694" s="17" t="n"/>
      <c r="O694" s="17" t="inlineStr">
        <is>
          <t>13 carga de polvo y N₂: armado de válvula</t>
        </is>
      </c>
      <c r="P694" s="17" t="n"/>
      <c r="Q694" s="32" t="inlineStr">
        <is>
          <t>P</t>
        </is>
      </c>
      <c r="R694" s="32" t="inlineStr">
        <is>
          <t>FL_DES_ABC_25kg</t>
        </is>
      </c>
      <c r="S694" s="17" t="n"/>
    </row>
    <row r="695">
      <c r="A695" s="32" t="inlineStr">
        <is>
          <t>FL_MAT_ABC_25kg</t>
        </is>
      </c>
      <c r="B695" s="32" t="n">
        <v>2</v>
      </c>
      <c r="C695" s="32" t="inlineStr">
        <is>
          <t>ABC25-36</t>
        </is>
      </c>
      <c r="D695" s="17" t="inlineStr">
        <is>
          <t xml:space="preserve">        Junta tórica de asiento</t>
        </is>
      </c>
      <c r="E695" s="32" t="n">
        <v>1</v>
      </c>
      <c r="F695" s="32" t="inlineStr">
        <is>
          <t>u</t>
        </is>
      </c>
      <c r="G695" s="33" t="n">
        <v>0.001</v>
      </c>
      <c r="H695" s="33">
        <f>E695*G695</f>
        <v/>
      </c>
      <c r="I695" s="32" t="inlineStr">
        <is>
          <t>NBR 70 Shore A</t>
        </is>
      </c>
      <c r="J695" s="17" t="inlineStr">
        <is>
          <t>Ø32,8 ext. × cordón 3</t>
        </is>
      </c>
      <c r="K695" s="32" t="inlineStr">
        <is>
          <t>Compra</t>
        </is>
      </c>
      <c r="L695" s="32" t="inlineStr">
        <is>
          <t>Sí</t>
        </is>
      </c>
      <c r="M695" s="17" t="inlineStr">
        <is>
          <t>Argensold</t>
        </is>
      </c>
      <c r="N695" s="17" t="inlineStr">
        <is>
          <t>Matafuegos Iglesias</t>
        </is>
      </c>
      <c r="O695" s="17" t="inlineStr">
        <is>
          <t>13 carga de polvo y N₂: armado de válvula</t>
        </is>
      </c>
      <c r="P695" s="17" t="n"/>
      <c r="Q695" s="32" t="inlineStr">
        <is>
          <t>P</t>
        </is>
      </c>
      <c r="R695" s="32" t="inlineStr">
        <is>
          <t>FL_DES_ABC_25kg</t>
        </is>
      </c>
      <c r="S695" s="17" t="inlineStr">
        <is>
          <t>cambio c/recarga</t>
        </is>
      </c>
    </row>
    <row r="696">
      <c r="A696" s="32" t="inlineStr">
        <is>
          <t>FL_MAT_ABC_25kg</t>
        </is>
      </c>
      <c r="B696" s="32" t="n">
        <v>2</v>
      </c>
      <c r="C696" s="32" t="inlineStr">
        <is>
          <t>ABC25-K2</t>
        </is>
      </c>
      <c r="D696" s="17" t="inlineStr">
        <is>
          <t xml:space="preserve">        Válvula HZ armada de carro 25 kg c/traba, manija y resorte</t>
        </is>
      </c>
      <c r="E696" s="32" t="n">
        <v>1</v>
      </c>
      <c r="F696" s="32" t="inlineStr">
        <is>
          <t>u</t>
        </is>
      </c>
      <c r="G696" s="33" t="n"/>
      <c r="H696" s="33" t="n"/>
      <c r="I696" s="32" t="inlineStr">
        <is>
          <t>Latón forjado (HZ)</t>
        </is>
      </c>
      <c r="J696" s="17" t="inlineStr">
        <is>
          <t>rosca M30x1,5</t>
        </is>
      </c>
      <c r="K696" s="32" t="inlineStr">
        <is>
          <t>Compra</t>
        </is>
      </c>
      <c r="L696" s="32" t="inlineStr">
        <is>
          <t>Sí</t>
        </is>
      </c>
      <c r="M696" s="17" t="inlineStr">
        <is>
          <t>Polvex S.R.L. / Sancibrao</t>
        </is>
      </c>
      <c r="N696" s="17" t="inlineStr">
        <is>
          <t>Mozart S.R.L.</t>
        </is>
      </c>
      <c r="O696" s="17" t="inlineStr">
        <is>
          <t>19 Ensamblaje de válvula</t>
        </is>
      </c>
      <c r="P696" s="17" t="inlineStr">
        <is>
          <t>IRAM 3523 3.3</t>
        </is>
      </c>
      <c r="Q696" s="32" t="inlineStr">
        <is>
          <t>Q</t>
        </is>
      </c>
      <c r="R696" s="32" t="inlineStr">
        <is>
          <t>FL_DES_ABC_25kg</t>
        </is>
      </c>
      <c r="S696" s="17" t="inlineStr">
        <is>
          <t>Lista de precios HZ (Q-AGENTES); plano Fadesa usa válvula HZ (R-FADESA). Trae las piezas marcadas «Incluido en válvula HZ»</t>
        </is>
      </c>
    </row>
    <row r="697">
      <c r="A697" s="32" t="inlineStr">
        <is>
          <t>FL_MAT_ABC_25kg</t>
        </is>
      </c>
      <c r="B697" s="32" t="n">
        <v>2</v>
      </c>
      <c r="C697" s="32" t="inlineStr">
        <is>
          <t>ABC25-V2</t>
        </is>
      </c>
      <c r="D697" s="17" t="inlineStr">
        <is>
          <t xml:space="preserve">        Resorte de retorno del vástago</t>
        </is>
      </c>
      <c r="E697" s="32" t="n">
        <v>1</v>
      </c>
      <c r="F697" s="32" t="inlineStr">
        <is>
          <t>u</t>
        </is>
      </c>
      <c r="G697" s="33" t="n"/>
      <c r="H697" s="33" t="n"/>
      <c r="I697" s="32" t="inlineStr">
        <is>
          <t>Acero para resortes</t>
        </is>
      </c>
      <c r="J697" s="17" t="inlineStr">
        <is>
          <t>incluido en la válvula</t>
        </is>
      </c>
      <c r="K697" s="32" t="inlineStr">
        <is>
          <t>Incluido en válvula HZ</t>
        </is>
      </c>
      <c r="L697" s="32" t="inlineStr">
        <is>
          <t>No</t>
        </is>
      </c>
      <c r="M697" s="17" t="n"/>
      <c r="N697" s="17" t="n"/>
      <c r="O697" s="17" t="inlineStr">
        <is>
          <t>19 Ensamblaje</t>
        </is>
      </c>
      <c r="P697" s="17" t="n"/>
      <c r="Q697" s="32" t="inlineStr">
        <is>
          <t>Q</t>
        </is>
      </c>
      <c r="R697" s="32" t="n"/>
      <c r="S697" s="17" t="inlineStr">
        <is>
          <t>Lista de precios HZ: válvula «c/resorte» (Q-AGENTES)</t>
        </is>
      </c>
    </row>
    <row r="698">
      <c r="A698" s="32" t="inlineStr">
        <is>
          <t>FL_MAT_ABC_25kg</t>
        </is>
      </c>
      <c r="B698" s="32" t="n">
        <v>2</v>
      </c>
      <c r="C698" s="32" t="inlineStr">
        <is>
          <t>ABC25-V3</t>
        </is>
      </c>
      <c r="D698" s="17" t="inlineStr">
        <is>
          <t xml:space="preserve">        Junta tórica del vástago</t>
        </is>
      </c>
      <c r="E698" s="32" t="n">
        <v>1</v>
      </c>
      <c r="F698" s="32" t="inlineStr">
        <is>
          <t>u</t>
        </is>
      </c>
      <c r="G698" s="33" t="n"/>
      <c r="H698" s="33" t="n"/>
      <c r="I698" s="32" t="inlineStr">
        <is>
          <t>NBR 70 Shore A</t>
        </is>
      </c>
      <c r="J698" s="17" t="inlineStr">
        <is>
          <t>incluida en la válvula</t>
        </is>
      </c>
      <c r="K698" s="32" t="inlineStr">
        <is>
          <t>Incluido en válvula HZ</t>
        </is>
      </c>
      <c r="L698" s="32" t="inlineStr">
        <is>
          <t>No</t>
        </is>
      </c>
      <c r="M698" s="17" t="n"/>
      <c r="N698" s="17" t="n"/>
      <c r="O698" s="17" t="inlineStr">
        <is>
          <t>19 Ensamblaje</t>
        </is>
      </c>
      <c r="P698" s="17" t="n"/>
      <c r="Q698" s="32" t="inlineStr">
        <is>
          <t>P</t>
        </is>
      </c>
      <c r="R698" s="32" t="n"/>
      <c r="S698" s="17" t="inlineStr">
        <is>
          <t>Figura en el plano como «vástago con junta tórica»</t>
        </is>
      </c>
    </row>
    <row r="699">
      <c r="A699" s="29" t="inlineStr">
        <is>
          <t>FL_MAT_ABC_25kg</t>
        </is>
      </c>
      <c r="B699" s="29" t="n">
        <v>1</v>
      </c>
      <c r="C699" s="29" t="inlineStr">
        <is>
          <t>ABC25-S3</t>
        </is>
      </c>
      <c r="D699" s="30" t="inlineStr">
        <is>
          <t xml:space="preserve">    Dispositivo de descarga</t>
        </is>
      </c>
      <c r="E699" s="29" t="n">
        <v>1</v>
      </c>
      <c r="F699" s="29" t="inlineStr">
        <is>
          <t>u</t>
        </is>
      </c>
      <c r="G699" s="31" t="n"/>
      <c r="H699" s="31">
        <f>H700+H701+H702+H703+H704</f>
        <v/>
      </c>
      <c r="I699" s="29" t="n"/>
      <c r="J699" s="30" t="n"/>
      <c r="K699" s="29" t="inlineStr">
        <is>
          <t>Compra / armado</t>
        </is>
      </c>
      <c r="L699" s="29" t="n"/>
      <c r="M699" s="30" t="n"/>
      <c r="N699" s="30" t="n"/>
      <c r="O699" s="30" t="n"/>
      <c r="P699" s="30" t="n"/>
      <c r="Q699" s="29" t="inlineStr">
        <is>
          <t>P</t>
        </is>
      </c>
      <c r="R699" s="29" t="inlineStr">
        <is>
          <t>FL_DES_ABC_25kg</t>
        </is>
      </c>
      <c r="S699" s="30" t="n"/>
    </row>
    <row r="700">
      <c r="A700" s="32" t="inlineStr">
        <is>
          <t>FL_MAT_ABC_25kg</t>
        </is>
      </c>
      <c r="B700" s="32" t="n">
        <v>2</v>
      </c>
      <c r="C700" s="32" t="inlineStr">
        <is>
          <t>ABC25-25</t>
        </is>
      </c>
      <c r="D700" s="17" t="inlineStr">
        <is>
          <t xml:space="preserve">        Racor de manguera</t>
        </is>
      </c>
      <c r="E700" s="32" t="n">
        <v>1</v>
      </c>
      <c r="F700" s="32" t="inlineStr">
        <is>
          <t>u</t>
        </is>
      </c>
      <c r="G700" s="33" t="n">
        <v>0.0612</v>
      </c>
      <c r="H700" s="33">
        <f>E700*G700</f>
        <v/>
      </c>
      <c r="I700" s="32" t="inlineStr">
        <is>
          <t>Latón</t>
        </is>
      </c>
      <c r="J700" s="17" t="inlineStr">
        <is>
          <t>24 × 24 × 16</t>
        </is>
      </c>
      <c r="K700" s="32" t="inlineStr">
        <is>
          <t>Compra</t>
        </is>
      </c>
      <c r="L700" s="32" t="inlineStr">
        <is>
          <t>Sí</t>
        </is>
      </c>
      <c r="M700" s="17" t="inlineStr">
        <is>
          <t>Yukon / MatafuegosYa S.R.L.</t>
        </is>
      </c>
      <c r="N700" s="17" t="inlineStr">
        <is>
          <t>Matafuegos Iglesias</t>
        </is>
      </c>
      <c r="O700" s="17" t="inlineStr">
        <is>
          <t>Después de 12 pintura: manguera, válvula esférica y tobera</t>
        </is>
      </c>
      <c r="P700" s="17" t="n"/>
      <c r="Q700" s="32" t="inlineStr">
        <is>
          <t>P</t>
        </is>
      </c>
      <c r="R700" s="32" t="inlineStr">
        <is>
          <t>FL_DES_ABC_25kg</t>
        </is>
      </c>
      <c r="S700" s="17" t="n"/>
    </row>
    <row r="701">
      <c r="A701" s="32" t="inlineStr">
        <is>
          <t>FL_MAT_ABC_25kg</t>
        </is>
      </c>
      <c r="B701" s="32" t="n">
        <v>2</v>
      </c>
      <c r="C701" s="32" t="inlineStr">
        <is>
          <t>ABC25-26</t>
        </is>
      </c>
      <c r="D701" s="17" t="inlineStr">
        <is>
          <t xml:space="preserve">        Manguera (tramo enrollado)</t>
        </is>
      </c>
      <c r="E701" s="32" t="n">
        <v>1</v>
      </c>
      <c r="F701" s="32" t="inlineStr">
        <is>
          <t>u</t>
        </is>
      </c>
      <c r="G701" s="33" t="n">
        <v>1.5005</v>
      </c>
      <c r="H701" s="33">
        <f>E701*G701</f>
        <v/>
      </c>
      <c r="I701" s="32" t="inlineStr">
        <is>
          <t>Caucho sintético</t>
        </is>
      </c>
      <c r="J701" s="17" t="inlineStr">
        <is>
          <t>Ø23,5 × 4.504 de largo desarrollado: lazo vertical de 3 vueltas alrededor de los flejes, por afuera de las patas y detrás de las orejas</t>
        </is>
      </c>
      <c r="K701" s="32" t="inlineStr">
        <is>
          <t>Compra</t>
        </is>
      </c>
      <c r="L701" s="32" t="inlineStr">
        <is>
          <t>Sí</t>
        </is>
      </c>
      <c r="M701" s="17" t="inlineStr">
        <is>
          <t>Yukon / MatafuegosYa S.R.L.</t>
        </is>
      </c>
      <c r="N701" s="17" t="inlineStr">
        <is>
          <t>Matafuegos Iglesias</t>
        </is>
      </c>
      <c r="O701" s="17" t="inlineStr">
        <is>
          <t>Después de 12 pintura: manguera, válvula esférica y tobera</t>
        </is>
      </c>
      <c r="P701" s="17" t="n"/>
      <c r="Q701" s="32" t="inlineStr">
        <is>
          <t>P</t>
        </is>
      </c>
      <c r="R701" s="32" t="inlineStr">
        <is>
          <t>FL_DES_ABC_25kg</t>
        </is>
      </c>
      <c r="S701" s="17" t="n"/>
    </row>
    <row r="702">
      <c r="A702" s="32" t="inlineStr">
        <is>
          <t>FL_MAT_ABC_25kg</t>
        </is>
      </c>
      <c r="B702" s="32" t="n">
        <v>2</v>
      </c>
      <c r="C702" s="32" t="inlineStr">
        <is>
          <t>ABC25-27</t>
        </is>
      </c>
      <c r="D702" s="17" t="inlineStr">
        <is>
          <t xml:space="preserve">        Manguera</t>
        </is>
      </c>
      <c r="E702" s="32" t="n">
        <v>1</v>
      </c>
      <c r="F702" s="32" t="inlineStr">
        <is>
          <t>u</t>
        </is>
      </c>
      <c r="G702" s="33" t="n">
        <v>0.1677</v>
      </c>
      <c r="H702" s="33">
        <f>E702*G702</f>
        <v/>
      </c>
      <c r="I702" s="32" t="inlineStr">
        <is>
          <t>Caucho sintético</t>
        </is>
      </c>
      <c r="J702" s="17" t="inlineStr">
        <is>
          <t>Ø23,5 × 503 de largo desarrollado</t>
        </is>
      </c>
      <c r="K702" s="32" t="inlineStr">
        <is>
          <t>Compra</t>
        </is>
      </c>
      <c r="L702" s="32" t="inlineStr">
        <is>
          <t>Sí</t>
        </is>
      </c>
      <c r="M702" s="17" t="inlineStr">
        <is>
          <t>Yukon / MatafuegosYa S.R.L.</t>
        </is>
      </c>
      <c r="N702" s="17" t="inlineStr">
        <is>
          <t>Matafuegos Iglesias</t>
        </is>
      </c>
      <c r="O702" s="17" t="inlineStr">
        <is>
          <t>Después de 12 pintura: manguera, válvula esférica y tobera</t>
        </is>
      </c>
      <c r="P702" s="17" t="n"/>
      <c r="Q702" s="32" t="inlineStr">
        <is>
          <t>P</t>
        </is>
      </c>
      <c r="R702" s="32" t="inlineStr">
        <is>
          <t>FL_DES_ABC_25kg</t>
        </is>
      </c>
      <c r="S702" s="17" t="n"/>
    </row>
    <row r="703">
      <c r="A703" s="32" t="inlineStr">
        <is>
          <t>FL_MAT_ABC_25kg</t>
        </is>
      </c>
      <c r="B703" s="32" t="n">
        <v>2</v>
      </c>
      <c r="C703" s="32" t="inlineStr">
        <is>
          <t>ABC25-29</t>
        </is>
      </c>
      <c r="D703" s="17" t="inlineStr">
        <is>
          <t xml:space="preserve">        Válvula esférica</t>
        </is>
      </c>
      <c r="E703" s="32" t="n">
        <v>1</v>
      </c>
      <c r="F703" s="32" t="inlineStr">
        <is>
          <t>u</t>
        </is>
      </c>
      <c r="G703" s="33" t="n">
        <v>0.3502</v>
      </c>
      <c r="H703" s="33">
        <f>E703*G703</f>
        <v/>
      </c>
      <c r="I703" s="32" t="inlineStr">
        <is>
          <t>Latón cromado</t>
        </is>
      </c>
      <c r="J703" s="17" t="inlineStr">
        <is>
          <t>cuerpo Ø40 × 56 con hexágonos 46, paso total, rosca a la manga y a la tobera; palanca 105 con empuñadura (cerrada: atravesada al caño)</t>
        </is>
      </c>
      <c r="K703" s="32" t="inlineStr">
        <is>
          <t>Compra</t>
        </is>
      </c>
      <c r="L703" s="32" t="inlineStr">
        <is>
          <t>Sí</t>
        </is>
      </c>
      <c r="M703" s="17" t="inlineStr">
        <is>
          <t>Yukon / MatafuegosYa S.R.L.</t>
        </is>
      </c>
      <c r="N703" s="17" t="inlineStr">
        <is>
          <t>Matafuegos Iglesias</t>
        </is>
      </c>
      <c r="O703" s="17" t="inlineStr">
        <is>
          <t>Después de 12 pintura: manguera, válvula esférica y tobera</t>
        </is>
      </c>
      <c r="P703" s="17" t="n"/>
      <c r="Q703" s="32" t="inlineStr">
        <is>
          <t>P</t>
        </is>
      </c>
      <c r="R703" s="32" t="inlineStr">
        <is>
          <t>FL_DES_ABC_25kg</t>
        </is>
      </c>
      <c r="S703" s="17" t="n"/>
    </row>
    <row r="704">
      <c r="A704" s="32" t="inlineStr">
        <is>
          <t>FL_MAT_ABC_25kg</t>
        </is>
      </c>
      <c r="B704" s="32" t="n">
        <v>2</v>
      </c>
      <c r="C704" s="32" t="inlineStr">
        <is>
          <t>ABC25-30</t>
        </is>
      </c>
      <c r="D704" s="17" t="inlineStr">
        <is>
          <t xml:space="preserve">        Tobera campana</t>
        </is>
      </c>
      <c r="E704" s="32" t="n">
        <v>1</v>
      </c>
      <c r="F704" s="32" t="inlineStr">
        <is>
          <t>u</t>
        </is>
      </c>
      <c r="G704" s="33" t="n">
        <v>0.07969999999999999</v>
      </c>
      <c r="H704" s="33">
        <f>E704*G704</f>
        <v/>
      </c>
      <c r="I704" s="32" t="inlineStr">
        <is>
          <t>Polipropileno</t>
        </is>
      </c>
      <c r="J704" s="17" t="inlineStr">
        <is>
          <t>206,1 × 96,8 × 67,8</t>
        </is>
      </c>
      <c r="K704" s="32" t="inlineStr">
        <is>
          <t>Compra</t>
        </is>
      </c>
      <c r="L704" s="32" t="inlineStr">
        <is>
          <t>Sí</t>
        </is>
      </c>
      <c r="M704" s="17" t="inlineStr">
        <is>
          <t>Yukon / MatafuegosYa S.R.L.</t>
        </is>
      </c>
      <c r="N704" s="17" t="inlineStr">
        <is>
          <t>Matafuegos Iglesias</t>
        </is>
      </c>
      <c r="O704" s="17" t="inlineStr">
        <is>
          <t>Después de 12 pintura: manguera, válvula esférica y tobera</t>
        </is>
      </c>
      <c r="P704" s="17" t="n"/>
      <c r="Q704" s="32" t="inlineStr">
        <is>
          <t>P</t>
        </is>
      </c>
      <c r="R704" s="32" t="inlineStr">
        <is>
          <t>FL_DES_ABC_25kg</t>
        </is>
      </c>
      <c r="S704" s="17" t="n"/>
    </row>
    <row r="705">
      <c r="A705" s="29" t="inlineStr">
        <is>
          <t>FL_MAT_ABC_25kg</t>
        </is>
      </c>
      <c r="B705" s="29" t="n">
        <v>1</v>
      </c>
      <c r="C705" s="29" t="inlineStr">
        <is>
          <t>ABC25-S4</t>
        </is>
      </c>
      <c r="D705" s="30" t="inlineStr">
        <is>
          <t xml:space="preserve">    Carro (tren rodante soldado y ruedas)</t>
        </is>
      </c>
      <c r="E705" s="29" t="n">
        <v>1</v>
      </c>
      <c r="F705" s="29" t="inlineStr">
        <is>
          <t>u</t>
        </is>
      </c>
      <c r="G705" s="31" t="n"/>
      <c r="H705" s="31">
        <f>H706+H707+H708+H710+H711+H712+H714+H715+H716+H718</f>
        <v/>
      </c>
      <c r="I705" s="29" t="n"/>
      <c r="J705" s="30" t="n"/>
      <c r="K705" s="29" t="inlineStr">
        <is>
          <t>Fabricación</t>
        </is>
      </c>
      <c r="L705" s="29" t="n"/>
      <c r="M705" s="30" t="n"/>
      <c r="N705" s="30" t="n"/>
      <c r="O705" s="30" t="n"/>
      <c r="P705" s="30" t="inlineStr">
        <is>
          <t>IRAM 3550 3.12 y 4.8 (ruedas ≥ Ø300 × 50)</t>
        </is>
      </c>
      <c r="Q705" s="29" t="inlineStr">
        <is>
          <t>P</t>
        </is>
      </c>
      <c r="R705" s="29" t="inlineStr">
        <is>
          <t>FL_DES_ABC_25kg</t>
        </is>
      </c>
      <c r="S705" s="30" t="n"/>
    </row>
    <row r="706">
      <c r="A706" s="32" t="inlineStr">
        <is>
          <t>FL_MAT_ABC_25kg</t>
        </is>
      </c>
      <c r="B706" s="32" t="n">
        <v>2</v>
      </c>
      <c r="C706" s="32" t="inlineStr">
        <is>
          <t>ABC25-05</t>
        </is>
      </c>
      <c r="D706" s="17" t="inlineStr">
        <is>
          <t xml:space="preserve">        Pata delantera</t>
        </is>
      </c>
      <c r="E706" s="32" t="n">
        <v>1</v>
      </c>
      <c r="F706" s="32" t="inlineStr">
        <is>
          <t>u</t>
        </is>
      </c>
      <c r="G706" s="33" t="n">
        <v>0.1186</v>
      </c>
      <c r="H706" s="33">
        <f>E706*G706</f>
        <v/>
      </c>
      <c r="I706" s="32" t="inlineStr">
        <is>
          <t>Chapa LAC 3,2 (orilla de la hoja de 25 kg)</t>
        </is>
      </c>
      <c r="J706" s="17" t="inlineStr">
        <is>
          <t>planchuela 80 × 60 × e3,2, de canto en el frente del fondo, atravesada; borde de abajo = línea del piso</t>
        </is>
      </c>
      <c r="K706" s="32" t="inlineStr">
        <is>
          <t>Fabricación</t>
        </is>
      </c>
      <c r="L706" s="32" t="inlineStr">
        <is>
          <t>No</t>
        </is>
      </c>
      <c r="M706" s="17" t="n"/>
      <c r="N706" s="17" t="n"/>
      <c r="O706" s="17" t="inlineStr">
        <is>
          <t>8.1 fabricación de accesorios (orillas / caño / barra) -&gt; 8 soldadura MAG al recipiente, antes de la PH (IRAM 3550 6.1.1)</t>
        </is>
      </c>
      <c r="P706" s="17" t="n"/>
      <c r="Q706" s="32" t="inlineStr">
        <is>
          <t>P</t>
        </is>
      </c>
      <c r="R706" s="32" t="inlineStr">
        <is>
          <t>FL_DES_ABC_25kg</t>
        </is>
      </c>
      <c r="S706" s="17" t="inlineStr">
        <is>
          <t>Proceso FLAMA de carros: 80 × 60 (25 y 50 kg) y 100 × 80 (70 y 100 kg), de la orilla de 3,2 de la hoja de 25 kg (sin compra); se suelda con filete de los dos lados en el tramo central</t>
        </is>
      </c>
    </row>
    <row r="707">
      <c r="A707" s="32" t="inlineStr">
        <is>
          <t>FL_MAT_ABC_25kg</t>
        </is>
      </c>
      <c r="B707" s="32" t="n">
        <v>2</v>
      </c>
      <c r="C707" s="32" t="inlineStr">
        <is>
          <t>ABC25-06</t>
        </is>
      </c>
      <c r="D707" s="17" t="inlineStr">
        <is>
          <t xml:space="preserve">        Triángulos con V (2)</t>
        </is>
      </c>
      <c r="E707" s="32" t="n">
        <v>1</v>
      </c>
      <c r="F707" s="32" t="inlineStr">
        <is>
          <t>u</t>
        </is>
      </c>
      <c r="G707" s="33" t="n">
        <v>0.1532</v>
      </c>
      <c r="H707" s="33">
        <f>E707*G707</f>
        <v/>
      </c>
      <c r="I707" s="32" t="inlineStr">
        <is>
          <t>Chapa LAC 4,75 (orilla)</t>
        </is>
      </c>
      <c r="J707" s="17" t="inlineStr">
        <is>
          <t>2 triángulos con V de 90° hacia atrás, chapa e4,75, cateto vertical 70 de canto contra el cuerpo; separados 126 (± 63 en recta), borde de abajo a 20 de la costura del fondo; el caño apoya en la V</t>
        </is>
      </c>
      <c r="K707" s="32" t="inlineStr">
        <is>
          <t>Fabricación</t>
        </is>
      </c>
      <c r="L707" s="32" t="inlineStr">
        <is>
          <t>No</t>
        </is>
      </c>
      <c r="M707" s="17" t="n"/>
      <c r="N707" s="17" t="n"/>
      <c r="O707" s="17" t="inlineStr">
        <is>
          <t>8.1 fabricación de accesorios (orillas / caño / barra) -&gt; 8 soldadura MAG al recipiente, antes de la PH (IRAM 3550 6.1.1)</t>
        </is>
      </c>
      <c r="P707" s="17" t="n"/>
      <c r="Q707" s="32" t="inlineStr">
        <is>
          <t>P</t>
        </is>
      </c>
      <c r="R707" s="32" t="inlineStr">
        <is>
          <t>FL_DES_ABC_25kg</t>
        </is>
      </c>
      <c r="S707"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708">
      <c r="A708" s="32" t="inlineStr">
        <is>
          <t>FL_MAT_ABC_25kg</t>
        </is>
      </c>
      <c r="B708" s="32" t="n">
        <v>2</v>
      </c>
      <c r="C708" s="32" t="inlineStr">
        <is>
          <t>ABC25-07</t>
        </is>
      </c>
      <c r="D708" s="17" t="inlineStr">
        <is>
          <t xml:space="preserve">        Caño del eje</t>
        </is>
      </c>
      <c r="E708" s="32" t="n">
        <v>1</v>
      </c>
      <c r="F708" s="32" t="inlineStr">
        <is>
          <t>u</t>
        </is>
      </c>
      <c r="G708" s="33" t="n">
        <v>0.397</v>
      </c>
      <c r="H708" s="33">
        <f>E708*G708</f>
        <v/>
      </c>
      <c r="I708" s="32" t="inlineStr">
        <is>
          <t>Caño acero SAE 1010 1" × 2,0</t>
        </is>
      </c>
      <c r="J708" s="17" t="inlineStr">
        <is>
          <t>caño 1" (Ø25,4) × 2 × 344 de largo, con marca de la mitad; apoyado en la V de los triángulos a 20 del cuerpo, no gira; adentro pasa el eje Ø19,1</t>
        </is>
      </c>
      <c r="K708" s="32" t="inlineStr">
        <is>
          <t>Fabricación</t>
        </is>
      </c>
      <c r="L708" s="32" t="inlineStr">
        <is>
          <t>No</t>
        </is>
      </c>
      <c r="M708" s="17" t="n"/>
      <c r="N708" s="17" t="n"/>
      <c r="O708" s="17" t="inlineStr">
        <is>
          <t>8.1 fabricación de accesorios (orillas / caño / barra) -&gt; 8 soldadura MAG al recipiente, antes de la PH (IRAM 3550 6.1.1)</t>
        </is>
      </c>
      <c r="P708" s="17" t="n"/>
      <c r="Q708" s="32" t="inlineStr">
        <is>
          <t>P</t>
        </is>
      </c>
      <c r="R708" s="32" t="inlineStr">
        <is>
          <t>FL_DES_ABC_25kg</t>
        </is>
      </c>
      <c r="S708" s="17" t="inlineStr">
        <is>
          <t>Proceso FLAMA de carros, puesto 8 (kit del 8.1): medidas y posición de la tabla del puesto; se suelda antes de la prueba hidráulica (IRAM 3550 6.1.1)</t>
        </is>
      </c>
    </row>
    <row r="709">
      <c r="A709" s="34" t="inlineStr">
        <is>
          <t>FL_MAT_ABC_25kg</t>
        </is>
      </c>
      <c r="B709" s="34" t="n">
        <v>3</v>
      </c>
      <c r="C709" s="34" t="inlineStr">
        <is>
          <t>MP-PORTAEJE</t>
        </is>
      </c>
      <c r="D709" s="35" t="inlineStr">
        <is>
          <t xml:space="preserve">            Caño SAE 1010 1" × 2,0 (tramo de barra de 6 m)</t>
        </is>
      </c>
      <c r="E709" s="34" t="n">
        <v>0.0573</v>
      </c>
      <c r="F709" s="34" t="inlineStr">
        <is>
          <t>barra</t>
        </is>
      </c>
      <c r="G709" s="36" t="n">
        <v>6.925</v>
      </c>
      <c r="H709" s="36">
        <f>E709*G709</f>
        <v/>
      </c>
      <c r="I709" s="34" t="inlineStr">
        <is>
          <t>Caño acero SAE 1010 1" × 2,0</t>
        </is>
      </c>
      <c r="J709" s="35" t="inlineStr">
        <is>
          <t>344 mm por pieza (kg por barra de 6 m)</t>
        </is>
      </c>
      <c r="K709" s="34" t="inlineStr">
        <is>
          <t>Compra</t>
        </is>
      </c>
      <c r="L709" s="34" t="inlineStr">
        <is>
          <t>Sí</t>
        </is>
      </c>
      <c r="M709" s="35" t="inlineStr">
        <is>
          <t>Metalpri / Prilux</t>
        </is>
      </c>
      <c r="N709" s="35" t="inlineStr">
        <is>
          <t>Comercial MID</t>
        </is>
      </c>
      <c r="O709" s="35" t="inlineStr">
        <is>
          <t>Corte en sierra</t>
        </is>
      </c>
      <c r="P709" s="35" t="n"/>
      <c r="Q709" s="34" t="inlineStr">
        <is>
          <t>C</t>
        </is>
      </c>
      <c r="R709" s="34" t="n"/>
      <c r="S709" s="35" t="inlineStr">
        <is>
          <t>Largo para la trocha del ancho de la hoja de especificaciones (kit 8.1), con marca de la mitad</t>
        </is>
      </c>
    </row>
    <row r="710">
      <c r="A710" s="41" t="inlineStr">
        <is>
          <t>FL_MAT_ABC_25kg</t>
        </is>
      </c>
      <c r="B710" s="41" t="n">
        <v>2</v>
      </c>
      <c r="C710" s="41" t="inlineStr">
        <is>
          <t>ABC25-08</t>
        </is>
      </c>
      <c r="D710" s="42" t="inlineStr">
        <is>
          <t xml:space="preserve">        Neumático macizo</t>
        </is>
      </c>
      <c r="E710" s="41" t="n">
        <v>2</v>
      </c>
      <c r="F710" s="41" t="inlineStr">
        <is>
          <t>u</t>
        </is>
      </c>
      <c r="G710" s="43" t="n">
        <v>2.0425</v>
      </c>
      <c r="H710" s="43">
        <f>E710*G710</f>
        <v/>
      </c>
      <c r="I710" s="41" t="inlineStr">
        <is>
          <t>Caucho</t>
        </is>
      </c>
      <c r="J710" s="42" t="inlineStr">
        <is>
          <t>Ø300 × 50 de ancho</t>
        </is>
      </c>
      <c r="K710" s="41" t="inlineStr">
        <is>
          <t>Compra</t>
        </is>
      </c>
      <c r="L710" s="41" t="inlineStr">
        <is>
          <t>Sí</t>
        </is>
      </c>
      <c r="M710" s="42" t="inlineStr">
        <is>
          <t>Ruedar</t>
        </is>
      </c>
      <c r="N710" s="42" t="inlineStr">
        <is>
          <t>-</t>
        </is>
      </c>
      <c r="O710" s="42" t="inlineStr">
        <is>
          <t>Después de 12 pintura: ruedas montadas sobre el eje</t>
        </is>
      </c>
      <c r="P710" s="42" t="n"/>
      <c r="Q710" s="41" t="inlineStr">
        <is>
          <t>P</t>
        </is>
      </c>
      <c r="R710" s="41" t="inlineStr">
        <is>
          <t>FL_DES_ABC_25kg</t>
        </is>
      </c>
      <c r="S710" s="42" t="inlineStr">
        <is>
          <t>llanta de chapa; IRAM 3550 4.8: Ø ≥ 300 y ancho ≥ 50</t>
        </is>
      </c>
    </row>
    <row r="711">
      <c r="A711" s="32" t="inlineStr">
        <is>
          <t>FL_MAT_ABC_25kg</t>
        </is>
      </c>
      <c r="B711" s="32" t="n">
        <v>2</v>
      </c>
      <c r="C711" s="32" t="inlineStr">
        <is>
          <t>ABC25-09</t>
        </is>
      </c>
      <c r="D711" s="17" t="inlineStr">
        <is>
          <t xml:space="preserve">        Llanta con cubo</t>
        </is>
      </c>
      <c r="E711" s="32" t="n">
        <v>2</v>
      </c>
      <c r="F711" s="32" t="inlineStr">
        <is>
          <t>u</t>
        </is>
      </c>
      <c r="G711" s="33" t="n">
        <v>1.8574</v>
      </c>
      <c r="H711" s="33">
        <f>E711*G711</f>
        <v/>
      </c>
      <c r="I711" s="32" t="inlineStr">
        <is>
          <t>Chapa acero SAE 1010</t>
        </is>
      </c>
      <c r="J711" s="17" t="inlineStr">
        <is>
          <t>Ø216 × 50 de ancho</t>
        </is>
      </c>
      <c r="K711" s="32" t="inlineStr">
        <is>
          <t>Incluido en rueda</t>
        </is>
      </c>
      <c r="L711" s="32" t="inlineStr">
        <is>
          <t>No</t>
        </is>
      </c>
      <c r="M711" s="17" t="n"/>
      <c r="N711" s="17" t="n"/>
      <c r="O711" s="17" t="inlineStr">
        <is>
          <t>Después de 12 pintura: ruedas montadas sobre el eje</t>
        </is>
      </c>
      <c r="P711" s="17" t="n"/>
      <c r="Q711" s="32" t="inlineStr">
        <is>
          <t>P</t>
        </is>
      </c>
      <c r="R711" s="32" t="inlineStr">
        <is>
          <t>FL_DES_ABC_25kg</t>
        </is>
      </c>
      <c r="S711" s="17" t="n"/>
    </row>
    <row r="712">
      <c r="A712" s="32" t="inlineStr">
        <is>
          <t>FL_MAT_ABC_25kg</t>
        </is>
      </c>
      <c r="B712" s="32" t="n">
        <v>2</v>
      </c>
      <c r="C712" s="32" t="inlineStr">
        <is>
          <t>ABC25-10</t>
        </is>
      </c>
      <c r="D712" s="17" t="inlineStr">
        <is>
          <t xml:space="preserve">        Eje de ruedas</t>
        </is>
      </c>
      <c r="E712" s="32" t="n">
        <v>1</v>
      </c>
      <c r="F712" s="32" t="inlineStr">
        <is>
          <t>u</t>
        </is>
      </c>
      <c r="G712" s="33" t="n">
        <v>1.069</v>
      </c>
      <c r="H712" s="33">
        <f>E712*G712</f>
        <v/>
      </c>
      <c r="I712" s="32" t="inlineStr">
        <is>
          <t>Barra acero SAE 1045 Ø19.05</t>
        </is>
      </c>
      <c r="J712" s="17" t="inlineStr">
        <is>
          <t>barra trefilada 3/4" (Ø19,05) × 480 de largo, con agujero Ø4,6 en cada punta para el pasador (montaje final)</t>
        </is>
      </c>
      <c r="K712" s="32" t="inlineStr">
        <is>
          <t>Fabricación</t>
        </is>
      </c>
      <c r="L712" s="32" t="inlineStr">
        <is>
          <t>No</t>
        </is>
      </c>
      <c r="M712" s="17" t="n"/>
      <c r="N712" s="17" t="n"/>
      <c r="O712" s="17" t="inlineStr">
        <is>
          <t>8.1 corte de barra -&gt; 8 soldadura de soportes</t>
        </is>
      </c>
      <c r="P712" s="17" t="n"/>
      <c r="Q712" s="32" t="inlineStr">
        <is>
          <t>P</t>
        </is>
      </c>
      <c r="R712" s="32" t="inlineStr">
        <is>
          <t>FL_DES_ABC_25kg</t>
        </is>
      </c>
      <c r="S712" s="17" t="inlineStr">
        <is>
          <t>Montaje final, después de la pintura, con las ruedas (proceso de carros, puesto 8)</t>
        </is>
      </c>
    </row>
    <row r="713">
      <c r="A713" s="34" t="inlineStr">
        <is>
          <t>FL_MAT_ABC_25kg</t>
        </is>
      </c>
      <c r="B713" s="34" t="n">
        <v>3</v>
      </c>
      <c r="C713" s="34" t="inlineStr">
        <is>
          <t>MP-EJE</t>
        </is>
      </c>
      <c r="D713" s="35" t="inlineStr">
        <is>
          <t xml:space="preserve">            Barra trefilada SAE 1045 3/4" (tramo de barra de 6 m)</t>
        </is>
      </c>
      <c r="E713" s="34" t="n">
        <v>0.08</v>
      </c>
      <c r="F713" s="34" t="inlineStr">
        <is>
          <t>barra</t>
        </is>
      </c>
      <c r="G713" s="36" t="n">
        <v>13.425</v>
      </c>
      <c r="H713" s="36">
        <f>E713*G713</f>
        <v/>
      </c>
      <c r="I713" s="34" t="inlineStr">
        <is>
          <t>Barra trefilada SAE 1045 3/4"</t>
        </is>
      </c>
      <c r="J713" s="35" t="inlineStr">
        <is>
          <t>480 mm por pieza (kg por barra de 6 m)</t>
        </is>
      </c>
      <c r="K713" s="34" t="inlineStr">
        <is>
          <t>Compra</t>
        </is>
      </c>
      <c r="L713" s="34" t="inlineStr">
        <is>
          <t>Sí</t>
        </is>
      </c>
      <c r="M713" s="35" t="inlineStr">
        <is>
          <t>Vladimirsky</t>
        </is>
      </c>
      <c r="N713" s="35" t="inlineStr">
        <is>
          <t>Hierros Parrotta</t>
        </is>
      </c>
      <c r="O713" s="35" t="inlineStr">
        <is>
          <t>Corte en sierra</t>
        </is>
      </c>
      <c r="P713" s="35" t="n"/>
      <c r="Q713" s="34" t="inlineStr">
        <is>
          <t>C</t>
        </is>
      </c>
      <c r="R713" s="34" t="n"/>
      <c r="S713" s="35" t="n"/>
    </row>
    <row r="714">
      <c r="A714" s="32" t="inlineStr">
        <is>
          <t>FL_MAT_ABC_25kg</t>
        </is>
      </c>
      <c r="B714" s="32" t="n">
        <v>2</v>
      </c>
      <c r="C714" s="32" t="inlineStr">
        <is>
          <t>ABC25-11</t>
        </is>
      </c>
      <c r="D714" s="17" t="inlineStr">
        <is>
          <t xml:space="preserve">        Arandelas de tope (4)</t>
        </is>
      </c>
      <c r="E714" s="32" t="n">
        <v>1</v>
      </c>
      <c r="F714" s="32" t="inlineStr">
        <is>
          <t>u</t>
        </is>
      </c>
      <c r="G714" s="33" t="n">
        <v>0.1182</v>
      </c>
      <c r="H714" s="33">
        <f>E714*G714</f>
        <v/>
      </c>
      <c r="I714" s="32" t="inlineStr">
        <is>
          <t>Acero SAE 1010 Ø40 × 4</t>
        </is>
      </c>
      <c r="J714" s="17" t="inlineStr">
        <is>
          <t>4 × Ø40 × Ø20,1 × 4 (a cada lado de cada rueda)</t>
        </is>
      </c>
      <c r="K714" s="32" t="inlineStr">
        <is>
          <t>Compra</t>
        </is>
      </c>
      <c r="L714" s="32" t="inlineStr">
        <is>
          <t>Sí</t>
        </is>
      </c>
      <c r="M714" s="17" t="inlineStr">
        <is>
          <t>Hierros Parrotta</t>
        </is>
      </c>
      <c r="N714" s="17" t="inlineStr">
        <is>
          <t>-</t>
        </is>
      </c>
      <c r="O714" s="17" t="inlineStr">
        <is>
          <t>Después de 12 pintura: ruedas montadas sobre el eje</t>
        </is>
      </c>
      <c r="P714" s="17" t="n"/>
      <c r="Q714" s="32" t="inlineStr">
        <is>
          <t>P</t>
        </is>
      </c>
      <c r="R714" s="32" t="inlineStr">
        <is>
          <t>FL_DES_ABC_25kg</t>
        </is>
      </c>
      <c r="S714" s="17" t="inlineStr">
        <is>
          <t>Montaje final, después de la pintura, con las ruedas (proceso de carros, puesto 8)</t>
        </is>
      </c>
    </row>
    <row r="715">
      <c r="A715" s="32" t="inlineStr">
        <is>
          <t>FL_MAT_ABC_25kg</t>
        </is>
      </c>
      <c r="B715" s="32" t="n">
        <v>2</v>
      </c>
      <c r="C715" s="32" t="inlineStr">
        <is>
          <t>ABC25-12</t>
        </is>
      </c>
      <c r="D715" s="17" t="inlineStr">
        <is>
          <t xml:space="preserve">        Pasadores del eje (2)</t>
        </is>
      </c>
      <c r="E715" s="32" t="n">
        <v>1</v>
      </c>
      <c r="F715" s="32" t="inlineStr">
        <is>
          <t>u</t>
        </is>
      </c>
      <c r="G715" s="33" t="n">
        <v>0.0132</v>
      </c>
      <c r="H715" s="33">
        <f>E715*G715</f>
        <v/>
      </c>
      <c r="I715" s="32" t="inlineStr">
        <is>
          <t>Pasador partido acero Ø4 × 40</t>
        </is>
      </c>
      <c r="J715" s="17" t="inlineStr">
        <is>
          <t>2 pasadores partidos Ø4 × 40, uno en cada punta del eje, por fuera de la arandela</t>
        </is>
      </c>
      <c r="K715" s="32" t="inlineStr">
        <is>
          <t>Compra</t>
        </is>
      </c>
      <c r="L715" s="32" t="inlineStr">
        <is>
          <t>Sí</t>
        </is>
      </c>
      <c r="M715" s="17" t="inlineStr">
        <is>
          <t>Hierros Parrotta</t>
        </is>
      </c>
      <c r="N715" s="17" t="inlineStr">
        <is>
          <t>-</t>
        </is>
      </c>
      <c r="O715" s="17" t="inlineStr">
        <is>
          <t>Después de 12 pintura: ruedas montadas sobre el eje</t>
        </is>
      </c>
      <c r="P715" s="17" t="n"/>
      <c r="Q715" s="32" t="inlineStr">
        <is>
          <t>P</t>
        </is>
      </c>
      <c r="R715" s="32" t="inlineStr">
        <is>
          <t>FL_DES_ABC_25kg</t>
        </is>
      </c>
      <c r="S715" s="17" t="inlineStr">
        <is>
          <t>Montaje final, después de la pintura, con las ruedas (proceso de carros, puesto 8)</t>
        </is>
      </c>
    </row>
    <row r="716">
      <c r="A716" s="32" t="inlineStr">
        <is>
          <t>FL_MAT_ABC_25kg</t>
        </is>
      </c>
      <c r="B716" s="32" t="n">
        <v>2</v>
      </c>
      <c r="C716" s="32" t="inlineStr">
        <is>
          <t>ABC25-13</t>
        </is>
      </c>
      <c r="D716" s="17" t="inlineStr">
        <is>
          <t xml:space="preserve">        Manija del carro</t>
        </is>
      </c>
      <c r="E716" s="32" t="n">
        <v>1</v>
      </c>
      <c r="F716" s="32" t="inlineStr">
        <is>
          <t>u</t>
        </is>
      </c>
      <c r="G716" s="33" t="n">
        <v>1.7375</v>
      </c>
      <c r="H716" s="33">
        <f>E716*G716</f>
        <v/>
      </c>
      <c r="I716" s="32" t="inlineStr">
        <is>
          <t>Caño acero SAE 1010 1" × 2,0</t>
        </is>
      </c>
      <c r="J716" s="17" t="inlineStr">
        <is>
          <t>caño 1" (Ø25,4) × 2,0, corte 1.600 (desarrollado del modelo 1.597); puntas aplastadas en lengüetas 40 × 60 × 4 soldadas a los costados, borde de abajo 200 bajo la costura de la cúpula; 2 curvas de 90° y 2 de 30° (doblez a 890 del piso), puño hacia atrás a 1.085</t>
        </is>
      </c>
      <c r="K716" s="32" t="inlineStr">
        <is>
          <t>Fabricación</t>
        </is>
      </c>
      <c r="L716" s="32" t="inlineStr">
        <is>
          <t>No</t>
        </is>
      </c>
      <c r="M716" s="17" t="n"/>
      <c r="N716" s="17" t="n"/>
      <c r="O716" s="17" t="inlineStr">
        <is>
          <t>8.1 fabricación de accesorios (orillas / caño / barra) -&gt; 8 soldadura MAG al recipiente, antes de la PH (IRAM 3550 6.1.1)</t>
        </is>
      </c>
      <c r="P716" s="17" t="n"/>
      <c r="Q716" s="32" t="inlineStr">
        <is>
          <t>P</t>
        </is>
      </c>
      <c r="R716" s="32" t="inlineStr">
        <is>
          <t>FL_DES_ABC_25kg</t>
        </is>
      </c>
      <c r="S716"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717">
      <c r="A717" s="34" t="inlineStr">
        <is>
          <t>FL_MAT_ABC_25kg</t>
        </is>
      </c>
      <c r="B717" s="34" t="n">
        <v>3</v>
      </c>
      <c r="C717" s="34" t="inlineStr">
        <is>
          <t>MP-CANO-CARRO</t>
        </is>
      </c>
      <c r="D717" s="35" t="inlineStr">
        <is>
          <t xml:space="preserve">            Caño SAE 1010 1" × 2,0 (tramo de barra de 6 m)</t>
        </is>
      </c>
      <c r="E717" s="34" t="n">
        <v>0.2667</v>
      </c>
      <c r="F717" s="34" t="inlineStr">
        <is>
          <t>barra</t>
        </is>
      </c>
      <c r="G717" s="36" t="n">
        <v>6.925</v>
      </c>
      <c r="H717" s="36">
        <f>E717*G717</f>
        <v/>
      </c>
      <c r="I717" s="34" t="inlineStr">
        <is>
          <t>Caño acero SAE 1010 1" × 2,0</t>
        </is>
      </c>
      <c r="J717" s="35" t="inlineStr">
        <is>
          <t>1.600 mm por pieza (kg por barra de 6 m)</t>
        </is>
      </c>
      <c r="K717" s="34" t="inlineStr">
        <is>
          <t>Compra</t>
        </is>
      </c>
      <c r="L717" s="34" t="inlineStr">
        <is>
          <t>Sí</t>
        </is>
      </c>
      <c r="M717" s="35" t="inlineStr">
        <is>
          <t>Metalpri / Prilux</t>
        </is>
      </c>
      <c r="N717" s="35" t="inlineStr">
        <is>
          <t>Comercial MID</t>
        </is>
      </c>
      <c r="O717" s="35" t="inlineStr">
        <is>
          <t>Corte en sierra</t>
        </is>
      </c>
      <c r="P717" s="35" t="n"/>
      <c r="Q717" s="34" t="inlineStr">
        <is>
          <t>C</t>
        </is>
      </c>
      <c r="R717" s="34" t="n"/>
      <c r="S717" s="35" t="inlineStr">
        <is>
          <t>Largo de corte = desarrollo del modelo a 10 mm (kit del puesto 8.1), con las lengüetas a aplastar</t>
        </is>
      </c>
    </row>
    <row r="718">
      <c r="A718" s="32" t="inlineStr">
        <is>
          <t>FL_MAT_ABC_25kg</t>
        </is>
      </c>
      <c r="B718" s="32" t="n">
        <v>2</v>
      </c>
      <c r="C718" s="32" t="inlineStr">
        <is>
          <t>ABC25-28</t>
        </is>
      </c>
      <c r="D718" s="17" t="inlineStr">
        <is>
          <t xml:space="preserve">        Flejes del soporte de manga (2)</t>
        </is>
      </c>
      <c r="E718" s="32" t="n">
        <v>1</v>
      </c>
      <c r="F718" s="32" t="inlineStr">
        <is>
          <t>u</t>
        </is>
      </c>
      <c r="G718" s="33" t="n">
        <v>0.8391999999999999</v>
      </c>
      <c r="H718" s="33">
        <f>E718*G718</f>
        <v/>
      </c>
      <c r="I718" s="32" t="inlineStr">
        <is>
          <t>Chapa LAC 3,2 × 40 plegada</t>
        </is>
      </c>
      <c r="J718" s="17" t="inlineStr">
        <is>
          <t>2 flejes iguales 40 × 3,2 de 406 de corte, 4 dobleces de 90° (U abierta hacia afuera): base 182 por fuera, soldada al cuerpo por el centro, patas 104 (hasta delante de la última vuelta) y orejas 20 hacia los costados; superior a 40 bajo la costura de la cúpula, inferior a 40 sobre la del fondo; la manga pasa por afuera de las patas y detrás de las orejas</t>
        </is>
      </c>
      <c r="K718" s="32" t="inlineStr">
        <is>
          <t>Fabricación</t>
        </is>
      </c>
      <c r="L718" s="32" t="inlineStr">
        <is>
          <t>No</t>
        </is>
      </c>
      <c r="M718" s="17" t="n"/>
      <c r="N718" s="17" t="n"/>
      <c r="O718" s="17" t="inlineStr">
        <is>
          <t>8.1 fabricación de accesorios (orillas / caño / barra) -&gt; 8 soldadura MAG al recipiente, antes de la PH (IRAM 3550 6.1.1)</t>
        </is>
      </c>
      <c r="P718" s="17" t="n"/>
      <c r="Q718" s="32" t="inlineStr">
        <is>
          <t>P</t>
        </is>
      </c>
      <c r="R718" s="32" t="inlineStr">
        <is>
          <t>FL_DES_ABC_25kg</t>
        </is>
      </c>
      <c r="S718" s="17" t="inlineStr">
        <is>
          <t>Proceso FLAMA de carros, puesto 8 (kit del 8.1): medidas y posición de la tabla del puesto; se suelda antes de la prueba hidráulica (IRAM 3550 6.1.1); chapa de las orillas del corte (sin compra)</t>
        </is>
      </c>
    </row>
    <row r="719">
      <c r="A719" s="29" t="inlineStr">
        <is>
          <t>FL_MAT_ABC_25kg</t>
        </is>
      </c>
      <c r="B719" s="29" t="n">
        <v>1</v>
      </c>
      <c r="C719" s="29" t="inlineStr">
        <is>
          <t>ABC25-S5</t>
        </is>
      </c>
      <c r="D719" s="30" t="inlineStr">
        <is>
          <t xml:space="preserve">    Carga: agente extintor y gas impulsor</t>
        </is>
      </c>
      <c r="E719" s="29" t="n">
        <v>1</v>
      </c>
      <c r="F719" s="29" t="inlineStr">
        <is>
          <t>u</t>
        </is>
      </c>
      <c r="G719" s="31" t="n"/>
      <c r="H719" s="31">
        <f>H720+H721</f>
        <v/>
      </c>
      <c r="I719" s="29" t="n"/>
      <c r="J719" s="30" t="n"/>
      <c r="K719" s="29" t="inlineStr">
        <is>
          <t>Carga en planta</t>
        </is>
      </c>
      <c r="L719" s="29" t="n"/>
      <c r="M719" s="30" t="n"/>
      <c r="N719" s="30" t="n"/>
      <c r="O719" s="30" t="inlineStr">
        <is>
          <t>18 Carga de polvo (T01) / C8 (T02)</t>
        </is>
      </c>
      <c r="P719" s="30" t="n"/>
      <c r="Q719" s="29" t="n"/>
      <c r="R719" s="29" t="n"/>
      <c r="S719" s="30" t="n"/>
    </row>
    <row r="720">
      <c r="A720" s="32" t="inlineStr">
        <is>
          <t>FL_MAT_ABC_25kg</t>
        </is>
      </c>
      <c r="B720" s="32" t="n">
        <v>2</v>
      </c>
      <c r="C720" s="32" t="inlineStr">
        <is>
          <t>ABC25-A1</t>
        </is>
      </c>
      <c r="D720" s="17" t="inlineStr">
        <is>
          <t xml:space="preserve">        Polvo químico seco ABC 90 (Sello IRAM 3569)</t>
        </is>
      </c>
      <c r="E720" s="32" t="n">
        <v>25</v>
      </c>
      <c r="F720" s="32" t="inlineStr">
        <is>
          <t>kg</t>
        </is>
      </c>
      <c r="G720" s="33" t="n">
        <v>1</v>
      </c>
      <c r="H720" s="33">
        <f>E720*G720</f>
        <v/>
      </c>
      <c r="I720" s="32" t="inlineStr">
        <is>
          <t>Polvo químico seco ABC 90 (Sello IRAM 3569)</t>
        </is>
      </c>
      <c r="J720" s="17" t="inlineStr">
        <is>
          <t>nominal 25 kg; tolerancia ± 3 % (IRAM 3517-2:2020 tabla 3)</t>
        </is>
      </c>
      <c r="K720" s="32" t="inlineStr">
        <is>
          <t>Compra</t>
        </is>
      </c>
      <c r="L720" s="32" t="inlineStr">
        <is>
          <t>Sí</t>
        </is>
      </c>
      <c r="M720" s="17" t="inlineStr">
        <is>
          <t>DEM S.A. (DEMSA)</t>
        </is>
      </c>
      <c r="N720" s="17" t="inlineStr">
        <is>
          <t>Polvex S.R.L. / Sancibrao</t>
        </is>
      </c>
      <c r="O720" s="17" t="inlineStr">
        <is>
          <t>SP-1 almacén previo a la carga</t>
        </is>
      </c>
      <c r="P720" s="17" t="inlineStr">
        <is>
          <t>IRAM 3569</t>
        </is>
      </c>
      <c r="Q720" s="32" t="inlineStr">
        <is>
          <t>N</t>
        </is>
      </c>
      <c r="R720" s="32" t="n"/>
      <c r="S720" s="17" t="inlineStr">
        <is>
          <t>Composición declarada del polvo ABC 90: MAP 90 % (IRAM 3569: 85,5-94,5 %) = 22,5 kg MAP + 1,75 kg sulfato de amonio + 0,75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721">
      <c r="A721" s="37" t="inlineStr">
        <is>
          <t>FL_MAT_ABC_25kg</t>
        </is>
      </c>
      <c r="B721" s="37" t="n">
        <v>2</v>
      </c>
      <c r="C721" s="37" t="inlineStr">
        <is>
          <t>ABC25-A2</t>
        </is>
      </c>
      <c r="D721" s="18" t="inlineStr">
        <is>
          <t xml:space="preserve">        Gas impulsor: N₂</t>
        </is>
      </c>
      <c r="E721" s="37" t="n">
        <v>0.2013</v>
      </c>
      <c r="F721" s="37" t="inlineStr">
        <is>
          <t>kg</t>
        </is>
      </c>
      <c r="G721" s="38" t="n">
        <v>1</v>
      </c>
      <c r="H721" s="38">
        <f>E721*G721</f>
        <v/>
      </c>
      <c r="I721" s="37" t="inlineStr">
        <is>
          <t>N₂</t>
        </is>
      </c>
      <c r="J721" s="18" t="inlineStr">
        <is>
          <t>161,1 L normales para 1,4 MPa a 20 °C en 11,67 dm³ libres</t>
        </is>
      </c>
      <c r="K721" s="37" t="inlineStr">
        <is>
          <t>Compra</t>
        </is>
      </c>
      <c r="L721" s="37" t="inlineStr">
        <is>
          <t>Sí</t>
        </is>
      </c>
      <c r="M721" s="18" t="inlineStr">
        <is>
          <t>Air Liquide Argentina - sucursal Piñeyro</t>
        </is>
      </c>
      <c r="N721" s="18" t="inlineStr">
        <is>
          <t>Gogniat</t>
        </is>
      </c>
      <c r="O721" s="18" t="inlineStr">
        <is>
          <t>20 Presurización (T05) / C10</t>
        </is>
      </c>
      <c r="P721" s="18" t="inlineStr">
        <is>
          <t>IRAM 3517-2 9.4.9 (tabla 2) · IRAM 3523 2.3 y 3.10</t>
        </is>
      </c>
      <c r="Q721" s="37" t="inlineStr">
        <is>
          <t>C</t>
        </is>
      </c>
      <c r="R721" s="37" t="n"/>
      <c r="S721" s="18" t="inlineStr">
        <is>
          <t>N₂ ≥ 99,8 %, H₂O ≤ 40 ppm (Q-N2, Air Liquide) · volumen libre con ρ empacada mínima 1,1 kg/dm³ (NOM-104-STPS-2001); confirmar con descarga ≥ 85 % (IRAM 3523 4.9.1)</t>
        </is>
      </c>
    </row>
    <row r="722">
      <c r="A722" s="29" t="inlineStr">
        <is>
          <t>FL_MAT_ABC_25kg</t>
        </is>
      </c>
      <c r="B722" s="29" t="n">
        <v>1</v>
      </c>
      <c r="C722" s="29" t="inlineStr">
        <is>
          <t>ABC25-S6</t>
        </is>
      </c>
      <c r="D722" s="30" t="inlineStr">
        <is>
          <t xml:space="preserve">    Identificación y precinto</t>
        </is>
      </c>
      <c r="E722" s="29" t="n">
        <v>1</v>
      </c>
      <c r="F722" s="29" t="inlineStr">
        <is>
          <t>u</t>
        </is>
      </c>
      <c r="G722" s="31" t="n"/>
      <c r="H722" s="31">
        <f>H723+H724+H725+H726+H727+H728+H729</f>
        <v/>
      </c>
      <c r="I722" s="29" t="n"/>
      <c r="J722" s="30" t="n"/>
      <c r="K722" s="29" t="inlineStr">
        <is>
          <t>Compra</t>
        </is>
      </c>
      <c r="L722" s="29" t="n"/>
      <c r="M722" s="30" t="n"/>
      <c r="N722" s="30" t="n"/>
      <c r="O722" s="30" t="inlineStr">
        <is>
          <t>22 Etiquetado (T07)</t>
        </is>
      </c>
      <c r="P722" s="30" t="n"/>
      <c r="Q722" s="29" t="n"/>
      <c r="R722" s="29" t="n"/>
      <c r="S722" s="30" t="n"/>
    </row>
    <row r="723">
      <c r="A723" s="32" t="inlineStr">
        <is>
          <t>FL_MAT_ABC_25kg</t>
        </is>
      </c>
      <c r="B723" s="32" t="n">
        <v>2</v>
      </c>
      <c r="C723" s="32" t="inlineStr">
        <is>
          <t>ABC25-31</t>
        </is>
      </c>
      <c r="D723" s="17" t="inlineStr">
        <is>
          <t xml:space="preserve">        Etiqueta / placa de características</t>
        </is>
      </c>
      <c r="E723" s="32" t="n">
        <v>1</v>
      </c>
      <c r="F723" s="32" t="inlineStr">
        <is>
          <t>u</t>
        </is>
      </c>
      <c r="G723" s="33" t="n">
        <v>0.0332</v>
      </c>
      <c r="H723" s="33">
        <f>E723*G723</f>
        <v/>
      </c>
      <c r="I723" s="32" t="inlineStr">
        <is>
          <t>Vinilo autoadhesivo laminado</t>
        </is>
      </c>
      <c r="J723" s="17" t="inlineStr">
        <is>
          <t>375 × 210 (desarrollo × alto: panel central 108° + 2 alas laterales), e ≈ 0,3, laminado UV</t>
        </is>
      </c>
      <c r="K723" s="32" t="inlineStr">
        <is>
          <t>Compra</t>
        </is>
      </c>
      <c r="L723" s="32" t="inlineStr">
        <is>
          <t>Sí</t>
        </is>
      </c>
      <c r="M723" s="17" t="inlineStr">
        <is>
          <t>Astuprint</t>
        </is>
      </c>
      <c r="N723" s="17" t="inlineStr">
        <is>
          <t>Multilabel Argentina S.A.</t>
        </is>
      </c>
      <c r="O723" s="17" t="inlineStr">
        <is>
          <t>22 Etiquetado (T07)</t>
        </is>
      </c>
      <c r="P723" s="17" t="inlineStr">
        <is>
          <t>IRAM 3534 · IRAM 3550 cap. 5 · relevamiento de mercado</t>
        </is>
      </c>
      <c r="Q723" s="32" t="inlineStr">
        <is>
          <t>P</t>
        </is>
      </c>
      <c r="R723" s="32" t="inlineStr">
        <is>
          <t>FL_DES_ABC_25kg</t>
        </is>
      </c>
      <c r="S723" s="17" t="inlineStr">
        <is>
          <t>IRAM 3534</t>
        </is>
      </c>
    </row>
    <row r="724">
      <c r="A724" s="32" t="inlineStr">
        <is>
          <t>FL_MAT_ABC_25kg</t>
        </is>
      </c>
      <c r="B724" s="32" t="n">
        <v>2</v>
      </c>
      <c r="C724" s="32" t="inlineStr">
        <is>
          <t>ABC25-32</t>
        </is>
      </c>
      <c r="D724" s="17" t="inlineStr">
        <is>
          <t xml:space="preserve">        Oblea de fabricación (PBA)</t>
        </is>
      </c>
      <c r="E724" s="32" t="n">
        <v>1</v>
      </c>
      <c r="F724" s="32" t="inlineStr">
        <is>
          <t>u</t>
        </is>
      </c>
      <c r="G724" s="33" t="n">
        <v>0.0009</v>
      </c>
      <c r="H724" s="33">
        <f>E724*G724</f>
        <v/>
      </c>
      <c r="I724" s="32" t="inlineStr">
        <is>
          <t>Papel de seguridad autodestructible</t>
        </is>
      </c>
      <c r="J724" s="17" t="inlineStr">
        <is>
          <t>Ø46 (Res. OPDS 522/07), numerada, autodestructible</t>
        </is>
      </c>
      <c r="K724" s="32" t="inlineStr">
        <is>
          <t>Compra</t>
        </is>
      </c>
      <c r="L724" s="32" t="inlineStr">
        <is>
          <t>Sí</t>
        </is>
      </c>
      <c r="M724" s="17" t="inlineStr">
        <is>
          <t>Ministerio de Ambiente PBA (ex OPDS)</t>
        </is>
      </c>
      <c r="N724" s="17" t="inlineStr">
        <is>
          <t>-</t>
        </is>
      </c>
      <c r="O724" s="17" t="inlineStr">
        <is>
          <t>22 Etiquetado (T07)</t>
        </is>
      </c>
      <c r="P724" s="17" t="inlineStr">
        <is>
          <t>Res. OPDS 522/07 anexos 1, 2 y 6</t>
        </is>
      </c>
      <c r="Q724" s="32" t="inlineStr">
        <is>
          <t>P</t>
        </is>
      </c>
      <c r="R724" s="32" t="inlineStr">
        <is>
          <t>FL_DES_ABC_25kg</t>
        </is>
      </c>
      <c r="S724" s="17" t="inlineStr">
        <is>
          <t>Res. 522/07</t>
        </is>
      </c>
    </row>
    <row r="725">
      <c r="A725" s="32" t="inlineStr">
        <is>
          <t>FL_MAT_ABC_25kg</t>
        </is>
      </c>
      <c r="B725" s="32" t="n">
        <v>2</v>
      </c>
      <c r="C725" s="32" t="inlineStr">
        <is>
          <t>ABC25-33</t>
        </is>
      </c>
      <c r="D725" s="17" t="inlineStr">
        <is>
          <t xml:space="preserve">        Estampilla IRAM de conformidad</t>
        </is>
      </c>
      <c r="E725" s="32" t="n">
        <v>1</v>
      </c>
      <c r="F725" s="32" t="inlineStr">
        <is>
          <t>u</t>
        </is>
      </c>
      <c r="G725" s="33" t="n">
        <v>0.001</v>
      </c>
      <c r="H725" s="33">
        <f>E725*G725</f>
        <v/>
      </c>
      <c r="I725" s="32" t="inlineStr">
        <is>
          <t>Provista por IRAM (Anexo R)</t>
        </is>
      </c>
      <c r="J725" s="17" t="inlineStr">
        <is>
          <t>60 × 40</t>
        </is>
      </c>
      <c r="K725" s="32" t="inlineStr">
        <is>
          <t>Compra</t>
        </is>
      </c>
      <c r="L725" s="32" t="inlineStr">
        <is>
          <t>Sí</t>
        </is>
      </c>
      <c r="M725" s="17" t="inlineStr">
        <is>
          <t>IRAM - Instituto Argentino de Normalización</t>
        </is>
      </c>
      <c r="N725" s="17" t="inlineStr">
        <is>
          <t>-</t>
        </is>
      </c>
      <c r="O725" s="17" t="inlineStr">
        <is>
          <t>22 Etiquetado (T07)</t>
        </is>
      </c>
      <c r="P725" s="17" t="inlineStr">
        <is>
          <t>IRAM Anexo R (DC-PG-129)</t>
        </is>
      </c>
      <c r="Q725" s="32" t="inlineStr">
        <is>
          <t>P</t>
        </is>
      </c>
      <c r="R725" s="32" t="inlineStr">
        <is>
          <t>FL_DES_ABC_25kg</t>
        </is>
      </c>
      <c r="S725" s="17" t="inlineStr">
        <is>
          <t>numerada</t>
        </is>
      </c>
    </row>
    <row r="726">
      <c r="A726" s="32" t="inlineStr">
        <is>
          <t>FL_MAT_ABC_25kg</t>
        </is>
      </c>
      <c r="B726" s="32" t="n">
        <v>2</v>
      </c>
      <c r="C726" s="32" t="inlineStr">
        <is>
          <t>ABC25-34</t>
        </is>
      </c>
      <c r="D726" s="17" t="inlineStr">
        <is>
          <t xml:space="preserve">        Tarjeta de identificación AGC (CABA)</t>
        </is>
      </c>
      <c r="E726" s="32" t="n">
        <v>1</v>
      </c>
      <c r="F726" s="32" t="inlineStr">
        <is>
          <t>u</t>
        </is>
      </c>
      <c r="G726" s="33" t="n">
        <v>0.0032</v>
      </c>
      <c r="H726" s="33">
        <f>E726*G726</f>
        <v/>
      </c>
      <c r="I726" s="32" t="inlineStr">
        <is>
          <t>Etiqueta autoadhesiva emitida por la AGC</t>
        </is>
      </c>
      <c r="J726" s="17" t="inlineStr">
        <is>
          <t>140 × 55</t>
        </is>
      </c>
      <c r="K726" s="32" t="inlineStr">
        <is>
          <t>Compra</t>
        </is>
      </c>
      <c r="L726" s="32" t="inlineStr">
        <is>
          <t>Sí</t>
        </is>
      </c>
      <c r="M726" s="17" t="inlineStr">
        <is>
          <t>Agencia Gubernamental de Control (CABA)</t>
        </is>
      </c>
      <c r="N726" s="17" t="inlineStr">
        <is>
          <t>-</t>
        </is>
      </c>
      <c r="O726" s="17" t="inlineStr">
        <is>
          <t>22 Etiquetado (T07)</t>
        </is>
      </c>
      <c r="P726" s="17" t="inlineStr">
        <is>
          <t>Ordenanza 40.473 art. 6 · Res. AGC 32/15</t>
        </is>
      </c>
      <c r="Q726" s="32" t="inlineStr">
        <is>
          <t>P</t>
        </is>
      </c>
      <c r="R726" s="32" t="inlineStr">
        <is>
          <t>FL_DES_ABC_25kg</t>
        </is>
      </c>
      <c r="S726" s="17" t="inlineStr">
        <is>
          <t>sólo destino CABA</t>
        </is>
      </c>
    </row>
    <row r="727">
      <c r="A727" s="32" t="inlineStr">
        <is>
          <t>FL_MAT_ABC_25kg</t>
        </is>
      </c>
      <c r="B727" s="32" t="n">
        <v>2</v>
      </c>
      <c r="C727" s="32" t="inlineStr">
        <is>
          <t>ABC25-35</t>
        </is>
      </c>
      <c r="D727" s="17" t="inlineStr">
        <is>
          <t xml:space="preserve">        Etiqueta de n° de serie GS1</t>
        </is>
      </c>
      <c r="E727" s="32" t="n">
        <v>1</v>
      </c>
      <c r="F727" s="32" t="inlineStr">
        <is>
          <t>u</t>
        </is>
      </c>
      <c r="G727" s="33" t="n">
        <v>0.0005</v>
      </c>
      <c r="H727" s="33">
        <f>E727*G727</f>
        <v/>
      </c>
      <c r="I727" s="32" t="inlineStr">
        <is>
          <t>Poliéster autoadhesivo impreso térmico</t>
        </is>
      </c>
      <c r="J727" s="17" t="inlineStr">
        <is>
          <t>45 × 25</t>
        </is>
      </c>
      <c r="K727" s="32" t="inlineStr">
        <is>
          <t>Compra</t>
        </is>
      </c>
      <c r="L727" s="32" t="inlineStr">
        <is>
          <t>Sí</t>
        </is>
      </c>
      <c r="M727" s="17" t="inlineStr">
        <is>
          <t>Astuprint</t>
        </is>
      </c>
      <c r="N727" s="17" t="inlineStr">
        <is>
          <t>GS1 Argentina</t>
        </is>
      </c>
      <c r="O727" s="17" t="inlineStr">
        <is>
          <t>22 Etiquetado (T07)</t>
        </is>
      </c>
      <c r="P727" s="17" t="inlineStr">
        <is>
          <t>GS1 Argentina (GTIN 779) · trazabilidad IRAM 3523 5.1</t>
        </is>
      </c>
      <c r="Q727" s="32" t="inlineStr">
        <is>
          <t>P</t>
        </is>
      </c>
      <c r="R727" s="32" t="inlineStr">
        <is>
          <t>FL_DES_ABC_25kg</t>
        </is>
      </c>
      <c r="S727" s="17" t="inlineStr">
        <is>
          <t>QR GTIN + serie</t>
        </is>
      </c>
    </row>
    <row r="728">
      <c r="A728" s="32" t="inlineStr">
        <is>
          <t>FL_MAT_ABC_25kg</t>
        </is>
      </c>
      <c r="B728" s="32" t="n">
        <v>2</v>
      </c>
      <c r="C728" s="32" t="inlineStr">
        <is>
          <t>ABC25-37</t>
        </is>
      </c>
      <c r="D728" s="17" t="inlineStr">
        <is>
          <t xml:space="preserve">        Faja de garantía válvula-cuello</t>
        </is>
      </c>
      <c r="E728" s="32" t="n">
        <v>1</v>
      </c>
      <c r="F728" s="32" t="inlineStr">
        <is>
          <t>u</t>
        </is>
      </c>
      <c r="G728" s="33" t="n">
        <v>0.0002</v>
      </c>
      <c r="H728" s="33">
        <f>E728*G728</f>
        <v/>
      </c>
      <c r="I728" s="32" t="inlineStr">
        <is>
          <t>Vinilo destructible rayado rojo/blanco</t>
        </is>
      </c>
      <c r="J728" s="17" t="inlineStr">
        <is>
          <t>22 × 32 (ancho × largo desarrollado), pegada sobre la unión: cuerpo de la válvula, tuerca y cuello</t>
        </is>
      </c>
      <c r="K728" s="32" t="inlineStr">
        <is>
          <t>Compra</t>
        </is>
      </c>
      <c r="L728" s="32" t="inlineStr">
        <is>
          <t>Sí</t>
        </is>
      </c>
      <c r="M728" s="17" t="inlineStr">
        <is>
          <t>Astuprint</t>
        </is>
      </c>
      <c r="N728" s="17" t="inlineStr">
        <is>
          <t>Multilabel Argentina S.A.</t>
        </is>
      </c>
      <c r="O728" s="17" t="inlineStr">
        <is>
          <t>22 Etiquetado (T07)</t>
        </is>
      </c>
      <c r="P728" s="17" t="inlineStr">
        <is>
          <t>Sin norma: práctica de mercado (garantía de fábrica)</t>
        </is>
      </c>
      <c r="Q728" s="32" t="inlineStr">
        <is>
          <t>P</t>
        </is>
      </c>
      <c r="R728" s="32" t="inlineStr">
        <is>
          <t>FL_DES_ABC_25kg</t>
        </is>
      </c>
      <c r="S728" s="17" t="inlineStr">
        <is>
          <t>nuevo sin abrir</t>
        </is>
      </c>
    </row>
    <row r="729">
      <c r="A729" s="32" t="inlineStr">
        <is>
          <t>FL_MAT_ABC_25kg</t>
        </is>
      </c>
      <c r="B729" s="32" t="n">
        <v>2</v>
      </c>
      <c r="C729" s="32" t="inlineStr">
        <is>
          <t>ABC25-38</t>
        </is>
      </c>
      <c r="D729" s="17" t="inlineStr">
        <is>
          <t xml:space="preserve">        Precinto de fábrica</t>
        </is>
      </c>
      <c r="E729" s="32" t="n">
        <v>1</v>
      </c>
      <c r="F729" s="32" t="inlineStr">
        <is>
          <t>u</t>
        </is>
      </c>
      <c r="G729" s="33" t="n">
        <v>0.0002</v>
      </c>
      <c r="H729" s="33">
        <f>E729*G729</f>
        <v/>
      </c>
      <c r="I729" s="32" t="inlineStr">
        <is>
          <t>Polipropileno color</t>
        </is>
      </c>
      <c r="J729" s="17" t="inlineStr">
        <is>
          <t>Ø5 × 10, numerado, rotura 30-50 N</t>
        </is>
      </c>
      <c r="K729" s="32" t="inlineStr">
        <is>
          <t>Compra</t>
        </is>
      </c>
      <c r="L729" s="32" t="inlineStr">
        <is>
          <t>Sí</t>
        </is>
      </c>
      <c r="M729" s="17" t="inlineStr">
        <is>
          <t>SonFuertes (vía Papelera Damián)</t>
        </is>
      </c>
      <c r="N729" s="17" t="inlineStr">
        <is>
          <t>Precinter S.R.L.</t>
        </is>
      </c>
      <c r="O729" s="17" t="inlineStr">
        <is>
          <t>20 Presurización (T05)</t>
        </is>
      </c>
      <c r="P729" s="17" t="inlineStr">
        <is>
          <t>IRAM 3523 3.3.2 · IRAM 3517-2:2020 9.4.13</t>
        </is>
      </c>
      <c r="Q729" s="32" t="inlineStr">
        <is>
          <t>P</t>
        </is>
      </c>
      <c r="R729" s="32" t="inlineStr">
        <is>
          <t>FL_DES_ABC_25kg</t>
        </is>
      </c>
      <c r="S729" s="17" t="inlineStr">
        <is>
          <t>id. FLAMA y lote</t>
        </is>
      </c>
    </row>
    <row r="730">
      <c r="A730" s="29" t="inlineStr">
        <is>
          <t>FL_MAT_ABC_25kg</t>
        </is>
      </c>
      <c r="B730" s="29" t="n">
        <v>1</v>
      </c>
      <c r="C730" s="29" t="inlineStr">
        <is>
          <t>ABC25-S7</t>
        </is>
      </c>
      <c r="D730" s="30" t="inlineStr">
        <is>
          <t xml:space="preserve">    Embalaje</t>
        </is>
      </c>
      <c r="E730" s="29" t="n">
        <v>1</v>
      </c>
      <c r="F730" s="29" t="inlineStr">
        <is>
          <t>u</t>
        </is>
      </c>
      <c r="G730" s="31" t="n"/>
      <c r="H730" s="31">
        <f>H733</f>
        <v/>
      </c>
      <c r="I730" s="29" t="n"/>
      <c r="J730" s="30" t="n"/>
      <c r="K730" s="29" t="inlineStr">
        <is>
          <t>Compra</t>
        </is>
      </c>
      <c r="L730" s="29" t="n"/>
      <c r="M730" s="30" t="n"/>
      <c r="N730" s="30" t="n"/>
      <c r="O730" s="30" t="inlineStr">
        <is>
          <t>23 Embalaje -&gt; 24 envolvedora (T11)</t>
        </is>
      </c>
      <c r="P730" s="30" t="n"/>
      <c r="Q730" s="29" t="n"/>
      <c r="R730" s="29" t="n"/>
      <c r="S730" s="30" t="n"/>
    </row>
    <row r="731">
      <c r="A731" s="32" t="inlineStr">
        <is>
          <t>FL_MAT_ABC_25kg</t>
        </is>
      </c>
      <c r="B731" s="32" t="n">
        <v>2</v>
      </c>
      <c r="C731" s="32" t="inlineStr">
        <is>
          <t>ABC25-E1</t>
        </is>
      </c>
      <c r="D731" s="17" t="inlineStr">
        <is>
          <t xml:space="preserve">        Esquineros y funda de polietileno</t>
        </is>
      </c>
      <c r="E731" s="32" t="n">
        <v>1</v>
      </c>
      <c r="F731" s="32" t="inlineStr">
        <is>
          <t>jgo</t>
        </is>
      </c>
      <c r="G731" s="33" t="n"/>
      <c r="H731" s="33" t="n"/>
      <c r="I731" s="32" t="inlineStr">
        <is>
          <t>PE / cartón</t>
        </is>
      </c>
      <c r="J731" s="17" t="inlineStr">
        <is>
          <t>a medida de la envolvente del plano</t>
        </is>
      </c>
      <c r="K731" s="32" t="inlineStr">
        <is>
          <t>Compra</t>
        </is>
      </c>
      <c r="L731" s="32" t="inlineStr">
        <is>
          <t>Sí</t>
        </is>
      </c>
      <c r="M731" s="17" t="inlineStr">
        <is>
          <t>MV Embalajes</t>
        </is>
      </c>
      <c r="N731" s="17" t="inlineStr">
        <is>
          <t>Embalpack</t>
        </is>
      </c>
      <c r="O731" s="17" t="inlineStr">
        <is>
          <t>23 Embalaje</t>
        </is>
      </c>
      <c r="P731" s="17" t="n"/>
      <c r="Q731" s="32" t="inlineStr">
        <is>
          <t>P</t>
        </is>
      </c>
      <c r="R731" s="32" t="n"/>
      <c r="S731" s="17" t="inlineStr">
        <is>
          <t>Medida del plano</t>
        </is>
      </c>
    </row>
    <row r="732">
      <c r="A732" s="32" t="inlineStr">
        <is>
          <t>FL_MAT_ABC_25kg</t>
        </is>
      </c>
      <c r="B732" s="32" t="n">
        <v>2</v>
      </c>
      <c r="C732" s="32" t="inlineStr">
        <is>
          <t>ABC25-E3</t>
        </is>
      </c>
      <c r="D732" s="17" t="inlineStr">
        <is>
          <t xml:space="preserve">        Pallet 1200 × 1000 (fracción)</t>
        </is>
      </c>
      <c r="E732" s="32" t="n">
        <v>0.5</v>
      </c>
      <c r="F732" s="32" t="inlineStr">
        <is>
          <t>u</t>
        </is>
      </c>
      <c r="G732" s="33" t="n"/>
      <c r="H732" s="33" t="n"/>
      <c r="I732" s="32" t="inlineStr">
        <is>
          <t>Madera</t>
        </is>
      </c>
      <c r="J732" s="17" t="inlineStr">
        <is>
          <t>2 u por pallet</t>
        </is>
      </c>
      <c r="K732" s="32" t="inlineStr">
        <is>
          <t>Compra</t>
        </is>
      </c>
      <c r="L732" s="32" t="inlineStr">
        <is>
          <t>Sí</t>
        </is>
      </c>
      <c r="M732" s="17" t="inlineStr">
        <is>
          <t>IndusPallets</t>
        </is>
      </c>
      <c r="N732" s="17" t="inlineStr">
        <is>
          <t>-</t>
        </is>
      </c>
      <c r="O732" s="17" t="inlineStr">
        <is>
          <t>23 Embalaje</t>
        </is>
      </c>
      <c r="P732" s="17" t="n"/>
      <c r="Q732" s="32" t="inlineStr">
        <is>
          <t>C</t>
        </is>
      </c>
      <c r="R732" s="32" t="n"/>
      <c r="S732" s="17" t="inlineStr">
        <is>
          <t>u por pallet = acomodo de la caja (plano) en 1200 × 1000 × 1450 de alto</t>
        </is>
      </c>
    </row>
    <row r="733">
      <c r="A733" s="37" t="inlineStr">
        <is>
          <t>FL_MAT_ABC_25kg</t>
        </is>
      </c>
      <c r="B733" s="37" t="n">
        <v>2</v>
      </c>
      <c r="C733" s="37" t="inlineStr">
        <is>
          <t>ABC25-E4</t>
        </is>
      </c>
      <c r="D733" s="18" t="inlineStr">
        <is>
          <t xml:space="preserve">        Film stretch (fracción del pallet)</t>
        </is>
      </c>
      <c r="E733" s="37" t="n">
        <v>0.06</v>
      </c>
      <c r="F733" s="37" t="inlineStr">
        <is>
          <t>kg</t>
        </is>
      </c>
      <c r="G733" s="38" t="n">
        <v>1</v>
      </c>
      <c r="H733" s="38">
        <f>E733*G733</f>
        <v/>
      </c>
      <c r="I733" s="37" t="inlineStr">
        <is>
          <t>PE lineal 23 µm</t>
        </is>
      </c>
      <c r="J733" s="18" t="inlineStr">
        <is>
          <t>0,12 kg por pallet / 2 u</t>
        </is>
      </c>
      <c r="K733" s="37" t="inlineStr">
        <is>
          <t>Compra</t>
        </is>
      </c>
      <c r="L733" s="37" t="inlineStr">
        <is>
          <t>Sí</t>
        </is>
      </c>
      <c r="M733" s="18" t="inlineStr">
        <is>
          <t>MV Embalajes</t>
        </is>
      </c>
      <c r="N733" s="18" t="inlineStr">
        <is>
          <t>Embalpack</t>
        </is>
      </c>
      <c r="O733" s="18" t="inlineStr">
        <is>
          <t>24 Envolvedora (T11)</t>
        </is>
      </c>
      <c r="P733" s="18" t="n"/>
      <c r="Q733" s="37" t="inlineStr">
        <is>
          <t>C</t>
        </is>
      </c>
      <c r="R733" s="37" t="n"/>
      <c r="S733"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34">
      <c r="A734" s="32" t="inlineStr">
        <is>
          <t>FL_MAT_ABC_25kg</t>
        </is>
      </c>
      <c r="B734" s="32" t="n">
        <v>2</v>
      </c>
      <c r="C734" s="32" t="inlineStr">
        <is>
          <t>ABC25-E5</t>
        </is>
      </c>
      <c r="D734" s="17" t="inlineStr">
        <is>
          <t xml:space="preserve">        Etiqueta de pallet (lote y destino, fracción)</t>
        </is>
      </c>
      <c r="E734" s="32" t="n">
        <v>0.5</v>
      </c>
      <c r="F734" s="32" t="inlineStr">
        <is>
          <t>u</t>
        </is>
      </c>
      <c r="G734" s="33" t="n"/>
      <c r="H734" s="33" t="n"/>
      <c r="I734" s="32" t="inlineStr">
        <is>
          <t>Papel térmico</t>
        </is>
      </c>
      <c r="J734" s="17" t="inlineStr">
        <is>
          <t>100 × 150</t>
        </is>
      </c>
      <c r="K734" s="32" t="inlineStr">
        <is>
          <t>Compra</t>
        </is>
      </c>
      <c r="L734" s="32" t="inlineStr">
        <is>
          <t>Sí</t>
        </is>
      </c>
      <c r="M734" s="17" t="inlineStr">
        <is>
          <t>Astuprint</t>
        </is>
      </c>
      <c r="N734" s="17" t="inlineStr">
        <is>
          <t>Multilabel Argentina S.A.</t>
        </is>
      </c>
      <c r="O734" s="17" t="inlineStr">
        <is>
          <t>24 Envolvedora</t>
        </is>
      </c>
      <c r="P734" s="17" t="n"/>
      <c r="Q734" s="32" t="inlineStr">
        <is>
          <t>C</t>
        </is>
      </c>
      <c r="R734" s="32" t="n"/>
      <c r="S734" s="17" t="n"/>
    </row>
    <row r="735">
      <c r="A735" s="26" t="inlineStr">
        <is>
          <t>FL_MAT_ABC_50kg</t>
        </is>
      </c>
      <c r="B735" s="26" t="n">
        <v>0</v>
      </c>
      <c r="C735" s="26" t="inlineStr">
        <is>
          <t>FL_MAT_ABC_50kg</t>
        </is>
      </c>
      <c r="D735" s="27" t="inlineStr">
        <is>
          <t>Extintor ABC 50 kg sobre ruedas</t>
        </is>
      </c>
      <c r="E735" s="26" t="n">
        <v>1</v>
      </c>
      <c r="F735" s="26" t="inlineStr">
        <is>
          <t>u</t>
        </is>
      </c>
      <c r="G735" s="28" t="n"/>
      <c r="H735" s="28" t="n"/>
      <c r="I735" s="26" t="n"/>
      <c r="J735" s="27" t="n"/>
      <c r="K735" s="26" t="n"/>
      <c r="L735" s="26" t="n"/>
      <c r="M735" s="27" t="n"/>
      <c r="N735" s="27" t="n"/>
      <c r="O735" s="27" t="n"/>
      <c r="P735" s="27" t="inlineStr">
        <is>
          <t>IRAM 3550</t>
        </is>
      </c>
      <c r="Q735" s="26" t="inlineStr">
        <is>
          <t>P</t>
        </is>
      </c>
      <c r="R735" s="26" t="inlineStr">
        <is>
          <t>FL_MAT_ABC_50kg</t>
        </is>
      </c>
      <c r="S735" s="27" t="inlineStr">
        <is>
          <t>Fabricación propia</t>
        </is>
      </c>
    </row>
    <row r="736">
      <c r="A736" s="29" t="inlineStr">
        <is>
          <t>FL_MAT_ABC_50kg</t>
        </is>
      </c>
      <c r="B736" s="29" t="n">
        <v>1</v>
      </c>
      <c r="C736" s="29" t="inlineStr">
        <is>
          <t>FL_REC_ABC_50kg</t>
        </is>
      </c>
      <c r="D736" s="30" t="inlineStr">
        <is>
          <t xml:space="preserve">    Recipiente (cilindro)</t>
        </is>
      </c>
      <c r="E736" s="29" t="n">
        <v>1</v>
      </c>
      <c r="F736" s="29" t="inlineStr">
        <is>
          <t>u</t>
        </is>
      </c>
      <c r="G736" s="31" t="n"/>
      <c r="H736" s="31">
        <f>H737+H739+H740+H741+H742</f>
        <v/>
      </c>
      <c r="I736" s="29" t="n"/>
      <c r="J736" s="30" t="n"/>
      <c r="K736" s="29" t="inlineStr">
        <is>
          <t>Fabricación</t>
        </is>
      </c>
      <c r="L736" s="29" t="n"/>
      <c r="M736" s="30" t="n"/>
      <c r="N736" s="30" t="n"/>
      <c r="O736" s="30" t="n"/>
      <c r="P736" s="30" t="inlineStr">
        <is>
          <t>IRAM 3523 / 3550 (recipiente)</t>
        </is>
      </c>
      <c r="Q736" s="29" t="inlineStr">
        <is>
          <t>P</t>
        </is>
      </c>
      <c r="R736" s="29" t="inlineStr">
        <is>
          <t>FL_REC_ABC_50kg</t>
        </is>
      </c>
      <c r="S736" s="30" t="n"/>
    </row>
    <row r="737">
      <c r="A737" s="32" t="inlineStr">
        <is>
          <t>FL_MAT_ABC_50kg</t>
        </is>
      </c>
      <c r="B737" s="32" t="n">
        <v>2</v>
      </c>
      <c r="C737" s="32" t="inlineStr">
        <is>
          <t>ABC50-01</t>
        </is>
      </c>
      <c r="D737" s="17" t="inlineStr">
        <is>
          <t xml:space="preserve">        Cuerpo (virola)</t>
        </is>
      </c>
      <c r="E737" s="32" t="n">
        <v>1</v>
      </c>
      <c r="F737" s="32" t="inlineStr">
        <is>
          <t>u</t>
        </is>
      </c>
      <c r="G737" s="33" t="n">
        <v>16.0005</v>
      </c>
      <c r="H737" s="33">
        <f>E737*G737</f>
        <v/>
      </c>
      <c r="I737" s="32" t="inlineStr">
        <is>
          <t>Chapa LAC IRAM-IAS U 500-04 e=3,2</t>
        </is>
      </c>
      <c r="J737" s="17" t="inlineStr">
        <is>
          <t>Ø320 × e3,2 × 640 de alto; desarrollo 995,3 × 640</t>
        </is>
      </c>
      <c r="K737" s="32" t="inlineStr">
        <is>
          <t>Fabricación</t>
        </is>
      </c>
      <c r="L737" s="32" t="inlineStr">
        <is>
          <t>No</t>
        </is>
      </c>
      <c r="M737" s="17" t="n"/>
      <c r="N737" s="17" t="n"/>
      <c r="O737"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P737" s="17" t="n"/>
      <c r="Q737" s="32" t="inlineStr">
        <is>
          <t>P</t>
        </is>
      </c>
      <c r="R737" s="32" t="inlineStr">
        <is>
          <t>FL_DES_ABC_50kg</t>
        </is>
      </c>
      <c r="S737" s="17" t="inlineStr">
        <is>
          <t>costura long. MAG</t>
        </is>
      </c>
    </row>
    <row r="738">
      <c r="A738" s="34" t="inlineStr">
        <is>
          <t>FL_MAT_ABC_50kg</t>
        </is>
      </c>
      <c r="B738" s="34" t="n">
        <v>3</v>
      </c>
      <c r="C738" s="34" t="inlineStr">
        <is>
          <t>MP-HOJA</t>
        </is>
      </c>
      <c r="D738" s="35" t="inlineStr">
        <is>
          <t xml:space="preserve">            Recorte de hoja LAC 1500 × 3000 e=3,2</t>
        </is>
      </c>
      <c r="E738" s="34" t="n">
        <v>1</v>
      </c>
      <c r="F738" s="34" t="inlineStr">
        <is>
          <t>u</t>
        </is>
      </c>
      <c r="G738" s="36" t="n">
        <v>18.845</v>
      </c>
      <c r="H738" s="36">
        <f>E738*G738</f>
        <v/>
      </c>
      <c r="I738" s="34" t="inlineStr">
        <is>
          <t>Chapa LAC IRAM-IAS U 500-04 LAC</t>
        </is>
      </c>
      <c r="J738" s="35" t="inlineStr">
        <is>
          <t>640 × 994 (aprovech. 84,8 %)</t>
        </is>
      </c>
      <c r="K738" s="34" t="inlineStr">
        <is>
          <t>Compra</t>
        </is>
      </c>
      <c r="L738" s="34" t="inlineStr">
        <is>
          <t>Sí</t>
        </is>
      </c>
      <c r="M738" s="35" t="inlineStr">
        <is>
          <t>Pradecon S.A.</t>
        </is>
      </c>
      <c r="N738" s="35" t="inlineStr">
        <is>
          <t>Pacheco Chapas</t>
        </is>
      </c>
      <c r="O738" s="35" t="inlineStr">
        <is>
          <t>AL-1H paquetes de hojas</t>
        </is>
      </c>
      <c r="P738" s="35" t="n"/>
      <c r="Q738" s="34" t="inlineStr">
        <is>
          <t>L</t>
        </is>
      </c>
      <c r="R738" s="34" t="inlineStr">
        <is>
          <t>FL_PI_04 h2</t>
        </is>
      </c>
      <c r="S738" s="35" t="n"/>
    </row>
    <row r="739">
      <c r="A739" s="32" t="inlineStr">
        <is>
          <t>FL_MAT_ABC_50kg</t>
        </is>
      </c>
      <c r="B739" s="32" t="n">
        <v>2</v>
      </c>
      <c r="C739" s="32" t="inlineStr">
        <is>
          <t>ABC50-02</t>
        </is>
      </c>
      <c r="D739" s="17" t="inlineStr">
        <is>
          <t xml:space="preserve">        Cúpula</t>
        </is>
      </c>
      <c r="E739" s="32" t="n">
        <v>1</v>
      </c>
      <c r="F739" s="32" t="inlineStr">
        <is>
          <t>u</t>
        </is>
      </c>
      <c r="G739" s="33" t="n">
        <v>3.1376</v>
      </c>
      <c r="H739" s="33">
        <f>E739*G739</f>
        <v/>
      </c>
      <c r="I739" s="32" t="inlineStr">
        <is>
          <t>Chapa LAC IRAM-IAS U 500-04 e=3,2</t>
        </is>
      </c>
      <c r="J739" s="17" t="inlineStr">
        <is>
          <t>Ø320 × e3,2 × 109,9 de alto; disco Ø410,8</t>
        </is>
      </c>
      <c r="K739" s="32" t="inlineStr">
        <is>
          <t>Compra (tapa embutida tercerizada)</t>
        </is>
      </c>
      <c r="L739" s="32" t="inlineStr">
        <is>
          <t>Sí</t>
        </is>
      </c>
      <c r="M739" s="17" t="inlineStr">
        <is>
          <t>Gockel Ingeniería S.R.L.</t>
        </is>
      </c>
      <c r="N739" s="17" t="inlineStr">
        <is>
          <t>-</t>
        </is>
      </c>
      <c r="O739" s="17" t="inlineStr">
        <is>
          <t>Compra -&gt; 6 soldadura de cupla -&gt; 7 armado y sold. circunferencial -&gt; 11 marcado (estampado en arco junto al cuello)</t>
        </is>
      </c>
      <c r="P739" s="17" t="n"/>
      <c r="Q739" s="32" t="inlineStr">
        <is>
          <t>P</t>
        </is>
      </c>
      <c r="R739" s="32" t="inlineStr">
        <is>
          <t>FL_DES_ABC_50kg</t>
        </is>
      </c>
      <c r="S739" s="17" t="inlineStr">
        <is>
          <t>embutida</t>
        </is>
      </c>
    </row>
    <row r="740">
      <c r="A740" s="32" t="inlineStr">
        <is>
          <t>FL_MAT_ABC_50kg</t>
        </is>
      </c>
      <c r="B740" s="32" t="n">
        <v>2</v>
      </c>
      <c r="C740" s="32" t="inlineStr">
        <is>
          <t>ABC50-03</t>
        </is>
      </c>
      <c r="D740" s="17" t="inlineStr">
        <is>
          <t xml:space="preserve">        Fondo</t>
        </is>
      </c>
      <c r="E740" s="32" t="n">
        <v>1</v>
      </c>
      <c r="F740" s="32" t="inlineStr">
        <is>
          <t>u</t>
        </is>
      </c>
      <c r="G740" s="33" t="n">
        <v>3.3358</v>
      </c>
      <c r="H740" s="33">
        <f>E740*G740</f>
        <v/>
      </c>
      <c r="I740" s="32" t="inlineStr">
        <is>
          <t>Chapa LAC IRAM-IAS U 500-04 e=3,2</t>
        </is>
      </c>
      <c r="J740" s="17" t="inlineStr">
        <is>
          <t>Ø320 × e3,2 × 113 de alto; disco Ø423,5</t>
        </is>
      </c>
      <c r="K740" s="32" t="inlineStr">
        <is>
          <t>Compra (tapa embutida tercerizada)</t>
        </is>
      </c>
      <c r="L740" s="32" t="inlineStr">
        <is>
          <t>Sí</t>
        </is>
      </c>
      <c r="M740" s="17" t="inlineStr">
        <is>
          <t>Gockel Ingeniería S.R.L.</t>
        </is>
      </c>
      <c r="N740" s="17" t="inlineStr">
        <is>
          <t>-</t>
        </is>
      </c>
      <c r="O740" s="17" t="inlineStr">
        <is>
          <t>Compra -&gt; 7 armado y sold. circunferencial</t>
        </is>
      </c>
      <c r="P740" s="17" t="n"/>
      <c r="Q740" s="32" t="inlineStr">
        <is>
          <t>P</t>
        </is>
      </c>
      <c r="R740" s="32" t="inlineStr">
        <is>
          <t>FL_DES_ABC_50kg</t>
        </is>
      </c>
      <c r="S740" s="17" t="inlineStr">
        <is>
          <t>embutido</t>
        </is>
      </c>
    </row>
    <row r="741">
      <c r="A741" s="32" t="inlineStr">
        <is>
          <t>FL_MAT_ABC_50kg</t>
        </is>
      </c>
      <c r="B741" s="32" t="n">
        <v>2</v>
      </c>
      <c r="C741" s="32" t="inlineStr">
        <is>
          <t>ABC50-04</t>
        </is>
      </c>
      <c r="D741" s="17" t="inlineStr">
        <is>
          <t xml:space="preserve">        Cuello roscado</t>
        </is>
      </c>
      <c r="E741" s="32" t="n">
        <v>1</v>
      </c>
      <c r="F741" s="32" t="inlineStr">
        <is>
          <t>u</t>
        </is>
      </c>
      <c r="G741" s="33" t="n">
        <v>0.6084000000000001</v>
      </c>
      <c r="H741" s="33">
        <f>E741*G741</f>
        <v/>
      </c>
      <c r="I741" s="32" t="inlineStr">
        <is>
          <t>Acero SAE 1010</t>
        </is>
      </c>
      <c r="J741" s="17" t="inlineStr">
        <is>
          <t>Ø88 × 37 de alto, rosca RBSP 2 1/2"-11 h, asiento Ø80</t>
        </is>
      </c>
      <c r="K741" s="32" t="inlineStr">
        <is>
          <t>Compra (mecanizado, Eli-Met)</t>
        </is>
      </c>
      <c r="L741" s="32" t="inlineStr">
        <is>
          <t>Sí</t>
        </is>
      </c>
      <c r="M741" s="17" t="inlineStr">
        <is>
          <t>Eli-Met</t>
        </is>
      </c>
      <c r="N741" s="17" t="inlineStr">
        <is>
          <t>-</t>
        </is>
      </c>
      <c r="O741" s="17" t="inlineStr">
        <is>
          <t>Compra -&gt; 6 soldadura de cupla en la cúpula (tapón plástico hasta la carga)</t>
        </is>
      </c>
      <c r="P741" s="17" t="n"/>
      <c r="Q741" s="32" t="inlineStr">
        <is>
          <t>P</t>
        </is>
      </c>
      <c r="R741" s="32" t="inlineStr">
        <is>
          <t>FL_DES_ABC_50kg</t>
        </is>
      </c>
      <c r="S741" s="17" t="inlineStr">
        <is>
          <t>RBSP 2 1/2"-11 h</t>
        </is>
      </c>
    </row>
    <row r="742">
      <c r="A742" s="37" t="inlineStr">
        <is>
          <t>FL_MAT_ABC_50kg</t>
        </is>
      </c>
      <c r="B742" s="37" t="n">
        <v>2</v>
      </c>
      <c r="C742" s="37" t="inlineStr">
        <is>
          <t>ABC50-C1</t>
        </is>
      </c>
      <c r="D742" s="18" t="inlineStr">
        <is>
          <t xml:space="preserve">        Alambre MAG ER70S-6 Ø1,0 (AWS A5.18)</t>
        </is>
      </c>
      <c r="E742" s="37" t="n">
        <v>0.4262</v>
      </c>
      <c r="F742" s="37" t="inlineStr">
        <is>
          <t>kg</t>
        </is>
      </c>
      <c r="G742" s="38" t="n">
        <v>0.95</v>
      </c>
      <c r="H742" s="38">
        <f>E742*G742</f>
        <v/>
      </c>
      <c r="I742" s="37" t="inlineStr">
        <is>
          <t>ER70S-6</t>
        </is>
      </c>
      <c r="J742" s="18" t="inlineStr">
        <is>
          <t>metal depositado de los cordones del plano 405 g / rendimiento 0,95</t>
        </is>
      </c>
      <c r="K742" s="37" t="inlineStr">
        <is>
          <t>Compra</t>
        </is>
      </c>
      <c r="L742" s="37" t="inlineStr">
        <is>
          <t>Sí</t>
        </is>
      </c>
      <c r="M742" s="18" t="inlineStr">
        <is>
          <t>Conarco (ESAB Argentina)</t>
        </is>
      </c>
      <c r="N742" s="18" t="inlineStr">
        <is>
          <t>-</t>
        </is>
      </c>
      <c r="O742" s="18" t="inlineStr">
        <is>
          <t>5 sold. long. / 6 cupla / 7 circunferencial</t>
        </is>
      </c>
      <c r="P742" s="18" t="inlineStr">
        <is>
          <t>IRAM 3523 3.2.4.2 · IRAM 3550 4.1.2</t>
        </is>
      </c>
      <c r="Q742" s="37" t="inlineStr">
        <is>
          <t>C</t>
        </is>
      </c>
      <c r="R742" s="37" t="n"/>
      <c r="S742"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743">
      <c r="A743" s="37" t="inlineStr">
        <is>
          <t>FL_MAT_ABC_50kg</t>
        </is>
      </c>
      <c r="B743" s="37" t="n">
        <v>2</v>
      </c>
      <c r="C743" s="37" t="inlineStr">
        <is>
          <t>ABC50-C2</t>
        </is>
      </c>
      <c r="D743" s="18" t="inlineStr">
        <is>
          <t xml:space="preserve">        Gas de protección MAG Arcal 21 / ARCAL Speed (Ar + 8 % CO₂, M20)</t>
        </is>
      </c>
      <c r="E743" s="37" t="n">
        <v>68.3</v>
      </c>
      <c r="F743" s="37" t="inlineStr">
        <is>
          <t>L</t>
        </is>
      </c>
      <c r="G743" s="38" t="n"/>
      <c r="H743" s="38" t="n"/>
      <c r="I743" s="37" t="inlineStr">
        <is>
          <t>EN ISO 14175 M20-ArC-8</t>
        </is>
      </c>
      <c r="J743" s="18" t="inlineStr">
        <is>
          <t>14 L/min × 4,88 min de arco (cordones 2.927 mm: long. 640 + circ. 2.011 + cuello 276, a 600 mm/min)</t>
        </is>
      </c>
      <c r="K743" s="37" t="inlineStr">
        <is>
          <t>Compra</t>
        </is>
      </c>
      <c r="L743" s="37" t="inlineStr">
        <is>
          <t>Sí</t>
        </is>
      </c>
      <c r="M743" s="18" t="inlineStr">
        <is>
          <t>Air Liquide Argentina - sucursal Piñeyro</t>
        </is>
      </c>
      <c r="N743" s="18" t="inlineStr">
        <is>
          <t>Gogniat</t>
        </is>
      </c>
      <c r="O743" s="18" t="inlineStr">
        <is>
          <t>Colector SC</t>
        </is>
      </c>
      <c r="P743" s="18" t="inlineStr">
        <is>
          <t>IRAM 3523 3.2.4.2 · IRAM 3550 3.2.2.2</t>
        </is>
      </c>
      <c r="Q743" s="37" t="inlineStr">
        <is>
          <t>C</t>
        </is>
      </c>
      <c r="R743" s="37" t="n"/>
      <c r="S743"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744">
      <c r="A744" s="32" t="inlineStr">
        <is>
          <t>FL_MAT_ABC_50kg</t>
        </is>
      </c>
      <c r="B744" s="32" t="n">
        <v>2</v>
      </c>
      <c r="C744" s="32" t="inlineStr">
        <is>
          <t>ABC50-C4</t>
        </is>
      </c>
      <c r="D744" s="17" t="inlineStr">
        <is>
          <t xml:space="preserve">        Servicio de pintura en polvo al horno, rojo 03-1-050 (con preparación por quemado)</t>
        </is>
      </c>
      <c r="E744" s="32" t="n">
        <v>1</v>
      </c>
      <c r="F744" s="32" t="inlineStr">
        <is>
          <t>u</t>
        </is>
      </c>
      <c r="G744" s="33" t="n"/>
      <c r="H744" s="33" t="n"/>
      <c r="I744" s="32" t="inlineStr">
        <is>
          <t>Servicio tercerizado</t>
        </is>
      </c>
      <c r="J744" s="17" t="inlineStr">
        <is>
          <t>superficie exterior 0,895 m²</t>
        </is>
      </c>
      <c r="K744" s="32" t="inlineStr">
        <is>
          <t>Compra (servicio)</t>
        </is>
      </c>
      <c r="L744" s="32" t="inlineStr">
        <is>
          <t>Sí</t>
        </is>
      </c>
      <c r="M744" s="17" t="inlineStr">
        <is>
          <t>Pintor de carros (cotización por mensaje)</t>
        </is>
      </c>
      <c r="N744" s="17" t="inlineStr">
        <is>
          <t>Prymax</t>
        </is>
      </c>
      <c r="O744" s="17" t="inlineStr">
        <is>
          <t>17 Pintura tercerizada</t>
        </is>
      </c>
      <c r="P744" s="17" t="inlineStr">
        <is>
          <t>IRAM 3523 5.3 / IRAM 3550 3.11 · IRAM 121</t>
        </is>
      </c>
      <c r="Q744" s="32" t="inlineStr">
        <is>
          <t>Q</t>
        </is>
      </c>
      <c r="R744" s="32" t="n"/>
      <c r="S744" s="17" t="inlineStr">
        <is>
          <t>Q-CARROS (precio por carro); exigir informe de niebla salina del sistema de pintura; tercerización aceptada por el Ministerio (Res. 349/07 art. 18)</t>
        </is>
      </c>
    </row>
    <row r="745">
      <c r="A745" s="29" t="inlineStr">
        <is>
          <t>FL_MAT_ABC_50kg</t>
        </is>
      </c>
      <c r="B745" s="29" t="n">
        <v>1</v>
      </c>
      <c r="C745" s="29" t="inlineStr">
        <is>
          <t>ABC50-S2</t>
        </is>
      </c>
      <c r="D745" s="30" t="inlineStr">
        <is>
          <t xml:space="preserve">    Conjunto de válvula</t>
        </is>
      </c>
      <c r="E745" s="29" t="n">
        <v>1</v>
      </c>
      <c r="F745" s="29" t="inlineStr">
        <is>
          <t>u</t>
        </is>
      </c>
      <c r="G745" s="31" t="n"/>
      <c r="H745" s="31">
        <f>H746+H747+H748+H750+H751+H752+H753+H754+H755+H756</f>
        <v/>
      </c>
      <c r="I745" s="29" t="n"/>
      <c r="J745" s="30" t="n"/>
      <c r="K745" s="29" t="inlineStr">
        <is>
          <t>Compra / armado</t>
        </is>
      </c>
      <c r="L745" s="29" t="n"/>
      <c r="M745" s="30" t="n"/>
      <c r="N745" s="30" t="n"/>
      <c r="O745" s="30" t="n"/>
      <c r="P745" s="30" t="inlineStr">
        <is>
          <t>Manómetro IRAM 3533</t>
        </is>
      </c>
      <c r="Q745" s="29" t="inlineStr">
        <is>
          <t>P</t>
        </is>
      </c>
      <c r="R745" s="29" t="inlineStr">
        <is>
          <t>FL_DES_ABC_50kg</t>
        </is>
      </c>
      <c r="S745" s="30" t="n"/>
    </row>
    <row r="746">
      <c r="A746" s="32" t="inlineStr">
        <is>
          <t>FL_MAT_ABC_50kg</t>
        </is>
      </c>
      <c r="B746" s="32" t="n">
        <v>2</v>
      </c>
      <c r="C746" s="32" t="inlineStr">
        <is>
          <t>ABC50-14</t>
        </is>
      </c>
      <c r="D746" s="17" t="inlineStr">
        <is>
          <t xml:space="preserve">        Espiga roscada</t>
        </is>
      </c>
      <c r="E746" s="32" t="n">
        <v>1</v>
      </c>
      <c r="F746" s="32" t="inlineStr">
        <is>
          <t>u</t>
        </is>
      </c>
      <c r="G746" s="33" t="n">
        <v>0.1296</v>
      </c>
      <c r="H746" s="33">
        <f>E746*G746</f>
        <v/>
      </c>
      <c r="I746" s="32" t="inlineStr">
        <is>
          <t>Latón forjado</t>
        </is>
      </c>
      <c r="J746" s="17" t="inlineStr">
        <is>
          <t>75 × 75 × 17,6</t>
        </is>
      </c>
      <c r="K746" s="32" t="inlineStr">
        <is>
          <t>Incluido en válvula HZ</t>
        </is>
      </c>
      <c r="L746" s="32" t="inlineStr">
        <is>
          <t>No</t>
        </is>
      </c>
      <c r="M746" s="17" t="n"/>
      <c r="N746" s="17" t="n"/>
      <c r="O746" s="17" t="inlineStr">
        <is>
          <t>13 carga de polvo y N₂: armado de válvula</t>
        </is>
      </c>
      <c r="P746" s="17" t="n"/>
      <c r="Q746" s="32" t="inlineStr">
        <is>
          <t>P</t>
        </is>
      </c>
      <c r="R746" s="32" t="inlineStr">
        <is>
          <t>FL_DES_ABC_50kg</t>
        </is>
      </c>
      <c r="S746" s="17" t="n"/>
    </row>
    <row r="747">
      <c r="A747" s="32" t="inlineStr">
        <is>
          <t>FL_MAT_ABC_50kg</t>
        </is>
      </c>
      <c r="B747" s="32" t="n">
        <v>2</v>
      </c>
      <c r="C747" s="32" t="inlineStr">
        <is>
          <t>ABC50-15</t>
        </is>
      </c>
      <c r="D747" s="17" t="inlineStr">
        <is>
          <t xml:space="preserve">        Collarín de válvula</t>
        </is>
      </c>
      <c r="E747" s="32" t="n">
        <v>1</v>
      </c>
      <c r="F747" s="32" t="inlineStr">
        <is>
          <t>u</t>
        </is>
      </c>
      <c r="G747" s="33" t="n">
        <v>0.189</v>
      </c>
      <c r="H747" s="33">
        <f>E747*G747</f>
        <v/>
      </c>
      <c r="I747" s="32" t="inlineStr">
        <is>
          <t>Latón forjado</t>
        </is>
      </c>
      <c r="J747" s="17" t="inlineStr">
        <is>
          <t>83 × 83 × 12</t>
        </is>
      </c>
      <c r="K747" s="32" t="inlineStr">
        <is>
          <t>Incluido en válvula HZ</t>
        </is>
      </c>
      <c r="L747" s="32" t="inlineStr">
        <is>
          <t>No</t>
        </is>
      </c>
      <c r="M747" s="17" t="n"/>
      <c r="N747" s="17" t="n"/>
      <c r="O747" s="17" t="inlineStr">
        <is>
          <t>13 carga de polvo y N₂: armado de válvula</t>
        </is>
      </c>
      <c r="P747" s="17" t="n"/>
      <c r="Q747" s="32" t="inlineStr">
        <is>
          <t>P</t>
        </is>
      </c>
      <c r="R747" s="32" t="inlineStr">
        <is>
          <t>FL_DES_ABC_50kg</t>
        </is>
      </c>
      <c r="S747" s="17" t="n"/>
    </row>
    <row r="748">
      <c r="A748" s="32" t="inlineStr">
        <is>
          <t>FL_MAT_ABC_50kg</t>
        </is>
      </c>
      <c r="B748" s="32" t="n">
        <v>2</v>
      </c>
      <c r="C748" s="32" t="inlineStr">
        <is>
          <t>ABC50-16</t>
        </is>
      </c>
      <c r="D748" s="17" t="inlineStr">
        <is>
          <t xml:space="preserve">        Cuerpo de válvula</t>
        </is>
      </c>
      <c r="E748" s="32" t="n">
        <v>1</v>
      </c>
      <c r="F748" s="32" t="inlineStr">
        <is>
          <t>u</t>
        </is>
      </c>
      <c r="G748" s="33" t="n">
        <v>0.9186</v>
      </c>
      <c r="H748" s="33">
        <f>E748*G748</f>
        <v/>
      </c>
      <c r="I748" s="32" t="inlineStr">
        <is>
          <t>Latón forjado</t>
        </is>
      </c>
      <c r="J748" s="17" t="inlineStr">
        <is>
          <t>68 × 67 × 44</t>
        </is>
      </c>
      <c r="K748" s="32" t="inlineStr">
        <is>
          <t>Incluido en válvula HZ</t>
        </is>
      </c>
      <c r="L748" s="32" t="inlineStr">
        <is>
          <t>No</t>
        </is>
      </c>
      <c r="M748" s="17" t="n"/>
      <c r="N748" s="17" t="n"/>
      <c r="O748" s="17" t="inlineStr">
        <is>
          <t>13 carga de polvo y N₂: armado de válvula</t>
        </is>
      </c>
      <c r="P748" s="17" t="n"/>
      <c r="Q748" s="32" t="inlineStr">
        <is>
          <t>P</t>
        </is>
      </c>
      <c r="R748" s="32" t="inlineStr">
        <is>
          <t>FL_DES_ABC_50kg</t>
        </is>
      </c>
      <c r="S748" s="17" t="n"/>
    </row>
    <row r="749">
      <c r="A749" s="41" t="inlineStr">
        <is>
          <t>FL_MAT_ABC_50kg</t>
        </is>
      </c>
      <c r="B749" s="41" t="n">
        <v>2</v>
      </c>
      <c r="C749" s="41" t="inlineStr">
        <is>
          <t>ABC50-17</t>
        </is>
      </c>
      <c r="D749" s="42" t="inlineStr">
        <is>
          <t xml:space="preserve">        Manómetro</t>
        </is>
      </c>
      <c r="E749" s="41" t="n">
        <v>1</v>
      </c>
      <c r="F749" s="41" t="inlineStr">
        <is>
          <t>u</t>
        </is>
      </c>
      <c r="G749" s="43" t="n"/>
      <c r="H749" s="43" t="n"/>
      <c r="I749" s="41" t="inlineStr">
        <is>
          <t>Comercial</t>
        </is>
      </c>
      <c r="J749" s="42" t="inlineStr">
        <is>
          <t>Ø47 esfera, rango 0-3,5 MPa, sector verde en 1,4</t>
        </is>
      </c>
      <c r="K749" s="41" t="inlineStr">
        <is>
          <t>Compra</t>
        </is>
      </c>
      <c r="L749" s="41" t="inlineStr">
        <is>
          <t>Sí</t>
        </is>
      </c>
      <c r="M749" s="42" t="inlineStr">
        <is>
          <t>Yukon / MatafuegosYa S.R.L.</t>
        </is>
      </c>
      <c r="N749" s="42" t="inlineStr">
        <is>
          <t>Matafuegos Iglesias</t>
        </is>
      </c>
      <c r="O749" s="42" t="inlineStr">
        <is>
          <t>13 carga de polvo y N₂: armado de válvula</t>
        </is>
      </c>
      <c r="P749" s="42" t="inlineStr">
        <is>
          <t>IRAM 3533</t>
        </is>
      </c>
      <c r="Q749" s="41" t="inlineStr">
        <is>
          <t>P</t>
        </is>
      </c>
      <c r="R749" s="41" t="inlineStr">
        <is>
          <t>FL_DES_ABC_50kg</t>
        </is>
      </c>
      <c r="S749" s="42" t="inlineStr">
        <is>
          <t>Pieza comercial; sello IRAM 3533; peso: completar con la ficha del proveedor (no afecta el MRP)</t>
        </is>
      </c>
    </row>
    <row r="750">
      <c r="A750" s="32" t="inlineStr">
        <is>
          <t>FL_MAT_ABC_50kg</t>
        </is>
      </c>
      <c r="B750" s="32" t="n">
        <v>2</v>
      </c>
      <c r="C750" s="32" t="inlineStr">
        <is>
          <t>ABC50-18</t>
        </is>
      </c>
      <c r="D750" s="17" t="inlineStr">
        <is>
          <t xml:space="preserve">        Vástago</t>
        </is>
      </c>
      <c r="E750" s="32" t="n">
        <v>1</v>
      </c>
      <c r="F750" s="32" t="inlineStr">
        <is>
          <t>u</t>
        </is>
      </c>
      <c r="G750" s="33" t="n">
        <v>0.0313</v>
      </c>
      <c r="H750" s="33">
        <f>E750*G750</f>
        <v/>
      </c>
      <c r="I750" s="32" t="inlineStr">
        <is>
          <t>Latón</t>
        </is>
      </c>
      <c r="J750" s="17" t="inlineStr">
        <is>
          <t>38,8 × 20 × 20</t>
        </is>
      </c>
      <c r="K750" s="32" t="inlineStr">
        <is>
          <t>Incluido en válvula HZ</t>
        </is>
      </c>
      <c r="L750" s="32" t="inlineStr">
        <is>
          <t>No</t>
        </is>
      </c>
      <c r="M750" s="17" t="n"/>
      <c r="N750" s="17" t="n"/>
      <c r="O750" s="17" t="inlineStr">
        <is>
          <t>13 carga de polvo y N₂: armado de válvula</t>
        </is>
      </c>
      <c r="P750" s="17" t="n"/>
      <c r="Q750" s="32" t="inlineStr">
        <is>
          <t>P</t>
        </is>
      </c>
      <c r="R750" s="32" t="inlineStr">
        <is>
          <t>FL_DES_ABC_50kg</t>
        </is>
      </c>
      <c r="S750" s="17" t="inlineStr">
        <is>
          <t>con junta tórica</t>
        </is>
      </c>
    </row>
    <row r="751">
      <c r="A751" s="32" t="inlineStr">
        <is>
          <t>FL_MAT_ABC_50kg</t>
        </is>
      </c>
      <c r="B751" s="32" t="n">
        <v>2</v>
      </c>
      <c r="C751" s="32" t="inlineStr">
        <is>
          <t>ABC50-19</t>
        </is>
      </c>
      <c r="D751" s="17" t="inlineStr">
        <is>
          <t xml:space="preserve">        Resorte de válvula</t>
        </is>
      </c>
      <c r="E751" s="32" t="n">
        <v>1</v>
      </c>
      <c r="F751" s="32" t="inlineStr">
        <is>
          <t>u</t>
        </is>
      </c>
      <c r="G751" s="33" t="n">
        <v>0.0094</v>
      </c>
      <c r="H751" s="33">
        <f>E751*G751</f>
        <v/>
      </c>
      <c r="I751" s="32" t="inlineStr">
        <is>
          <t>Alambre acero inox. AISI 302</t>
        </is>
      </c>
      <c r="J751" s="17" t="inlineStr">
        <is>
          <t>35 × 27 × 27</t>
        </is>
      </c>
      <c r="K751" s="32" t="inlineStr">
        <is>
          <t>Incluido en válvula HZ</t>
        </is>
      </c>
      <c r="L751" s="32" t="inlineStr">
        <is>
          <t>No</t>
        </is>
      </c>
      <c r="M751" s="17" t="n"/>
      <c r="N751" s="17" t="n"/>
      <c r="O751" s="17" t="inlineStr">
        <is>
          <t>13 carga de polvo y N₂: armado de válvula</t>
        </is>
      </c>
      <c r="P751" s="17" t="n"/>
      <c r="Q751" s="32" t="inlineStr">
        <is>
          <t>P</t>
        </is>
      </c>
      <c r="R751" s="32" t="inlineStr">
        <is>
          <t>FL_DES_ABC_50kg</t>
        </is>
      </c>
      <c r="S751" s="17" t="inlineStr">
        <is>
          <t>cierre del vástago</t>
        </is>
      </c>
    </row>
    <row r="752">
      <c r="A752" s="32" t="inlineStr">
        <is>
          <t>FL_MAT_ABC_50kg</t>
        </is>
      </c>
      <c r="B752" s="32" t="n">
        <v>2</v>
      </c>
      <c r="C752" s="32" t="inlineStr">
        <is>
          <t>ABC50-20</t>
        </is>
      </c>
      <c r="D752" s="17" t="inlineStr">
        <is>
          <t xml:space="preserve">        Palanca de accionamiento</t>
        </is>
      </c>
      <c r="E752" s="32" t="n">
        <v>1</v>
      </c>
      <c r="F752" s="32" t="inlineStr">
        <is>
          <t>u</t>
        </is>
      </c>
      <c r="G752" s="33" t="n">
        <v>0.28</v>
      </c>
      <c r="H752" s="33">
        <f>E752*G752</f>
        <v/>
      </c>
      <c r="I752" s="32" t="inlineStr">
        <is>
          <t>Planchuela acero SAE 1010 10 × 16 pintada</t>
        </is>
      </c>
      <c r="J752" s="17" t="inlineStr">
        <is>
          <t>142,8 × 44 × 37,3</t>
        </is>
      </c>
      <c r="K752" s="32" t="inlineStr">
        <is>
          <t>Incluido en válvula HZ</t>
        </is>
      </c>
      <c r="L752" s="32" t="inlineStr">
        <is>
          <t>No</t>
        </is>
      </c>
      <c r="M752" s="17" t="n"/>
      <c r="N752" s="17" t="n"/>
      <c r="O752" s="17" t="inlineStr">
        <is>
          <t>13 carga de polvo y N₂: armado de válvula</t>
        </is>
      </c>
      <c r="P752" s="17" t="n"/>
      <c r="Q752" s="32" t="inlineStr">
        <is>
          <t>P</t>
        </is>
      </c>
      <c r="R752" s="32" t="inlineStr">
        <is>
          <t>FL_DES_ABC_50kg</t>
        </is>
      </c>
      <c r="S752" s="17" t="n"/>
    </row>
    <row r="753">
      <c r="A753" s="32" t="inlineStr">
        <is>
          <t>FL_MAT_ABC_50kg</t>
        </is>
      </c>
      <c r="B753" s="32" t="n">
        <v>2</v>
      </c>
      <c r="C753" s="32" t="inlineStr">
        <is>
          <t>ABC50-21</t>
        </is>
      </c>
      <c r="D753" s="17" t="inlineStr">
        <is>
          <t xml:space="preserve">        Eje de palanca</t>
        </is>
      </c>
      <c r="E753" s="32" t="n">
        <v>1</v>
      </c>
      <c r="F753" s="32" t="inlineStr">
        <is>
          <t>u</t>
        </is>
      </c>
      <c r="G753" s="33" t="n">
        <v>0.0187</v>
      </c>
      <c r="H753" s="33">
        <f>E753*G753</f>
        <v/>
      </c>
      <c r="I753" s="32" t="inlineStr">
        <is>
          <t>Acero inox. AISI 304</t>
        </is>
      </c>
      <c r="J753" s="17" t="inlineStr">
        <is>
          <t>47 × 8 × 8</t>
        </is>
      </c>
      <c r="K753" s="32" t="inlineStr">
        <is>
          <t>Incluido en válvula HZ</t>
        </is>
      </c>
      <c r="L753" s="32" t="inlineStr">
        <is>
          <t>No</t>
        </is>
      </c>
      <c r="M753" s="17" t="n"/>
      <c r="N753" s="17" t="n"/>
      <c r="O753" s="17" t="inlineStr">
        <is>
          <t>13 carga de polvo y N₂: armado de válvula</t>
        </is>
      </c>
      <c r="P753" s="17" t="n"/>
      <c r="Q753" s="32" t="inlineStr">
        <is>
          <t>P</t>
        </is>
      </c>
      <c r="R753" s="32" t="inlineStr">
        <is>
          <t>FL_DES_ABC_50kg</t>
        </is>
      </c>
      <c r="S753" s="17" t="n"/>
    </row>
    <row r="754">
      <c r="A754" s="32" t="inlineStr">
        <is>
          <t>FL_MAT_ABC_50kg</t>
        </is>
      </c>
      <c r="B754" s="32" t="n">
        <v>2</v>
      </c>
      <c r="C754" s="32" t="inlineStr">
        <is>
          <t>ABC50-22</t>
        </is>
      </c>
      <c r="D754" s="17" t="inlineStr">
        <is>
          <t xml:space="preserve">        Pasador de seguridad</t>
        </is>
      </c>
      <c r="E754" s="32" t="n">
        <v>1</v>
      </c>
      <c r="F754" s="32" t="inlineStr">
        <is>
          <t>u</t>
        </is>
      </c>
      <c r="G754" s="33" t="n">
        <v>0.0061</v>
      </c>
      <c r="H754" s="33">
        <f>E754*G754</f>
        <v/>
      </c>
      <c r="I754" s="32" t="inlineStr">
        <is>
          <t>Alambre acero inox. AISI 304</t>
        </is>
      </c>
      <c r="J754" s="17" t="inlineStr">
        <is>
          <t>54,4 × 21 × 20,8</t>
        </is>
      </c>
      <c r="K754" s="32" t="inlineStr">
        <is>
          <t>Incluido en válvula HZ</t>
        </is>
      </c>
      <c r="L754" s="32" t="inlineStr">
        <is>
          <t>No</t>
        </is>
      </c>
      <c r="M754" s="17" t="n"/>
      <c r="N754" s="17" t="n"/>
      <c r="O754" s="17" t="inlineStr">
        <is>
          <t>13 carga de polvo y N₂: armado de válvula</t>
        </is>
      </c>
      <c r="P754" s="17" t="n"/>
      <c r="Q754" s="32" t="inlineStr">
        <is>
          <t>P</t>
        </is>
      </c>
      <c r="R754" s="32" t="inlineStr">
        <is>
          <t>FL_DES_ABC_50kg</t>
        </is>
      </c>
      <c r="S754" s="17" t="inlineStr">
        <is>
          <t>con precinto</t>
        </is>
      </c>
    </row>
    <row r="755">
      <c r="A755" s="32" t="inlineStr">
        <is>
          <t>FL_MAT_ABC_50kg</t>
        </is>
      </c>
      <c r="B755" s="32" t="n">
        <v>2</v>
      </c>
      <c r="C755" s="32" t="inlineStr">
        <is>
          <t>ABC50-23</t>
        </is>
      </c>
      <c r="D755" s="17" t="inlineStr">
        <is>
          <t xml:space="preserve">        Caño de pesca (sifón)</t>
        </is>
      </c>
      <c r="E755" s="32" t="n">
        <v>1</v>
      </c>
      <c r="F755" s="32" t="inlineStr">
        <is>
          <t>u</t>
        </is>
      </c>
      <c r="G755" s="33" t="n">
        <v>0.1985</v>
      </c>
      <c r="H755" s="33">
        <f>E755*G755</f>
        <v/>
      </c>
      <c r="I755" s="32" t="inlineStr">
        <is>
          <t>Tubo PVC rígido</t>
        </is>
      </c>
      <c r="J755" s="17" t="inlineStr">
        <is>
          <t>Ø24 × 839,5 de largo</t>
        </is>
      </c>
      <c r="K755" s="32" t="inlineStr">
        <is>
          <t>Incluido en válvula HZ</t>
        </is>
      </c>
      <c r="L755" s="32" t="inlineStr">
        <is>
          <t>No</t>
        </is>
      </c>
      <c r="M755" s="17" t="n"/>
      <c r="N755" s="17" t="n"/>
      <c r="O755" s="17" t="inlineStr">
        <is>
          <t>13 carga de polvo y N₂: armado de válvula</t>
        </is>
      </c>
      <c r="P755" s="17" t="n"/>
      <c r="Q755" s="32" t="inlineStr">
        <is>
          <t>P</t>
        </is>
      </c>
      <c r="R755" s="32" t="inlineStr">
        <is>
          <t>FL_DES_ABC_50kg</t>
        </is>
      </c>
      <c r="S755" s="17" t="n"/>
    </row>
    <row r="756">
      <c r="A756" s="32" t="inlineStr">
        <is>
          <t>FL_MAT_ABC_50kg</t>
        </is>
      </c>
      <c r="B756" s="32" t="n">
        <v>2</v>
      </c>
      <c r="C756" s="32" t="inlineStr">
        <is>
          <t>ABC50-35</t>
        </is>
      </c>
      <c r="D756" s="17" t="inlineStr">
        <is>
          <t xml:space="preserve">        Junta tórica de asiento</t>
        </is>
      </c>
      <c r="E756" s="32" t="n">
        <v>1</v>
      </c>
      <c r="F756" s="32" t="inlineStr">
        <is>
          <t>u</t>
        </is>
      </c>
      <c r="G756" s="33" t="n">
        <v>0.0025</v>
      </c>
      <c r="H756" s="33">
        <f>E756*G756</f>
        <v/>
      </c>
      <c r="I756" s="32" t="inlineStr">
        <is>
          <t>NBR 70 Shore A</t>
        </is>
      </c>
      <c r="J756" s="17" t="inlineStr">
        <is>
          <t>Ø78 ext. × cordón 3</t>
        </is>
      </c>
      <c r="K756" s="32" t="inlineStr">
        <is>
          <t>Compra</t>
        </is>
      </c>
      <c r="L756" s="32" t="inlineStr">
        <is>
          <t>Sí</t>
        </is>
      </c>
      <c r="M756" s="17" t="inlineStr">
        <is>
          <t>Argensold</t>
        </is>
      </c>
      <c r="N756" s="17" t="inlineStr">
        <is>
          <t>Matafuegos Iglesias</t>
        </is>
      </c>
      <c r="O756" s="17" t="inlineStr">
        <is>
          <t>13 carga de polvo y N₂: armado de válvula</t>
        </is>
      </c>
      <c r="P756" s="17" t="n"/>
      <c r="Q756" s="32" t="inlineStr">
        <is>
          <t>P</t>
        </is>
      </c>
      <c r="R756" s="32" t="inlineStr">
        <is>
          <t>FL_DES_ABC_50kg</t>
        </is>
      </c>
      <c r="S756" s="17" t="inlineStr">
        <is>
          <t>cambio c/recarga</t>
        </is>
      </c>
    </row>
    <row r="757">
      <c r="A757" s="32" t="inlineStr">
        <is>
          <t>FL_MAT_ABC_50kg</t>
        </is>
      </c>
      <c r="B757" s="32" t="n">
        <v>2</v>
      </c>
      <c r="C757" s="32" t="inlineStr">
        <is>
          <t>ABC50-K2</t>
        </is>
      </c>
      <c r="D757" s="17" t="inlineStr">
        <is>
          <t xml:space="preserve">        Válvula HZ armada de carro 50-70-100 kg</t>
        </is>
      </c>
      <c r="E757" s="32" t="n">
        <v>1</v>
      </c>
      <c r="F757" s="32" t="inlineStr">
        <is>
          <t>u</t>
        </is>
      </c>
      <c r="G757" s="33" t="n"/>
      <c r="H757" s="33" t="n"/>
      <c r="I757" s="32" t="inlineStr">
        <is>
          <t>Latón forjado (HZ)</t>
        </is>
      </c>
      <c r="J757" s="17" t="inlineStr">
        <is>
          <t>rosca RBSP 2 1/2"-11 h</t>
        </is>
      </c>
      <c r="K757" s="32" t="inlineStr">
        <is>
          <t>Compra</t>
        </is>
      </c>
      <c r="L757" s="32" t="inlineStr">
        <is>
          <t>Sí</t>
        </is>
      </c>
      <c r="M757" s="17" t="inlineStr">
        <is>
          <t>Polvex S.R.L. / Sancibrao</t>
        </is>
      </c>
      <c r="N757" s="17" t="inlineStr">
        <is>
          <t>Mozart S.R.L.</t>
        </is>
      </c>
      <c r="O757" s="17" t="inlineStr">
        <is>
          <t>19 Ensamblaje de válvula</t>
        </is>
      </c>
      <c r="P757" s="17" t="inlineStr">
        <is>
          <t>IRAM 3523 3.3</t>
        </is>
      </c>
      <c r="Q757" s="32" t="inlineStr">
        <is>
          <t>Q</t>
        </is>
      </c>
      <c r="R757" s="32" t="inlineStr">
        <is>
          <t>FL_DES_ABC_50kg</t>
        </is>
      </c>
      <c r="S757" s="17" t="inlineStr">
        <is>
          <t>Lista de precios HZ (Q-AGENTES); plano Fadesa usa válvula HZ (R-FADESA). Trae las piezas marcadas «Incluido en válvula HZ»</t>
        </is>
      </c>
    </row>
    <row r="758">
      <c r="A758" s="32" t="inlineStr">
        <is>
          <t>FL_MAT_ABC_50kg</t>
        </is>
      </c>
      <c r="B758" s="32" t="n">
        <v>2</v>
      </c>
      <c r="C758" s="32" t="inlineStr">
        <is>
          <t>ABC50-V2</t>
        </is>
      </c>
      <c r="D758" s="17" t="inlineStr">
        <is>
          <t xml:space="preserve">        Resorte de retorno del vástago</t>
        </is>
      </c>
      <c r="E758" s="32" t="n">
        <v>1</v>
      </c>
      <c r="F758" s="32" t="inlineStr">
        <is>
          <t>u</t>
        </is>
      </c>
      <c r="G758" s="33" t="n"/>
      <c r="H758" s="33" t="n"/>
      <c r="I758" s="32" t="inlineStr">
        <is>
          <t>Acero para resortes</t>
        </is>
      </c>
      <c r="J758" s="17" t="inlineStr">
        <is>
          <t>incluido en la válvula</t>
        </is>
      </c>
      <c r="K758" s="32" t="inlineStr">
        <is>
          <t>Incluido en válvula HZ</t>
        </is>
      </c>
      <c r="L758" s="32" t="inlineStr">
        <is>
          <t>No</t>
        </is>
      </c>
      <c r="M758" s="17" t="n"/>
      <c r="N758" s="17" t="n"/>
      <c r="O758" s="17" t="inlineStr">
        <is>
          <t>19 Ensamblaje</t>
        </is>
      </c>
      <c r="P758" s="17" t="n"/>
      <c r="Q758" s="32" t="inlineStr">
        <is>
          <t>Q</t>
        </is>
      </c>
      <c r="R758" s="32" t="n"/>
      <c r="S758" s="17" t="inlineStr">
        <is>
          <t>Lista de precios HZ: válvula «c/resorte» (Q-AGENTES)</t>
        </is>
      </c>
    </row>
    <row r="759">
      <c r="A759" s="32" t="inlineStr">
        <is>
          <t>FL_MAT_ABC_50kg</t>
        </is>
      </c>
      <c r="B759" s="32" t="n">
        <v>2</v>
      </c>
      <c r="C759" s="32" t="inlineStr">
        <is>
          <t>ABC50-V3</t>
        </is>
      </c>
      <c r="D759" s="17" t="inlineStr">
        <is>
          <t xml:space="preserve">        Junta tórica del vástago</t>
        </is>
      </c>
      <c r="E759" s="32" t="n">
        <v>1</v>
      </c>
      <c r="F759" s="32" t="inlineStr">
        <is>
          <t>u</t>
        </is>
      </c>
      <c r="G759" s="33" t="n"/>
      <c r="H759" s="33" t="n"/>
      <c r="I759" s="32" t="inlineStr">
        <is>
          <t>NBR 70 Shore A</t>
        </is>
      </c>
      <c r="J759" s="17" t="inlineStr">
        <is>
          <t>incluida en la válvula</t>
        </is>
      </c>
      <c r="K759" s="32" t="inlineStr">
        <is>
          <t>Incluido en válvula HZ</t>
        </is>
      </c>
      <c r="L759" s="32" t="inlineStr">
        <is>
          <t>No</t>
        </is>
      </c>
      <c r="M759" s="17" t="n"/>
      <c r="N759" s="17" t="n"/>
      <c r="O759" s="17" t="inlineStr">
        <is>
          <t>19 Ensamblaje</t>
        </is>
      </c>
      <c r="P759" s="17" t="n"/>
      <c r="Q759" s="32" t="inlineStr">
        <is>
          <t>P</t>
        </is>
      </c>
      <c r="R759" s="32" t="n"/>
      <c r="S759" s="17" t="inlineStr">
        <is>
          <t>Figura en el plano como «vástago con junta tórica»</t>
        </is>
      </c>
    </row>
    <row r="760">
      <c r="A760" s="29" t="inlineStr">
        <is>
          <t>FL_MAT_ABC_50kg</t>
        </is>
      </c>
      <c r="B760" s="29" t="n">
        <v>1</v>
      </c>
      <c r="C760" s="29" t="inlineStr">
        <is>
          <t>ABC50-S3</t>
        </is>
      </c>
      <c r="D760" s="30" t="inlineStr">
        <is>
          <t xml:space="preserve">    Dispositivo de descarga</t>
        </is>
      </c>
      <c r="E760" s="29" t="n">
        <v>1</v>
      </c>
      <c r="F760" s="29" t="inlineStr">
        <is>
          <t>u</t>
        </is>
      </c>
      <c r="G760" s="31" t="n"/>
      <c r="H760" s="31">
        <f>H761+H762+H763+H764+H765</f>
        <v/>
      </c>
      <c r="I760" s="29" t="n"/>
      <c r="J760" s="30" t="n"/>
      <c r="K760" s="29" t="inlineStr">
        <is>
          <t>Compra / armado</t>
        </is>
      </c>
      <c r="L760" s="29" t="n"/>
      <c r="M760" s="30" t="n"/>
      <c r="N760" s="30" t="n"/>
      <c r="O760" s="30" t="n"/>
      <c r="P760" s="30" t="n"/>
      <c r="Q760" s="29" t="inlineStr">
        <is>
          <t>P</t>
        </is>
      </c>
      <c r="R760" s="29" t="inlineStr">
        <is>
          <t>FL_DES_ABC_50kg</t>
        </is>
      </c>
      <c r="S760" s="30" t="n"/>
    </row>
    <row r="761">
      <c r="A761" s="32" t="inlineStr">
        <is>
          <t>FL_MAT_ABC_50kg</t>
        </is>
      </c>
      <c r="B761" s="32" t="n">
        <v>2</v>
      </c>
      <c r="C761" s="32" t="inlineStr">
        <is>
          <t>ABC50-24</t>
        </is>
      </c>
      <c r="D761" s="17" t="inlineStr">
        <is>
          <t xml:space="preserve">        Racor de manguera</t>
        </is>
      </c>
      <c r="E761" s="32" t="n">
        <v>1</v>
      </c>
      <c r="F761" s="32" t="inlineStr">
        <is>
          <t>u</t>
        </is>
      </c>
      <c r="G761" s="33" t="n">
        <v>0.0612</v>
      </c>
      <c r="H761" s="33">
        <f>E761*G761</f>
        <v/>
      </c>
      <c r="I761" s="32" t="inlineStr">
        <is>
          <t>Latón</t>
        </is>
      </c>
      <c r="J761" s="17" t="inlineStr">
        <is>
          <t>24 × 24 × 16</t>
        </is>
      </c>
      <c r="K761" s="32" t="inlineStr">
        <is>
          <t>Compra</t>
        </is>
      </c>
      <c r="L761" s="32" t="inlineStr">
        <is>
          <t>Sí</t>
        </is>
      </c>
      <c r="M761" s="17" t="inlineStr">
        <is>
          <t>Yukon / MatafuegosYa S.R.L.</t>
        </is>
      </c>
      <c r="N761" s="17" t="inlineStr">
        <is>
          <t>Matafuegos Iglesias</t>
        </is>
      </c>
      <c r="O761" s="17" t="inlineStr">
        <is>
          <t>Después de 12 pintura: manguera, válvula esférica y tobera</t>
        </is>
      </c>
      <c r="P761" s="17" t="n"/>
      <c r="Q761" s="32" t="inlineStr">
        <is>
          <t>P</t>
        </is>
      </c>
      <c r="R761" s="32" t="inlineStr">
        <is>
          <t>FL_DES_ABC_50kg</t>
        </is>
      </c>
      <c r="S761" s="17" t="n"/>
    </row>
    <row r="762">
      <c r="A762" s="32" t="inlineStr">
        <is>
          <t>FL_MAT_ABC_50kg</t>
        </is>
      </c>
      <c r="B762" s="32" t="n">
        <v>2</v>
      </c>
      <c r="C762" s="32" t="inlineStr">
        <is>
          <t>ABC50-25</t>
        </is>
      </c>
      <c r="D762" s="17" t="inlineStr">
        <is>
          <t xml:space="preserve">        Manguera (tramo enrollado)</t>
        </is>
      </c>
      <c r="E762" s="32" t="n">
        <v>1</v>
      </c>
      <c r="F762" s="32" t="inlineStr">
        <is>
          <t>u</t>
        </is>
      </c>
      <c r="G762" s="33" t="n">
        <v>1.8035</v>
      </c>
      <c r="H762" s="33">
        <f>E762*G762</f>
        <v/>
      </c>
      <c r="I762" s="32" t="inlineStr">
        <is>
          <t>Caucho sintético</t>
        </is>
      </c>
      <c r="J762" s="17" t="inlineStr">
        <is>
          <t>Ø23,5 × 5.414 de largo desarrollado: lazo vertical de 3 vueltas alrededor de los flejes, por afuera de las patas y detrás de las orejas</t>
        </is>
      </c>
      <c r="K762" s="32" t="inlineStr">
        <is>
          <t>Compra</t>
        </is>
      </c>
      <c r="L762" s="32" t="inlineStr">
        <is>
          <t>Sí</t>
        </is>
      </c>
      <c r="M762" s="17" t="inlineStr">
        <is>
          <t>Yukon / MatafuegosYa S.R.L.</t>
        </is>
      </c>
      <c r="N762" s="17" t="inlineStr">
        <is>
          <t>Matafuegos Iglesias</t>
        </is>
      </c>
      <c r="O762" s="17" t="inlineStr">
        <is>
          <t>Después de 12 pintura: manguera, válvula esférica y tobera</t>
        </is>
      </c>
      <c r="P762" s="17" t="n"/>
      <c r="Q762" s="32" t="inlineStr">
        <is>
          <t>P</t>
        </is>
      </c>
      <c r="R762" s="32" t="inlineStr">
        <is>
          <t>FL_DES_ABC_50kg</t>
        </is>
      </c>
      <c r="S762" s="17" t="n"/>
    </row>
    <row r="763">
      <c r="A763" s="32" t="inlineStr">
        <is>
          <t>FL_MAT_ABC_50kg</t>
        </is>
      </c>
      <c r="B763" s="32" t="n">
        <v>2</v>
      </c>
      <c r="C763" s="32" t="inlineStr">
        <is>
          <t>ABC50-26</t>
        </is>
      </c>
      <c r="D763" s="17" t="inlineStr">
        <is>
          <t xml:space="preserve">        Manguera</t>
        </is>
      </c>
      <c r="E763" s="32" t="n">
        <v>1</v>
      </c>
      <c r="F763" s="32" t="inlineStr">
        <is>
          <t>u</t>
        </is>
      </c>
      <c r="G763" s="33" t="n">
        <v>0.2286</v>
      </c>
      <c r="H763" s="33">
        <f>E763*G763</f>
        <v/>
      </c>
      <c r="I763" s="32" t="inlineStr">
        <is>
          <t>Caucho sintético</t>
        </is>
      </c>
      <c r="J763" s="17" t="inlineStr">
        <is>
          <t>Ø23,5 × 686 de largo desarrollado</t>
        </is>
      </c>
      <c r="K763" s="32" t="inlineStr">
        <is>
          <t>Compra</t>
        </is>
      </c>
      <c r="L763" s="32" t="inlineStr">
        <is>
          <t>Sí</t>
        </is>
      </c>
      <c r="M763" s="17" t="inlineStr">
        <is>
          <t>Yukon / MatafuegosYa S.R.L.</t>
        </is>
      </c>
      <c r="N763" s="17" t="inlineStr">
        <is>
          <t>Matafuegos Iglesias</t>
        </is>
      </c>
      <c r="O763" s="17" t="inlineStr">
        <is>
          <t>Después de 12 pintura: manguera, válvula esférica y tobera</t>
        </is>
      </c>
      <c r="P763" s="17" t="n"/>
      <c r="Q763" s="32" t="inlineStr">
        <is>
          <t>P</t>
        </is>
      </c>
      <c r="R763" s="32" t="inlineStr">
        <is>
          <t>FL_DES_ABC_50kg</t>
        </is>
      </c>
      <c r="S763" s="17" t="n"/>
    </row>
    <row r="764">
      <c r="A764" s="32" t="inlineStr">
        <is>
          <t>FL_MAT_ABC_50kg</t>
        </is>
      </c>
      <c r="B764" s="32" t="n">
        <v>2</v>
      </c>
      <c r="C764" s="32" t="inlineStr">
        <is>
          <t>ABC50-28</t>
        </is>
      </c>
      <c r="D764" s="17" t="inlineStr">
        <is>
          <t xml:space="preserve">        Válvula esférica</t>
        </is>
      </c>
      <c r="E764" s="32" t="n">
        <v>1</v>
      </c>
      <c r="F764" s="32" t="inlineStr">
        <is>
          <t>u</t>
        </is>
      </c>
      <c r="G764" s="33" t="n">
        <v>0.3502</v>
      </c>
      <c r="H764" s="33">
        <f>E764*G764</f>
        <v/>
      </c>
      <c r="I764" s="32" t="inlineStr">
        <is>
          <t>Latón cromado</t>
        </is>
      </c>
      <c r="J764" s="17" t="inlineStr">
        <is>
          <t>cuerpo Ø40 × 56 con hexágonos 46, paso total, rosca a la manga y a la tobera; palanca 105 con empuñadura (cerrada: atravesada al caño)</t>
        </is>
      </c>
      <c r="K764" s="32" t="inlineStr">
        <is>
          <t>Compra</t>
        </is>
      </c>
      <c r="L764" s="32" t="inlineStr">
        <is>
          <t>Sí</t>
        </is>
      </c>
      <c r="M764" s="17" t="inlineStr">
        <is>
          <t>Yukon / MatafuegosYa S.R.L.</t>
        </is>
      </c>
      <c r="N764" s="17" t="inlineStr">
        <is>
          <t>Matafuegos Iglesias</t>
        </is>
      </c>
      <c r="O764" s="17" t="inlineStr">
        <is>
          <t>Después de 12 pintura: manguera, válvula esférica y tobera</t>
        </is>
      </c>
      <c r="P764" s="17" t="n"/>
      <c r="Q764" s="32" t="inlineStr">
        <is>
          <t>P</t>
        </is>
      </c>
      <c r="R764" s="32" t="inlineStr">
        <is>
          <t>FL_DES_ABC_50kg</t>
        </is>
      </c>
      <c r="S764" s="17" t="n"/>
    </row>
    <row r="765">
      <c r="A765" s="32" t="inlineStr">
        <is>
          <t>FL_MAT_ABC_50kg</t>
        </is>
      </c>
      <c r="B765" s="32" t="n">
        <v>2</v>
      </c>
      <c r="C765" s="32" t="inlineStr">
        <is>
          <t>ABC50-29</t>
        </is>
      </c>
      <c r="D765" s="17" t="inlineStr">
        <is>
          <t xml:space="preserve">        Tobera campana</t>
        </is>
      </c>
      <c r="E765" s="32" t="n">
        <v>1</v>
      </c>
      <c r="F765" s="32" t="inlineStr">
        <is>
          <t>u</t>
        </is>
      </c>
      <c r="G765" s="33" t="n">
        <v>0.07969999999999999</v>
      </c>
      <c r="H765" s="33">
        <f>E765*G765</f>
        <v/>
      </c>
      <c r="I765" s="32" t="inlineStr">
        <is>
          <t>Polipropileno</t>
        </is>
      </c>
      <c r="J765" s="17" t="inlineStr">
        <is>
          <t>205,4 × 80,7 × 68</t>
        </is>
      </c>
      <c r="K765" s="32" t="inlineStr">
        <is>
          <t>Compra</t>
        </is>
      </c>
      <c r="L765" s="32" t="inlineStr">
        <is>
          <t>Sí</t>
        </is>
      </c>
      <c r="M765" s="17" t="inlineStr">
        <is>
          <t>Yukon / MatafuegosYa S.R.L.</t>
        </is>
      </c>
      <c r="N765" s="17" t="inlineStr">
        <is>
          <t>Matafuegos Iglesias</t>
        </is>
      </c>
      <c r="O765" s="17" t="inlineStr">
        <is>
          <t>Después de 12 pintura: manguera, válvula esférica y tobera</t>
        </is>
      </c>
      <c r="P765" s="17" t="n"/>
      <c r="Q765" s="32" t="inlineStr">
        <is>
          <t>P</t>
        </is>
      </c>
      <c r="R765" s="32" t="inlineStr">
        <is>
          <t>FL_DES_ABC_50kg</t>
        </is>
      </c>
      <c r="S765" s="17" t="n"/>
    </row>
    <row r="766">
      <c r="A766" s="29" t="inlineStr">
        <is>
          <t>FL_MAT_ABC_50kg</t>
        </is>
      </c>
      <c r="B766" s="29" t="n">
        <v>1</v>
      </c>
      <c r="C766" s="29" t="inlineStr">
        <is>
          <t>ABC50-S4</t>
        </is>
      </c>
      <c r="D766" s="30" t="inlineStr">
        <is>
          <t xml:space="preserve">    Carro (tren rodante soldado y ruedas)</t>
        </is>
      </c>
      <c r="E766" s="29" t="n">
        <v>1</v>
      </c>
      <c r="F766" s="29" t="inlineStr">
        <is>
          <t>u</t>
        </is>
      </c>
      <c r="G766" s="31" t="n"/>
      <c r="H766" s="31">
        <f>H767+H768+H769+H771+H772+H773+H775+H776+H777+H779</f>
        <v/>
      </c>
      <c r="I766" s="29" t="n"/>
      <c r="J766" s="30" t="n"/>
      <c r="K766" s="29" t="inlineStr">
        <is>
          <t>Fabricación</t>
        </is>
      </c>
      <c r="L766" s="29" t="n"/>
      <c r="M766" s="30" t="n"/>
      <c r="N766" s="30" t="n"/>
      <c r="O766" s="30" t="n"/>
      <c r="P766" s="30" t="inlineStr">
        <is>
          <t>IRAM 3550 3.12 y 4.8 (ruedas ≥ Ø300 × 50)</t>
        </is>
      </c>
      <c r="Q766" s="29" t="inlineStr">
        <is>
          <t>P</t>
        </is>
      </c>
      <c r="R766" s="29" t="inlineStr">
        <is>
          <t>FL_DES_ABC_50kg</t>
        </is>
      </c>
      <c r="S766" s="30" t="n"/>
    </row>
    <row r="767">
      <c r="A767" s="32" t="inlineStr">
        <is>
          <t>FL_MAT_ABC_50kg</t>
        </is>
      </c>
      <c r="B767" s="32" t="n">
        <v>2</v>
      </c>
      <c r="C767" s="32" t="inlineStr">
        <is>
          <t>ABC50-05</t>
        </is>
      </c>
      <c r="D767" s="17" t="inlineStr">
        <is>
          <t xml:space="preserve">        Pata delantera</t>
        </is>
      </c>
      <c r="E767" s="32" t="n">
        <v>1</v>
      </c>
      <c r="F767" s="32" t="inlineStr">
        <is>
          <t>u</t>
        </is>
      </c>
      <c r="G767" s="33" t="n">
        <v>0.1186</v>
      </c>
      <c r="H767" s="33">
        <f>E767*G767</f>
        <v/>
      </c>
      <c r="I767" s="32" t="inlineStr">
        <is>
          <t>Chapa LAC 3,2 (orilla de la hoja de 25 kg)</t>
        </is>
      </c>
      <c r="J767" s="17" t="inlineStr">
        <is>
          <t>planchuela 80 × 60 × e3,2, de canto en el frente del fondo, atravesada; borde de abajo = línea del piso</t>
        </is>
      </c>
      <c r="K767" s="32" t="inlineStr">
        <is>
          <t>Fabricación</t>
        </is>
      </c>
      <c r="L767" s="32" t="inlineStr">
        <is>
          <t>No</t>
        </is>
      </c>
      <c r="M767" s="17" t="n"/>
      <c r="N767" s="17" t="n"/>
      <c r="O767" s="17" t="inlineStr">
        <is>
          <t>8.1 fabricación de accesorios (orillas / caño / barra) -&gt; 8 soldadura MAG al recipiente, antes de la PH (IRAM 3550 6.1.1)</t>
        </is>
      </c>
      <c r="P767" s="17" t="n"/>
      <c r="Q767" s="32" t="inlineStr">
        <is>
          <t>P</t>
        </is>
      </c>
      <c r="R767" s="32" t="inlineStr">
        <is>
          <t>FL_DES_ABC_50kg</t>
        </is>
      </c>
      <c r="S767" s="17" t="inlineStr">
        <is>
          <t>Proceso FLAMA de carros: 80 × 60 (25 y 50 kg) y 100 × 80 (70 y 100 kg), de la orilla de 3,2 de la hoja de 25 kg (sin compra); se suelda con filete de los dos lados en el tramo central</t>
        </is>
      </c>
    </row>
    <row r="768">
      <c r="A768" s="32" t="inlineStr">
        <is>
          <t>FL_MAT_ABC_50kg</t>
        </is>
      </c>
      <c r="B768" s="32" t="n">
        <v>2</v>
      </c>
      <c r="C768" s="32" t="inlineStr">
        <is>
          <t>ABC50-06</t>
        </is>
      </c>
      <c r="D768" s="17" t="inlineStr">
        <is>
          <t xml:space="preserve">        Triángulos con V (2)</t>
        </is>
      </c>
      <c r="E768" s="32" t="n">
        <v>1</v>
      </c>
      <c r="F768" s="32" t="inlineStr">
        <is>
          <t>u</t>
        </is>
      </c>
      <c r="G768" s="33" t="n">
        <v>0.2047</v>
      </c>
      <c r="H768" s="33">
        <f>E768*G768</f>
        <v/>
      </c>
      <c r="I768" s="32" t="inlineStr">
        <is>
          <t>Chapa LAC 4,75 (orilla)</t>
        </is>
      </c>
      <c r="J768" s="17" t="inlineStr">
        <is>
          <t>2 triángulos con V de 90° hacia atrás, chapa e4,75, cateto vertical 80 de canto contra el cuerpo; separados 157 (± 78,5 en recta), borde de abajo a 20 de la costura del fondo; el caño apoya en la V</t>
        </is>
      </c>
      <c r="K768" s="32" t="inlineStr">
        <is>
          <t>Fabricación</t>
        </is>
      </c>
      <c r="L768" s="32" t="inlineStr">
        <is>
          <t>No</t>
        </is>
      </c>
      <c r="M768" s="17" t="n"/>
      <c r="N768" s="17" t="n"/>
      <c r="O768" s="17" t="inlineStr">
        <is>
          <t>8.1 fabricación de accesorios (orillas / caño / barra) -&gt; 8 soldadura MAG al recipiente, antes de la PH (IRAM 3550 6.1.1)</t>
        </is>
      </c>
      <c r="P768" s="17" t="n"/>
      <c r="Q768" s="32" t="inlineStr">
        <is>
          <t>P</t>
        </is>
      </c>
      <c r="R768" s="32" t="inlineStr">
        <is>
          <t>FL_DES_ABC_50kg</t>
        </is>
      </c>
      <c r="S768"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769">
      <c r="A769" s="32" t="inlineStr">
        <is>
          <t>FL_MAT_ABC_50kg</t>
        </is>
      </c>
      <c r="B769" s="32" t="n">
        <v>2</v>
      </c>
      <c r="C769" s="32" t="inlineStr">
        <is>
          <t>ABC50-07</t>
        </is>
      </c>
      <c r="D769" s="17" t="inlineStr">
        <is>
          <t xml:space="preserve">        Caño del eje</t>
        </is>
      </c>
      <c r="E769" s="32" t="n">
        <v>1</v>
      </c>
      <c r="F769" s="32" t="inlineStr">
        <is>
          <t>u</t>
        </is>
      </c>
      <c r="G769" s="33" t="n">
        <v>0.5341</v>
      </c>
      <c r="H769" s="33">
        <f>E769*G769</f>
        <v/>
      </c>
      <c r="I769" s="32" t="inlineStr">
        <is>
          <t>Caño acero SAE 1010 1¼" × 2,0</t>
        </is>
      </c>
      <c r="J769" s="17" t="inlineStr">
        <is>
          <t>caño 1¼" (Ø31,75) × 2 × 364 de largo, con marca de la mitad; apoyado en la V de los triángulos a 20 del cuerpo, no gira; adentro pasa el eje Ø25,4</t>
        </is>
      </c>
      <c r="K769" s="32" t="inlineStr">
        <is>
          <t>Fabricación</t>
        </is>
      </c>
      <c r="L769" s="32" t="inlineStr">
        <is>
          <t>No</t>
        </is>
      </c>
      <c r="M769" s="17" t="n"/>
      <c r="N769" s="17" t="n"/>
      <c r="O769" s="17" t="inlineStr">
        <is>
          <t>8.1 fabricación de accesorios (orillas / caño / barra) -&gt; 8 soldadura MAG al recipiente, antes de la PH (IRAM 3550 6.1.1)</t>
        </is>
      </c>
      <c r="P769" s="17" t="n"/>
      <c r="Q769" s="32" t="inlineStr">
        <is>
          <t>P</t>
        </is>
      </c>
      <c r="R769" s="32" t="inlineStr">
        <is>
          <t>FL_DES_ABC_50kg</t>
        </is>
      </c>
      <c r="S769" s="17" t="inlineStr">
        <is>
          <t>Proceso FLAMA de carros, puesto 8 (kit del 8.1): medidas y posición de la tabla del puesto; se suelda antes de la prueba hidráulica (IRAM 3550 6.1.1)</t>
        </is>
      </c>
    </row>
    <row r="770">
      <c r="A770" s="34" t="inlineStr">
        <is>
          <t>FL_MAT_ABC_50kg</t>
        </is>
      </c>
      <c r="B770" s="34" t="n">
        <v>3</v>
      </c>
      <c r="C770" s="34" t="inlineStr">
        <is>
          <t>MP-PORTAEJE</t>
        </is>
      </c>
      <c r="D770" s="35" t="inlineStr">
        <is>
          <t xml:space="preserve">            Caño SAE 1010 1¼" × 2,0 (tramo de barra de 6 m)</t>
        </is>
      </c>
      <c r="E770" s="34" t="n">
        <v>0.0607</v>
      </c>
      <c r="F770" s="34" t="inlineStr">
        <is>
          <t>barra</t>
        </is>
      </c>
      <c r="G770" s="36" t="n">
        <v>8.804</v>
      </c>
      <c r="H770" s="36">
        <f>E770*G770</f>
        <v/>
      </c>
      <c r="I770" s="34" t="inlineStr">
        <is>
          <t>Caño acero SAE 1010 1¼" × 2,0</t>
        </is>
      </c>
      <c r="J770" s="35" t="inlineStr">
        <is>
          <t>364 mm por pieza (kg por barra de 6 m)</t>
        </is>
      </c>
      <c r="K770" s="34" t="inlineStr">
        <is>
          <t>Compra</t>
        </is>
      </c>
      <c r="L770" s="34" t="inlineStr">
        <is>
          <t>Sí</t>
        </is>
      </c>
      <c r="M770" s="35" t="inlineStr">
        <is>
          <t>Metalpri / Prilux</t>
        </is>
      </c>
      <c r="N770" s="35" t="inlineStr">
        <is>
          <t>Comercial MID</t>
        </is>
      </c>
      <c r="O770" s="35" t="inlineStr">
        <is>
          <t>Corte en sierra</t>
        </is>
      </c>
      <c r="P770" s="35" t="n"/>
      <c r="Q770" s="34" t="inlineStr">
        <is>
          <t>C</t>
        </is>
      </c>
      <c r="R770" s="34" t="n"/>
      <c r="S770" s="35" t="inlineStr">
        <is>
          <t>Largo para la trocha del ancho de la hoja de especificaciones (kit 8.1), con marca de la mitad</t>
        </is>
      </c>
    </row>
    <row r="771">
      <c r="A771" s="32" t="inlineStr">
        <is>
          <t>FL_MAT_ABC_50kg</t>
        </is>
      </c>
      <c r="B771" s="32" t="n">
        <v>2</v>
      </c>
      <c r="C771" s="32" t="inlineStr">
        <is>
          <t>ABC50-08</t>
        </is>
      </c>
      <c r="D771" s="17" t="inlineStr">
        <is>
          <t xml:space="preserve">        Neumático macizo</t>
        </is>
      </c>
      <c r="E771" s="32" t="n">
        <v>2</v>
      </c>
      <c r="F771" s="32" t="inlineStr">
        <is>
          <t>u</t>
        </is>
      </c>
      <c r="G771" s="33" t="n">
        <v>3.3361</v>
      </c>
      <c r="H771" s="33">
        <f>E771*G771</f>
        <v/>
      </c>
      <c r="I771" s="32" t="inlineStr">
        <is>
          <t>Caucho</t>
        </is>
      </c>
      <c r="J771" s="17" t="inlineStr">
        <is>
          <t>Ø350 × 60 de ancho</t>
        </is>
      </c>
      <c r="K771" s="32" t="inlineStr">
        <is>
          <t>Compra</t>
        </is>
      </c>
      <c r="L771" s="32" t="inlineStr">
        <is>
          <t>Sí</t>
        </is>
      </c>
      <c r="M771" s="17" t="inlineStr">
        <is>
          <t>Ruedar</t>
        </is>
      </c>
      <c r="N771" s="17" t="inlineStr">
        <is>
          <t>Escanort S.A.</t>
        </is>
      </c>
      <c r="O771" s="17" t="inlineStr">
        <is>
          <t>Después de 12 pintura: ruedas montadas sobre el eje</t>
        </is>
      </c>
      <c r="P771" s="17" t="n"/>
      <c r="Q771" s="32" t="inlineStr">
        <is>
          <t>P</t>
        </is>
      </c>
      <c r="R771" s="32" t="inlineStr">
        <is>
          <t>FL_DES_ABC_50kg</t>
        </is>
      </c>
      <c r="S771" s="17" t="inlineStr">
        <is>
          <t>llanta de chapa; IRAM 3550 4.8: Ø ≥ 300 y ancho ≥ 50</t>
        </is>
      </c>
    </row>
    <row r="772">
      <c r="A772" s="32" t="inlineStr">
        <is>
          <t>FL_MAT_ABC_50kg</t>
        </is>
      </c>
      <c r="B772" s="32" t="n">
        <v>2</v>
      </c>
      <c r="C772" s="32" t="inlineStr">
        <is>
          <t>ABC50-09</t>
        </is>
      </c>
      <c r="D772" s="17" t="inlineStr">
        <is>
          <t xml:space="preserve">        Llanta con cubo</t>
        </is>
      </c>
      <c r="E772" s="32" t="n">
        <v>2</v>
      </c>
      <c r="F772" s="32" t="inlineStr">
        <is>
          <t>u</t>
        </is>
      </c>
      <c r="G772" s="33" t="n">
        <v>2.6069</v>
      </c>
      <c r="H772" s="33">
        <f>E772*G772</f>
        <v/>
      </c>
      <c r="I772" s="32" t="inlineStr">
        <is>
          <t>Chapa acero SAE 1010</t>
        </is>
      </c>
      <c r="J772" s="17" t="inlineStr">
        <is>
          <t>Ø252 × 60 de ancho</t>
        </is>
      </c>
      <c r="K772" s="32" t="inlineStr">
        <is>
          <t>Incluido en rueda</t>
        </is>
      </c>
      <c r="L772" s="32" t="inlineStr">
        <is>
          <t>No</t>
        </is>
      </c>
      <c r="M772" s="17" t="n"/>
      <c r="N772" s="17" t="n"/>
      <c r="O772" s="17" t="inlineStr">
        <is>
          <t>Después de 12 pintura: ruedas montadas sobre el eje</t>
        </is>
      </c>
      <c r="P772" s="17" t="n"/>
      <c r="Q772" s="32" t="inlineStr">
        <is>
          <t>P</t>
        </is>
      </c>
      <c r="R772" s="32" t="inlineStr">
        <is>
          <t>FL_DES_ABC_50kg</t>
        </is>
      </c>
      <c r="S772" s="17" t="n"/>
    </row>
    <row r="773">
      <c r="A773" s="32" t="inlineStr">
        <is>
          <t>FL_MAT_ABC_50kg</t>
        </is>
      </c>
      <c r="B773" s="32" t="n">
        <v>2</v>
      </c>
      <c r="C773" s="32" t="inlineStr">
        <is>
          <t>ABC50-10</t>
        </is>
      </c>
      <c r="D773" s="17" t="inlineStr">
        <is>
          <t xml:space="preserve">        Eje de ruedas</t>
        </is>
      </c>
      <c r="E773" s="32" t="n">
        <v>1</v>
      </c>
      <c r="F773" s="32" t="inlineStr">
        <is>
          <t>u</t>
        </is>
      </c>
      <c r="G773" s="33" t="n">
        <v>2.0618</v>
      </c>
      <c r="H773" s="33">
        <f>E773*G773</f>
        <v/>
      </c>
      <c r="I773" s="32" t="inlineStr">
        <is>
          <t>Barra acero SAE 1045 Ø25.4</t>
        </is>
      </c>
      <c r="J773" s="17" t="inlineStr">
        <is>
          <t>barra trefilada 1" (Ø25,4) × 520 de largo, con agujero Ø4,6 en cada punta para el pasador (montaje final)</t>
        </is>
      </c>
      <c r="K773" s="32" t="inlineStr">
        <is>
          <t>Fabricación</t>
        </is>
      </c>
      <c r="L773" s="32" t="inlineStr">
        <is>
          <t>No</t>
        </is>
      </c>
      <c r="M773" s="17" t="n"/>
      <c r="N773" s="17" t="n"/>
      <c r="O773" s="17" t="inlineStr">
        <is>
          <t>8.1 corte de barra -&gt; 8 soldadura de soportes</t>
        </is>
      </c>
      <c r="P773" s="17" t="n"/>
      <c r="Q773" s="32" t="inlineStr">
        <is>
          <t>P</t>
        </is>
      </c>
      <c r="R773" s="32" t="inlineStr">
        <is>
          <t>FL_DES_ABC_50kg</t>
        </is>
      </c>
      <c r="S773" s="17" t="inlineStr">
        <is>
          <t>Montaje final, después de la pintura, con las ruedas (proceso de carros, puesto 8)</t>
        </is>
      </c>
    </row>
    <row r="774">
      <c r="A774" s="34" t="inlineStr">
        <is>
          <t>FL_MAT_ABC_50kg</t>
        </is>
      </c>
      <c r="B774" s="34" t="n">
        <v>3</v>
      </c>
      <c r="C774" s="34" t="inlineStr">
        <is>
          <t>MP-EJE</t>
        </is>
      </c>
      <c r="D774" s="35" t="inlineStr">
        <is>
          <t xml:space="preserve">            Barra trefilada SAE 1045 1" (tramo de barra de 6 m)</t>
        </is>
      </c>
      <c r="E774" s="34" t="n">
        <v>0.0867</v>
      </c>
      <c r="F774" s="34" t="inlineStr">
        <is>
          <t>barra</t>
        </is>
      </c>
      <c r="G774" s="36" t="n">
        <v>23.866</v>
      </c>
      <c r="H774" s="36">
        <f>E774*G774</f>
        <v/>
      </c>
      <c r="I774" s="34" t="inlineStr">
        <is>
          <t>Barra trefilada SAE 1045 1"</t>
        </is>
      </c>
      <c r="J774" s="35" t="inlineStr">
        <is>
          <t>520 mm por pieza (kg por barra de 6 m)</t>
        </is>
      </c>
      <c r="K774" s="34" t="inlineStr">
        <is>
          <t>Compra</t>
        </is>
      </c>
      <c r="L774" s="34" t="inlineStr">
        <is>
          <t>Sí</t>
        </is>
      </c>
      <c r="M774" s="35" t="inlineStr">
        <is>
          <t>Vladimirsky</t>
        </is>
      </c>
      <c r="N774" s="35" t="inlineStr">
        <is>
          <t>Hierros Parrotta</t>
        </is>
      </c>
      <c r="O774" s="35" t="inlineStr">
        <is>
          <t>Corte en sierra</t>
        </is>
      </c>
      <c r="P774" s="35" t="n"/>
      <c r="Q774" s="34" t="inlineStr">
        <is>
          <t>C</t>
        </is>
      </c>
      <c r="R774" s="34" t="n"/>
      <c r="S774" s="35" t="n"/>
    </row>
    <row r="775">
      <c r="A775" s="32" t="inlineStr">
        <is>
          <t>FL_MAT_ABC_50kg</t>
        </is>
      </c>
      <c r="B775" s="32" t="n">
        <v>2</v>
      </c>
      <c r="C775" s="32" t="inlineStr">
        <is>
          <t>ABC50-11</t>
        </is>
      </c>
      <c r="D775" s="17" t="inlineStr">
        <is>
          <t xml:space="preserve">        Arandelas de tope (4)</t>
        </is>
      </c>
      <c r="E775" s="32" t="n">
        <v>1</v>
      </c>
      <c r="F775" s="32" t="inlineStr">
        <is>
          <t>u</t>
        </is>
      </c>
      <c r="G775" s="33" t="n">
        <v>0.0891</v>
      </c>
      <c r="H775" s="33">
        <f>E775*G775</f>
        <v/>
      </c>
      <c r="I775" s="32" t="inlineStr">
        <is>
          <t>Acero SAE 1010 Ø40 × 4</t>
        </is>
      </c>
      <c r="J775" s="17" t="inlineStr">
        <is>
          <t>4 × Ø40 × Ø26,4 × 4 (a cada lado de cada rueda)</t>
        </is>
      </c>
      <c r="K775" s="32" t="inlineStr">
        <is>
          <t>Compra</t>
        </is>
      </c>
      <c r="L775" s="32" t="inlineStr">
        <is>
          <t>Sí</t>
        </is>
      </c>
      <c r="M775" s="17" t="inlineStr">
        <is>
          <t>Hierros Parrotta</t>
        </is>
      </c>
      <c r="N775" s="17" t="inlineStr">
        <is>
          <t>-</t>
        </is>
      </c>
      <c r="O775" s="17" t="inlineStr">
        <is>
          <t>Después de 12 pintura: ruedas montadas sobre el eje</t>
        </is>
      </c>
      <c r="P775" s="17" t="n"/>
      <c r="Q775" s="32" t="inlineStr">
        <is>
          <t>P</t>
        </is>
      </c>
      <c r="R775" s="32" t="inlineStr">
        <is>
          <t>FL_DES_ABC_50kg</t>
        </is>
      </c>
      <c r="S775" s="17" t="inlineStr">
        <is>
          <t>Montaje final, después de la pintura, con las ruedas (proceso de carros, puesto 8)</t>
        </is>
      </c>
    </row>
    <row r="776">
      <c r="A776" s="32" t="inlineStr">
        <is>
          <t>FL_MAT_ABC_50kg</t>
        </is>
      </c>
      <c r="B776" s="32" t="n">
        <v>2</v>
      </c>
      <c r="C776" s="32" t="inlineStr">
        <is>
          <t>ABC50-12</t>
        </is>
      </c>
      <c r="D776" s="17" t="inlineStr">
        <is>
          <t xml:space="preserve">        Pasadores del eje (2)</t>
        </is>
      </c>
      <c r="E776" s="32" t="n">
        <v>1</v>
      </c>
      <c r="F776" s="32" t="inlineStr">
        <is>
          <t>u</t>
        </is>
      </c>
      <c r="G776" s="33" t="n">
        <v>0.0132</v>
      </c>
      <c r="H776" s="33">
        <f>E776*G776</f>
        <v/>
      </c>
      <c r="I776" s="32" t="inlineStr">
        <is>
          <t>Pasador partido acero Ø4 × 40</t>
        </is>
      </c>
      <c r="J776" s="17" t="inlineStr">
        <is>
          <t>2 pasadores partidos Ø4 × 40, uno en cada punta del eje, por fuera de la arandela</t>
        </is>
      </c>
      <c r="K776" s="32" t="inlineStr">
        <is>
          <t>Compra</t>
        </is>
      </c>
      <c r="L776" s="32" t="inlineStr">
        <is>
          <t>Sí</t>
        </is>
      </c>
      <c r="M776" s="17" t="inlineStr">
        <is>
          <t>Hierros Parrotta</t>
        </is>
      </c>
      <c r="N776" s="17" t="inlineStr">
        <is>
          <t>-</t>
        </is>
      </c>
      <c r="O776" s="17" t="inlineStr">
        <is>
          <t>Después de 12 pintura: ruedas montadas sobre el eje</t>
        </is>
      </c>
      <c r="P776" s="17" t="n"/>
      <c r="Q776" s="32" t="inlineStr">
        <is>
          <t>P</t>
        </is>
      </c>
      <c r="R776" s="32" t="inlineStr">
        <is>
          <t>FL_DES_ABC_50kg</t>
        </is>
      </c>
      <c r="S776" s="17" t="inlineStr">
        <is>
          <t>Montaje final, después de la pintura, con las ruedas (proceso de carros, puesto 8)</t>
        </is>
      </c>
    </row>
    <row r="777">
      <c r="A777" s="32" t="inlineStr">
        <is>
          <t>FL_MAT_ABC_50kg</t>
        </is>
      </c>
      <c r="B777" s="32" t="n">
        <v>2</v>
      </c>
      <c r="C777" s="32" t="inlineStr">
        <is>
          <t>ABC50-13</t>
        </is>
      </c>
      <c r="D777" s="17" t="inlineStr">
        <is>
          <t xml:space="preserve">        Manija del carro</t>
        </is>
      </c>
      <c r="E777" s="32" t="n">
        <v>1</v>
      </c>
      <c r="F777" s="32" t="inlineStr">
        <is>
          <t>u</t>
        </is>
      </c>
      <c r="G777" s="33" t="n">
        <v>1.5697</v>
      </c>
      <c r="H777" s="33">
        <f>E777*G777</f>
        <v/>
      </c>
      <c r="I777" s="32" t="inlineStr">
        <is>
          <t>Caño acero SAE 1010 1" × 2,0</t>
        </is>
      </c>
      <c r="J777" s="17" t="inlineStr">
        <is>
          <t>caño 1" (Ø25,4) × 2,0, corte 1.460 (desarrollado del modelo 1.452); puntas aplastadas en lengüetas 40 × 60 × 4 soldadas a los costados, borde de abajo 200 bajo la costura de la cúpula; 2 curvas de 90° y 2 de 30° (doblez a 965 del piso), puño hacia atrás a 1.160</t>
        </is>
      </c>
      <c r="K777" s="32" t="inlineStr">
        <is>
          <t>Fabricación</t>
        </is>
      </c>
      <c r="L777" s="32" t="inlineStr">
        <is>
          <t>No</t>
        </is>
      </c>
      <c r="M777" s="17" t="n"/>
      <c r="N777" s="17" t="n"/>
      <c r="O777" s="17" t="inlineStr">
        <is>
          <t>8.1 fabricación de accesorios (orillas / caño / barra) -&gt; 8 soldadura MAG al recipiente, antes de la PH (IRAM 3550 6.1.1)</t>
        </is>
      </c>
      <c r="P777" s="17" t="n"/>
      <c r="Q777" s="32" t="inlineStr">
        <is>
          <t>P</t>
        </is>
      </c>
      <c r="R777" s="32" t="inlineStr">
        <is>
          <t>FL_DES_ABC_50kg</t>
        </is>
      </c>
      <c r="S777"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778">
      <c r="A778" s="34" t="inlineStr">
        <is>
          <t>FL_MAT_ABC_50kg</t>
        </is>
      </c>
      <c r="B778" s="34" t="n">
        <v>3</v>
      </c>
      <c r="C778" s="34" t="inlineStr">
        <is>
          <t>MP-CANO-CARRO</t>
        </is>
      </c>
      <c r="D778" s="35" t="inlineStr">
        <is>
          <t xml:space="preserve">            Caño SAE 1010 1" × 2,0 (tramo de barra de 6 m)</t>
        </is>
      </c>
      <c r="E778" s="34" t="n">
        <v>0.2433</v>
      </c>
      <c r="F778" s="34" t="inlineStr">
        <is>
          <t>barra</t>
        </is>
      </c>
      <c r="G778" s="36" t="n">
        <v>6.925</v>
      </c>
      <c r="H778" s="36">
        <f>E778*G778</f>
        <v/>
      </c>
      <c r="I778" s="34" t="inlineStr">
        <is>
          <t>Caño acero SAE 1010 1" × 2,0</t>
        </is>
      </c>
      <c r="J778" s="35" t="inlineStr">
        <is>
          <t>1.460 mm por pieza (kg por barra de 6 m)</t>
        </is>
      </c>
      <c r="K778" s="34" t="inlineStr">
        <is>
          <t>Compra</t>
        </is>
      </c>
      <c r="L778" s="34" t="inlineStr">
        <is>
          <t>Sí</t>
        </is>
      </c>
      <c r="M778" s="35" t="inlineStr">
        <is>
          <t>Metalpri / Prilux</t>
        </is>
      </c>
      <c r="N778" s="35" t="inlineStr">
        <is>
          <t>Comercial MID</t>
        </is>
      </c>
      <c r="O778" s="35" t="inlineStr">
        <is>
          <t>Corte en sierra</t>
        </is>
      </c>
      <c r="P778" s="35" t="n"/>
      <c r="Q778" s="34" t="inlineStr">
        <is>
          <t>C</t>
        </is>
      </c>
      <c r="R778" s="34" t="n"/>
      <c r="S778" s="35" t="inlineStr">
        <is>
          <t>Largo de corte = desarrollo del modelo a 10 mm (kit del puesto 8.1), con las lengüetas a aplastar</t>
        </is>
      </c>
    </row>
    <row r="779">
      <c r="A779" s="32" t="inlineStr">
        <is>
          <t>FL_MAT_ABC_50kg</t>
        </is>
      </c>
      <c r="B779" s="32" t="n">
        <v>2</v>
      </c>
      <c r="C779" s="32" t="inlineStr">
        <is>
          <t>ABC50-27</t>
        </is>
      </c>
      <c r="D779" s="17" t="inlineStr">
        <is>
          <t xml:space="preserve">        Flejes del soporte de manga (2)</t>
        </is>
      </c>
      <c r="E779" s="32" t="n">
        <v>1</v>
      </c>
      <c r="F779" s="32" t="inlineStr">
        <is>
          <t>u</t>
        </is>
      </c>
      <c r="G779" s="33" t="n">
        <v>0.8231000000000001</v>
      </c>
      <c r="H779" s="33">
        <f>E779*G779</f>
        <v/>
      </c>
      <c r="I779" s="32" t="inlineStr">
        <is>
          <t>Chapa LAC 3,2 × 40 plegada</t>
        </is>
      </c>
      <c r="J779" s="17" t="inlineStr">
        <is>
          <t>2 flejes iguales 40 × 3,2 de 398 de corte, 4 dobleces de 90° (U abierta hacia afuera): base 174 por fuera, soldada al cuerpo por el centro, patas 104 (hasta delante de la última vuelta) y orejas 20 hacia los costados; superior a 40 bajo la costura de la cúpula, inferior a 40 sobre la del fondo; la manga pasa por afuera de las patas y detrás de las orejas</t>
        </is>
      </c>
      <c r="K779" s="32" t="inlineStr">
        <is>
          <t>Fabricación</t>
        </is>
      </c>
      <c r="L779" s="32" t="inlineStr">
        <is>
          <t>No</t>
        </is>
      </c>
      <c r="M779" s="17" t="n"/>
      <c r="N779" s="17" t="n"/>
      <c r="O779" s="17" t="inlineStr">
        <is>
          <t>8.1 fabricación de accesorios (orillas / caño / barra) -&gt; 8 soldadura MAG al recipiente, antes de la PH (IRAM 3550 6.1.1)</t>
        </is>
      </c>
      <c r="P779" s="17" t="n"/>
      <c r="Q779" s="32" t="inlineStr">
        <is>
          <t>P</t>
        </is>
      </c>
      <c r="R779" s="32" t="inlineStr">
        <is>
          <t>FL_DES_ABC_50kg</t>
        </is>
      </c>
      <c r="S779" s="17" t="inlineStr">
        <is>
          <t>Proceso FLAMA de carros, puesto 8 (kit del 8.1): medidas y posición de la tabla del puesto; se suelda antes de la prueba hidráulica (IRAM 3550 6.1.1); chapa de las orillas del corte (sin compra)</t>
        </is>
      </c>
    </row>
    <row r="780">
      <c r="A780" s="29" t="inlineStr">
        <is>
          <t>FL_MAT_ABC_50kg</t>
        </is>
      </c>
      <c r="B780" s="29" t="n">
        <v>1</v>
      </c>
      <c r="C780" s="29" t="inlineStr">
        <is>
          <t>ABC50-S5</t>
        </is>
      </c>
      <c r="D780" s="30" t="inlineStr">
        <is>
          <t xml:space="preserve">    Carga: agente extintor y gas impulsor</t>
        </is>
      </c>
      <c r="E780" s="29" t="n">
        <v>1</v>
      </c>
      <c r="F780" s="29" t="inlineStr">
        <is>
          <t>u</t>
        </is>
      </c>
      <c r="G780" s="31" t="n"/>
      <c r="H780" s="31">
        <f>H781+H782</f>
        <v/>
      </c>
      <c r="I780" s="29" t="n"/>
      <c r="J780" s="30" t="n"/>
      <c r="K780" s="29" t="inlineStr">
        <is>
          <t>Carga en planta</t>
        </is>
      </c>
      <c r="L780" s="29" t="n"/>
      <c r="M780" s="30" t="n"/>
      <c r="N780" s="30" t="n"/>
      <c r="O780" s="30" t="inlineStr">
        <is>
          <t>18 Carga de polvo (T01) / C8 (T02)</t>
        </is>
      </c>
      <c r="P780" s="30" t="n"/>
      <c r="Q780" s="29" t="n"/>
      <c r="R780" s="29" t="n"/>
      <c r="S780" s="30" t="n"/>
    </row>
    <row r="781">
      <c r="A781" s="32" t="inlineStr">
        <is>
          <t>FL_MAT_ABC_50kg</t>
        </is>
      </c>
      <c r="B781" s="32" t="n">
        <v>2</v>
      </c>
      <c r="C781" s="32" t="inlineStr">
        <is>
          <t>ABC50-A1</t>
        </is>
      </c>
      <c r="D781" s="17" t="inlineStr">
        <is>
          <t xml:space="preserve">        Polvo químico seco ABC 90 (Sello IRAM 3569)</t>
        </is>
      </c>
      <c r="E781" s="32" t="n">
        <v>50</v>
      </c>
      <c r="F781" s="32" t="inlineStr">
        <is>
          <t>kg</t>
        </is>
      </c>
      <c r="G781" s="33" t="n">
        <v>1</v>
      </c>
      <c r="H781" s="33">
        <f>E781*G781</f>
        <v/>
      </c>
      <c r="I781" s="32" t="inlineStr">
        <is>
          <t>Polvo químico seco ABC 90 (Sello IRAM 3569)</t>
        </is>
      </c>
      <c r="J781" s="17" t="inlineStr">
        <is>
          <t>nominal 50 kg; tolerancia ± 3 % (IRAM 3517-2:2020 tabla 3)</t>
        </is>
      </c>
      <c r="K781" s="32" t="inlineStr">
        <is>
          <t>Compra</t>
        </is>
      </c>
      <c r="L781" s="32" t="inlineStr">
        <is>
          <t>Sí</t>
        </is>
      </c>
      <c r="M781" s="17" t="inlineStr">
        <is>
          <t>DEM S.A. (DEMSA)</t>
        </is>
      </c>
      <c r="N781" s="17" t="inlineStr">
        <is>
          <t>Polvex S.R.L. / Sancibrao</t>
        </is>
      </c>
      <c r="O781" s="17" t="inlineStr">
        <is>
          <t>SP-1 almacén previo a la carga</t>
        </is>
      </c>
      <c r="P781" s="17" t="inlineStr">
        <is>
          <t>IRAM 3569</t>
        </is>
      </c>
      <c r="Q781" s="32" t="inlineStr">
        <is>
          <t>N</t>
        </is>
      </c>
      <c r="R781" s="32" t="n"/>
      <c r="S781" s="17" t="inlineStr">
        <is>
          <t>Composición declarada del polvo ABC 90: MAP 90 % (IRAM 3569: 85,5-94,5 %) = 45 kg MAP + 3,5 kg sulfato de amonio + 1,5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782">
      <c r="A782" s="37" t="inlineStr">
        <is>
          <t>FL_MAT_ABC_50kg</t>
        </is>
      </c>
      <c r="B782" s="37" t="n">
        <v>2</v>
      </c>
      <c r="C782" s="37" t="inlineStr">
        <is>
          <t>ABC50-A2</t>
        </is>
      </c>
      <c r="D782" s="18" t="inlineStr">
        <is>
          <t xml:space="preserve">        Gas impulsor: N₂</t>
        </is>
      </c>
      <c r="E782" s="37" t="n">
        <v>0.2819</v>
      </c>
      <c r="F782" s="37" t="inlineStr">
        <is>
          <t>kg</t>
        </is>
      </c>
      <c r="G782" s="38" t="n">
        <v>1</v>
      </c>
      <c r="H782" s="38">
        <f>E782*G782</f>
        <v/>
      </c>
      <c r="I782" s="37" t="inlineStr">
        <is>
          <t>N₂</t>
        </is>
      </c>
      <c r="J782" s="18" t="inlineStr">
        <is>
          <t>225,6 L normales para 1,4 MPa a 20 °C en 16,35 dm³ libres</t>
        </is>
      </c>
      <c r="K782" s="37" t="inlineStr">
        <is>
          <t>Compra</t>
        </is>
      </c>
      <c r="L782" s="37" t="inlineStr">
        <is>
          <t>Sí</t>
        </is>
      </c>
      <c r="M782" s="18" t="inlineStr">
        <is>
          <t>Air Liquide Argentina - sucursal Piñeyro</t>
        </is>
      </c>
      <c r="N782" s="18" t="inlineStr">
        <is>
          <t>Gogniat</t>
        </is>
      </c>
      <c r="O782" s="18" t="inlineStr">
        <is>
          <t>20 Presurización (T05) / C10</t>
        </is>
      </c>
      <c r="P782" s="18" t="inlineStr">
        <is>
          <t>IRAM 3517-2 9.4.9 (tabla 2) · IRAM 3523 2.3 y 3.10</t>
        </is>
      </c>
      <c r="Q782" s="37" t="inlineStr">
        <is>
          <t>C</t>
        </is>
      </c>
      <c r="R782" s="37" t="n"/>
      <c r="S782" s="18" t="inlineStr">
        <is>
          <t>N₂ ≥ 99,8 %, H₂O ≤ 40 ppm (Q-N2, Air Liquide) · volumen libre con ρ empacada mínima 1,1 kg/dm³ (NOM-104-STPS-2001); confirmar con descarga ≥ 85 % (IRAM 3523 4.9.1)</t>
        </is>
      </c>
    </row>
    <row r="783">
      <c r="A783" s="29" t="inlineStr">
        <is>
          <t>FL_MAT_ABC_50kg</t>
        </is>
      </c>
      <c r="B783" s="29" t="n">
        <v>1</v>
      </c>
      <c r="C783" s="29" t="inlineStr">
        <is>
          <t>ABC50-S6</t>
        </is>
      </c>
      <c r="D783" s="30" t="inlineStr">
        <is>
          <t xml:space="preserve">    Identificación y precinto</t>
        </is>
      </c>
      <c r="E783" s="29" t="n">
        <v>1</v>
      </c>
      <c r="F783" s="29" t="inlineStr">
        <is>
          <t>u</t>
        </is>
      </c>
      <c r="G783" s="31" t="n"/>
      <c r="H783" s="31">
        <f>H784+H785+H786+H787+H788+H789+H790</f>
        <v/>
      </c>
      <c r="I783" s="29" t="n"/>
      <c r="J783" s="30" t="n"/>
      <c r="K783" s="29" t="inlineStr">
        <is>
          <t>Compra</t>
        </is>
      </c>
      <c r="L783" s="29" t="n"/>
      <c r="M783" s="30" t="n"/>
      <c r="N783" s="30" t="n"/>
      <c r="O783" s="30" t="inlineStr">
        <is>
          <t>22 Etiquetado (T07)</t>
        </is>
      </c>
      <c r="P783" s="30" t="n"/>
      <c r="Q783" s="29" t="n"/>
      <c r="R783" s="29" t="n"/>
      <c r="S783" s="30" t="n"/>
    </row>
    <row r="784">
      <c r="A784" s="32" t="inlineStr">
        <is>
          <t>FL_MAT_ABC_50kg</t>
        </is>
      </c>
      <c r="B784" s="32" t="n">
        <v>2</v>
      </c>
      <c r="C784" s="32" t="inlineStr">
        <is>
          <t>ABC50-30</t>
        </is>
      </c>
      <c r="D784" s="17" t="inlineStr">
        <is>
          <t xml:space="preserve">        Etiqueta / placa de características</t>
        </is>
      </c>
      <c r="E784" s="32" t="n">
        <v>1</v>
      </c>
      <c r="F784" s="32" t="inlineStr">
        <is>
          <t>u</t>
        </is>
      </c>
      <c r="G784" s="33" t="n">
        <v>0.0524</v>
      </c>
      <c r="H784" s="33">
        <f>E784*G784</f>
        <v/>
      </c>
      <c r="I784" s="32" t="inlineStr">
        <is>
          <t>Vinilo autoadhesivo laminado</t>
        </is>
      </c>
      <c r="J784" s="17" t="inlineStr">
        <is>
          <t>604 × 207 (desarrollo × alto: panel central 108° + 2 alas laterales), e ≈ 0,3, laminado UV</t>
        </is>
      </c>
      <c r="K784" s="32" t="inlineStr">
        <is>
          <t>Compra</t>
        </is>
      </c>
      <c r="L784" s="32" t="inlineStr">
        <is>
          <t>Sí</t>
        </is>
      </c>
      <c r="M784" s="17" t="inlineStr">
        <is>
          <t>Astuprint</t>
        </is>
      </c>
      <c r="N784" s="17" t="inlineStr">
        <is>
          <t>Multilabel Argentina S.A.</t>
        </is>
      </c>
      <c r="O784" s="17" t="inlineStr">
        <is>
          <t>22 Etiquetado (T07)</t>
        </is>
      </c>
      <c r="P784" s="17" t="inlineStr">
        <is>
          <t>IRAM 3534 · IRAM 3550 cap. 5 · relevamiento de mercado</t>
        </is>
      </c>
      <c r="Q784" s="32" t="inlineStr">
        <is>
          <t>P</t>
        </is>
      </c>
      <c r="R784" s="32" t="inlineStr">
        <is>
          <t>FL_DES_ABC_50kg</t>
        </is>
      </c>
      <c r="S784" s="17" t="inlineStr">
        <is>
          <t>IRAM 3534</t>
        </is>
      </c>
    </row>
    <row r="785">
      <c r="A785" s="32" t="inlineStr">
        <is>
          <t>FL_MAT_ABC_50kg</t>
        </is>
      </c>
      <c r="B785" s="32" t="n">
        <v>2</v>
      </c>
      <c r="C785" s="32" t="inlineStr">
        <is>
          <t>ABC50-31</t>
        </is>
      </c>
      <c r="D785" s="17" t="inlineStr">
        <is>
          <t xml:space="preserve">        Oblea de fabricación (PBA)</t>
        </is>
      </c>
      <c r="E785" s="32" t="n">
        <v>1</v>
      </c>
      <c r="F785" s="32" t="inlineStr">
        <is>
          <t>u</t>
        </is>
      </c>
      <c r="G785" s="33" t="n">
        <v>0.0009</v>
      </c>
      <c r="H785" s="33">
        <f>E785*G785</f>
        <v/>
      </c>
      <c r="I785" s="32" t="inlineStr">
        <is>
          <t>Papel de seguridad autodestructible</t>
        </is>
      </c>
      <c r="J785" s="17" t="inlineStr">
        <is>
          <t>Ø46 (Res. OPDS 522/07), numerada, autodestructible</t>
        </is>
      </c>
      <c r="K785" s="32" t="inlineStr">
        <is>
          <t>Compra</t>
        </is>
      </c>
      <c r="L785" s="32" t="inlineStr">
        <is>
          <t>Sí</t>
        </is>
      </c>
      <c r="M785" s="17" t="inlineStr">
        <is>
          <t>Ministerio de Ambiente PBA (ex OPDS)</t>
        </is>
      </c>
      <c r="N785" s="17" t="inlineStr">
        <is>
          <t>-</t>
        </is>
      </c>
      <c r="O785" s="17" t="inlineStr">
        <is>
          <t>22 Etiquetado (T07)</t>
        </is>
      </c>
      <c r="P785" s="17" t="inlineStr">
        <is>
          <t>Res. OPDS 522/07 anexos 1, 2 y 6</t>
        </is>
      </c>
      <c r="Q785" s="32" t="inlineStr">
        <is>
          <t>P</t>
        </is>
      </c>
      <c r="R785" s="32" t="inlineStr">
        <is>
          <t>FL_DES_ABC_50kg</t>
        </is>
      </c>
      <c r="S785" s="17" t="inlineStr">
        <is>
          <t>Res. 522/07</t>
        </is>
      </c>
    </row>
    <row r="786">
      <c r="A786" s="32" t="inlineStr">
        <is>
          <t>FL_MAT_ABC_50kg</t>
        </is>
      </c>
      <c r="B786" s="32" t="n">
        <v>2</v>
      </c>
      <c r="C786" s="32" t="inlineStr">
        <is>
          <t>ABC50-32</t>
        </is>
      </c>
      <c r="D786" s="17" t="inlineStr">
        <is>
          <t xml:space="preserve">        Estampilla IRAM de conformidad</t>
        </is>
      </c>
      <c r="E786" s="32" t="n">
        <v>1</v>
      </c>
      <c r="F786" s="32" t="inlineStr">
        <is>
          <t>u</t>
        </is>
      </c>
      <c r="G786" s="33" t="n">
        <v>0.001</v>
      </c>
      <c r="H786" s="33">
        <f>E786*G786</f>
        <v/>
      </c>
      <c r="I786" s="32" t="inlineStr">
        <is>
          <t>Provista por IRAM (Anexo R)</t>
        </is>
      </c>
      <c r="J786" s="17" t="inlineStr">
        <is>
          <t>60 × 40</t>
        </is>
      </c>
      <c r="K786" s="32" t="inlineStr">
        <is>
          <t>Compra</t>
        </is>
      </c>
      <c r="L786" s="32" t="inlineStr">
        <is>
          <t>Sí</t>
        </is>
      </c>
      <c r="M786" s="17" t="inlineStr">
        <is>
          <t>IRAM - Instituto Argentino de Normalización</t>
        </is>
      </c>
      <c r="N786" s="17" t="inlineStr">
        <is>
          <t>-</t>
        </is>
      </c>
      <c r="O786" s="17" t="inlineStr">
        <is>
          <t>22 Etiquetado (T07)</t>
        </is>
      </c>
      <c r="P786" s="17" t="inlineStr">
        <is>
          <t>IRAM Anexo R (DC-PG-129)</t>
        </is>
      </c>
      <c r="Q786" s="32" t="inlineStr">
        <is>
          <t>P</t>
        </is>
      </c>
      <c r="R786" s="32" t="inlineStr">
        <is>
          <t>FL_DES_ABC_50kg</t>
        </is>
      </c>
      <c r="S786" s="17" t="inlineStr">
        <is>
          <t>numerada</t>
        </is>
      </c>
    </row>
    <row r="787">
      <c r="A787" s="32" t="inlineStr">
        <is>
          <t>FL_MAT_ABC_50kg</t>
        </is>
      </c>
      <c r="B787" s="32" t="n">
        <v>2</v>
      </c>
      <c r="C787" s="32" t="inlineStr">
        <is>
          <t>ABC50-33</t>
        </is>
      </c>
      <c r="D787" s="17" t="inlineStr">
        <is>
          <t xml:space="preserve">        Tarjeta de identificación AGC (CABA)</t>
        </is>
      </c>
      <c r="E787" s="32" t="n">
        <v>1</v>
      </c>
      <c r="F787" s="32" t="inlineStr">
        <is>
          <t>u</t>
        </is>
      </c>
      <c r="G787" s="33" t="n">
        <v>0.0032</v>
      </c>
      <c r="H787" s="33">
        <f>E787*G787</f>
        <v/>
      </c>
      <c r="I787" s="32" t="inlineStr">
        <is>
          <t>Etiqueta autoadhesiva emitida por la AGC</t>
        </is>
      </c>
      <c r="J787" s="17" t="inlineStr">
        <is>
          <t>140 × 55</t>
        </is>
      </c>
      <c r="K787" s="32" t="inlineStr">
        <is>
          <t>Compra</t>
        </is>
      </c>
      <c r="L787" s="32" t="inlineStr">
        <is>
          <t>Sí</t>
        </is>
      </c>
      <c r="M787" s="17" t="inlineStr">
        <is>
          <t>Agencia Gubernamental de Control (CABA)</t>
        </is>
      </c>
      <c r="N787" s="17" t="inlineStr">
        <is>
          <t>-</t>
        </is>
      </c>
      <c r="O787" s="17" t="inlineStr">
        <is>
          <t>22 Etiquetado (T07)</t>
        </is>
      </c>
      <c r="P787" s="17" t="inlineStr">
        <is>
          <t>Ordenanza 40.473 art. 6 · Res. AGC 32/15</t>
        </is>
      </c>
      <c r="Q787" s="32" t="inlineStr">
        <is>
          <t>P</t>
        </is>
      </c>
      <c r="R787" s="32" t="inlineStr">
        <is>
          <t>FL_DES_ABC_50kg</t>
        </is>
      </c>
      <c r="S787" s="17" t="inlineStr">
        <is>
          <t>sólo destino CABA</t>
        </is>
      </c>
    </row>
    <row r="788">
      <c r="A788" s="32" t="inlineStr">
        <is>
          <t>FL_MAT_ABC_50kg</t>
        </is>
      </c>
      <c r="B788" s="32" t="n">
        <v>2</v>
      </c>
      <c r="C788" s="32" t="inlineStr">
        <is>
          <t>ABC50-34</t>
        </is>
      </c>
      <c r="D788" s="17" t="inlineStr">
        <is>
          <t xml:space="preserve">        Etiqueta de n° de serie GS1</t>
        </is>
      </c>
      <c r="E788" s="32" t="n">
        <v>1</v>
      </c>
      <c r="F788" s="32" t="inlineStr">
        <is>
          <t>u</t>
        </is>
      </c>
      <c r="G788" s="33" t="n">
        <v>0.0005</v>
      </c>
      <c r="H788" s="33">
        <f>E788*G788</f>
        <v/>
      </c>
      <c r="I788" s="32" t="inlineStr">
        <is>
          <t>Poliéster autoadhesivo impreso térmico</t>
        </is>
      </c>
      <c r="J788" s="17" t="inlineStr">
        <is>
          <t>45 × 25</t>
        </is>
      </c>
      <c r="K788" s="32" t="inlineStr">
        <is>
          <t>Compra</t>
        </is>
      </c>
      <c r="L788" s="32" t="inlineStr">
        <is>
          <t>Sí</t>
        </is>
      </c>
      <c r="M788" s="17" t="inlineStr">
        <is>
          <t>Astuprint</t>
        </is>
      </c>
      <c r="N788" s="17" t="inlineStr">
        <is>
          <t>GS1 Argentina</t>
        </is>
      </c>
      <c r="O788" s="17" t="inlineStr">
        <is>
          <t>22 Etiquetado (T07)</t>
        </is>
      </c>
      <c r="P788" s="17" t="inlineStr">
        <is>
          <t>GS1 Argentina (GTIN 779) · trazabilidad IRAM 3523 5.1</t>
        </is>
      </c>
      <c r="Q788" s="32" t="inlineStr">
        <is>
          <t>P</t>
        </is>
      </c>
      <c r="R788" s="32" t="inlineStr">
        <is>
          <t>FL_DES_ABC_50kg</t>
        </is>
      </c>
      <c r="S788" s="17" t="inlineStr">
        <is>
          <t>QR GTIN + serie</t>
        </is>
      </c>
    </row>
    <row r="789">
      <c r="A789" s="32" t="inlineStr">
        <is>
          <t>FL_MAT_ABC_50kg</t>
        </is>
      </c>
      <c r="B789" s="32" t="n">
        <v>2</v>
      </c>
      <c r="C789" s="32" t="inlineStr">
        <is>
          <t>ABC50-36</t>
        </is>
      </c>
      <c r="D789" s="17" t="inlineStr">
        <is>
          <t xml:space="preserve">        Faja de garantía válvula-cuello</t>
        </is>
      </c>
      <c r="E789" s="32" t="n">
        <v>1</v>
      </c>
      <c r="F789" s="32" t="inlineStr">
        <is>
          <t>u</t>
        </is>
      </c>
      <c r="G789" s="33" t="n">
        <v>0.0004</v>
      </c>
      <c r="H789" s="33">
        <f>E789*G789</f>
        <v/>
      </c>
      <c r="I789" s="32" t="inlineStr">
        <is>
          <t>Vinilo destructible rayado rojo/blanco</t>
        </is>
      </c>
      <c r="J789" s="17" t="inlineStr">
        <is>
          <t>30 × 47 (ancho × largo desarrollado), pegada sobre la unión: cuerpo de la válvula, tuerca y cuello</t>
        </is>
      </c>
      <c r="K789" s="32" t="inlineStr">
        <is>
          <t>Compra</t>
        </is>
      </c>
      <c r="L789" s="32" t="inlineStr">
        <is>
          <t>Sí</t>
        </is>
      </c>
      <c r="M789" s="17" t="inlineStr">
        <is>
          <t>Astuprint</t>
        </is>
      </c>
      <c r="N789" s="17" t="inlineStr">
        <is>
          <t>Multilabel Argentina S.A.</t>
        </is>
      </c>
      <c r="O789" s="17" t="inlineStr">
        <is>
          <t>22 Etiquetado (T07)</t>
        </is>
      </c>
      <c r="P789" s="17" t="inlineStr">
        <is>
          <t>Sin norma: práctica de mercado (garantía de fábrica)</t>
        </is>
      </c>
      <c r="Q789" s="32" t="inlineStr">
        <is>
          <t>P</t>
        </is>
      </c>
      <c r="R789" s="32" t="inlineStr">
        <is>
          <t>FL_DES_ABC_50kg</t>
        </is>
      </c>
      <c r="S789" s="17" t="inlineStr">
        <is>
          <t>nuevo sin abrir</t>
        </is>
      </c>
    </row>
    <row r="790">
      <c r="A790" s="32" t="inlineStr">
        <is>
          <t>FL_MAT_ABC_50kg</t>
        </is>
      </c>
      <c r="B790" s="32" t="n">
        <v>2</v>
      </c>
      <c r="C790" s="32" t="inlineStr">
        <is>
          <t>ABC50-37</t>
        </is>
      </c>
      <c r="D790" s="17" t="inlineStr">
        <is>
          <t xml:space="preserve">        Precinto de fábrica</t>
        </is>
      </c>
      <c r="E790" s="32" t="n">
        <v>1</v>
      </c>
      <c r="F790" s="32" t="inlineStr">
        <is>
          <t>u</t>
        </is>
      </c>
      <c r="G790" s="33" t="n">
        <v>0.0002</v>
      </c>
      <c r="H790" s="33">
        <f>E790*G790</f>
        <v/>
      </c>
      <c r="I790" s="32" t="inlineStr">
        <is>
          <t>Polipropileno color</t>
        </is>
      </c>
      <c r="J790" s="17" t="inlineStr">
        <is>
          <t>Ø5 × 10, numerado, rotura 30-50 N</t>
        </is>
      </c>
      <c r="K790" s="32" t="inlineStr">
        <is>
          <t>Compra</t>
        </is>
      </c>
      <c r="L790" s="32" t="inlineStr">
        <is>
          <t>Sí</t>
        </is>
      </c>
      <c r="M790" s="17" t="inlineStr">
        <is>
          <t>SonFuertes (vía Papelera Damián)</t>
        </is>
      </c>
      <c r="N790" s="17" t="inlineStr">
        <is>
          <t>Precinter S.R.L.</t>
        </is>
      </c>
      <c r="O790" s="17" t="inlineStr">
        <is>
          <t>20 Presurización (T05)</t>
        </is>
      </c>
      <c r="P790" s="17" t="inlineStr">
        <is>
          <t>IRAM 3523 3.3.2 · IRAM 3517-2:2020 9.4.13</t>
        </is>
      </c>
      <c r="Q790" s="32" t="inlineStr">
        <is>
          <t>P</t>
        </is>
      </c>
      <c r="R790" s="32" t="inlineStr">
        <is>
          <t>FL_DES_ABC_50kg</t>
        </is>
      </c>
      <c r="S790" s="17" t="inlineStr">
        <is>
          <t>id. FLAMA y lote</t>
        </is>
      </c>
    </row>
    <row r="791">
      <c r="A791" s="29" t="inlineStr">
        <is>
          <t>FL_MAT_ABC_50kg</t>
        </is>
      </c>
      <c r="B791" s="29" t="n">
        <v>1</v>
      </c>
      <c r="C791" s="29" t="inlineStr">
        <is>
          <t>ABC50-S7</t>
        </is>
      </c>
      <c r="D791" s="30" t="inlineStr">
        <is>
          <t xml:space="preserve">    Embalaje</t>
        </is>
      </c>
      <c r="E791" s="29" t="n">
        <v>1</v>
      </c>
      <c r="F791" s="29" t="inlineStr">
        <is>
          <t>u</t>
        </is>
      </c>
      <c r="G791" s="31" t="n"/>
      <c r="H791" s="31">
        <f>H794</f>
        <v/>
      </c>
      <c r="I791" s="29" t="n"/>
      <c r="J791" s="30" t="n"/>
      <c r="K791" s="29" t="inlineStr">
        <is>
          <t>Compra</t>
        </is>
      </c>
      <c r="L791" s="29" t="n"/>
      <c r="M791" s="30" t="n"/>
      <c r="N791" s="30" t="n"/>
      <c r="O791" s="30" t="inlineStr">
        <is>
          <t>23 Embalaje -&gt; 24 envolvedora (T11)</t>
        </is>
      </c>
      <c r="P791" s="30" t="n"/>
      <c r="Q791" s="29" t="n"/>
      <c r="R791" s="29" t="n"/>
      <c r="S791" s="30" t="n"/>
    </row>
    <row r="792">
      <c r="A792" s="32" t="inlineStr">
        <is>
          <t>FL_MAT_ABC_50kg</t>
        </is>
      </c>
      <c r="B792" s="32" t="n">
        <v>2</v>
      </c>
      <c r="C792" s="32" t="inlineStr">
        <is>
          <t>ABC50-E1</t>
        </is>
      </c>
      <c r="D792" s="17" t="inlineStr">
        <is>
          <t xml:space="preserve">        Esquineros y funda de polietileno</t>
        </is>
      </c>
      <c r="E792" s="32" t="n">
        <v>1</v>
      </c>
      <c r="F792" s="32" t="inlineStr">
        <is>
          <t>jgo</t>
        </is>
      </c>
      <c r="G792" s="33" t="n"/>
      <c r="H792" s="33" t="n"/>
      <c r="I792" s="32" t="inlineStr">
        <is>
          <t>PE / cartón</t>
        </is>
      </c>
      <c r="J792" s="17" t="inlineStr">
        <is>
          <t>a medida de la envolvente del plano</t>
        </is>
      </c>
      <c r="K792" s="32" t="inlineStr">
        <is>
          <t>Compra</t>
        </is>
      </c>
      <c r="L792" s="32" t="inlineStr">
        <is>
          <t>Sí</t>
        </is>
      </c>
      <c r="M792" s="17" t="inlineStr">
        <is>
          <t>MV Embalajes</t>
        </is>
      </c>
      <c r="N792" s="17" t="inlineStr">
        <is>
          <t>Embalpack</t>
        </is>
      </c>
      <c r="O792" s="17" t="inlineStr">
        <is>
          <t>23 Embalaje</t>
        </is>
      </c>
      <c r="P792" s="17" t="n"/>
      <c r="Q792" s="32" t="inlineStr">
        <is>
          <t>P</t>
        </is>
      </c>
      <c r="R792" s="32" t="n"/>
      <c r="S792" s="17" t="inlineStr">
        <is>
          <t>Medida del plano</t>
        </is>
      </c>
    </row>
    <row r="793">
      <c r="A793" s="32" t="inlineStr">
        <is>
          <t>FL_MAT_ABC_50kg</t>
        </is>
      </c>
      <c r="B793" s="32" t="n">
        <v>2</v>
      </c>
      <c r="C793" s="32" t="inlineStr">
        <is>
          <t>ABC50-E3</t>
        </is>
      </c>
      <c r="D793" s="17" t="inlineStr">
        <is>
          <t xml:space="preserve">        Pallet 1200 × 1000 (fracción)</t>
        </is>
      </c>
      <c r="E793" s="32" t="n">
        <v>0.5</v>
      </c>
      <c r="F793" s="32" t="inlineStr">
        <is>
          <t>u</t>
        </is>
      </c>
      <c r="G793" s="33" t="n"/>
      <c r="H793" s="33" t="n"/>
      <c r="I793" s="32" t="inlineStr">
        <is>
          <t>Madera</t>
        </is>
      </c>
      <c r="J793" s="17" t="inlineStr">
        <is>
          <t>2 u por pallet</t>
        </is>
      </c>
      <c r="K793" s="32" t="inlineStr">
        <is>
          <t>Compra</t>
        </is>
      </c>
      <c r="L793" s="32" t="inlineStr">
        <is>
          <t>Sí</t>
        </is>
      </c>
      <c r="M793" s="17" t="inlineStr">
        <is>
          <t>IndusPallets</t>
        </is>
      </c>
      <c r="N793" s="17" t="inlineStr">
        <is>
          <t>-</t>
        </is>
      </c>
      <c r="O793" s="17" t="inlineStr">
        <is>
          <t>23 Embalaje</t>
        </is>
      </c>
      <c r="P793" s="17" t="n"/>
      <c r="Q793" s="32" t="inlineStr">
        <is>
          <t>C</t>
        </is>
      </c>
      <c r="R793" s="32" t="n"/>
      <c r="S793" s="17" t="inlineStr">
        <is>
          <t>u por pallet = acomodo de la caja (plano) en 1200 × 1000 × 1450 de alto</t>
        </is>
      </c>
    </row>
    <row r="794">
      <c r="A794" s="37" t="inlineStr">
        <is>
          <t>FL_MAT_ABC_50kg</t>
        </is>
      </c>
      <c r="B794" s="37" t="n">
        <v>2</v>
      </c>
      <c r="C794" s="37" t="inlineStr">
        <is>
          <t>ABC50-E4</t>
        </is>
      </c>
      <c r="D794" s="18" t="inlineStr">
        <is>
          <t xml:space="preserve">        Film stretch (fracción del pallet)</t>
        </is>
      </c>
      <c r="E794" s="37" t="n">
        <v>0.06</v>
      </c>
      <c r="F794" s="37" t="inlineStr">
        <is>
          <t>kg</t>
        </is>
      </c>
      <c r="G794" s="38" t="n">
        <v>1</v>
      </c>
      <c r="H794" s="38">
        <f>E794*G794</f>
        <v/>
      </c>
      <c r="I794" s="37" t="inlineStr">
        <is>
          <t>PE lineal 23 µm</t>
        </is>
      </c>
      <c r="J794" s="18" t="inlineStr">
        <is>
          <t>0,12 kg por pallet / 2 u</t>
        </is>
      </c>
      <c r="K794" s="37" t="inlineStr">
        <is>
          <t>Compra</t>
        </is>
      </c>
      <c r="L794" s="37" t="inlineStr">
        <is>
          <t>Sí</t>
        </is>
      </c>
      <c r="M794" s="18" t="inlineStr">
        <is>
          <t>MV Embalajes</t>
        </is>
      </c>
      <c r="N794" s="18" t="inlineStr">
        <is>
          <t>Embalpack</t>
        </is>
      </c>
      <c r="O794" s="18" t="inlineStr">
        <is>
          <t>24 Envolvedora (T11)</t>
        </is>
      </c>
      <c r="P794" s="18" t="n"/>
      <c r="Q794" s="37" t="inlineStr">
        <is>
          <t>C</t>
        </is>
      </c>
      <c r="R794" s="37" t="n"/>
      <c r="S794"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95">
      <c r="A795" s="32" t="inlineStr">
        <is>
          <t>FL_MAT_ABC_50kg</t>
        </is>
      </c>
      <c r="B795" s="32" t="n">
        <v>2</v>
      </c>
      <c r="C795" s="32" t="inlineStr">
        <is>
          <t>ABC50-E5</t>
        </is>
      </c>
      <c r="D795" s="17" t="inlineStr">
        <is>
          <t xml:space="preserve">        Etiqueta de pallet (lote y destino, fracción)</t>
        </is>
      </c>
      <c r="E795" s="32" t="n">
        <v>0.5</v>
      </c>
      <c r="F795" s="32" t="inlineStr">
        <is>
          <t>u</t>
        </is>
      </c>
      <c r="G795" s="33" t="n"/>
      <c r="H795" s="33" t="n"/>
      <c r="I795" s="32" t="inlineStr">
        <is>
          <t>Papel térmico</t>
        </is>
      </c>
      <c r="J795" s="17" t="inlineStr">
        <is>
          <t>100 × 150</t>
        </is>
      </c>
      <c r="K795" s="32" t="inlineStr">
        <is>
          <t>Compra</t>
        </is>
      </c>
      <c r="L795" s="32" t="inlineStr">
        <is>
          <t>Sí</t>
        </is>
      </c>
      <c r="M795" s="17" t="inlineStr">
        <is>
          <t>Astuprint</t>
        </is>
      </c>
      <c r="N795" s="17" t="inlineStr">
        <is>
          <t>Multilabel Argentina S.A.</t>
        </is>
      </c>
      <c r="O795" s="17" t="inlineStr">
        <is>
          <t>24 Envolvedora</t>
        </is>
      </c>
      <c r="P795" s="17" t="n"/>
      <c r="Q795" s="32" t="inlineStr">
        <is>
          <t>C</t>
        </is>
      </c>
      <c r="R795" s="32" t="n"/>
      <c r="S795" s="17" t="n"/>
    </row>
    <row r="796">
      <c r="A796" s="26" t="inlineStr">
        <is>
          <t>FL_MAT_ABC_70kg</t>
        </is>
      </c>
      <c r="B796" s="26" t="n">
        <v>0</v>
      </c>
      <c r="C796" s="26" t="inlineStr">
        <is>
          <t>FL_MAT_ABC_70kg</t>
        </is>
      </c>
      <c r="D796" s="27" t="inlineStr">
        <is>
          <t>Extintor ABC 70 kg sobre ruedas</t>
        </is>
      </c>
      <c r="E796" s="26" t="n">
        <v>1</v>
      </c>
      <c r="F796" s="26" t="inlineStr">
        <is>
          <t>u</t>
        </is>
      </c>
      <c r="G796" s="28" t="n"/>
      <c r="H796" s="28" t="n"/>
      <c r="I796" s="26" t="n"/>
      <c r="J796" s="27" t="n"/>
      <c r="K796" s="26" t="n"/>
      <c r="L796" s="26" t="n"/>
      <c r="M796" s="27" t="n"/>
      <c r="N796" s="27" t="n"/>
      <c r="O796" s="27" t="n"/>
      <c r="P796" s="27" t="inlineStr">
        <is>
          <t>IRAM 3550</t>
        </is>
      </c>
      <c r="Q796" s="26" t="inlineStr">
        <is>
          <t>P</t>
        </is>
      </c>
      <c r="R796" s="26" t="inlineStr">
        <is>
          <t>FL_MAT_ABC_70kg</t>
        </is>
      </c>
      <c r="S796" s="27" t="inlineStr">
        <is>
          <t>Fabricación propia</t>
        </is>
      </c>
    </row>
    <row r="797">
      <c r="A797" s="29" t="inlineStr">
        <is>
          <t>FL_MAT_ABC_70kg</t>
        </is>
      </c>
      <c r="B797" s="29" t="n">
        <v>1</v>
      </c>
      <c r="C797" s="29" t="inlineStr">
        <is>
          <t>FL_REC_ABC_70kg</t>
        </is>
      </c>
      <c r="D797" s="30" t="inlineStr">
        <is>
          <t xml:space="preserve">    Recipiente (cilindro)</t>
        </is>
      </c>
      <c r="E797" s="29" t="n">
        <v>1</v>
      </c>
      <c r="F797" s="29" t="inlineStr">
        <is>
          <t>u</t>
        </is>
      </c>
      <c r="G797" s="31" t="n"/>
      <c r="H797" s="31">
        <f>H798+H800+H801+H802+H803+H804</f>
        <v/>
      </c>
      <c r="I797" s="29" t="n"/>
      <c r="J797" s="30" t="n"/>
      <c r="K797" s="29" t="inlineStr">
        <is>
          <t>Fabricación</t>
        </is>
      </c>
      <c r="L797" s="29" t="n"/>
      <c r="M797" s="30" t="n"/>
      <c r="N797" s="30" t="n"/>
      <c r="O797" s="30" t="n"/>
      <c r="P797" s="30" t="inlineStr">
        <is>
          <t>IRAM 3523 / 3550 (recipiente)</t>
        </is>
      </c>
      <c r="Q797" s="29" t="inlineStr">
        <is>
          <t>P</t>
        </is>
      </c>
      <c r="R797" s="29" t="inlineStr">
        <is>
          <t>FL_REC_ABC_70kg</t>
        </is>
      </c>
      <c r="S797" s="30" t="n"/>
    </row>
    <row r="798">
      <c r="A798" s="32" t="inlineStr">
        <is>
          <t>FL_MAT_ABC_70kg</t>
        </is>
      </c>
      <c r="B798" s="32" t="n">
        <v>2</v>
      </c>
      <c r="C798" s="32" t="inlineStr">
        <is>
          <t>ABC70-01</t>
        </is>
      </c>
      <c r="D798" s="17" t="inlineStr">
        <is>
          <t xml:space="preserve">        Cuerpo (virola)</t>
        </is>
      </c>
      <c r="E798" s="32" t="n">
        <v>1</v>
      </c>
      <c r="F798" s="32" t="inlineStr">
        <is>
          <t>u</t>
        </is>
      </c>
      <c r="G798" s="33" t="n">
        <v>30.6877</v>
      </c>
      <c r="H798" s="33">
        <f>E798*G798</f>
        <v/>
      </c>
      <c r="I798" s="32" t="inlineStr">
        <is>
          <t>Chapa LAC IRAM-IAS U 500-04 e=4,75</t>
        </is>
      </c>
      <c r="J798" s="17" t="inlineStr">
        <is>
          <t>Ø390 × e4,75 × 680 de alto; desarrollo 1.210,3 × 680</t>
        </is>
      </c>
      <c r="K798" s="32" t="inlineStr">
        <is>
          <t>Fabricación</t>
        </is>
      </c>
      <c r="L798" s="32" t="inlineStr">
        <is>
          <t>No</t>
        </is>
      </c>
      <c r="M798" s="17" t="n"/>
      <c r="N798" s="17" t="n"/>
      <c r="O798"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P798" s="17" t="n"/>
      <c r="Q798" s="32" t="inlineStr">
        <is>
          <t>P</t>
        </is>
      </c>
      <c r="R798" s="32" t="inlineStr">
        <is>
          <t>FL_DES_ABC_70kg</t>
        </is>
      </c>
      <c r="S798" s="17" t="inlineStr">
        <is>
          <t>costura long. MAG</t>
        </is>
      </c>
    </row>
    <row r="799">
      <c r="A799" s="34" t="inlineStr">
        <is>
          <t>FL_MAT_ABC_70kg</t>
        </is>
      </c>
      <c r="B799" s="34" t="n">
        <v>3</v>
      </c>
      <c r="C799" s="34" t="inlineStr">
        <is>
          <t>MP-HOJA</t>
        </is>
      </c>
      <c r="D799" s="35" t="inlineStr">
        <is>
          <t xml:space="preserve">            Recorte de hoja LAC 1500 × 3000 e=4,75</t>
        </is>
      </c>
      <c r="E799" s="34" t="n">
        <v>1</v>
      </c>
      <c r="F799" s="34" t="inlineStr">
        <is>
          <t>u</t>
        </is>
      </c>
      <c r="G799" s="36" t="n">
        <v>38.802</v>
      </c>
      <c r="H799" s="36">
        <f>E799*G799</f>
        <v/>
      </c>
      <c r="I799" s="34" t="inlineStr">
        <is>
          <t>Chapa LAC IRAM-IAS U 500-04 LAC</t>
        </is>
      </c>
      <c r="J799" s="35" t="inlineStr">
        <is>
          <t>680 × 1.212 (aprovech. 79,2 %)</t>
        </is>
      </c>
      <c r="K799" s="34" t="inlineStr">
        <is>
          <t>Compra</t>
        </is>
      </c>
      <c r="L799" s="34" t="inlineStr">
        <is>
          <t>Sí</t>
        </is>
      </c>
      <c r="M799" s="35" t="inlineStr">
        <is>
          <t>Pradecon S.A.</t>
        </is>
      </c>
      <c r="N799" s="35" t="inlineStr">
        <is>
          <t>Pacheco Chapas</t>
        </is>
      </c>
      <c r="O799" s="35" t="inlineStr">
        <is>
          <t>AL-1H paquetes de hojas</t>
        </is>
      </c>
      <c r="P799" s="35" t="n"/>
      <c r="Q799" s="34" t="inlineStr">
        <is>
          <t>L</t>
        </is>
      </c>
      <c r="R799" s="34" t="inlineStr">
        <is>
          <t>FL_PI_04 h2</t>
        </is>
      </c>
      <c r="S799" s="35" t="n"/>
    </row>
    <row r="800">
      <c r="A800" s="32" t="inlineStr">
        <is>
          <t>FL_MAT_ABC_70kg</t>
        </is>
      </c>
      <c r="B800" s="32" t="n">
        <v>2</v>
      </c>
      <c r="C800" s="32" t="inlineStr">
        <is>
          <t>ABC70-02</t>
        </is>
      </c>
      <c r="D800" s="17" t="inlineStr">
        <is>
          <t xml:space="preserve">        Cúpula</t>
        </is>
      </c>
      <c r="E800" s="32" t="n">
        <v>1</v>
      </c>
      <c r="F800" s="32" t="inlineStr">
        <is>
          <t>u</t>
        </is>
      </c>
      <c r="G800" s="33" t="n">
        <v>7.1038</v>
      </c>
      <c r="H800" s="33">
        <f>E800*G800</f>
        <v/>
      </c>
      <c r="I800" s="32" t="inlineStr">
        <is>
          <t>Chapa LAC IRAM-IAS U 500-04 e=4,75</t>
        </is>
      </c>
      <c r="J800" s="17" t="inlineStr">
        <is>
          <t>Ø390 × e4,75 × 137,3 de alto; disco Ø507,3</t>
        </is>
      </c>
      <c r="K800" s="32" t="inlineStr">
        <is>
          <t>Compra (tapa embutida tercerizada)</t>
        </is>
      </c>
      <c r="L800" s="32" t="inlineStr">
        <is>
          <t>Sí</t>
        </is>
      </c>
      <c r="M800" s="17" t="inlineStr">
        <is>
          <t>Gockel Ingeniería S.R.L.</t>
        </is>
      </c>
      <c r="N800" s="17" t="inlineStr">
        <is>
          <t>-</t>
        </is>
      </c>
      <c r="O800" s="17" t="inlineStr">
        <is>
          <t>Compra -&gt; 6 soldadura de cupla -&gt; 7 armado y sold. circunferencial -&gt; 11 marcado (estampado en arco junto al cuello)</t>
        </is>
      </c>
      <c r="P800" s="17" t="n"/>
      <c r="Q800" s="32" t="inlineStr">
        <is>
          <t>P</t>
        </is>
      </c>
      <c r="R800" s="32" t="inlineStr">
        <is>
          <t>FL_DES_ABC_70kg</t>
        </is>
      </c>
      <c r="S800" s="17" t="inlineStr">
        <is>
          <t>embutida</t>
        </is>
      </c>
    </row>
    <row r="801">
      <c r="A801" s="32" t="inlineStr">
        <is>
          <t>FL_MAT_ABC_70kg</t>
        </is>
      </c>
      <c r="B801" s="32" t="n">
        <v>2</v>
      </c>
      <c r="C801" s="32" t="inlineStr">
        <is>
          <t>ABC70-03</t>
        </is>
      </c>
      <c r="D801" s="17" t="inlineStr">
        <is>
          <t xml:space="preserve">        Fondo</t>
        </is>
      </c>
      <c r="E801" s="32" t="n">
        <v>1</v>
      </c>
      <c r="F801" s="32" t="inlineStr">
        <is>
          <t>u</t>
        </is>
      </c>
      <c r="G801" s="33" t="n">
        <v>7.4086</v>
      </c>
      <c r="H801" s="33">
        <f>E801*G801</f>
        <v/>
      </c>
      <c r="I801" s="32" t="inlineStr">
        <is>
          <t>Chapa LAC IRAM-IAS U 500-04 e=4,75</t>
        </is>
      </c>
      <c r="J801" s="17" t="inlineStr">
        <is>
          <t>Ø390 × e4,75 × 139,8 de alto; disco Ø518,1</t>
        </is>
      </c>
      <c r="K801" s="32" t="inlineStr">
        <is>
          <t>Compra (tapa embutida tercerizada)</t>
        </is>
      </c>
      <c r="L801" s="32" t="inlineStr">
        <is>
          <t>Sí</t>
        </is>
      </c>
      <c r="M801" s="17" t="inlineStr">
        <is>
          <t>Gockel Ingeniería S.R.L.</t>
        </is>
      </c>
      <c r="N801" s="17" t="inlineStr">
        <is>
          <t>-</t>
        </is>
      </c>
      <c r="O801" s="17" t="inlineStr">
        <is>
          <t>Compra -&gt; 7 armado y sold. circunferencial</t>
        </is>
      </c>
      <c r="P801" s="17" t="n"/>
      <c r="Q801" s="32" t="inlineStr">
        <is>
          <t>P</t>
        </is>
      </c>
      <c r="R801" s="32" t="inlineStr">
        <is>
          <t>FL_DES_ABC_70kg</t>
        </is>
      </c>
      <c r="S801" s="17" t="inlineStr">
        <is>
          <t>embutido</t>
        </is>
      </c>
    </row>
    <row r="802">
      <c r="A802" s="32" t="inlineStr">
        <is>
          <t>FL_MAT_ABC_70kg</t>
        </is>
      </c>
      <c r="B802" s="32" t="n">
        <v>2</v>
      </c>
      <c r="C802" s="32" t="inlineStr">
        <is>
          <t>ABC70-04</t>
        </is>
      </c>
      <c r="D802" s="17" t="inlineStr">
        <is>
          <t xml:space="preserve">        Cuello roscado</t>
        </is>
      </c>
      <c r="E802" s="32" t="n">
        <v>1</v>
      </c>
      <c r="F802" s="32" t="inlineStr">
        <is>
          <t>u</t>
        </is>
      </c>
      <c r="G802" s="33" t="n">
        <v>0.6198</v>
      </c>
      <c r="H802" s="33">
        <f>E802*G802</f>
        <v/>
      </c>
      <c r="I802" s="32" t="inlineStr">
        <is>
          <t>Acero SAE 1010</t>
        </is>
      </c>
      <c r="J802" s="17" t="inlineStr">
        <is>
          <t>Ø88 × 37 de alto, rosca RBSP 2 1/2"-11 h, asiento Ø80</t>
        </is>
      </c>
      <c r="K802" s="32" t="inlineStr">
        <is>
          <t>Compra (mecanizado, Eli-Met)</t>
        </is>
      </c>
      <c r="L802" s="32" t="inlineStr">
        <is>
          <t>Sí</t>
        </is>
      </c>
      <c r="M802" s="17" t="inlineStr">
        <is>
          <t>Eli-Met</t>
        </is>
      </c>
      <c r="N802" s="17" t="inlineStr">
        <is>
          <t>-</t>
        </is>
      </c>
      <c r="O802" s="17" t="inlineStr">
        <is>
          <t>Compra -&gt; 6 soldadura de cupla en la cúpula (tapón plástico hasta la carga)</t>
        </is>
      </c>
      <c r="P802" s="17" t="n"/>
      <c r="Q802" s="32" t="inlineStr">
        <is>
          <t>P</t>
        </is>
      </c>
      <c r="R802" s="32" t="inlineStr">
        <is>
          <t>FL_DES_ABC_70kg</t>
        </is>
      </c>
      <c r="S802" s="17" t="inlineStr">
        <is>
          <t>RBSP 2 1/2"-11 h</t>
        </is>
      </c>
    </row>
    <row r="803">
      <c r="A803" s="32" t="inlineStr">
        <is>
          <t>FL_MAT_ABC_70kg</t>
        </is>
      </c>
      <c r="B803" s="32" t="n">
        <v>2</v>
      </c>
      <c r="C803" s="32" t="inlineStr">
        <is>
          <t>ABC70-05</t>
        </is>
      </c>
      <c r="D803" s="17" t="inlineStr">
        <is>
          <t xml:space="preserve">        Placas de refuerzo (2)</t>
        </is>
      </c>
      <c r="E803" s="32" t="n">
        <v>1</v>
      </c>
      <c r="F803" s="32" t="inlineStr">
        <is>
          <t>u</t>
        </is>
      </c>
      <c r="G803" s="33" t="n">
        <v>1.5106</v>
      </c>
      <c r="H803" s="33">
        <f>E803*G803</f>
        <v/>
      </c>
      <c r="I803" s="32" t="inlineStr">
        <is>
          <t>Chapa LAC 4,75 curvada a Ø380</t>
        </is>
      </c>
      <c r="J803" s="17" t="inlineStr">
        <is>
          <t>2 × 200 × 100 × 4,75 curvadas a Ø380, a 100 mm de cada boca</t>
        </is>
      </c>
      <c r="K803" s="32" t="inlineStr">
        <is>
          <t>Fabricación</t>
        </is>
      </c>
      <c r="L803" s="32" t="inlineStr">
        <is>
          <t>No</t>
        </is>
      </c>
      <c r="M803" s="17" t="n"/>
      <c r="N803" s="17" t="n"/>
      <c r="O803" s="17" t="inlineStr">
        <is>
          <t>2 Tira de orilla 200 × 900 -&gt; 3 rolado a Ø380 -&gt; corte con amoladora -&gt; 4 punteo interior (4 esquinas)</t>
        </is>
      </c>
      <c r="P803" s="17" t="n"/>
      <c r="Q803" s="32" t="inlineStr">
        <is>
          <t>P</t>
        </is>
      </c>
      <c r="R803" s="32" t="inlineStr">
        <is>
          <t>FL_DES_ABC_70kg</t>
        </is>
      </c>
      <c r="S803" s="17" t="inlineStr">
        <is>
          <t>Proceso FLAMA de carros: por dentro sobre la costura longitudinal, una en cada extremo a 100 mm de la boca; salen de las orillas de 4,75 (sin compra)</t>
        </is>
      </c>
    </row>
    <row r="804">
      <c r="A804" s="37" t="inlineStr">
        <is>
          <t>FL_MAT_ABC_70kg</t>
        </is>
      </c>
      <c r="B804" s="37" t="n">
        <v>2</v>
      </c>
      <c r="C804" s="37" t="inlineStr">
        <is>
          <t>ABC70-C1</t>
        </is>
      </c>
      <c r="D804" s="18" t="inlineStr">
        <is>
          <t xml:space="preserve">        Alambre MAG ER70S-6 Ø1,0 (AWS A5.18)</t>
        </is>
      </c>
      <c r="E804" s="37" t="n">
        <v>1.0749</v>
      </c>
      <c r="F804" s="37" t="inlineStr">
        <is>
          <t>kg</t>
        </is>
      </c>
      <c r="G804" s="38" t="n">
        <v>0.95</v>
      </c>
      <c r="H804" s="38">
        <f>E804*G804</f>
        <v/>
      </c>
      <c r="I804" s="37" t="inlineStr">
        <is>
          <t>ER70S-6</t>
        </is>
      </c>
      <c r="J804" s="18" t="inlineStr">
        <is>
          <t>metal depositado de los cordones del plano 1.021 g / rendimiento 0,95</t>
        </is>
      </c>
      <c r="K804" s="37" t="inlineStr">
        <is>
          <t>Compra</t>
        </is>
      </c>
      <c r="L804" s="37" t="inlineStr">
        <is>
          <t>Sí</t>
        </is>
      </c>
      <c r="M804" s="18" t="inlineStr">
        <is>
          <t>Conarco (ESAB Argentina)</t>
        </is>
      </c>
      <c r="N804" s="18" t="inlineStr">
        <is>
          <t>-</t>
        </is>
      </c>
      <c r="O804" s="18" t="inlineStr">
        <is>
          <t>5 sold. long. / 6 cupla / 7 circunferencial</t>
        </is>
      </c>
      <c r="P804" s="18" t="inlineStr">
        <is>
          <t>IRAM 3523 3.2.4.2 · IRAM 3550 4.1.2</t>
        </is>
      </c>
      <c r="Q804" s="37" t="inlineStr">
        <is>
          <t>C</t>
        </is>
      </c>
      <c r="R804" s="37" t="n"/>
      <c r="S804"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805">
      <c r="A805" s="37" t="inlineStr">
        <is>
          <t>FL_MAT_ABC_70kg</t>
        </is>
      </c>
      <c r="B805" s="37" t="n">
        <v>2</v>
      </c>
      <c r="C805" s="37" t="inlineStr">
        <is>
          <t>ABC70-C2</t>
        </is>
      </c>
      <c r="D805" s="18" t="inlineStr">
        <is>
          <t xml:space="preserve">        Gas de protección MAG Arcal 21 / ARCAL Speed (Ar + 8 % CO₂, M20)</t>
        </is>
      </c>
      <c r="E805" s="37" t="n">
        <v>79.5</v>
      </c>
      <c r="F805" s="37" t="inlineStr">
        <is>
          <t>L</t>
        </is>
      </c>
      <c r="G805" s="38" t="n"/>
      <c r="H805" s="38" t="n"/>
      <c r="I805" s="37" t="inlineStr">
        <is>
          <t>EN ISO 14175 M20-ArC-8</t>
        </is>
      </c>
      <c r="J805" s="18" t="inlineStr">
        <is>
          <t>14 L/min × 5,68 min de arco (cordones 3.407 mm: long. 680 + circ. 2.450 + cuello 276, a 600 mm/min)</t>
        </is>
      </c>
      <c r="K805" s="37" t="inlineStr">
        <is>
          <t>Compra</t>
        </is>
      </c>
      <c r="L805" s="37" t="inlineStr">
        <is>
          <t>Sí</t>
        </is>
      </c>
      <c r="M805" s="18" t="inlineStr">
        <is>
          <t>Air Liquide Argentina - sucursal Piñeyro</t>
        </is>
      </c>
      <c r="N805" s="18" t="inlineStr">
        <is>
          <t>Gogniat</t>
        </is>
      </c>
      <c r="O805" s="18" t="inlineStr">
        <is>
          <t>Colector SC</t>
        </is>
      </c>
      <c r="P805" s="18" t="inlineStr">
        <is>
          <t>IRAM 3523 3.2.4.2 · IRAM 3550 3.2.2.2</t>
        </is>
      </c>
      <c r="Q805" s="37" t="inlineStr">
        <is>
          <t>C</t>
        </is>
      </c>
      <c r="R805" s="37" t="n"/>
      <c r="S805"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806">
      <c r="A806" s="32" t="inlineStr">
        <is>
          <t>FL_MAT_ABC_70kg</t>
        </is>
      </c>
      <c r="B806" s="32" t="n">
        <v>2</v>
      </c>
      <c r="C806" s="32" t="inlineStr">
        <is>
          <t>ABC70-C4</t>
        </is>
      </c>
      <c r="D806" s="17" t="inlineStr">
        <is>
          <t xml:space="preserve">        Servicio de pintura en polvo al horno, rojo 03-1-050 (con preparación por quemado)</t>
        </is>
      </c>
      <c r="E806" s="32" t="n">
        <v>1</v>
      </c>
      <c r="F806" s="32" t="inlineStr">
        <is>
          <t>u</t>
        </is>
      </c>
      <c r="G806" s="33" t="n"/>
      <c r="H806" s="33" t="n"/>
      <c r="I806" s="32" t="inlineStr">
        <is>
          <t>Servicio tercerizado</t>
        </is>
      </c>
      <c r="J806" s="17" t="inlineStr">
        <is>
          <t>superficie exterior 1,212 m²</t>
        </is>
      </c>
      <c r="K806" s="32" t="inlineStr">
        <is>
          <t>Compra (servicio)</t>
        </is>
      </c>
      <c r="L806" s="32" t="inlineStr">
        <is>
          <t>Sí</t>
        </is>
      </c>
      <c r="M806" s="17" t="inlineStr">
        <is>
          <t>Pintor de carros (cotización por mensaje)</t>
        </is>
      </c>
      <c r="N806" s="17" t="inlineStr">
        <is>
          <t>Prymax</t>
        </is>
      </c>
      <c r="O806" s="17" t="inlineStr">
        <is>
          <t>17 Pintura tercerizada</t>
        </is>
      </c>
      <c r="P806" s="17" t="inlineStr">
        <is>
          <t>IRAM 3523 5.3 / IRAM 3550 3.11 · IRAM 121</t>
        </is>
      </c>
      <c r="Q806" s="32" t="inlineStr">
        <is>
          <t>Q</t>
        </is>
      </c>
      <c r="R806" s="32" t="n"/>
      <c r="S806" s="17" t="inlineStr">
        <is>
          <t>Q-CARROS (precio por carro); exigir informe de niebla salina del sistema de pintura; tercerización aceptada por el Ministerio (Res. 349/07 art. 18)</t>
        </is>
      </c>
    </row>
    <row r="807">
      <c r="A807" s="29" t="inlineStr">
        <is>
          <t>FL_MAT_ABC_70kg</t>
        </is>
      </c>
      <c r="B807" s="29" t="n">
        <v>1</v>
      </c>
      <c r="C807" s="29" t="inlineStr">
        <is>
          <t>ABC70-S2</t>
        </is>
      </c>
      <c r="D807" s="30" t="inlineStr">
        <is>
          <t xml:space="preserve">    Conjunto de válvula</t>
        </is>
      </c>
      <c r="E807" s="29" t="n">
        <v>1</v>
      </c>
      <c r="F807" s="29" t="inlineStr">
        <is>
          <t>u</t>
        </is>
      </c>
      <c r="G807" s="31" t="n"/>
      <c r="H807" s="31">
        <f>H808+H809+H810+H812+H813+H814+H815+H816+H817+H818</f>
        <v/>
      </c>
      <c r="I807" s="29" t="n"/>
      <c r="J807" s="30" t="n"/>
      <c r="K807" s="29" t="inlineStr">
        <is>
          <t>Compra / armado</t>
        </is>
      </c>
      <c r="L807" s="29" t="n"/>
      <c r="M807" s="30" t="n"/>
      <c r="N807" s="30" t="n"/>
      <c r="O807" s="30" t="n"/>
      <c r="P807" s="30" t="inlineStr">
        <is>
          <t>Manómetro IRAM 3533</t>
        </is>
      </c>
      <c r="Q807" s="29" t="inlineStr">
        <is>
          <t>P</t>
        </is>
      </c>
      <c r="R807" s="29" t="inlineStr">
        <is>
          <t>FL_DES_ABC_70kg</t>
        </is>
      </c>
      <c r="S807" s="30" t="n"/>
    </row>
    <row r="808">
      <c r="A808" s="32" t="inlineStr">
        <is>
          <t>FL_MAT_ABC_70kg</t>
        </is>
      </c>
      <c r="B808" s="32" t="n">
        <v>2</v>
      </c>
      <c r="C808" s="32" t="inlineStr">
        <is>
          <t>ABC70-15</t>
        </is>
      </c>
      <c r="D808" s="17" t="inlineStr">
        <is>
          <t xml:space="preserve">        Espiga roscada</t>
        </is>
      </c>
      <c r="E808" s="32" t="n">
        <v>1</v>
      </c>
      <c r="F808" s="32" t="inlineStr">
        <is>
          <t>u</t>
        </is>
      </c>
      <c r="G808" s="33" t="n">
        <v>0.1296</v>
      </c>
      <c r="H808" s="33">
        <f>E808*G808</f>
        <v/>
      </c>
      <c r="I808" s="32" t="inlineStr">
        <is>
          <t>Latón forjado</t>
        </is>
      </c>
      <c r="J808" s="17" t="inlineStr">
        <is>
          <t>75 × 75 × 17,6</t>
        </is>
      </c>
      <c r="K808" s="32" t="inlineStr">
        <is>
          <t>Incluido en válvula HZ</t>
        </is>
      </c>
      <c r="L808" s="32" t="inlineStr">
        <is>
          <t>No</t>
        </is>
      </c>
      <c r="M808" s="17" t="n"/>
      <c r="N808" s="17" t="n"/>
      <c r="O808" s="17" t="inlineStr">
        <is>
          <t>13 carga de polvo y N₂: armado de válvula</t>
        </is>
      </c>
      <c r="P808" s="17" t="n"/>
      <c r="Q808" s="32" t="inlineStr">
        <is>
          <t>P</t>
        </is>
      </c>
      <c r="R808" s="32" t="inlineStr">
        <is>
          <t>FL_DES_ABC_70kg</t>
        </is>
      </c>
      <c r="S808" s="17" t="n"/>
    </row>
    <row r="809">
      <c r="A809" s="32" t="inlineStr">
        <is>
          <t>FL_MAT_ABC_70kg</t>
        </is>
      </c>
      <c r="B809" s="32" t="n">
        <v>2</v>
      </c>
      <c r="C809" s="32" t="inlineStr">
        <is>
          <t>ABC70-16</t>
        </is>
      </c>
      <c r="D809" s="17" t="inlineStr">
        <is>
          <t xml:space="preserve">        Collarín de válvula</t>
        </is>
      </c>
      <c r="E809" s="32" t="n">
        <v>1</v>
      </c>
      <c r="F809" s="32" t="inlineStr">
        <is>
          <t>u</t>
        </is>
      </c>
      <c r="G809" s="33" t="n">
        <v>0.189</v>
      </c>
      <c r="H809" s="33">
        <f>E809*G809</f>
        <v/>
      </c>
      <c r="I809" s="32" t="inlineStr">
        <is>
          <t>Latón forjado</t>
        </is>
      </c>
      <c r="J809" s="17" t="inlineStr">
        <is>
          <t>83 × 83 × 12</t>
        </is>
      </c>
      <c r="K809" s="32" t="inlineStr">
        <is>
          <t>Incluido en válvula HZ</t>
        </is>
      </c>
      <c r="L809" s="32" t="inlineStr">
        <is>
          <t>No</t>
        </is>
      </c>
      <c r="M809" s="17" t="n"/>
      <c r="N809" s="17" t="n"/>
      <c r="O809" s="17" t="inlineStr">
        <is>
          <t>13 carga de polvo y N₂: armado de válvula</t>
        </is>
      </c>
      <c r="P809" s="17" t="n"/>
      <c r="Q809" s="32" t="inlineStr">
        <is>
          <t>P</t>
        </is>
      </c>
      <c r="R809" s="32" t="inlineStr">
        <is>
          <t>FL_DES_ABC_70kg</t>
        </is>
      </c>
      <c r="S809" s="17" t="n"/>
    </row>
    <row r="810">
      <c r="A810" s="32" t="inlineStr">
        <is>
          <t>FL_MAT_ABC_70kg</t>
        </is>
      </c>
      <c r="B810" s="32" t="n">
        <v>2</v>
      </c>
      <c r="C810" s="32" t="inlineStr">
        <is>
          <t>ABC70-17</t>
        </is>
      </c>
      <c r="D810" s="17" t="inlineStr">
        <is>
          <t xml:space="preserve">        Cuerpo de válvula</t>
        </is>
      </c>
      <c r="E810" s="32" t="n">
        <v>1</v>
      </c>
      <c r="F810" s="32" t="inlineStr">
        <is>
          <t>u</t>
        </is>
      </c>
      <c r="G810" s="33" t="n">
        <v>0.9186</v>
      </c>
      <c r="H810" s="33">
        <f>E810*G810</f>
        <v/>
      </c>
      <c r="I810" s="32" t="inlineStr">
        <is>
          <t>Latón forjado</t>
        </is>
      </c>
      <c r="J810" s="17" t="inlineStr">
        <is>
          <t>68 × 67 × 44</t>
        </is>
      </c>
      <c r="K810" s="32" t="inlineStr">
        <is>
          <t>Incluido en válvula HZ</t>
        </is>
      </c>
      <c r="L810" s="32" t="inlineStr">
        <is>
          <t>No</t>
        </is>
      </c>
      <c r="M810" s="17" t="n"/>
      <c r="N810" s="17" t="n"/>
      <c r="O810" s="17" t="inlineStr">
        <is>
          <t>13 carga de polvo y N₂: armado de válvula</t>
        </is>
      </c>
      <c r="P810" s="17" t="n"/>
      <c r="Q810" s="32" t="inlineStr">
        <is>
          <t>P</t>
        </is>
      </c>
      <c r="R810" s="32" t="inlineStr">
        <is>
          <t>FL_DES_ABC_70kg</t>
        </is>
      </c>
      <c r="S810" s="17" t="n"/>
    </row>
    <row r="811">
      <c r="A811" s="41" t="inlineStr">
        <is>
          <t>FL_MAT_ABC_70kg</t>
        </is>
      </c>
      <c r="B811" s="41" t="n">
        <v>2</v>
      </c>
      <c r="C811" s="41" t="inlineStr">
        <is>
          <t>ABC70-18</t>
        </is>
      </c>
      <c r="D811" s="42" t="inlineStr">
        <is>
          <t xml:space="preserve">        Manómetro</t>
        </is>
      </c>
      <c r="E811" s="41" t="n">
        <v>1</v>
      </c>
      <c r="F811" s="41" t="inlineStr">
        <is>
          <t>u</t>
        </is>
      </c>
      <c r="G811" s="43" t="n"/>
      <c r="H811" s="43" t="n"/>
      <c r="I811" s="41" t="inlineStr">
        <is>
          <t>Comercial</t>
        </is>
      </c>
      <c r="J811" s="42" t="inlineStr">
        <is>
          <t>Ø47 esfera, rango 0-3,5 MPa, sector verde en 1,4</t>
        </is>
      </c>
      <c r="K811" s="41" t="inlineStr">
        <is>
          <t>Compra</t>
        </is>
      </c>
      <c r="L811" s="41" t="inlineStr">
        <is>
          <t>Sí</t>
        </is>
      </c>
      <c r="M811" s="42" t="inlineStr">
        <is>
          <t>Yukon / MatafuegosYa S.R.L.</t>
        </is>
      </c>
      <c r="N811" s="42" t="inlineStr">
        <is>
          <t>Matafuegos Iglesias</t>
        </is>
      </c>
      <c r="O811" s="42" t="inlineStr">
        <is>
          <t>13 carga de polvo y N₂: armado de válvula</t>
        </is>
      </c>
      <c r="P811" s="42" t="inlineStr">
        <is>
          <t>IRAM 3533</t>
        </is>
      </c>
      <c r="Q811" s="41" t="inlineStr">
        <is>
          <t>P</t>
        </is>
      </c>
      <c r="R811" s="41" t="inlineStr">
        <is>
          <t>FL_DES_ABC_70kg</t>
        </is>
      </c>
      <c r="S811" s="42" t="inlineStr">
        <is>
          <t>Pieza comercial; sello IRAM 3533; peso: completar con la ficha del proveedor (no afecta el MRP)</t>
        </is>
      </c>
    </row>
    <row r="812">
      <c r="A812" s="32" t="inlineStr">
        <is>
          <t>FL_MAT_ABC_70kg</t>
        </is>
      </c>
      <c r="B812" s="32" t="n">
        <v>2</v>
      </c>
      <c r="C812" s="32" t="inlineStr">
        <is>
          <t>ABC70-19</t>
        </is>
      </c>
      <c r="D812" s="17" t="inlineStr">
        <is>
          <t xml:space="preserve">        Vástago</t>
        </is>
      </c>
      <c r="E812" s="32" t="n">
        <v>1</v>
      </c>
      <c r="F812" s="32" t="inlineStr">
        <is>
          <t>u</t>
        </is>
      </c>
      <c r="G812" s="33" t="n">
        <v>0.0313</v>
      </c>
      <c r="H812" s="33">
        <f>E812*G812</f>
        <v/>
      </c>
      <c r="I812" s="32" t="inlineStr">
        <is>
          <t>Latón</t>
        </is>
      </c>
      <c r="J812" s="17" t="inlineStr">
        <is>
          <t>38,8 × 20 × 20</t>
        </is>
      </c>
      <c r="K812" s="32" t="inlineStr">
        <is>
          <t>Incluido en válvula HZ</t>
        </is>
      </c>
      <c r="L812" s="32" t="inlineStr">
        <is>
          <t>No</t>
        </is>
      </c>
      <c r="M812" s="17" t="n"/>
      <c r="N812" s="17" t="n"/>
      <c r="O812" s="17" t="inlineStr">
        <is>
          <t>13 carga de polvo y N₂: armado de válvula</t>
        </is>
      </c>
      <c r="P812" s="17" t="n"/>
      <c r="Q812" s="32" t="inlineStr">
        <is>
          <t>P</t>
        </is>
      </c>
      <c r="R812" s="32" t="inlineStr">
        <is>
          <t>FL_DES_ABC_70kg</t>
        </is>
      </c>
      <c r="S812" s="17" t="inlineStr">
        <is>
          <t>con junta tórica</t>
        </is>
      </c>
    </row>
    <row r="813">
      <c r="A813" s="32" t="inlineStr">
        <is>
          <t>FL_MAT_ABC_70kg</t>
        </is>
      </c>
      <c r="B813" s="32" t="n">
        <v>2</v>
      </c>
      <c r="C813" s="32" t="inlineStr">
        <is>
          <t>ABC70-20</t>
        </is>
      </c>
      <c r="D813" s="17" t="inlineStr">
        <is>
          <t xml:space="preserve">        Resorte de válvula</t>
        </is>
      </c>
      <c r="E813" s="32" t="n">
        <v>1</v>
      </c>
      <c r="F813" s="32" t="inlineStr">
        <is>
          <t>u</t>
        </is>
      </c>
      <c r="G813" s="33" t="n">
        <v>0.0094</v>
      </c>
      <c r="H813" s="33">
        <f>E813*G813</f>
        <v/>
      </c>
      <c r="I813" s="32" t="inlineStr">
        <is>
          <t>Alambre acero inox. AISI 302</t>
        </is>
      </c>
      <c r="J813" s="17" t="inlineStr">
        <is>
          <t>35 × 27 × 27</t>
        </is>
      </c>
      <c r="K813" s="32" t="inlineStr">
        <is>
          <t>Incluido en válvula HZ</t>
        </is>
      </c>
      <c r="L813" s="32" t="inlineStr">
        <is>
          <t>No</t>
        </is>
      </c>
      <c r="M813" s="17" t="n"/>
      <c r="N813" s="17" t="n"/>
      <c r="O813" s="17" t="inlineStr">
        <is>
          <t>13 carga de polvo y N₂: armado de válvula</t>
        </is>
      </c>
      <c r="P813" s="17" t="n"/>
      <c r="Q813" s="32" t="inlineStr">
        <is>
          <t>P</t>
        </is>
      </c>
      <c r="R813" s="32" t="inlineStr">
        <is>
          <t>FL_DES_ABC_70kg</t>
        </is>
      </c>
      <c r="S813" s="17" t="inlineStr">
        <is>
          <t>cierre del vástago</t>
        </is>
      </c>
    </row>
    <row r="814">
      <c r="A814" s="32" t="inlineStr">
        <is>
          <t>FL_MAT_ABC_70kg</t>
        </is>
      </c>
      <c r="B814" s="32" t="n">
        <v>2</v>
      </c>
      <c r="C814" s="32" t="inlineStr">
        <is>
          <t>ABC70-21</t>
        </is>
      </c>
      <c r="D814" s="17" t="inlineStr">
        <is>
          <t xml:space="preserve">        Palanca de accionamiento</t>
        </is>
      </c>
      <c r="E814" s="32" t="n">
        <v>1</v>
      </c>
      <c r="F814" s="32" t="inlineStr">
        <is>
          <t>u</t>
        </is>
      </c>
      <c r="G814" s="33" t="n">
        <v>0.313</v>
      </c>
      <c r="H814" s="33">
        <f>E814*G814</f>
        <v/>
      </c>
      <c r="I814" s="32" t="inlineStr">
        <is>
          <t>Planchuela acero SAE 1010 10 × 16 pintada</t>
        </is>
      </c>
      <c r="J814" s="17" t="inlineStr">
        <is>
          <t>168,8 × 44 × 40,9</t>
        </is>
      </c>
      <c r="K814" s="32" t="inlineStr">
        <is>
          <t>Incluido en válvula HZ</t>
        </is>
      </c>
      <c r="L814" s="32" t="inlineStr">
        <is>
          <t>No</t>
        </is>
      </c>
      <c r="M814" s="17" t="n"/>
      <c r="N814" s="17" t="n"/>
      <c r="O814" s="17" t="inlineStr">
        <is>
          <t>13 carga de polvo y N₂: armado de válvula</t>
        </is>
      </c>
      <c r="P814" s="17" t="n"/>
      <c r="Q814" s="32" t="inlineStr">
        <is>
          <t>P</t>
        </is>
      </c>
      <c r="R814" s="32" t="inlineStr">
        <is>
          <t>FL_DES_ABC_70kg</t>
        </is>
      </c>
      <c r="S814" s="17" t="n"/>
    </row>
    <row r="815">
      <c r="A815" s="32" t="inlineStr">
        <is>
          <t>FL_MAT_ABC_70kg</t>
        </is>
      </c>
      <c r="B815" s="32" t="n">
        <v>2</v>
      </c>
      <c r="C815" s="32" t="inlineStr">
        <is>
          <t>ABC70-22</t>
        </is>
      </c>
      <c r="D815" s="17" t="inlineStr">
        <is>
          <t xml:space="preserve">        Eje de palanca</t>
        </is>
      </c>
      <c r="E815" s="32" t="n">
        <v>1</v>
      </c>
      <c r="F815" s="32" t="inlineStr">
        <is>
          <t>u</t>
        </is>
      </c>
      <c r="G815" s="33" t="n">
        <v>0.0187</v>
      </c>
      <c r="H815" s="33">
        <f>E815*G815</f>
        <v/>
      </c>
      <c r="I815" s="32" t="inlineStr">
        <is>
          <t>Acero inox. AISI 304</t>
        </is>
      </c>
      <c r="J815" s="17" t="inlineStr">
        <is>
          <t>47 × 8 × 8</t>
        </is>
      </c>
      <c r="K815" s="32" t="inlineStr">
        <is>
          <t>Incluido en válvula HZ</t>
        </is>
      </c>
      <c r="L815" s="32" t="inlineStr">
        <is>
          <t>No</t>
        </is>
      </c>
      <c r="M815" s="17" t="n"/>
      <c r="N815" s="17" t="n"/>
      <c r="O815" s="17" t="inlineStr">
        <is>
          <t>13 carga de polvo y N₂: armado de válvula</t>
        </is>
      </c>
      <c r="P815" s="17" t="n"/>
      <c r="Q815" s="32" t="inlineStr">
        <is>
          <t>P</t>
        </is>
      </c>
      <c r="R815" s="32" t="inlineStr">
        <is>
          <t>FL_DES_ABC_70kg</t>
        </is>
      </c>
      <c r="S815" s="17" t="n"/>
    </row>
    <row r="816">
      <c r="A816" s="32" t="inlineStr">
        <is>
          <t>FL_MAT_ABC_70kg</t>
        </is>
      </c>
      <c r="B816" s="32" t="n">
        <v>2</v>
      </c>
      <c r="C816" s="32" t="inlineStr">
        <is>
          <t>ABC70-23</t>
        </is>
      </c>
      <c r="D816" s="17" t="inlineStr">
        <is>
          <t xml:space="preserve">        Pasador de seguridad</t>
        </is>
      </c>
      <c r="E816" s="32" t="n">
        <v>1</v>
      </c>
      <c r="F816" s="32" t="inlineStr">
        <is>
          <t>u</t>
        </is>
      </c>
      <c r="G816" s="33" t="n">
        <v>0.0061</v>
      </c>
      <c r="H816" s="33">
        <f>E816*G816</f>
        <v/>
      </c>
      <c r="I816" s="32" t="inlineStr">
        <is>
          <t>Alambre acero inox. AISI 304</t>
        </is>
      </c>
      <c r="J816" s="17" t="inlineStr">
        <is>
          <t>54,4 × 21 × 20,8</t>
        </is>
      </c>
      <c r="K816" s="32" t="inlineStr">
        <is>
          <t>Incluido en válvula HZ</t>
        </is>
      </c>
      <c r="L816" s="32" t="inlineStr">
        <is>
          <t>No</t>
        </is>
      </c>
      <c r="M816" s="17" t="n"/>
      <c r="N816" s="17" t="n"/>
      <c r="O816" s="17" t="inlineStr">
        <is>
          <t>13 carga de polvo y N₂: armado de válvula</t>
        </is>
      </c>
      <c r="P816" s="17" t="n"/>
      <c r="Q816" s="32" t="inlineStr">
        <is>
          <t>P</t>
        </is>
      </c>
      <c r="R816" s="32" t="inlineStr">
        <is>
          <t>FL_DES_ABC_70kg</t>
        </is>
      </c>
      <c r="S816" s="17" t="inlineStr">
        <is>
          <t>con precinto</t>
        </is>
      </c>
    </row>
    <row r="817">
      <c r="A817" s="32" t="inlineStr">
        <is>
          <t>FL_MAT_ABC_70kg</t>
        </is>
      </c>
      <c r="B817" s="32" t="n">
        <v>2</v>
      </c>
      <c r="C817" s="32" t="inlineStr">
        <is>
          <t>ABC70-24</t>
        </is>
      </c>
      <c r="D817" s="17" t="inlineStr">
        <is>
          <t xml:space="preserve">        Caño de pesca (sifón)</t>
        </is>
      </c>
      <c r="E817" s="32" t="n">
        <v>1</v>
      </c>
      <c r="F817" s="32" t="inlineStr">
        <is>
          <t>u</t>
        </is>
      </c>
      <c r="G817" s="33" t="n">
        <v>0.2185</v>
      </c>
      <c r="H817" s="33">
        <f>E817*G817</f>
        <v/>
      </c>
      <c r="I817" s="32" t="inlineStr">
        <is>
          <t>Tubo PVC rígido</t>
        </is>
      </c>
      <c r="J817" s="17" t="inlineStr">
        <is>
          <t>Ø24 × 924,3 de largo</t>
        </is>
      </c>
      <c r="K817" s="32" t="inlineStr">
        <is>
          <t>Incluido en válvula HZ</t>
        </is>
      </c>
      <c r="L817" s="32" t="inlineStr">
        <is>
          <t>No</t>
        </is>
      </c>
      <c r="M817" s="17" t="n"/>
      <c r="N817" s="17" t="n"/>
      <c r="O817" s="17" t="inlineStr">
        <is>
          <t>13 carga de polvo y N₂: armado de válvula</t>
        </is>
      </c>
      <c r="P817" s="17" t="n"/>
      <c r="Q817" s="32" t="inlineStr">
        <is>
          <t>P</t>
        </is>
      </c>
      <c r="R817" s="32" t="inlineStr">
        <is>
          <t>FL_DES_ABC_70kg</t>
        </is>
      </c>
      <c r="S817" s="17" t="n"/>
    </row>
    <row r="818">
      <c r="A818" s="32" t="inlineStr">
        <is>
          <t>FL_MAT_ABC_70kg</t>
        </is>
      </c>
      <c r="B818" s="32" t="n">
        <v>2</v>
      </c>
      <c r="C818" s="32" t="inlineStr">
        <is>
          <t>ABC70-36</t>
        </is>
      </c>
      <c r="D818" s="17" t="inlineStr">
        <is>
          <t xml:space="preserve">        Junta tórica de asiento</t>
        </is>
      </c>
      <c r="E818" s="32" t="n">
        <v>1</v>
      </c>
      <c r="F818" s="32" t="inlineStr">
        <is>
          <t>u</t>
        </is>
      </c>
      <c r="G818" s="33" t="n">
        <v>0.0025</v>
      </c>
      <c r="H818" s="33">
        <f>E818*G818</f>
        <v/>
      </c>
      <c r="I818" s="32" t="inlineStr">
        <is>
          <t>NBR 70 Shore A</t>
        </is>
      </c>
      <c r="J818" s="17" t="inlineStr">
        <is>
          <t>Ø78 ext. × cordón 3</t>
        </is>
      </c>
      <c r="K818" s="32" t="inlineStr">
        <is>
          <t>Compra</t>
        </is>
      </c>
      <c r="L818" s="32" t="inlineStr">
        <is>
          <t>Sí</t>
        </is>
      </c>
      <c r="M818" s="17" t="inlineStr">
        <is>
          <t>Argensold</t>
        </is>
      </c>
      <c r="N818" s="17" t="inlineStr">
        <is>
          <t>Matafuegos Iglesias</t>
        </is>
      </c>
      <c r="O818" s="17" t="inlineStr">
        <is>
          <t>13 carga de polvo y N₂: armado de válvula</t>
        </is>
      </c>
      <c r="P818" s="17" t="n"/>
      <c r="Q818" s="32" t="inlineStr">
        <is>
          <t>P</t>
        </is>
      </c>
      <c r="R818" s="32" t="inlineStr">
        <is>
          <t>FL_DES_ABC_70kg</t>
        </is>
      </c>
      <c r="S818" s="17" t="inlineStr">
        <is>
          <t>cambio c/recarga</t>
        </is>
      </c>
    </row>
    <row r="819">
      <c r="A819" s="32" t="inlineStr">
        <is>
          <t>FL_MAT_ABC_70kg</t>
        </is>
      </c>
      <c r="B819" s="32" t="n">
        <v>2</v>
      </c>
      <c r="C819" s="32" t="inlineStr">
        <is>
          <t>ABC70-K2</t>
        </is>
      </c>
      <c r="D819" s="17" t="inlineStr">
        <is>
          <t xml:space="preserve">        Válvula HZ armada de carro 50-70-100 kg</t>
        </is>
      </c>
      <c r="E819" s="32" t="n">
        <v>1</v>
      </c>
      <c r="F819" s="32" t="inlineStr">
        <is>
          <t>u</t>
        </is>
      </c>
      <c r="G819" s="33" t="n"/>
      <c r="H819" s="33" t="n"/>
      <c r="I819" s="32" t="inlineStr">
        <is>
          <t>Latón forjado (HZ)</t>
        </is>
      </c>
      <c r="J819" s="17" t="inlineStr">
        <is>
          <t>rosca RBSP 2 1/2"-11 h</t>
        </is>
      </c>
      <c r="K819" s="32" t="inlineStr">
        <is>
          <t>Compra</t>
        </is>
      </c>
      <c r="L819" s="32" t="inlineStr">
        <is>
          <t>Sí</t>
        </is>
      </c>
      <c r="M819" s="17" t="inlineStr">
        <is>
          <t>Polvex S.R.L. / Sancibrao</t>
        </is>
      </c>
      <c r="N819" s="17" t="inlineStr">
        <is>
          <t>Mozart S.R.L.</t>
        </is>
      </c>
      <c r="O819" s="17" t="inlineStr">
        <is>
          <t>19 Ensamblaje de válvula</t>
        </is>
      </c>
      <c r="P819" s="17" t="inlineStr">
        <is>
          <t>IRAM 3523 3.3</t>
        </is>
      </c>
      <c r="Q819" s="32" t="inlineStr">
        <is>
          <t>Q</t>
        </is>
      </c>
      <c r="R819" s="32" t="inlineStr">
        <is>
          <t>FL_DES_ABC_70kg</t>
        </is>
      </c>
      <c r="S819" s="17" t="inlineStr">
        <is>
          <t>Lista de precios HZ (Q-AGENTES); plano Fadesa usa válvula HZ (R-FADESA). Trae las piezas marcadas «Incluido en válvula HZ»</t>
        </is>
      </c>
    </row>
    <row r="820">
      <c r="A820" s="32" t="inlineStr">
        <is>
          <t>FL_MAT_ABC_70kg</t>
        </is>
      </c>
      <c r="B820" s="32" t="n">
        <v>2</v>
      </c>
      <c r="C820" s="32" t="inlineStr">
        <is>
          <t>ABC70-V2</t>
        </is>
      </c>
      <c r="D820" s="17" t="inlineStr">
        <is>
          <t xml:space="preserve">        Resorte de retorno del vástago</t>
        </is>
      </c>
      <c r="E820" s="32" t="n">
        <v>1</v>
      </c>
      <c r="F820" s="32" t="inlineStr">
        <is>
          <t>u</t>
        </is>
      </c>
      <c r="G820" s="33" t="n"/>
      <c r="H820" s="33" t="n"/>
      <c r="I820" s="32" t="inlineStr">
        <is>
          <t>Acero para resortes</t>
        </is>
      </c>
      <c r="J820" s="17" t="inlineStr">
        <is>
          <t>incluido en la válvula</t>
        </is>
      </c>
      <c r="K820" s="32" t="inlineStr">
        <is>
          <t>Incluido en válvula HZ</t>
        </is>
      </c>
      <c r="L820" s="32" t="inlineStr">
        <is>
          <t>No</t>
        </is>
      </c>
      <c r="M820" s="17" t="n"/>
      <c r="N820" s="17" t="n"/>
      <c r="O820" s="17" t="inlineStr">
        <is>
          <t>19 Ensamblaje</t>
        </is>
      </c>
      <c r="P820" s="17" t="n"/>
      <c r="Q820" s="32" t="inlineStr">
        <is>
          <t>Q</t>
        </is>
      </c>
      <c r="R820" s="32" t="n"/>
      <c r="S820" s="17" t="inlineStr">
        <is>
          <t>Lista de precios HZ: válvula «c/resorte» (Q-AGENTES)</t>
        </is>
      </c>
    </row>
    <row r="821">
      <c r="A821" s="32" t="inlineStr">
        <is>
          <t>FL_MAT_ABC_70kg</t>
        </is>
      </c>
      <c r="B821" s="32" t="n">
        <v>2</v>
      </c>
      <c r="C821" s="32" t="inlineStr">
        <is>
          <t>ABC70-V3</t>
        </is>
      </c>
      <c r="D821" s="17" t="inlineStr">
        <is>
          <t xml:space="preserve">        Junta tórica del vástago</t>
        </is>
      </c>
      <c r="E821" s="32" t="n">
        <v>1</v>
      </c>
      <c r="F821" s="32" t="inlineStr">
        <is>
          <t>u</t>
        </is>
      </c>
      <c r="G821" s="33" t="n"/>
      <c r="H821" s="33" t="n"/>
      <c r="I821" s="32" t="inlineStr">
        <is>
          <t>NBR 70 Shore A</t>
        </is>
      </c>
      <c r="J821" s="17" t="inlineStr">
        <is>
          <t>incluida en la válvula</t>
        </is>
      </c>
      <c r="K821" s="32" t="inlineStr">
        <is>
          <t>Incluido en válvula HZ</t>
        </is>
      </c>
      <c r="L821" s="32" t="inlineStr">
        <is>
          <t>No</t>
        </is>
      </c>
      <c r="M821" s="17" t="n"/>
      <c r="N821" s="17" t="n"/>
      <c r="O821" s="17" t="inlineStr">
        <is>
          <t>19 Ensamblaje</t>
        </is>
      </c>
      <c r="P821" s="17" t="n"/>
      <c r="Q821" s="32" t="inlineStr">
        <is>
          <t>P</t>
        </is>
      </c>
      <c r="R821" s="32" t="n"/>
      <c r="S821" s="17" t="inlineStr">
        <is>
          <t>Figura en el plano como «vástago con junta tórica»</t>
        </is>
      </c>
    </row>
    <row r="822">
      <c r="A822" s="29" t="inlineStr">
        <is>
          <t>FL_MAT_ABC_70kg</t>
        </is>
      </c>
      <c r="B822" s="29" t="n">
        <v>1</v>
      </c>
      <c r="C822" s="29" t="inlineStr">
        <is>
          <t>ABC70-S3</t>
        </is>
      </c>
      <c r="D822" s="30" t="inlineStr">
        <is>
          <t xml:space="preserve">    Dispositivo de descarga</t>
        </is>
      </c>
      <c r="E822" s="29" t="n">
        <v>1</v>
      </c>
      <c r="F822" s="29" t="inlineStr">
        <is>
          <t>u</t>
        </is>
      </c>
      <c r="G822" s="31" t="n"/>
      <c r="H822" s="31">
        <f>H823+H824+H825+H826+H827</f>
        <v/>
      </c>
      <c r="I822" s="29" t="n"/>
      <c r="J822" s="30" t="n"/>
      <c r="K822" s="29" t="inlineStr">
        <is>
          <t>Compra / armado</t>
        </is>
      </c>
      <c r="L822" s="29" t="n"/>
      <c r="M822" s="30" t="n"/>
      <c r="N822" s="30" t="n"/>
      <c r="O822" s="30" t="n"/>
      <c r="P822" s="30" t="n"/>
      <c r="Q822" s="29" t="inlineStr">
        <is>
          <t>P</t>
        </is>
      </c>
      <c r="R822" s="29" t="inlineStr">
        <is>
          <t>FL_DES_ABC_70kg</t>
        </is>
      </c>
      <c r="S822" s="30" t="n"/>
    </row>
    <row r="823">
      <c r="A823" s="32" t="inlineStr">
        <is>
          <t>FL_MAT_ABC_70kg</t>
        </is>
      </c>
      <c r="B823" s="32" t="n">
        <v>2</v>
      </c>
      <c r="C823" s="32" t="inlineStr">
        <is>
          <t>ABC70-25</t>
        </is>
      </c>
      <c r="D823" s="17" t="inlineStr">
        <is>
          <t xml:space="preserve">        Racor de manguera</t>
        </is>
      </c>
      <c r="E823" s="32" t="n">
        <v>1</v>
      </c>
      <c r="F823" s="32" t="inlineStr">
        <is>
          <t>u</t>
        </is>
      </c>
      <c r="G823" s="33" t="n">
        <v>0.0612</v>
      </c>
      <c r="H823" s="33">
        <f>E823*G823</f>
        <v/>
      </c>
      <c r="I823" s="32" t="inlineStr">
        <is>
          <t>Latón</t>
        </is>
      </c>
      <c r="J823" s="17" t="inlineStr">
        <is>
          <t>24 × 24 × 16</t>
        </is>
      </c>
      <c r="K823" s="32" t="inlineStr">
        <is>
          <t>Compra</t>
        </is>
      </c>
      <c r="L823" s="32" t="inlineStr">
        <is>
          <t>Sí</t>
        </is>
      </c>
      <c r="M823" s="17" t="inlineStr">
        <is>
          <t>Yukon / MatafuegosYa S.R.L.</t>
        </is>
      </c>
      <c r="N823" s="17" t="inlineStr">
        <is>
          <t>Matafuegos Iglesias</t>
        </is>
      </c>
      <c r="O823" s="17" t="inlineStr">
        <is>
          <t>Después de 12 pintura: manguera, válvula esférica y tobera</t>
        </is>
      </c>
      <c r="P823" s="17" t="n"/>
      <c r="Q823" s="32" t="inlineStr">
        <is>
          <t>P</t>
        </is>
      </c>
      <c r="R823" s="32" t="inlineStr">
        <is>
          <t>FL_DES_ABC_70kg</t>
        </is>
      </c>
      <c r="S823" s="17" t="n"/>
    </row>
    <row r="824">
      <c r="A824" s="32" t="inlineStr">
        <is>
          <t>FL_MAT_ABC_70kg</t>
        </is>
      </c>
      <c r="B824" s="32" t="n">
        <v>2</v>
      </c>
      <c r="C824" s="32" t="inlineStr">
        <is>
          <t>ABC70-26</t>
        </is>
      </c>
      <c r="D824" s="17" t="inlineStr">
        <is>
          <t xml:space="preserve">        Manguera (tramo enrollado)</t>
        </is>
      </c>
      <c r="E824" s="32" t="n">
        <v>1</v>
      </c>
      <c r="F824" s="32" t="inlineStr">
        <is>
          <t>u</t>
        </is>
      </c>
      <c r="G824" s="33" t="n">
        <v>1.4128</v>
      </c>
      <c r="H824" s="33">
        <f>E824*G824</f>
        <v/>
      </c>
      <c r="I824" s="32" t="inlineStr">
        <is>
          <t>Caucho sintético</t>
        </is>
      </c>
      <c r="J824" s="17" t="inlineStr">
        <is>
          <t>Ø23,5 × 4.241 de largo desarrollado: lazo vertical de 2 vueltas alrededor de los flejes, por afuera de las patas y detrás de las orejas</t>
        </is>
      </c>
      <c r="K824" s="32" t="inlineStr">
        <is>
          <t>Compra</t>
        </is>
      </c>
      <c r="L824" s="32" t="inlineStr">
        <is>
          <t>Sí</t>
        </is>
      </c>
      <c r="M824" s="17" t="inlineStr">
        <is>
          <t>Yukon / MatafuegosYa S.R.L.</t>
        </is>
      </c>
      <c r="N824" s="17" t="inlineStr">
        <is>
          <t>Matafuegos Iglesias</t>
        </is>
      </c>
      <c r="O824" s="17" t="inlineStr">
        <is>
          <t>Después de 12 pintura: manguera, válvula esférica y tobera</t>
        </is>
      </c>
      <c r="P824" s="17" t="n"/>
      <c r="Q824" s="32" t="inlineStr">
        <is>
          <t>P</t>
        </is>
      </c>
      <c r="R824" s="32" t="inlineStr">
        <is>
          <t>FL_DES_ABC_70kg</t>
        </is>
      </c>
      <c r="S824" s="17" t="n"/>
    </row>
    <row r="825">
      <c r="A825" s="32" t="inlineStr">
        <is>
          <t>FL_MAT_ABC_70kg</t>
        </is>
      </c>
      <c r="B825" s="32" t="n">
        <v>2</v>
      </c>
      <c r="C825" s="32" t="inlineStr">
        <is>
          <t>ABC70-27</t>
        </is>
      </c>
      <c r="D825" s="17" t="inlineStr">
        <is>
          <t xml:space="preserve">        Manguera</t>
        </is>
      </c>
      <c r="E825" s="32" t="n">
        <v>1</v>
      </c>
      <c r="F825" s="32" t="inlineStr">
        <is>
          <t>u</t>
        </is>
      </c>
      <c r="G825" s="33" t="n">
        <v>0.2539</v>
      </c>
      <c r="H825" s="33">
        <f>E825*G825</f>
        <v/>
      </c>
      <c r="I825" s="32" t="inlineStr">
        <is>
          <t>Caucho sintético</t>
        </is>
      </c>
      <c r="J825" s="17" t="inlineStr">
        <is>
          <t>Ø23,5 × 762 de largo desarrollado</t>
        </is>
      </c>
      <c r="K825" s="32" t="inlineStr">
        <is>
          <t>Compra</t>
        </is>
      </c>
      <c r="L825" s="32" t="inlineStr">
        <is>
          <t>Sí</t>
        </is>
      </c>
      <c r="M825" s="17" t="inlineStr">
        <is>
          <t>Yukon / MatafuegosYa S.R.L.</t>
        </is>
      </c>
      <c r="N825" s="17" t="inlineStr">
        <is>
          <t>Matafuegos Iglesias</t>
        </is>
      </c>
      <c r="O825" s="17" t="inlineStr">
        <is>
          <t>Después de 12 pintura: manguera, válvula esférica y tobera</t>
        </is>
      </c>
      <c r="P825" s="17" t="n"/>
      <c r="Q825" s="32" t="inlineStr">
        <is>
          <t>P</t>
        </is>
      </c>
      <c r="R825" s="32" t="inlineStr">
        <is>
          <t>FL_DES_ABC_70kg</t>
        </is>
      </c>
      <c r="S825" s="17" t="n"/>
    </row>
    <row r="826">
      <c r="A826" s="32" t="inlineStr">
        <is>
          <t>FL_MAT_ABC_70kg</t>
        </is>
      </c>
      <c r="B826" s="32" t="n">
        <v>2</v>
      </c>
      <c r="C826" s="32" t="inlineStr">
        <is>
          <t>ABC70-29</t>
        </is>
      </c>
      <c r="D826" s="17" t="inlineStr">
        <is>
          <t xml:space="preserve">        Válvula esférica</t>
        </is>
      </c>
      <c r="E826" s="32" t="n">
        <v>1</v>
      </c>
      <c r="F826" s="32" t="inlineStr">
        <is>
          <t>u</t>
        </is>
      </c>
      <c r="G826" s="33" t="n">
        <v>0.3502</v>
      </c>
      <c r="H826" s="33">
        <f>E826*G826</f>
        <v/>
      </c>
      <c r="I826" s="32" t="inlineStr">
        <is>
          <t>Latón cromado</t>
        </is>
      </c>
      <c r="J826" s="17" t="inlineStr">
        <is>
          <t>cuerpo Ø40 × 56 con hexágonos 46, paso total, rosca a la manga y a la tobera; palanca 105 con empuñadura (cerrada: atravesada al caño)</t>
        </is>
      </c>
      <c r="K826" s="32" t="inlineStr">
        <is>
          <t>Compra</t>
        </is>
      </c>
      <c r="L826" s="32" t="inlineStr">
        <is>
          <t>Sí</t>
        </is>
      </c>
      <c r="M826" s="17" t="inlineStr">
        <is>
          <t>Yukon / MatafuegosYa S.R.L.</t>
        </is>
      </c>
      <c r="N826" s="17" t="inlineStr">
        <is>
          <t>Matafuegos Iglesias</t>
        </is>
      </c>
      <c r="O826" s="17" t="inlineStr">
        <is>
          <t>Después de 12 pintura: manguera, válvula esférica y tobera</t>
        </is>
      </c>
      <c r="P826" s="17" t="n"/>
      <c r="Q826" s="32" t="inlineStr">
        <is>
          <t>P</t>
        </is>
      </c>
      <c r="R826" s="32" t="inlineStr">
        <is>
          <t>FL_DES_ABC_70kg</t>
        </is>
      </c>
      <c r="S826" s="17" t="n"/>
    </row>
    <row r="827">
      <c r="A827" s="32" t="inlineStr">
        <is>
          <t>FL_MAT_ABC_70kg</t>
        </is>
      </c>
      <c r="B827" s="32" t="n">
        <v>2</v>
      </c>
      <c r="C827" s="32" t="inlineStr">
        <is>
          <t>ABC70-30</t>
        </is>
      </c>
      <c r="D827" s="17" t="inlineStr">
        <is>
          <t xml:space="preserve">        Tobera campana</t>
        </is>
      </c>
      <c r="E827" s="32" t="n">
        <v>1</v>
      </c>
      <c r="F827" s="32" t="inlineStr">
        <is>
          <t>u</t>
        </is>
      </c>
      <c r="G827" s="33" t="n">
        <v>0.07969999999999999</v>
      </c>
      <c r="H827" s="33">
        <f>E827*G827</f>
        <v/>
      </c>
      <c r="I827" s="32" t="inlineStr">
        <is>
          <t>Polipropileno</t>
        </is>
      </c>
      <c r="J827" s="17" t="inlineStr">
        <is>
          <t>204,6 × 74 × 68</t>
        </is>
      </c>
      <c r="K827" s="32" t="inlineStr">
        <is>
          <t>Compra</t>
        </is>
      </c>
      <c r="L827" s="32" t="inlineStr">
        <is>
          <t>Sí</t>
        </is>
      </c>
      <c r="M827" s="17" t="inlineStr">
        <is>
          <t>Yukon / MatafuegosYa S.R.L.</t>
        </is>
      </c>
      <c r="N827" s="17" t="inlineStr">
        <is>
          <t>Matafuegos Iglesias</t>
        </is>
      </c>
      <c r="O827" s="17" t="inlineStr">
        <is>
          <t>Después de 12 pintura: manguera, válvula esférica y tobera</t>
        </is>
      </c>
      <c r="P827" s="17" t="n"/>
      <c r="Q827" s="32" t="inlineStr">
        <is>
          <t>P</t>
        </is>
      </c>
      <c r="R827" s="32" t="inlineStr">
        <is>
          <t>FL_DES_ABC_70kg</t>
        </is>
      </c>
      <c r="S827" s="17" t="n"/>
    </row>
    <row r="828">
      <c r="A828" s="29" t="inlineStr">
        <is>
          <t>FL_MAT_ABC_70kg</t>
        </is>
      </c>
      <c r="B828" s="29" t="n">
        <v>1</v>
      </c>
      <c r="C828" s="29" t="inlineStr">
        <is>
          <t>ABC70-S4</t>
        </is>
      </c>
      <c r="D828" s="30" t="inlineStr">
        <is>
          <t xml:space="preserve">    Carro (tren rodante soldado y ruedas)</t>
        </is>
      </c>
      <c r="E828" s="29" t="n">
        <v>1</v>
      </c>
      <c r="F828" s="29" t="inlineStr">
        <is>
          <t>u</t>
        </is>
      </c>
      <c r="G828" s="31" t="n"/>
      <c r="H828" s="31">
        <f>H829+H830+H831+H833+H834+H835+H837+H838+H839+H841</f>
        <v/>
      </c>
      <c r="I828" s="29" t="n"/>
      <c r="J828" s="30" t="n"/>
      <c r="K828" s="29" t="inlineStr">
        <is>
          <t>Fabricación</t>
        </is>
      </c>
      <c r="L828" s="29" t="n"/>
      <c r="M828" s="30" t="n"/>
      <c r="N828" s="30" t="n"/>
      <c r="O828" s="30" t="n"/>
      <c r="P828" s="30" t="inlineStr">
        <is>
          <t>IRAM 3550 3.12 y 4.8 (ruedas ≥ Ø300 × 50)</t>
        </is>
      </c>
      <c r="Q828" s="29" t="inlineStr">
        <is>
          <t>P</t>
        </is>
      </c>
      <c r="R828" s="29" t="inlineStr">
        <is>
          <t>FL_DES_ABC_70kg</t>
        </is>
      </c>
      <c r="S828" s="30" t="n"/>
    </row>
    <row r="829">
      <c r="A829" s="32" t="inlineStr">
        <is>
          <t>FL_MAT_ABC_70kg</t>
        </is>
      </c>
      <c r="B829" s="32" t="n">
        <v>2</v>
      </c>
      <c r="C829" s="32" t="inlineStr">
        <is>
          <t>ABC70-06</t>
        </is>
      </c>
      <c r="D829" s="17" t="inlineStr">
        <is>
          <t xml:space="preserve">        Pata delantera</t>
        </is>
      </c>
      <c r="E829" s="32" t="n">
        <v>1</v>
      </c>
      <c r="F829" s="32" t="inlineStr">
        <is>
          <t>u</t>
        </is>
      </c>
      <c r="G829" s="33" t="n">
        <v>0.1965</v>
      </c>
      <c r="H829" s="33">
        <f>E829*G829</f>
        <v/>
      </c>
      <c r="I829" s="32" t="inlineStr">
        <is>
          <t>Chapa LAC 3,2 (orilla de la hoja de 25 kg)</t>
        </is>
      </c>
      <c r="J829" s="17" t="inlineStr">
        <is>
          <t>planchuela 100 × 80 × e3,2, de canto en el frente del fondo, atravesada; borde de abajo = línea del piso</t>
        </is>
      </c>
      <c r="K829" s="32" t="inlineStr">
        <is>
          <t>Fabricación</t>
        </is>
      </c>
      <c r="L829" s="32" t="inlineStr">
        <is>
          <t>No</t>
        </is>
      </c>
      <c r="M829" s="17" t="n"/>
      <c r="N829" s="17" t="n"/>
      <c r="O829" s="17" t="inlineStr">
        <is>
          <t>8.1 fabricación de accesorios (orillas / caño / barra) -&gt; 8 soldadura MAG al recipiente, antes de la PH (IRAM 3550 6.1.1)</t>
        </is>
      </c>
      <c r="P829" s="17" t="n"/>
      <c r="Q829" s="32" t="inlineStr">
        <is>
          <t>P</t>
        </is>
      </c>
      <c r="R829" s="32" t="inlineStr">
        <is>
          <t>FL_DES_ABC_70kg</t>
        </is>
      </c>
      <c r="S829" s="17" t="inlineStr">
        <is>
          <t>Proceso FLAMA de carros: 80 × 60 (25 y 50 kg) y 100 × 80 (70 y 100 kg), de la orilla de 3,2 de la hoja de 25 kg (sin compra); se suelda con filete de los dos lados en el tramo central</t>
        </is>
      </c>
    </row>
    <row r="830">
      <c r="A830" s="32" t="inlineStr">
        <is>
          <t>FL_MAT_ABC_70kg</t>
        </is>
      </c>
      <c r="B830" s="32" t="n">
        <v>2</v>
      </c>
      <c r="C830" s="32" t="inlineStr">
        <is>
          <t>ABC70-07</t>
        </is>
      </c>
      <c r="D830" s="17" t="inlineStr">
        <is>
          <t xml:space="preserve">        Triángulos con V (2)</t>
        </is>
      </c>
      <c r="E830" s="32" t="n">
        <v>1</v>
      </c>
      <c r="F830" s="32" t="inlineStr">
        <is>
          <t>u</t>
        </is>
      </c>
      <c r="G830" s="33" t="n">
        <v>0.297</v>
      </c>
      <c r="H830" s="33">
        <f>E830*G830</f>
        <v/>
      </c>
      <c r="I830" s="32" t="inlineStr">
        <is>
          <t>Chapa LAC 4,75 (orilla)</t>
        </is>
      </c>
      <c r="J830" s="17" t="inlineStr">
        <is>
          <t>2 triángulos con V de 90° hacia atrás, chapa e4,75, cateto vertical 100 de canto contra el cuerpo; separados 203 (± 101,5 en recta), borde de abajo a 20 de la costura del fondo; el caño apoya en la V</t>
        </is>
      </c>
      <c r="K830" s="32" t="inlineStr">
        <is>
          <t>Fabricación</t>
        </is>
      </c>
      <c r="L830" s="32" t="inlineStr">
        <is>
          <t>No</t>
        </is>
      </c>
      <c r="M830" s="17" t="n"/>
      <c r="N830" s="17" t="n"/>
      <c r="O830" s="17" t="inlineStr">
        <is>
          <t>8.1 fabricación de accesorios (orillas / caño / barra) -&gt; 8 soldadura MAG al recipiente, antes de la PH (IRAM 3550 6.1.1)</t>
        </is>
      </c>
      <c r="P830" s="17" t="n"/>
      <c r="Q830" s="32" t="inlineStr">
        <is>
          <t>P</t>
        </is>
      </c>
      <c r="R830" s="32" t="inlineStr">
        <is>
          <t>FL_DES_ABC_70kg</t>
        </is>
      </c>
      <c r="S830"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831">
      <c r="A831" s="32" t="inlineStr">
        <is>
          <t>FL_MAT_ABC_70kg</t>
        </is>
      </c>
      <c r="B831" s="32" t="n">
        <v>2</v>
      </c>
      <c r="C831" s="32" t="inlineStr">
        <is>
          <t>ABC70-08</t>
        </is>
      </c>
      <c r="D831" s="17" t="inlineStr">
        <is>
          <t xml:space="preserve">        Caño del eje</t>
        </is>
      </c>
      <c r="E831" s="32" t="n">
        <v>1</v>
      </c>
      <c r="F831" s="32" t="inlineStr">
        <is>
          <t>u</t>
        </is>
      </c>
      <c r="G831" s="33" t="n">
        <v>0.5780999999999999</v>
      </c>
      <c r="H831" s="33">
        <f>E831*G831</f>
        <v/>
      </c>
      <c r="I831" s="32" t="inlineStr">
        <is>
          <t>Caño acero SAE 1010 1¼" × 2,0</t>
        </is>
      </c>
      <c r="J831" s="17" t="inlineStr">
        <is>
          <t>caño 1¼" (Ø31,75) × 2 × 394 de largo, con marca de la mitad; apoyado en la V de los triángulos a 20 del cuerpo, no gira; adentro pasa el eje Ø25,4</t>
        </is>
      </c>
      <c r="K831" s="32" t="inlineStr">
        <is>
          <t>Fabricación</t>
        </is>
      </c>
      <c r="L831" s="32" t="inlineStr">
        <is>
          <t>No</t>
        </is>
      </c>
      <c r="M831" s="17" t="n"/>
      <c r="N831" s="17" t="n"/>
      <c r="O831" s="17" t="inlineStr">
        <is>
          <t>8.1 fabricación de accesorios (orillas / caño / barra) -&gt; 8 soldadura MAG al recipiente, antes de la PH (IRAM 3550 6.1.1)</t>
        </is>
      </c>
      <c r="P831" s="17" t="n"/>
      <c r="Q831" s="32" t="inlineStr">
        <is>
          <t>P</t>
        </is>
      </c>
      <c r="R831" s="32" t="inlineStr">
        <is>
          <t>FL_DES_ABC_70kg</t>
        </is>
      </c>
      <c r="S831" s="17" t="inlineStr">
        <is>
          <t>Proceso FLAMA de carros, puesto 8 (kit del 8.1): medidas y posición de la tabla del puesto; se suelda antes de la prueba hidráulica (IRAM 3550 6.1.1)</t>
        </is>
      </c>
    </row>
    <row r="832">
      <c r="A832" s="34" t="inlineStr">
        <is>
          <t>FL_MAT_ABC_70kg</t>
        </is>
      </c>
      <c r="B832" s="34" t="n">
        <v>3</v>
      </c>
      <c r="C832" s="34" t="inlineStr">
        <is>
          <t>MP-PORTAEJE</t>
        </is>
      </c>
      <c r="D832" s="35" t="inlineStr">
        <is>
          <t xml:space="preserve">            Caño SAE 1010 1¼" × 2,0 (tramo de barra de 6 m)</t>
        </is>
      </c>
      <c r="E832" s="34" t="n">
        <v>0.06569999999999999</v>
      </c>
      <c r="F832" s="34" t="inlineStr">
        <is>
          <t>barra</t>
        </is>
      </c>
      <c r="G832" s="36" t="n">
        <v>8.804</v>
      </c>
      <c r="H832" s="36">
        <f>E832*G832</f>
        <v/>
      </c>
      <c r="I832" s="34" t="inlineStr">
        <is>
          <t>Caño acero SAE 1010 1¼" × 2,0</t>
        </is>
      </c>
      <c r="J832" s="35" t="inlineStr">
        <is>
          <t>394 mm por pieza (kg por barra de 6 m)</t>
        </is>
      </c>
      <c r="K832" s="34" t="inlineStr">
        <is>
          <t>Compra</t>
        </is>
      </c>
      <c r="L832" s="34" t="inlineStr">
        <is>
          <t>Sí</t>
        </is>
      </c>
      <c r="M832" s="35" t="inlineStr">
        <is>
          <t>Metalpri / Prilux</t>
        </is>
      </c>
      <c r="N832" s="35" t="inlineStr">
        <is>
          <t>Comercial MID</t>
        </is>
      </c>
      <c r="O832" s="35" t="inlineStr">
        <is>
          <t>Corte en sierra</t>
        </is>
      </c>
      <c r="P832" s="35" t="n"/>
      <c r="Q832" s="34" t="inlineStr">
        <is>
          <t>C</t>
        </is>
      </c>
      <c r="R832" s="34" t="n"/>
      <c r="S832" s="35" t="inlineStr">
        <is>
          <t>Largo para la trocha del ancho de la hoja de especificaciones (kit 8.1), con marca de la mitad</t>
        </is>
      </c>
    </row>
    <row r="833">
      <c r="A833" s="32" t="inlineStr">
        <is>
          <t>FL_MAT_ABC_70kg</t>
        </is>
      </c>
      <c r="B833" s="32" t="n">
        <v>2</v>
      </c>
      <c r="C833" s="32" t="inlineStr">
        <is>
          <t>ABC70-09</t>
        </is>
      </c>
      <c r="D833" s="17" t="inlineStr">
        <is>
          <t xml:space="preserve">        Neumático macizo</t>
        </is>
      </c>
      <c r="E833" s="32" t="n">
        <v>2</v>
      </c>
      <c r="F833" s="32" t="inlineStr">
        <is>
          <t>u</t>
        </is>
      </c>
      <c r="G833" s="33" t="n">
        <v>3.3361</v>
      </c>
      <c r="H833" s="33">
        <f>E833*G833</f>
        <v/>
      </c>
      <c r="I833" s="32" t="inlineStr">
        <is>
          <t>Caucho</t>
        </is>
      </c>
      <c r="J833" s="17" t="inlineStr">
        <is>
          <t>Ø350 × 60 de ancho</t>
        </is>
      </c>
      <c r="K833" s="32" t="inlineStr">
        <is>
          <t>Compra</t>
        </is>
      </c>
      <c r="L833" s="32" t="inlineStr">
        <is>
          <t>Sí</t>
        </is>
      </c>
      <c r="M833" s="17" t="inlineStr">
        <is>
          <t>Ruedar</t>
        </is>
      </c>
      <c r="N833" s="17" t="inlineStr">
        <is>
          <t>Escanort S.A.</t>
        </is>
      </c>
      <c r="O833" s="17" t="inlineStr">
        <is>
          <t>Después de 12 pintura: ruedas montadas sobre el eje</t>
        </is>
      </c>
      <c r="P833" s="17" t="n"/>
      <c r="Q833" s="32" t="inlineStr">
        <is>
          <t>P</t>
        </is>
      </c>
      <c r="R833" s="32" t="inlineStr">
        <is>
          <t>FL_DES_ABC_70kg</t>
        </is>
      </c>
      <c r="S833" s="17" t="inlineStr">
        <is>
          <t>llanta de chapa; IRAM 3550 4.8: Ø ≥ 300 y ancho ≥ 50</t>
        </is>
      </c>
    </row>
    <row r="834">
      <c r="A834" s="32" t="inlineStr">
        <is>
          <t>FL_MAT_ABC_70kg</t>
        </is>
      </c>
      <c r="B834" s="32" t="n">
        <v>2</v>
      </c>
      <c r="C834" s="32" t="inlineStr">
        <is>
          <t>ABC70-10</t>
        </is>
      </c>
      <c r="D834" s="17" t="inlineStr">
        <is>
          <t xml:space="preserve">        Llanta con cubo</t>
        </is>
      </c>
      <c r="E834" s="32" t="n">
        <v>2</v>
      </c>
      <c r="F834" s="32" t="inlineStr">
        <is>
          <t>u</t>
        </is>
      </c>
      <c r="G834" s="33" t="n">
        <v>2.6069</v>
      </c>
      <c r="H834" s="33">
        <f>E834*G834</f>
        <v/>
      </c>
      <c r="I834" s="32" t="inlineStr">
        <is>
          <t>Chapa acero SAE 1010</t>
        </is>
      </c>
      <c r="J834" s="17" t="inlineStr">
        <is>
          <t>Ø252 × 60 de ancho</t>
        </is>
      </c>
      <c r="K834" s="32" t="inlineStr">
        <is>
          <t>Incluido en rueda</t>
        </is>
      </c>
      <c r="L834" s="32" t="inlineStr">
        <is>
          <t>No</t>
        </is>
      </c>
      <c r="M834" s="17" t="n"/>
      <c r="N834" s="17" t="n"/>
      <c r="O834" s="17" t="inlineStr">
        <is>
          <t>Después de 12 pintura: ruedas montadas sobre el eje</t>
        </is>
      </c>
      <c r="P834" s="17" t="n"/>
      <c r="Q834" s="32" t="inlineStr">
        <is>
          <t>P</t>
        </is>
      </c>
      <c r="R834" s="32" t="inlineStr">
        <is>
          <t>FL_DES_ABC_70kg</t>
        </is>
      </c>
      <c r="S834" s="17" t="n"/>
    </row>
    <row r="835">
      <c r="A835" s="32" t="inlineStr">
        <is>
          <t>FL_MAT_ABC_70kg</t>
        </is>
      </c>
      <c r="B835" s="32" t="n">
        <v>2</v>
      </c>
      <c r="C835" s="32" t="inlineStr">
        <is>
          <t>ABC70-11</t>
        </is>
      </c>
      <c r="D835" s="17" t="inlineStr">
        <is>
          <t xml:space="preserve">        Eje de ruedas</t>
        </is>
      </c>
      <c r="E835" s="32" t="n">
        <v>1</v>
      </c>
      <c r="F835" s="32" t="inlineStr">
        <is>
          <t>u</t>
        </is>
      </c>
      <c r="G835" s="33" t="n">
        <v>2.1811</v>
      </c>
      <c r="H835" s="33">
        <f>E835*G835</f>
        <v/>
      </c>
      <c r="I835" s="32" t="inlineStr">
        <is>
          <t>Barra acero SAE 1045 Ø25.4</t>
        </is>
      </c>
      <c r="J835" s="17" t="inlineStr">
        <is>
          <t>barra trefilada 1" (Ø25,4) × 550 de largo, con agujero Ø4,6 en cada punta para el pasador (montaje final)</t>
        </is>
      </c>
      <c r="K835" s="32" t="inlineStr">
        <is>
          <t>Fabricación</t>
        </is>
      </c>
      <c r="L835" s="32" t="inlineStr">
        <is>
          <t>No</t>
        </is>
      </c>
      <c r="M835" s="17" t="n"/>
      <c r="N835" s="17" t="n"/>
      <c r="O835" s="17" t="inlineStr">
        <is>
          <t>8.1 corte de barra -&gt; 8 soldadura de soportes</t>
        </is>
      </c>
      <c r="P835" s="17" t="n"/>
      <c r="Q835" s="32" t="inlineStr">
        <is>
          <t>P</t>
        </is>
      </c>
      <c r="R835" s="32" t="inlineStr">
        <is>
          <t>FL_DES_ABC_70kg</t>
        </is>
      </c>
      <c r="S835" s="17" t="inlineStr">
        <is>
          <t>Montaje final, después de la pintura, con las ruedas (proceso de carros, puesto 8)</t>
        </is>
      </c>
    </row>
    <row r="836">
      <c r="A836" s="34" t="inlineStr">
        <is>
          <t>FL_MAT_ABC_70kg</t>
        </is>
      </c>
      <c r="B836" s="34" t="n">
        <v>3</v>
      </c>
      <c r="C836" s="34" t="inlineStr">
        <is>
          <t>MP-EJE</t>
        </is>
      </c>
      <c r="D836" s="35" t="inlineStr">
        <is>
          <t xml:space="preserve">            Barra trefilada SAE 1045 1" (tramo de barra de 6 m)</t>
        </is>
      </c>
      <c r="E836" s="34" t="n">
        <v>0.0917</v>
      </c>
      <c r="F836" s="34" t="inlineStr">
        <is>
          <t>barra</t>
        </is>
      </c>
      <c r="G836" s="36" t="n">
        <v>23.866</v>
      </c>
      <c r="H836" s="36">
        <f>E836*G836</f>
        <v/>
      </c>
      <c r="I836" s="34" t="inlineStr">
        <is>
          <t>Barra trefilada SAE 1045 1"</t>
        </is>
      </c>
      <c r="J836" s="35" t="inlineStr">
        <is>
          <t>550 mm por pieza (kg por barra de 6 m)</t>
        </is>
      </c>
      <c r="K836" s="34" t="inlineStr">
        <is>
          <t>Compra</t>
        </is>
      </c>
      <c r="L836" s="34" t="inlineStr">
        <is>
          <t>Sí</t>
        </is>
      </c>
      <c r="M836" s="35" t="inlineStr">
        <is>
          <t>Vladimirsky</t>
        </is>
      </c>
      <c r="N836" s="35" t="inlineStr">
        <is>
          <t>Hierros Parrotta</t>
        </is>
      </c>
      <c r="O836" s="35" t="inlineStr">
        <is>
          <t>Corte en sierra</t>
        </is>
      </c>
      <c r="P836" s="35" t="n"/>
      <c r="Q836" s="34" t="inlineStr">
        <is>
          <t>C</t>
        </is>
      </c>
      <c r="R836" s="34" t="n"/>
      <c r="S836" s="35" t="n"/>
    </row>
    <row r="837">
      <c r="A837" s="32" t="inlineStr">
        <is>
          <t>FL_MAT_ABC_70kg</t>
        </is>
      </c>
      <c r="B837" s="32" t="n">
        <v>2</v>
      </c>
      <c r="C837" s="32" t="inlineStr">
        <is>
          <t>ABC70-12</t>
        </is>
      </c>
      <c r="D837" s="17" t="inlineStr">
        <is>
          <t xml:space="preserve">        Arandelas de tope (4)</t>
        </is>
      </c>
      <c r="E837" s="32" t="n">
        <v>1</v>
      </c>
      <c r="F837" s="32" t="inlineStr">
        <is>
          <t>u</t>
        </is>
      </c>
      <c r="G837" s="33" t="n">
        <v>0.0891</v>
      </c>
      <c r="H837" s="33">
        <f>E837*G837</f>
        <v/>
      </c>
      <c r="I837" s="32" t="inlineStr">
        <is>
          <t>Acero SAE 1010 Ø40 × 4</t>
        </is>
      </c>
      <c r="J837" s="17" t="inlineStr">
        <is>
          <t>4 × Ø40 × Ø26,4 × 4 (a cada lado de cada rueda)</t>
        </is>
      </c>
      <c r="K837" s="32" t="inlineStr">
        <is>
          <t>Compra</t>
        </is>
      </c>
      <c r="L837" s="32" t="inlineStr">
        <is>
          <t>Sí</t>
        </is>
      </c>
      <c r="M837" s="17" t="inlineStr">
        <is>
          <t>Hierros Parrotta</t>
        </is>
      </c>
      <c r="N837" s="17" t="inlineStr">
        <is>
          <t>-</t>
        </is>
      </c>
      <c r="O837" s="17" t="inlineStr">
        <is>
          <t>Después de 12 pintura: ruedas montadas sobre el eje</t>
        </is>
      </c>
      <c r="P837" s="17" t="n"/>
      <c r="Q837" s="32" t="inlineStr">
        <is>
          <t>P</t>
        </is>
      </c>
      <c r="R837" s="32" t="inlineStr">
        <is>
          <t>FL_DES_ABC_70kg</t>
        </is>
      </c>
      <c r="S837" s="17" t="inlineStr">
        <is>
          <t>Montaje final, después de la pintura, con las ruedas (proceso de carros, puesto 8)</t>
        </is>
      </c>
    </row>
    <row r="838">
      <c r="A838" s="32" t="inlineStr">
        <is>
          <t>FL_MAT_ABC_70kg</t>
        </is>
      </c>
      <c r="B838" s="32" t="n">
        <v>2</v>
      </c>
      <c r="C838" s="32" t="inlineStr">
        <is>
          <t>ABC70-13</t>
        </is>
      </c>
      <c r="D838" s="17" t="inlineStr">
        <is>
          <t xml:space="preserve">        Pasadores del eje (2)</t>
        </is>
      </c>
      <c r="E838" s="32" t="n">
        <v>1</v>
      </c>
      <c r="F838" s="32" t="inlineStr">
        <is>
          <t>u</t>
        </is>
      </c>
      <c r="G838" s="33" t="n">
        <v>0.0132</v>
      </c>
      <c r="H838" s="33">
        <f>E838*G838</f>
        <v/>
      </c>
      <c r="I838" s="32" t="inlineStr">
        <is>
          <t>Pasador partido acero Ø4 × 40</t>
        </is>
      </c>
      <c r="J838" s="17" t="inlineStr">
        <is>
          <t>2 pasadores partidos Ø4 × 40, uno en cada punta del eje, por fuera de la arandela</t>
        </is>
      </c>
      <c r="K838" s="32" t="inlineStr">
        <is>
          <t>Compra</t>
        </is>
      </c>
      <c r="L838" s="32" t="inlineStr">
        <is>
          <t>Sí</t>
        </is>
      </c>
      <c r="M838" s="17" t="inlineStr">
        <is>
          <t>Hierros Parrotta</t>
        </is>
      </c>
      <c r="N838" s="17" t="inlineStr">
        <is>
          <t>-</t>
        </is>
      </c>
      <c r="O838" s="17" t="inlineStr">
        <is>
          <t>Después de 12 pintura: ruedas montadas sobre el eje</t>
        </is>
      </c>
      <c r="P838" s="17" t="n"/>
      <c r="Q838" s="32" t="inlineStr">
        <is>
          <t>P</t>
        </is>
      </c>
      <c r="R838" s="32" t="inlineStr">
        <is>
          <t>FL_DES_ABC_70kg</t>
        </is>
      </c>
      <c r="S838" s="17" t="inlineStr">
        <is>
          <t>Montaje final, después de la pintura, con las ruedas (proceso de carros, puesto 8)</t>
        </is>
      </c>
    </row>
    <row r="839">
      <c r="A839" s="32" t="inlineStr">
        <is>
          <t>FL_MAT_ABC_70kg</t>
        </is>
      </c>
      <c r="B839" s="32" t="n">
        <v>2</v>
      </c>
      <c r="C839" s="32" t="inlineStr">
        <is>
          <t>ABC70-14</t>
        </is>
      </c>
      <c r="D839" s="17" t="inlineStr">
        <is>
          <t xml:space="preserve">        Manija del carro</t>
        </is>
      </c>
      <c r="E839" s="32" t="n">
        <v>1</v>
      </c>
      <c r="F839" s="32" t="inlineStr">
        <is>
          <t>u</t>
        </is>
      </c>
      <c r="G839" s="33" t="n">
        <v>1.5927</v>
      </c>
      <c r="H839" s="33">
        <f>E839*G839</f>
        <v/>
      </c>
      <c r="I839" s="32" t="inlineStr">
        <is>
          <t>Caño acero SAE 1010 1" × 2,0</t>
        </is>
      </c>
      <c r="J839" s="17" t="inlineStr">
        <is>
          <t>caño 1" (Ø25,4) × 2,0, corte 1.480 (desarrollado del modelo 1.472); puntas aplastadas en lengüetas 40 × 60 × 4 soldadas a los costados, borde de abajo 200 bajo la costura de la cúpula; 2 curvas de 90° y 2 de 30° (doblez a 975 del piso), puño hacia atrás a 1.170</t>
        </is>
      </c>
      <c r="K839" s="32" t="inlineStr">
        <is>
          <t>Fabricación</t>
        </is>
      </c>
      <c r="L839" s="32" t="inlineStr">
        <is>
          <t>No</t>
        </is>
      </c>
      <c r="M839" s="17" t="n"/>
      <c r="N839" s="17" t="n"/>
      <c r="O839" s="17" t="inlineStr">
        <is>
          <t>8.1 fabricación de accesorios (orillas / caño / barra) -&gt; 8 soldadura MAG al recipiente, antes de la PH (IRAM 3550 6.1.1)</t>
        </is>
      </c>
      <c r="P839" s="17" t="n"/>
      <c r="Q839" s="32" t="inlineStr">
        <is>
          <t>P</t>
        </is>
      </c>
      <c r="R839" s="32" t="inlineStr">
        <is>
          <t>FL_DES_ABC_70kg</t>
        </is>
      </c>
      <c r="S839"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840">
      <c r="A840" s="34" t="inlineStr">
        <is>
          <t>FL_MAT_ABC_70kg</t>
        </is>
      </c>
      <c r="B840" s="34" t="n">
        <v>3</v>
      </c>
      <c r="C840" s="34" t="inlineStr">
        <is>
          <t>MP-CANO-CARRO</t>
        </is>
      </c>
      <c r="D840" s="35" t="inlineStr">
        <is>
          <t xml:space="preserve">            Caño SAE 1010 1" × 2,0 (tramo de barra de 6 m)</t>
        </is>
      </c>
      <c r="E840" s="34" t="n">
        <v>0.2467</v>
      </c>
      <c r="F840" s="34" t="inlineStr">
        <is>
          <t>barra</t>
        </is>
      </c>
      <c r="G840" s="36" t="n">
        <v>6.925</v>
      </c>
      <c r="H840" s="36">
        <f>E840*G840</f>
        <v/>
      </c>
      <c r="I840" s="34" t="inlineStr">
        <is>
          <t>Caño acero SAE 1010 1" × 2,0</t>
        </is>
      </c>
      <c r="J840" s="35" t="inlineStr">
        <is>
          <t>1.480 mm por pieza (kg por barra de 6 m)</t>
        </is>
      </c>
      <c r="K840" s="34" t="inlineStr">
        <is>
          <t>Compra</t>
        </is>
      </c>
      <c r="L840" s="34" t="inlineStr">
        <is>
          <t>Sí</t>
        </is>
      </c>
      <c r="M840" s="35" t="inlineStr">
        <is>
          <t>Metalpri / Prilux</t>
        </is>
      </c>
      <c r="N840" s="35" t="inlineStr">
        <is>
          <t>Comercial MID</t>
        </is>
      </c>
      <c r="O840" s="35" t="inlineStr">
        <is>
          <t>Corte en sierra</t>
        </is>
      </c>
      <c r="P840" s="35" t="n"/>
      <c r="Q840" s="34" t="inlineStr">
        <is>
          <t>C</t>
        </is>
      </c>
      <c r="R840" s="34" t="n"/>
      <c r="S840" s="35" t="inlineStr">
        <is>
          <t>Largo de corte = desarrollo del modelo a 10 mm (kit del puesto 8.1), con las lengüetas a aplastar</t>
        </is>
      </c>
    </row>
    <row r="841">
      <c r="A841" s="32" t="inlineStr">
        <is>
          <t>FL_MAT_ABC_70kg</t>
        </is>
      </c>
      <c r="B841" s="32" t="n">
        <v>2</v>
      </c>
      <c r="C841" s="32" t="inlineStr">
        <is>
          <t>ABC70-28</t>
        </is>
      </c>
      <c r="D841" s="17" t="inlineStr">
        <is>
          <t xml:space="preserve">        Flejes del soporte de manga (2)</t>
        </is>
      </c>
      <c r="E841" s="32" t="n">
        <v>1</v>
      </c>
      <c r="F841" s="32" t="inlineStr">
        <is>
          <t>u</t>
        </is>
      </c>
      <c r="G841" s="33" t="n">
        <v>0.8774</v>
      </c>
      <c r="H841" s="33">
        <f>E841*G841</f>
        <v/>
      </c>
      <c r="I841" s="32" t="inlineStr">
        <is>
          <t>Chapa LAC 3,2 × 40 plegada</t>
        </is>
      </c>
      <c r="J841" s="17" t="inlineStr">
        <is>
          <t>2 flejes iguales 40 × 3,2 de 425 de corte, 4 dobleces de 90° (U abierta hacia afuera): base 250 por fuera, soldada al cuerpo por el centro, patas 80 (hasta delante de la última vuelta) y orejas 20 hacia los costados; superior a 40 bajo la costura de la cúpula, inferior a 40 sobre la del fondo; la manga pasa por afuera de las patas y detrás de las orejas</t>
        </is>
      </c>
      <c r="K841" s="32" t="inlineStr">
        <is>
          <t>Fabricación</t>
        </is>
      </c>
      <c r="L841" s="32" t="inlineStr">
        <is>
          <t>No</t>
        </is>
      </c>
      <c r="M841" s="17" t="n"/>
      <c r="N841" s="17" t="n"/>
      <c r="O841" s="17" t="inlineStr">
        <is>
          <t>8.1 fabricación de accesorios (orillas / caño / barra) -&gt; 8 soldadura MAG al recipiente, antes de la PH (IRAM 3550 6.1.1)</t>
        </is>
      </c>
      <c r="P841" s="17" t="n"/>
      <c r="Q841" s="32" t="inlineStr">
        <is>
          <t>P</t>
        </is>
      </c>
      <c r="R841" s="32" t="inlineStr">
        <is>
          <t>FL_DES_ABC_70kg</t>
        </is>
      </c>
      <c r="S841" s="17" t="inlineStr">
        <is>
          <t>Proceso FLAMA de carros, puesto 8 (kit del 8.1): medidas y posición de la tabla del puesto; se suelda antes de la prueba hidráulica (IRAM 3550 6.1.1); chapa de las orillas del corte (sin compra)</t>
        </is>
      </c>
    </row>
    <row r="842">
      <c r="A842" s="29" t="inlineStr">
        <is>
          <t>FL_MAT_ABC_70kg</t>
        </is>
      </c>
      <c r="B842" s="29" t="n">
        <v>1</v>
      </c>
      <c r="C842" s="29" t="inlineStr">
        <is>
          <t>ABC70-S5</t>
        </is>
      </c>
      <c r="D842" s="30" t="inlineStr">
        <is>
          <t xml:space="preserve">    Carga: agente extintor y gas impulsor</t>
        </is>
      </c>
      <c r="E842" s="29" t="n">
        <v>1</v>
      </c>
      <c r="F842" s="29" t="inlineStr">
        <is>
          <t>u</t>
        </is>
      </c>
      <c r="G842" s="31" t="n"/>
      <c r="H842" s="31">
        <f>H843+H844</f>
        <v/>
      </c>
      <c r="I842" s="29" t="n"/>
      <c r="J842" s="30" t="n"/>
      <c r="K842" s="29" t="inlineStr">
        <is>
          <t>Carga en planta</t>
        </is>
      </c>
      <c r="L842" s="29" t="n"/>
      <c r="M842" s="30" t="n"/>
      <c r="N842" s="30" t="n"/>
      <c r="O842" s="30" t="inlineStr">
        <is>
          <t>18 Carga de polvo (T01) / C8 (T02)</t>
        </is>
      </c>
      <c r="P842" s="30" t="n"/>
      <c r="Q842" s="29" t="n"/>
      <c r="R842" s="29" t="n"/>
      <c r="S842" s="30" t="n"/>
    </row>
    <row r="843">
      <c r="A843" s="32" t="inlineStr">
        <is>
          <t>FL_MAT_ABC_70kg</t>
        </is>
      </c>
      <c r="B843" s="32" t="n">
        <v>2</v>
      </c>
      <c r="C843" s="32" t="inlineStr">
        <is>
          <t>ABC70-A1</t>
        </is>
      </c>
      <c r="D843" s="17" t="inlineStr">
        <is>
          <t xml:space="preserve">        Polvo químico seco ABC 90 (Sello IRAM 3569)</t>
        </is>
      </c>
      <c r="E843" s="32" t="n">
        <v>70</v>
      </c>
      <c r="F843" s="32" t="inlineStr">
        <is>
          <t>kg</t>
        </is>
      </c>
      <c r="G843" s="33" t="n">
        <v>1</v>
      </c>
      <c r="H843" s="33">
        <f>E843*G843</f>
        <v/>
      </c>
      <c r="I843" s="32" t="inlineStr">
        <is>
          <t>Polvo químico seco ABC 90 (Sello IRAM 3569)</t>
        </is>
      </c>
      <c r="J843" s="17" t="inlineStr">
        <is>
          <t>nominal 70 kg; tolerancia ± 3 % (IRAM 3517-2:2020 tabla 3)</t>
        </is>
      </c>
      <c r="K843" s="32" t="inlineStr">
        <is>
          <t>Compra</t>
        </is>
      </c>
      <c r="L843" s="32" t="inlineStr">
        <is>
          <t>Sí</t>
        </is>
      </c>
      <c r="M843" s="17" t="inlineStr">
        <is>
          <t>DEM S.A. (DEMSA)</t>
        </is>
      </c>
      <c r="N843" s="17" t="inlineStr">
        <is>
          <t>Polvex S.R.L. / Sancibrao</t>
        </is>
      </c>
      <c r="O843" s="17" t="inlineStr">
        <is>
          <t>SP-1 almacén previo a la carga</t>
        </is>
      </c>
      <c r="P843" s="17" t="inlineStr">
        <is>
          <t>IRAM 3569</t>
        </is>
      </c>
      <c r="Q843" s="32" t="inlineStr">
        <is>
          <t>N</t>
        </is>
      </c>
      <c r="R843" s="32" t="n"/>
      <c r="S843" s="17" t="inlineStr">
        <is>
          <t>Composición declarada del polvo ABC 90: MAP 90 % (IRAM 3569: 85,5-94,5 %) = 63 kg MAP + 4,9 kg sulfato de amonio + 2,1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844">
      <c r="A844" s="37" t="inlineStr">
        <is>
          <t>FL_MAT_ABC_70kg</t>
        </is>
      </c>
      <c r="B844" s="37" t="n">
        <v>2</v>
      </c>
      <c r="C844" s="37" t="inlineStr">
        <is>
          <t>ABC70-A2</t>
        </is>
      </c>
      <c r="D844" s="18" t="inlineStr">
        <is>
          <t xml:space="preserve">        Gas impulsor: N₂</t>
        </is>
      </c>
      <c r="E844" s="37" t="n">
        <v>0.5581</v>
      </c>
      <c r="F844" s="37" t="inlineStr">
        <is>
          <t>kg</t>
        </is>
      </c>
      <c r="G844" s="38" t="n">
        <v>1</v>
      </c>
      <c r="H844" s="38">
        <f>E844*G844</f>
        <v/>
      </c>
      <c r="I844" s="37" t="inlineStr">
        <is>
          <t>N₂</t>
        </is>
      </c>
      <c r="J844" s="18" t="inlineStr">
        <is>
          <t>446,7 L normales para 1,4 MPa a 20 °C en 32,36 dm³ libres</t>
        </is>
      </c>
      <c r="K844" s="37" t="inlineStr">
        <is>
          <t>Compra</t>
        </is>
      </c>
      <c r="L844" s="37" t="inlineStr">
        <is>
          <t>Sí</t>
        </is>
      </c>
      <c r="M844" s="18" t="inlineStr">
        <is>
          <t>Air Liquide Argentina - sucursal Piñeyro</t>
        </is>
      </c>
      <c r="N844" s="18" t="inlineStr">
        <is>
          <t>Gogniat</t>
        </is>
      </c>
      <c r="O844" s="18" t="inlineStr">
        <is>
          <t>20 Presurización (T05) / C10</t>
        </is>
      </c>
      <c r="P844" s="18" t="inlineStr">
        <is>
          <t>IRAM 3517-2 9.4.9 (tabla 2) · IRAM 3523 2.3 y 3.10</t>
        </is>
      </c>
      <c r="Q844" s="37" t="inlineStr">
        <is>
          <t>C</t>
        </is>
      </c>
      <c r="R844" s="37" t="n"/>
      <c r="S844" s="18" t="inlineStr">
        <is>
          <t>N₂ ≥ 99,8 %, H₂O ≤ 40 ppm (Q-N2, Air Liquide) · volumen libre con ρ empacada mínima 1,1 kg/dm³ (NOM-104-STPS-2001); confirmar con descarga ≥ 85 % (IRAM 3523 4.9.1)</t>
        </is>
      </c>
    </row>
    <row r="845">
      <c r="A845" s="29" t="inlineStr">
        <is>
          <t>FL_MAT_ABC_70kg</t>
        </is>
      </c>
      <c r="B845" s="29" t="n">
        <v>1</v>
      </c>
      <c r="C845" s="29" t="inlineStr">
        <is>
          <t>ABC70-S6</t>
        </is>
      </c>
      <c r="D845" s="30" t="inlineStr">
        <is>
          <t xml:space="preserve">    Identificación y precinto</t>
        </is>
      </c>
      <c r="E845" s="29" t="n">
        <v>1</v>
      </c>
      <c r="F845" s="29" t="inlineStr">
        <is>
          <t>u</t>
        </is>
      </c>
      <c r="G845" s="31" t="n"/>
      <c r="H845" s="31">
        <f>H846+H847+H848+H849+H850+H851+H852</f>
        <v/>
      </c>
      <c r="I845" s="29" t="n"/>
      <c r="J845" s="30" t="n"/>
      <c r="K845" s="29" t="inlineStr">
        <is>
          <t>Compra</t>
        </is>
      </c>
      <c r="L845" s="29" t="n"/>
      <c r="M845" s="30" t="n"/>
      <c r="N845" s="30" t="n"/>
      <c r="O845" s="30" t="inlineStr">
        <is>
          <t>22 Etiquetado (T07)</t>
        </is>
      </c>
      <c r="P845" s="30" t="n"/>
      <c r="Q845" s="29" t="n"/>
      <c r="R845" s="29" t="n"/>
      <c r="S845" s="30" t="n"/>
    </row>
    <row r="846">
      <c r="A846" s="32" t="inlineStr">
        <is>
          <t>FL_MAT_ABC_70kg</t>
        </is>
      </c>
      <c r="B846" s="32" t="n">
        <v>2</v>
      </c>
      <c r="C846" s="32" t="inlineStr">
        <is>
          <t>ABC70-31</t>
        </is>
      </c>
      <c r="D846" s="17" t="inlineStr">
        <is>
          <t xml:space="preserve">        Etiqueta / placa de características</t>
        </is>
      </c>
      <c r="E846" s="32" t="n">
        <v>1</v>
      </c>
      <c r="F846" s="32" t="inlineStr">
        <is>
          <t>u</t>
        </is>
      </c>
      <c r="G846" s="33" t="n">
        <v>0.06610000000000001</v>
      </c>
      <c r="H846" s="33">
        <f>E846*G846</f>
        <v/>
      </c>
      <c r="I846" s="32" t="inlineStr">
        <is>
          <t>Vinilo autoadhesivo laminado</t>
        </is>
      </c>
      <c r="J846" s="17" t="inlineStr">
        <is>
          <t>736 × 214 (desarrollo × alto: panel central 108° + 2 alas laterales), e ≈ 0,3, laminado UV</t>
        </is>
      </c>
      <c r="K846" s="32" t="inlineStr">
        <is>
          <t>Compra</t>
        </is>
      </c>
      <c r="L846" s="32" t="inlineStr">
        <is>
          <t>Sí</t>
        </is>
      </c>
      <c r="M846" s="17" t="inlineStr">
        <is>
          <t>Astuprint</t>
        </is>
      </c>
      <c r="N846" s="17" t="inlineStr">
        <is>
          <t>Multilabel Argentina S.A.</t>
        </is>
      </c>
      <c r="O846" s="17" t="inlineStr">
        <is>
          <t>22 Etiquetado (T07)</t>
        </is>
      </c>
      <c r="P846" s="17" t="inlineStr">
        <is>
          <t>IRAM 3534 · IRAM 3550 cap. 5 · relevamiento de mercado</t>
        </is>
      </c>
      <c r="Q846" s="32" t="inlineStr">
        <is>
          <t>P</t>
        </is>
      </c>
      <c r="R846" s="32" t="inlineStr">
        <is>
          <t>FL_DES_ABC_70kg</t>
        </is>
      </c>
      <c r="S846" s="17" t="inlineStr">
        <is>
          <t>IRAM 3534</t>
        </is>
      </c>
    </row>
    <row r="847">
      <c r="A847" s="32" t="inlineStr">
        <is>
          <t>FL_MAT_ABC_70kg</t>
        </is>
      </c>
      <c r="B847" s="32" t="n">
        <v>2</v>
      </c>
      <c r="C847" s="32" t="inlineStr">
        <is>
          <t>ABC70-32</t>
        </is>
      </c>
      <c r="D847" s="17" t="inlineStr">
        <is>
          <t xml:space="preserve">        Oblea de fabricación (PBA)</t>
        </is>
      </c>
      <c r="E847" s="32" t="n">
        <v>1</v>
      </c>
      <c r="F847" s="32" t="inlineStr">
        <is>
          <t>u</t>
        </is>
      </c>
      <c r="G847" s="33" t="n">
        <v>0.0009</v>
      </c>
      <c r="H847" s="33">
        <f>E847*G847</f>
        <v/>
      </c>
      <c r="I847" s="32" t="inlineStr">
        <is>
          <t>Papel de seguridad autodestructible</t>
        </is>
      </c>
      <c r="J847" s="17" t="inlineStr">
        <is>
          <t>Ø46 (Res. OPDS 522/07), numerada, autodestructible</t>
        </is>
      </c>
      <c r="K847" s="32" t="inlineStr">
        <is>
          <t>Compra</t>
        </is>
      </c>
      <c r="L847" s="32" t="inlineStr">
        <is>
          <t>Sí</t>
        </is>
      </c>
      <c r="M847" s="17" t="inlineStr">
        <is>
          <t>Ministerio de Ambiente PBA (ex OPDS)</t>
        </is>
      </c>
      <c r="N847" s="17" t="inlineStr">
        <is>
          <t>-</t>
        </is>
      </c>
      <c r="O847" s="17" t="inlineStr">
        <is>
          <t>22 Etiquetado (T07)</t>
        </is>
      </c>
      <c r="P847" s="17" t="inlineStr">
        <is>
          <t>Res. OPDS 522/07 anexos 1, 2 y 6</t>
        </is>
      </c>
      <c r="Q847" s="32" t="inlineStr">
        <is>
          <t>P</t>
        </is>
      </c>
      <c r="R847" s="32" t="inlineStr">
        <is>
          <t>FL_DES_ABC_70kg</t>
        </is>
      </c>
      <c r="S847" s="17" t="inlineStr">
        <is>
          <t>Res. 522/07</t>
        </is>
      </c>
    </row>
    <row r="848">
      <c r="A848" s="32" t="inlineStr">
        <is>
          <t>FL_MAT_ABC_70kg</t>
        </is>
      </c>
      <c r="B848" s="32" t="n">
        <v>2</v>
      </c>
      <c r="C848" s="32" t="inlineStr">
        <is>
          <t>ABC70-33</t>
        </is>
      </c>
      <c r="D848" s="17" t="inlineStr">
        <is>
          <t xml:space="preserve">        Estampilla IRAM de conformidad</t>
        </is>
      </c>
      <c r="E848" s="32" t="n">
        <v>1</v>
      </c>
      <c r="F848" s="32" t="inlineStr">
        <is>
          <t>u</t>
        </is>
      </c>
      <c r="G848" s="33" t="n">
        <v>0.001</v>
      </c>
      <c r="H848" s="33">
        <f>E848*G848</f>
        <v/>
      </c>
      <c r="I848" s="32" t="inlineStr">
        <is>
          <t>Provista por IRAM (Anexo R)</t>
        </is>
      </c>
      <c r="J848" s="17" t="inlineStr">
        <is>
          <t>60 × 40</t>
        </is>
      </c>
      <c r="K848" s="32" t="inlineStr">
        <is>
          <t>Compra</t>
        </is>
      </c>
      <c r="L848" s="32" t="inlineStr">
        <is>
          <t>Sí</t>
        </is>
      </c>
      <c r="M848" s="17" t="inlineStr">
        <is>
          <t>IRAM - Instituto Argentino de Normalización</t>
        </is>
      </c>
      <c r="N848" s="17" t="inlineStr">
        <is>
          <t>-</t>
        </is>
      </c>
      <c r="O848" s="17" t="inlineStr">
        <is>
          <t>22 Etiquetado (T07)</t>
        </is>
      </c>
      <c r="P848" s="17" t="inlineStr">
        <is>
          <t>IRAM Anexo R (DC-PG-129)</t>
        </is>
      </c>
      <c r="Q848" s="32" t="inlineStr">
        <is>
          <t>P</t>
        </is>
      </c>
      <c r="R848" s="32" t="inlineStr">
        <is>
          <t>FL_DES_ABC_70kg</t>
        </is>
      </c>
      <c r="S848" s="17" t="inlineStr">
        <is>
          <t>numerada</t>
        </is>
      </c>
    </row>
    <row r="849">
      <c r="A849" s="32" t="inlineStr">
        <is>
          <t>FL_MAT_ABC_70kg</t>
        </is>
      </c>
      <c r="B849" s="32" t="n">
        <v>2</v>
      </c>
      <c r="C849" s="32" t="inlineStr">
        <is>
          <t>ABC70-34</t>
        </is>
      </c>
      <c r="D849" s="17" t="inlineStr">
        <is>
          <t xml:space="preserve">        Tarjeta de identificación AGC (CABA)</t>
        </is>
      </c>
      <c r="E849" s="32" t="n">
        <v>1</v>
      </c>
      <c r="F849" s="32" t="inlineStr">
        <is>
          <t>u</t>
        </is>
      </c>
      <c r="G849" s="33" t="n">
        <v>0.0032</v>
      </c>
      <c r="H849" s="33">
        <f>E849*G849</f>
        <v/>
      </c>
      <c r="I849" s="32" t="inlineStr">
        <is>
          <t>Etiqueta autoadhesiva emitida por la AGC</t>
        </is>
      </c>
      <c r="J849" s="17" t="inlineStr">
        <is>
          <t>140 × 55</t>
        </is>
      </c>
      <c r="K849" s="32" t="inlineStr">
        <is>
          <t>Compra</t>
        </is>
      </c>
      <c r="L849" s="32" t="inlineStr">
        <is>
          <t>Sí</t>
        </is>
      </c>
      <c r="M849" s="17" t="inlineStr">
        <is>
          <t>Agencia Gubernamental de Control (CABA)</t>
        </is>
      </c>
      <c r="N849" s="17" t="inlineStr">
        <is>
          <t>-</t>
        </is>
      </c>
      <c r="O849" s="17" t="inlineStr">
        <is>
          <t>22 Etiquetado (T07)</t>
        </is>
      </c>
      <c r="P849" s="17" t="inlineStr">
        <is>
          <t>Ordenanza 40.473 art. 6 · Res. AGC 32/15</t>
        </is>
      </c>
      <c r="Q849" s="32" t="inlineStr">
        <is>
          <t>P</t>
        </is>
      </c>
      <c r="R849" s="32" t="inlineStr">
        <is>
          <t>FL_DES_ABC_70kg</t>
        </is>
      </c>
      <c r="S849" s="17" t="inlineStr">
        <is>
          <t>sólo destino CABA</t>
        </is>
      </c>
    </row>
    <row r="850">
      <c r="A850" s="32" t="inlineStr">
        <is>
          <t>FL_MAT_ABC_70kg</t>
        </is>
      </c>
      <c r="B850" s="32" t="n">
        <v>2</v>
      </c>
      <c r="C850" s="32" t="inlineStr">
        <is>
          <t>ABC70-35</t>
        </is>
      </c>
      <c r="D850" s="17" t="inlineStr">
        <is>
          <t xml:space="preserve">        Etiqueta de n° de serie GS1</t>
        </is>
      </c>
      <c r="E850" s="32" t="n">
        <v>1</v>
      </c>
      <c r="F850" s="32" t="inlineStr">
        <is>
          <t>u</t>
        </is>
      </c>
      <c r="G850" s="33" t="n">
        <v>0.0005</v>
      </c>
      <c r="H850" s="33">
        <f>E850*G850</f>
        <v/>
      </c>
      <c r="I850" s="32" t="inlineStr">
        <is>
          <t>Poliéster autoadhesivo impreso térmico</t>
        </is>
      </c>
      <c r="J850" s="17" t="inlineStr">
        <is>
          <t>45 × 25</t>
        </is>
      </c>
      <c r="K850" s="32" t="inlineStr">
        <is>
          <t>Compra</t>
        </is>
      </c>
      <c r="L850" s="32" t="inlineStr">
        <is>
          <t>Sí</t>
        </is>
      </c>
      <c r="M850" s="17" t="inlineStr">
        <is>
          <t>Astuprint</t>
        </is>
      </c>
      <c r="N850" s="17" t="inlineStr">
        <is>
          <t>GS1 Argentina</t>
        </is>
      </c>
      <c r="O850" s="17" t="inlineStr">
        <is>
          <t>22 Etiquetado (T07)</t>
        </is>
      </c>
      <c r="P850" s="17" t="inlineStr">
        <is>
          <t>GS1 Argentina (GTIN 779) · trazabilidad IRAM 3523 5.1</t>
        </is>
      </c>
      <c r="Q850" s="32" t="inlineStr">
        <is>
          <t>P</t>
        </is>
      </c>
      <c r="R850" s="32" t="inlineStr">
        <is>
          <t>FL_DES_ABC_70kg</t>
        </is>
      </c>
      <c r="S850" s="17" t="inlineStr">
        <is>
          <t>QR GTIN + serie</t>
        </is>
      </c>
    </row>
    <row r="851">
      <c r="A851" s="32" t="inlineStr">
        <is>
          <t>FL_MAT_ABC_70kg</t>
        </is>
      </c>
      <c r="B851" s="32" t="n">
        <v>2</v>
      </c>
      <c r="C851" s="32" t="inlineStr">
        <is>
          <t>ABC70-37</t>
        </is>
      </c>
      <c r="D851" s="17" t="inlineStr">
        <is>
          <t xml:space="preserve">        Faja de garantía válvula-cuello</t>
        </is>
      </c>
      <c r="E851" s="32" t="n">
        <v>1</v>
      </c>
      <c r="F851" s="32" t="inlineStr">
        <is>
          <t>u</t>
        </is>
      </c>
      <c r="G851" s="33" t="n">
        <v>0.0004</v>
      </c>
      <c r="H851" s="33">
        <f>E851*G851</f>
        <v/>
      </c>
      <c r="I851" s="32" t="inlineStr">
        <is>
          <t>Vinilo destructible rayado rojo/blanco</t>
        </is>
      </c>
      <c r="J851" s="17" t="inlineStr">
        <is>
          <t>30 × 47 (ancho × largo desarrollado), pegada sobre la unión: cuerpo de la válvula, tuerca y cuello</t>
        </is>
      </c>
      <c r="K851" s="32" t="inlineStr">
        <is>
          <t>Compra</t>
        </is>
      </c>
      <c r="L851" s="32" t="inlineStr">
        <is>
          <t>Sí</t>
        </is>
      </c>
      <c r="M851" s="17" t="inlineStr">
        <is>
          <t>Astuprint</t>
        </is>
      </c>
      <c r="N851" s="17" t="inlineStr">
        <is>
          <t>Multilabel Argentina S.A.</t>
        </is>
      </c>
      <c r="O851" s="17" t="inlineStr">
        <is>
          <t>22 Etiquetado (T07)</t>
        </is>
      </c>
      <c r="P851" s="17" t="inlineStr">
        <is>
          <t>Sin norma: práctica de mercado (garantía de fábrica)</t>
        </is>
      </c>
      <c r="Q851" s="32" t="inlineStr">
        <is>
          <t>P</t>
        </is>
      </c>
      <c r="R851" s="32" t="inlineStr">
        <is>
          <t>FL_DES_ABC_70kg</t>
        </is>
      </c>
      <c r="S851" s="17" t="inlineStr">
        <is>
          <t>nuevo sin abrir</t>
        </is>
      </c>
    </row>
    <row r="852">
      <c r="A852" s="32" t="inlineStr">
        <is>
          <t>FL_MAT_ABC_70kg</t>
        </is>
      </c>
      <c r="B852" s="32" t="n">
        <v>2</v>
      </c>
      <c r="C852" s="32" t="inlineStr">
        <is>
          <t>ABC70-38</t>
        </is>
      </c>
      <c r="D852" s="17" t="inlineStr">
        <is>
          <t xml:space="preserve">        Precinto de fábrica</t>
        </is>
      </c>
      <c r="E852" s="32" t="n">
        <v>1</v>
      </c>
      <c r="F852" s="32" t="inlineStr">
        <is>
          <t>u</t>
        </is>
      </c>
      <c r="G852" s="33" t="n">
        <v>0.0002</v>
      </c>
      <c r="H852" s="33">
        <f>E852*G852</f>
        <v/>
      </c>
      <c r="I852" s="32" t="inlineStr">
        <is>
          <t>Polipropileno color</t>
        </is>
      </c>
      <c r="J852" s="17" t="inlineStr">
        <is>
          <t>Ø5 × 10, numerado, rotura 30-50 N</t>
        </is>
      </c>
      <c r="K852" s="32" t="inlineStr">
        <is>
          <t>Compra</t>
        </is>
      </c>
      <c r="L852" s="32" t="inlineStr">
        <is>
          <t>Sí</t>
        </is>
      </c>
      <c r="M852" s="17" t="inlineStr">
        <is>
          <t>SonFuertes (vía Papelera Damián)</t>
        </is>
      </c>
      <c r="N852" s="17" t="inlineStr">
        <is>
          <t>Precinter S.R.L.</t>
        </is>
      </c>
      <c r="O852" s="17" t="inlineStr">
        <is>
          <t>20 Presurización (T05)</t>
        </is>
      </c>
      <c r="P852" s="17" t="inlineStr">
        <is>
          <t>IRAM 3523 3.3.2 · IRAM 3517-2:2020 9.4.13</t>
        </is>
      </c>
      <c r="Q852" s="32" t="inlineStr">
        <is>
          <t>P</t>
        </is>
      </c>
      <c r="R852" s="32" t="inlineStr">
        <is>
          <t>FL_DES_ABC_70kg</t>
        </is>
      </c>
      <c r="S852" s="17" t="inlineStr">
        <is>
          <t>id. FLAMA y lote</t>
        </is>
      </c>
    </row>
    <row r="853">
      <c r="A853" s="29" t="inlineStr">
        <is>
          <t>FL_MAT_ABC_70kg</t>
        </is>
      </c>
      <c r="B853" s="29" t="n">
        <v>1</v>
      </c>
      <c r="C853" s="29" t="inlineStr">
        <is>
          <t>ABC70-S7</t>
        </is>
      </c>
      <c r="D853" s="30" t="inlineStr">
        <is>
          <t xml:space="preserve">    Embalaje</t>
        </is>
      </c>
      <c r="E853" s="29" t="n">
        <v>1</v>
      </c>
      <c r="F853" s="29" t="inlineStr">
        <is>
          <t>u</t>
        </is>
      </c>
      <c r="G853" s="31" t="n"/>
      <c r="H853" s="31">
        <f>H856</f>
        <v/>
      </c>
      <c r="I853" s="29" t="n"/>
      <c r="J853" s="30" t="n"/>
      <c r="K853" s="29" t="inlineStr">
        <is>
          <t>Compra</t>
        </is>
      </c>
      <c r="L853" s="29" t="n"/>
      <c r="M853" s="30" t="n"/>
      <c r="N853" s="30" t="n"/>
      <c r="O853" s="30" t="inlineStr">
        <is>
          <t>23 Embalaje -&gt; 24 envolvedora (T11)</t>
        </is>
      </c>
      <c r="P853" s="30" t="n"/>
      <c r="Q853" s="29" t="n"/>
      <c r="R853" s="29" t="n"/>
      <c r="S853" s="30" t="n"/>
    </row>
    <row r="854">
      <c r="A854" s="32" t="inlineStr">
        <is>
          <t>FL_MAT_ABC_70kg</t>
        </is>
      </c>
      <c r="B854" s="32" t="n">
        <v>2</v>
      </c>
      <c r="C854" s="32" t="inlineStr">
        <is>
          <t>ABC70-E1</t>
        </is>
      </c>
      <c r="D854" s="17" t="inlineStr">
        <is>
          <t xml:space="preserve">        Esquineros y funda de polietileno</t>
        </is>
      </c>
      <c r="E854" s="32" t="n">
        <v>1</v>
      </c>
      <c r="F854" s="32" t="inlineStr">
        <is>
          <t>jgo</t>
        </is>
      </c>
      <c r="G854" s="33" t="n"/>
      <c r="H854" s="33" t="n"/>
      <c r="I854" s="32" t="inlineStr">
        <is>
          <t>PE / cartón</t>
        </is>
      </c>
      <c r="J854" s="17" t="inlineStr">
        <is>
          <t>a medida de la envolvente del plano</t>
        </is>
      </c>
      <c r="K854" s="32" t="inlineStr">
        <is>
          <t>Compra</t>
        </is>
      </c>
      <c r="L854" s="32" t="inlineStr">
        <is>
          <t>Sí</t>
        </is>
      </c>
      <c r="M854" s="17" t="inlineStr">
        <is>
          <t>MV Embalajes</t>
        </is>
      </c>
      <c r="N854" s="17" t="inlineStr">
        <is>
          <t>Embalpack</t>
        </is>
      </c>
      <c r="O854" s="17" t="inlineStr">
        <is>
          <t>23 Embalaje</t>
        </is>
      </c>
      <c r="P854" s="17" t="n"/>
      <c r="Q854" s="32" t="inlineStr">
        <is>
          <t>P</t>
        </is>
      </c>
      <c r="R854" s="32" t="n"/>
      <c r="S854" s="17" t="inlineStr">
        <is>
          <t>Medida del plano</t>
        </is>
      </c>
    </row>
    <row r="855">
      <c r="A855" s="32" t="inlineStr">
        <is>
          <t>FL_MAT_ABC_70kg</t>
        </is>
      </c>
      <c r="B855" s="32" t="n">
        <v>2</v>
      </c>
      <c r="C855" s="32" t="inlineStr">
        <is>
          <t>ABC70-E3</t>
        </is>
      </c>
      <c r="D855" s="17" t="inlineStr">
        <is>
          <t xml:space="preserve">        Pallet 1200 × 1000 (fracción)</t>
        </is>
      </c>
      <c r="E855" s="32" t="n">
        <v>0.5</v>
      </c>
      <c r="F855" s="32" t="inlineStr">
        <is>
          <t>u</t>
        </is>
      </c>
      <c r="G855" s="33" t="n"/>
      <c r="H855" s="33" t="n"/>
      <c r="I855" s="32" t="inlineStr">
        <is>
          <t>Madera</t>
        </is>
      </c>
      <c r="J855" s="17" t="inlineStr">
        <is>
          <t>2 u por pallet</t>
        </is>
      </c>
      <c r="K855" s="32" t="inlineStr">
        <is>
          <t>Compra</t>
        </is>
      </c>
      <c r="L855" s="32" t="inlineStr">
        <is>
          <t>Sí</t>
        </is>
      </c>
      <c r="M855" s="17" t="inlineStr">
        <is>
          <t>IndusPallets</t>
        </is>
      </c>
      <c r="N855" s="17" t="inlineStr">
        <is>
          <t>-</t>
        </is>
      </c>
      <c r="O855" s="17" t="inlineStr">
        <is>
          <t>23 Embalaje</t>
        </is>
      </c>
      <c r="P855" s="17" t="n"/>
      <c r="Q855" s="32" t="inlineStr">
        <is>
          <t>C</t>
        </is>
      </c>
      <c r="R855" s="32" t="n"/>
      <c r="S855" s="17" t="inlineStr">
        <is>
          <t>u por pallet = acomodo de la caja (plano) en 1200 × 1000 × 1450 de alto</t>
        </is>
      </c>
    </row>
    <row r="856">
      <c r="A856" s="37" t="inlineStr">
        <is>
          <t>FL_MAT_ABC_70kg</t>
        </is>
      </c>
      <c r="B856" s="37" t="n">
        <v>2</v>
      </c>
      <c r="C856" s="37" t="inlineStr">
        <is>
          <t>ABC70-E4</t>
        </is>
      </c>
      <c r="D856" s="18" t="inlineStr">
        <is>
          <t xml:space="preserve">        Film stretch (fracción del pallet)</t>
        </is>
      </c>
      <c r="E856" s="37" t="n">
        <v>0.06</v>
      </c>
      <c r="F856" s="37" t="inlineStr">
        <is>
          <t>kg</t>
        </is>
      </c>
      <c r="G856" s="38" t="n">
        <v>1</v>
      </c>
      <c r="H856" s="38">
        <f>E856*G856</f>
        <v/>
      </c>
      <c r="I856" s="37" t="inlineStr">
        <is>
          <t>PE lineal 23 µm</t>
        </is>
      </c>
      <c r="J856" s="18" t="inlineStr">
        <is>
          <t>0,12 kg por pallet / 2 u</t>
        </is>
      </c>
      <c r="K856" s="37" t="inlineStr">
        <is>
          <t>Compra</t>
        </is>
      </c>
      <c r="L856" s="37" t="inlineStr">
        <is>
          <t>Sí</t>
        </is>
      </c>
      <c r="M856" s="18" t="inlineStr">
        <is>
          <t>MV Embalajes</t>
        </is>
      </c>
      <c r="N856" s="18" t="inlineStr">
        <is>
          <t>Embalpack</t>
        </is>
      </c>
      <c r="O856" s="18" t="inlineStr">
        <is>
          <t>24 Envolvedora (T11)</t>
        </is>
      </c>
      <c r="P856" s="18" t="n"/>
      <c r="Q856" s="37" t="inlineStr">
        <is>
          <t>C</t>
        </is>
      </c>
      <c r="R856" s="37" t="n"/>
      <c r="S856"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857">
      <c r="A857" s="32" t="inlineStr">
        <is>
          <t>FL_MAT_ABC_70kg</t>
        </is>
      </c>
      <c r="B857" s="32" t="n">
        <v>2</v>
      </c>
      <c r="C857" s="32" t="inlineStr">
        <is>
          <t>ABC70-E5</t>
        </is>
      </c>
      <c r="D857" s="17" t="inlineStr">
        <is>
          <t xml:space="preserve">        Etiqueta de pallet (lote y destino, fracción)</t>
        </is>
      </c>
      <c r="E857" s="32" t="n">
        <v>0.5</v>
      </c>
      <c r="F857" s="32" t="inlineStr">
        <is>
          <t>u</t>
        </is>
      </c>
      <c r="G857" s="33" t="n"/>
      <c r="H857" s="33" t="n"/>
      <c r="I857" s="32" t="inlineStr">
        <is>
          <t>Papel térmico</t>
        </is>
      </c>
      <c r="J857" s="17" t="inlineStr">
        <is>
          <t>100 × 150</t>
        </is>
      </c>
      <c r="K857" s="32" t="inlineStr">
        <is>
          <t>Compra</t>
        </is>
      </c>
      <c r="L857" s="32" t="inlineStr">
        <is>
          <t>Sí</t>
        </is>
      </c>
      <c r="M857" s="17" t="inlineStr">
        <is>
          <t>Astuprint</t>
        </is>
      </c>
      <c r="N857" s="17" t="inlineStr">
        <is>
          <t>Multilabel Argentina S.A.</t>
        </is>
      </c>
      <c r="O857" s="17" t="inlineStr">
        <is>
          <t>24 Envolvedora</t>
        </is>
      </c>
      <c r="P857" s="17" t="n"/>
      <c r="Q857" s="32" t="inlineStr">
        <is>
          <t>C</t>
        </is>
      </c>
      <c r="R857" s="32" t="n"/>
      <c r="S857" s="17" t="n"/>
    </row>
    <row r="858">
      <c r="A858" s="26" t="inlineStr">
        <is>
          <t>FL_MAT_ABC_100kg</t>
        </is>
      </c>
      <c r="B858" s="26" t="n">
        <v>0</v>
      </c>
      <c r="C858" s="26" t="inlineStr">
        <is>
          <t>FL_MAT_ABC_100kg</t>
        </is>
      </c>
      <c r="D858" s="27" t="inlineStr">
        <is>
          <t>Extintor ABC 100 kg sobre ruedas</t>
        </is>
      </c>
      <c r="E858" s="26" t="n">
        <v>1</v>
      </c>
      <c r="F858" s="26" t="inlineStr">
        <is>
          <t>u</t>
        </is>
      </c>
      <c r="G858" s="28" t="n"/>
      <c r="H858" s="28" t="n"/>
      <c r="I858" s="26" t="n"/>
      <c r="J858" s="27" t="n"/>
      <c r="K858" s="26" t="n"/>
      <c r="L858" s="26" t="n"/>
      <c r="M858" s="27" t="n"/>
      <c r="N858" s="27" t="n"/>
      <c r="O858" s="27" t="n"/>
      <c r="P858" s="27" t="inlineStr">
        <is>
          <t>IRAM 3550</t>
        </is>
      </c>
      <c r="Q858" s="26" t="inlineStr">
        <is>
          <t>P</t>
        </is>
      </c>
      <c r="R858" s="26" t="inlineStr">
        <is>
          <t>FL_MAT_ABC_100kg</t>
        </is>
      </c>
      <c r="S858" s="27" t="inlineStr">
        <is>
          <t>Fabricación propia</t>
        </is>
      </c>
    </row>
    <row r="859">
      <c r="A859" s="29" t="inlineStr">
        <is>
          <t>FL_MAT_ABC_100kg</t>
        </is>
      </c>
      <c r="B859" s="29" t="n">
        <v>1</v>
      </c>
      <c r="C859" s="29" t="inlineStr">
        <is>
          <t>FL_REC_ABC_100kg</t>
        </is>
      </c>
      <c r="D859" s="30" t="inlineStr">
        <is>
          <t xml:space="preserve">    Recipiente (cilindro)</t>
        </is>
      </c>
      <c r="E859" s="29" t="n">
        <v>1</v>
      </c>
      <c r="F859" s="29" t="inlineStr">
        <is>
          <t>u</t>
        </is>
      </c>
      <c r="G859" s="31" t="n"/>
      <c r="H859" s="31">
        <f>H860+H862+H863+H864+H865+H866</f>
        <v/>
      </c>
      <c r="I859" s="29" t="n"/>
      <c r="J859" s="30" t="n"/>
      <c r="K859" s="29" t="inlineStr">
        <is>
          <t>Fabricación</t>
        </is>
      </c>
      <c r="L859" s="29" t="n"/>
      <c r="M859" s="30" t="n"/>
      <c r="N859" s="30" t="n"/>
      <c r="O859" s="30" t="n"/>
      <c r="P859" s="30" t="inlineStr">
        <is>
          <t>IRAM 3523 / 3550 (recipiente)</t>
        </is>
      </c>
      <c r="Q859" s="29" t="inlineStr">
        <is>
          <t>P</t>
        </is>
      </c>
      <c r="R859" s="29" t="inlineStr">
        <is>
          <t>FL_REC_ABC_100kg</t>
        </is>
      </c>
      <c r="S859" s="30" t="n"/>
    </row>
    <row r="860">
      <c r="A860" s="32" t="inlineStr">
        <is>
          <t>FL_MAT_ABC_100kg</t>
        </is>
      </c>
      <c r="B860" s="32" t="n">
        <v>2</v>
      </c>
      <c r="C860" s="32" t="inlineStr">
        <is>
          <t>ABC100-01</t>
        </is>
      </c>
      <c r="D860" s="17" t="inlineStr">
        <is>
          <t xml:space="preserve">        Cuerpo (virola)</t>
        </is>
      </c>
      <c r="E860" s="32" t="n">
        <v>1</v>
      </c>
      <c r="F860" s="32" t="inlineStr">
        <is>
          <t>u</t>
        </is>
      </c>
      <c r="G860" s="33" t="n">
        <v>40.6161</v>
      </c>
      <c r="H860" s="33">
        <f>E860*G860</f>
        <v/>
      </c>
      <c r="I860" s="32" t="inlineStr">
        <is>
          <t>Chapa LAC IRAM-IAS U 500-04 e=4,75</t>
        </is>
      </c>
      <c r="J860" s="17" t="inlineStr">
        <is>
          <t>Ø390 × e4,75 × 900 de alto; desarrollo 1.210,3 × 900</t>
        </is>
      </c>
      <c r="K860" s="32" t="inlineStr">
        <is>
          <t>Fabricación</t>
        </is>
      </c>
      <c r="L860" s="32" t="inlineStr">
        <is>
          <t>No</t>
        </is>
      </c>
      <c r="M860" s="17" t="n"/>
      <c r="N860" s="17" t="n"/>
      <c r="O860"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P860" s="17" t="n"/>
      <c r="Q860" s="32" t="inlineStr">
        <is>
          <t>P</t>
        </is>
      </c>
      <c r="R860" s="32" t="inlineStr">
        <is>
          <t>FL_DES_ABC_100kg</t>
        </is>
      </c>
      <c r="S860" s="17" t="inlineStr">
        <is>
          <t>costura long. MAG</t>
        </is>
      </c>
    </row>
    <row r="861">
      <c r="A861" s="34" t="inlineStr">
        <is>
          <t>FL_MAT_ABC_100kg</t>
        </is>
      </c>
      <c r="B861" s="34" t="n">
        <v>3</v>
      </c>
      <c r="C861" s="34" t="inlineStr">
        <is>
          <t>MP-HOJA</t>
        </is>
      </c>
      <c r="D861" s="35" t="inlineStr">
        <is>
          <t xml:space="preserve">            Recorte de hoja LAC 1500 × 3000 e=4,75</t>
        </is>
      </c>
      <c r="E861" s="34" t="n">
        <v>1</v>
      </c>
      <c r="F861" s="34" t="inlineStr">
        <is>
          <t>u</t>
        </is>
      </c>
      <c r="G861" s="36" t="n">
        <v>51.355</v>
      </c>
      <c r="H861" s="36">
        <f>E861*G861</f>
        <v/>
      </c>
      <c r="I861" s="34" t="inlineStr">
        <is>
          <t>Chapa LAC IRAM-IAS U 500-04 LAC</t>
        </is>
      </c>
      <c r="J861" s="35" t="inlineStr">
        <is>
          <t>900 × 1.212 (aprovech. 79,2 %)</t>
        </is>
      </c>
      <c r="K861" s="34" t="inlineStr">
        <is>
          <t>Compra</t>
        </is>
      </c>
      <c r="L861" s="34" t="inlineStr">
        <is>
          <t>Sí</t>
        </is>
      </c>
      <c r="M861" s="35" t="inlineStr">
        <is>
          <t>Pradecon S.A.</t>
        </is>
      </c>
      <c r="N861" s="35" t="inlineStr">
        <is>
          <t>Pacheco Chapas</t>
        </is>
      </c>
      <c r="O861" s="35" t="inlineStr">
        <is>
          <t>AL-1H paquetes de hojas</t>
        </is>
      </c>
      <c r="P861" s="35" t="n"/>
      <c r="Q861" s="34" t="inlineStr">
        <is>
          <t>L</t>
        </is>
      </c>
      <c r="R861" s="34" t="inlineStr">
        <is>
          <t>FL_PI_04 h2</t>
        </is>
      </c>
      <c r="S861" s="35" t="n"/>
    </row>
    <row r="862">
      <c r="A862" s="32" t="inlineStr">
        <is>
          <t>FL_MAT_ABC_100kg</t>
        </is>
      </c>
      <c r="B862" s="32" t="n">
        <v>2</v>
      </c>
      <c r="C862" s="32" t="inlineStr">
        <is>
          <t>ABC100-02</t>
        </is>
      </c>
      <c r="D862" s="17" t="inlineStr">
        <is>
          <t xml:space="preserve">        Cúpula</t>
        </is>
      </c>
      <c r="E862" s="32" t="n">
        <v>1</v>
      </c>
      <c r="F862" s="32" t="inlineStr">
        <is>
          <t>u</t>
        </is>
      </c>
      <c r="G862" s="33" t="n">
        <v>7.1038</v>
      </c>
      <c r="H862" s="33">
        <f>E862*G862</f>
        <v/>
      </c>
      <c r="I862" s="32" t="inlineStr">
        <is>
          <t>Chapa LAC IRAM-IAS U 500-04 e=4,75</t>
        </is>
      </c>
      <c r="J862" s="17" t="inlineStr">
        <is>
          <t>Ø390 × e4,75 × 137,3 de alto; disco Ø507,3</t>
        </is>
      </c>
      <c r="K862" s="32" t="inlineStr">
        <is>
          <t>Compra (tapa embutida tercerizada)</t>
        </is>
      </c>
      <c r="L862" s="32" t="inlineStr">
        <is>
          <t>Sí</t>
        </is>
      </c>
      <c r="M862" s="17" t="inlineStr">
        <is>
          <t>Gockel Ingeniería S.R.L.</t>
        </is>
      </c>
      <c r="N862" s="17" t="inlineStr">
        <is>
          <t>-</t>
        </is>
      </c>
      <c r="O862" s="17" t="inlineStr">
        <is>
          <t>Compra -&gt; 6 soldadura de cupla -&gt; 7 armado y sold. circunferencial -&gt; 11 marcado (estampado en arco junto al cuello)</t>
        </is>
      </c>
      <c r="P862" s="17" t="n"/>
      <c r="Q862" s="32" t="inlineStr">
        <is>
          <t>P</t>
        </is>
      </c>
      <c r="R862" s="32" t="inlineStr">
        <is>
          <t>FL_DES_ABC_100kg</t>
        </is>
      </c>
      <c r="S862" s="17" t="inlineStr">
        <is>
          <t>embutida</t>
        </is>
      </c>
    </row>
    <row r="863">
      <c r="A863" s="32" t="inlineStr">
        <is>
          <t>FL_MAT_ABC_100kg</t>
        </is>
      </c>
      <c r="B863" s="32" t="n">
        <v>2</v>
      </c>
      <c r="C863" s="32" t="inlineStr">
        <is>
          <t>ABC100-03</t>
        </is>
      </c>
      <c r="D863" s="17" t="inlineStr">
        <is>
          <t xml:space="preserve">        Fondo</t>
        </is>
      </c>
      <c r="E863" s="32" t="n">
        <v>1</v>
      </c>
      <c r="F863" s="32" t="inlineStr">
        <is>
          <t>u</t>
        </is>
      </c>
      <c r="G863" s="33" t="n">
        <v>7.4086</v>
      </c>
      <c r="H863" s="33">
        <f>E863*G863</f>
        <v/>
      </c>
      <c r="I863" s="32" t="inlineStr">
        <is>
          <t>Chapa LAC IRAM-IAS U 500-04 e=4,75</t>
        </is>
      </c>
      <c r="J863" s="17" t="inlineStr">
        <is>
          <t>Ø390 × e4,75 × 139,8 de alto; disco Ø518,1</t>
        </is>
      </c>
      <c r="K863" s="32" t="inlineStr">
        <is>
          <t>Compra (tapa embutida tercerizada)</t>
        </is>
      </c>
      <c r="L863" s="32" t="inlineStr">
        <is>
          <t>Sí</t>
        </is>
      </c>
      <c r="M863" s="17" t="inlineStr">
        <is>
          <t>Gockel Ingeniería S.R.L.</t>
        </is>
      </c>
      <c r="N863" s="17" t="inlineStr">
        <is>
          <t>-</t>
        </is>
      </c>
      <c r="O863" s="17" t="inlineStr">
        <is>
          <t>Compra -&gt; 7 armado y sold. circunferencial</t>
        </is>
      </c>
      <c r="P863" s="17" t="n"/>
      <c r="Q863" s="32" t="inlineStr">
        <is>
          <t>P</t>
        </is>
      </c>
      <c r="R863" s="32" t="inlineStr">
        <is>
          <t>FL_DES_ABC_100kg</t>
        </is>
      </c>
      <c r="S863" s="17" t="inlineStr">
        <is>
          <t>embutido</t>
        </is>
      </c>
    </row>
    <row r="864">
      <c r="A864" s="32" t="inlineStr">
        <is>
          <t>FL_MAT_ABC_100kg</t>
        </is>
      </c>
      <c r="B864" s="32" t="n">
        <v>2</v>
      </c>
      <c r="C864" s="32" t="inlineStr">
        <is>
          <t>ABC100-04</t>
        </is>
      </c>
      <c r="D864" s="17" t="inlineStr">
        <is>
          <t xml:space="preserve">        Cuello roscado</t>
        </is>
      </c>
      <c r="E864" s="32" t="n">
        <v>1</v>
      </c>
      <c r="F864" s="32" t="inlineStr">
        <is>
          <t>u</t>
        </is>
      </c>
      <c r="G864" s="33" t="n">
        <v>0.6198</v>
      </c>
      <c r="H864" s="33">
        <f>E864*G864</f>
        <v/>
      </c>
      <c r="I864" s="32" t="inlineStr">
        <is>
          <t>Acero SAE 1010</t>
        </is>
      </c>
      <c r="J864" s="17" t="inlineStr">
        <is>
          <t>Ø88 × 37 de alto, rosca RBSP 2 1/2"-11 h, asiento Ø80</t>
        </is>
      </c>
      <c r="K864" s="32" t="inlineStr">
        <is>
          <t>Compra (mecanizado, Eli-Met)</t>
        </is>
      </c>
      <c r="L864" s="32" t="inlineStr">
        <is>
          <t>Sí</t>
        </is>
      </c>
      <c r="M864" s="17" t="inlineStr">
        <is>
          <t>Eli-Met</t>
        </is>
      </c>
      <c r="N864" s="17" t="inlineStr">
        <is>
          <t>-</t>
        </is>
      </c>
      <c r="O864" s="17" t="inlineStr">
        <is>
          <t>Compra -&gt; 6 soldadura de cupla en la cúpula (tapón plástico hasta la carga)</t>
        </is>
      </c>
      <c r="P864" s="17" t="n"/>
      <c r="Q864" s="32" t="inlineStr">
        <is>
          <t>P</t>
        </is>
      </c>
      <c r="R864" s="32" t="inlineStr">
        <is>
          <t>FL_DES_ABC_100kg</t>
        </is>
      </c>
      <c r="S864" s="17" t="inlineStr">
        <is>
          <t>RBSP 2 1/2"-11 h</t>
        </is>
      </c>
    </row>
    <row r="865">
      <c r="A865" s="32" t="inlineStr">
        <is>
          <t>FL_MAT_ABC_100kg</t>
        </is>
      </c>
      <c r="B865" s="32" t="n">
        <v>2</v>
      </c>
      <c r="C865" s="32" t="inlineStr">
        <is>
          <t>ABC100-05</t>
        </is>
      </c>
      <c r="D865" s="17" t="inlineStr">
        <is>
          <t xml:space="preserve">        Placas de refuerzo (2)</t>
        </is>
      </c>
      <c r="E865" s="32" t="n">
        <v>1</v>
      </c>
      <c r="F865" s="32" t="inlineStr">
        <is>
          <t>u</t>
        </is>
      </c>
      <c r="G865" s="33" t="n">
        <v>1.5106</v>
      </c>
      <c r="H865" s="33">
        <f>E865*G865</f>
        <v/>
      </c>
      <c r="I865" s="32" t="inlineStr">
        <is>
          <t>Chapa LAC 4,75 curvada a Ø380</t>
        </is>
      </c>
      <c r="J865" s="17" t="inlineStr">
        <is>
          <t>2 × 200 × 100 × 4,75 curvadas a Ø380, a 100 mm de cada boca</t>
        </is>
      </c>
      <c r="K865" s="32" t="inlineStr">
        <is>
          <t>Fabricación</t>
        </is>
      </c>
      <c r="L865" s="32" t="inlineStr">
        <is>
          <t>No</t>
        </is>
      </c>
      <c r="M865" s="17" t="n"/>
      <c r="N865" s="17" t="n"/>
      <c r="O865" s="17" t="inlineStr">
        <is>
          <t>2 Tira de orilla 200 × 900 -&gt; 3 rolado a Ø380 -&gt; corte con amoladora -&gt; 4 punteo interior (4 esquinas)</t>
        </is>
      </c>
      <c r="P865" s="17" t="n"/>
      <c r="Q865" s="32" t="inlineStr">
        <is>
          <t>P</t>
        </is>
      </c>
      <c r="R865" s="32" t="inlineStr">
        <is>
          <t>FL_DES_ABC_100kg</t>
        </is>
      </c>
      <c r="S865" s="17" t="inlineStr">
        <is>
          <t>Proceso FLAMA de carros: por dentro sobre la costura longitudinal, una en cada extremo a 100 mm de la boca; salen de las orillas de 4,75 (sin compra)</t>
        </is>
      </c>
    </row>
    <row r="866">
      <c r="A866" s="37" t="inlineStr">
        <is>
          <t>FL_MAT_ABC_100kg</t>
        </is>
      </c>
      <c r="B866" s="37" t="n">
        <v>2</v>
      </c>
      <c r="C866" s="37" t="inlineStr">
        <is>
          <t>ABC100-C1</t>
        </is>
      </c>
      <c r="D866" s="18" t="inlineStr">
        <is>
          <t xml:space="preserve">        Alambre MAG ER70S-6 Ø1,0 (AWS A5.18)</t>
        </is>
      </c>
      <c r="E866" s="37" t="n">
        <v>1.0956</v>
      </c>
      <c r="F866" s="37" t="inlineStr">
        <is>
          <t>kg</t>
        </is>
      </c>
      <c r="G866" s="38" t="n">
        <v>0.95</v>
      </c>
      <c r="H866" s="38">
        <f>E866*G866</f>
        <v/>
      </c>
      <c r="I866" s="37" t="inlineStr">
        <is>
          <t>ER70S-6</t>
        </is>
      </c>
      <c r="J866" s="18" t="inlineStr">
        <is>
          <t>metal depositado de los cordones del plano 1.041 g / rendimiento 0,95</t>
        </is>
      </c>
      <c r="K866" s="37" t="inlineStr">
        <is>
          <t>Compra</t>
        </is>
      </c>
      <c r="L866" s="37" t="inlineStr">
        <is>
          <t>Sí</t>
        </is>
      </c>
      <c r="M866" s="18" t="inlineStr">
        <is>
          <t>Conarco (ESAB Argentina)</t>
        </is>
      </c>
      <c r="N866" s="18" t="inlineStr">
        <is>
          <t>-</t>
        </is>
      </c>
      <c r="O866" s="18" t="inlineStr">
        <is>
          <t>5 sold. long. / 6 cupla / 7 circunferencial</t>
        </is>
      </c>
      <c r="P866" s="18" t="inlineStr">
        <is>
          <t>IRAM 3523 3.2.4.2 · IRAM 3550 4.1.2</t>
        </is>
      </c>
      <c r="Q866" s="37" t="inlineStr">
        <is>
          <t>C</t>
        </is>
      </c>
      <c r="R866" s="37" t="n"/>
      <c r="S866"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867">
      <c r="A867" s="37" t="inlineStr">
        <is>
          <t>FL_MAT_ABC_100kg</t>
        </is>
      </c>
      <c r="B867" s="37" t="n">
        <v>2</v>
      </c>
      <c r="C867" s="37" t="inlineStr">
        <is>
          <t>ABC100-C2</t>
        </is>
      </c>
      <c r="D867" s="18" t="inlineStr">
        <is>
          <t xml:space="preserve">        Gas de protección MAG Arcal 21 / ARCAL Speed (Ar + 8 % CO₂, M20)</t>
        </is>
      </c>
      <c r="E867" s="37" t="n">
        <v>84.59999999999999</v>
      </c>
      <c r="F867" s="37" t="inlineStr">
        <is>
          <t>L</t>
        </is>
      </c>
      <c r="G867" s="38" t="n"/>
      <c r="H867" s="38" t="n"/>
      <c r="I867" s="37" t="inlineStr">
        <is>
          <t>EN ISO 14175 M20-ArC-8</t>
        </is>
      </c>
      <c r="J867" s="18" t="inlineStr">
        <is>
          <t>14 L/min × 6,04 min de arco (cordones 3.627 mm: long. 900 + circ. 2.450 + cuello 276, a 600 mm/min)</t>
        </is>
      </c>
      <c r="K867" s="37" t="inlineStr">
        <is>
          <t>Compra</t>
        </is>
      </c>
      <c r="L867" s="37" t="inlineStr">
        <is>
          <t>Sí</t>
        </is>
      </c>
      <c r="M867" s="18" t="inlineStr">
        <is>
          <t>Air Liquide Argentina - sucursal Piñeyro</t>
        </is>
      </c>
      <c r="N867" s="18" t="inlineStr">
        <is>
          <t>Gogniat</t>
        </is>
      </c>
      <c r="O867" s="18" t="inlineStr">
        <is>
          <t>Colector SC</t>
        </is>
      </c>
      <c r="P867" s="18" t="inlineStr">
        <is>
          <t>IRAM 3523 3.2.4.2 · IRAM 3550 3.2.2.2</t>
        </is>
      </c>
      <c r="Q867" s="37" t="inlineStr">
        <is>
          <t>C</t>
        </is>
      </c>
      <c r="R867" s="37" t="n"/>
      <c r="S867"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868">
      <c r="A868" s="32" t="inlineStr">
        <is>
          <t>FL_MAT_ABC_100kg</t>
        </is>
      </c>
      <c r="B868" s="32" t="n">
        <v>2</v>
      </c>
      <c r="C868" s="32" t="inlineStr">
        <is>
          <t>ABC100-C4</t>
        </is>
      </c>
      <c r="D868" s="17" t="inlineStr">
        <is>
          <t xml:space="preserve">        Servicio de pintura en polvo al horno, rojo 03-1-050 (con preparación por quemado)</t>
        </is>
      </c>
      <c r="E868" s="32" t="n">
        <v>1</v>
      </c>
      <c r="F868" s="32" t="inlineStr">
        <is>
          <t>u</t>
        </is>
      </c>
      <c r="G868" s="33" t="n"/>
      <c r="H868" s="33" t="n"/>
      <c r="I868" s="32" t="inlineStr">
        <is>
          <t>Servicio tercerizado</t>
        </is>
      </c>
      <c r="J868" s="17" t="inlineStr">
        <is>
          <t>superficie exterior 1,478 m²</t>
        </is>
      </c>
      <c r="K868" s="32" t="inlineStr">
        <is>
          <t>Compra (servicio)</t>
        </is>
      </c>
      <c r="L868" s="32" t="inlineStr">
        <is>
          <t>Sí</t>
        </is>
      </c>
      <c r="M868" s="17" t="inlineStr">
        <is>
          <t>Pintor de carros (cotización por mensaje)</t>
        </is>
      </c>
      <c r="N868" s="17" t="inlineStr">
        <is>
          <t>Prymax</t>
        </is>
      </c>
      <c r="O868" s="17" t="inlineStr">
        <is>
          <t>17 Pintura tercerizada</t>
        </is>
      </c>
      <c r="P868" s="17" t="inlineStr">
        <is>
          <t>IRAM 3523 5.3 / IRAM 3550 3.11 · IRAM 121</t>
        </is>
      </c>
      <c r="Q868" s="32" t="inlineStr">
        <is>
          <t>Q</t>
        </is>
      </c>
      <c r="R868" s="32" t="n"/>
      <c r="S868" s="17" t="inlineStr">
        <is>
          <t>Q-CARROS (precio por carro); exigir informe de niebla salina del sistema de pintura; tercerización aceptada por el Ministerio (Res. 349/07 art. 18)</t>
        </is>
      </c>
    </row>
    <row r="869">
      <c r="A869" s="29" t="inlineStr">
        <is>
          <t>FL_MAT_ABC_100kg</t>
        </is>
      </c>
      <c r="B869" s="29" t="n">
        <v>1</v>
      </c>
      <c r="C869" s="29" t="inlineStr">
        <is>
          <t>ABC100-S2</t>
        </is>
      </c>
      <c r="D869" s="30" t="inlineStr">
        <is>
          <t xml:space="preserve">    Conjunto de válvula</t>
        </is>
      </c>
      <c r="E869" s="29" t="n">
        <v>1</v>
      </c>
      <c r="F869" s="29" t="inlineStr">
        <is>
          <t>u</t>
        </is>
      </c>
      <c r="G869" s="31" t="n"/>
      <c r="H869" s="31">
        <f>H870+H871+H872+H874+H875+H876+H877+H878+H879+H880</f>
        <v/>
      </c>
      <c r="I869" s="29" t="n"/>
      <c r="J869" s="30" t="n"/>
      <c r="K869" s="29" t="inlineStr">
        <is>
          <t>Compra / armado</t>
        </is>
      </c>
      <c r="L869" s="29" t="n"/>
      <c r="M869" s="30" t="n"/>
      <c r="N869" s="30" t="n"/>
      <c r="O869" s="30" t="n"/>
      <c r="P869" s="30" t="inlineStr">
        <is>
          <t>Manómetro IRAM 3533</t>
        </is>
      </c>
      <c r="Q869" s="29" t="inlineStr">
        <is>
          <t>P</t>
        </is>
      </c>
      <c r="R869" s="29" t="inlineStr">
        <is>
          <t>FL_DES_ABC_100kg</t>
        </is>
      </c>
      <c r="S869" s="30" t="n"/>
    </row>
    <row r="870">
      <c r="A870" s="32" t="inlineStr">
        <is>
          <t>FL_MAT_ABC_100kg</t>
        </is>
      </c>
      <c r="B870" s="32" t="n">
        <v>2</v>
      </c>
      <c r="C870" s="32" t="inlineStr">
        <is>
          <t>ABC100-15</t>
        </is>
      </c>
      <c r="D870" s="17" t="inlineStr">
        <is>
          <t xml:space="preserve">        Espiga roscada</t>
        </is>
      </c>
      <c r="E870" s="32" t="n">
        <v>1</v>
      </c>
      <c r="F870" s="32" t="inlineStr">
        <is>
          <t>u</t>
        </is>
      </c>
      <c r="G870" s="33" t="n">
        <v>0.1296</v>
      </c>
      <c r="H870" s="33">
        <f>E870*G870</f>
        <v/>
      </c>
      <c r="I870" s="32" t="inlineStr">
        <is>
          <t>Latón forjado</t>
        </is>
      </c>
      <c r="J870" s="17" t="inlineStr">
        <is>
          <t>75 × 75 × 17,6</t>
        </is>
      </c>
      <c r="K870" s="32" t="inlineStr">
        <is>
          <t>Incluido en válvula HZ</t>
        </is>
      </c>
      <c r="L870" s="32" t="inlineStr">
        <is>
          <t>No</t>
        </is>
      </c>
      <c r="M870" s="17" t="n"/>
      <c r="N870" s="17" t="n"/>
      <c r="O870" s="17" t="inlineStr">
        <is>
          <t>13 carga de polvo y N₂: armado de válvula</t>
        </is>
      </c>
      <c r="P870" s="17" t="n"/>
      <c r="Q870" s="32" t="inlineStr">
        <is>
          <t>P</t>
        </is>
      </c>
      <c r="R870" s="32" t="inlineStr">
        <is>
          <t>FL_DES_ABC_100kg</t>
        </is>
      </c>
      <c r="S870" s="17" t="n"/>
    </row>
    <row r="871">
      <c r="A871" s="32" t="inlineStr">
        <is>
          <t>FL_MAT_ABC_100kg</t>
        </is>
      </c>
      <c r="B871" s="32" t="n">
        <v>2</v>
      </c>
      <c r="C871" s="32" t="inlineStr">
        <is>
          <t>ABC100-16</t>
        </is>
      </c>
      <c r="D871" s="17" t="inlineStr">
        <is>
          <t xml:space="preserve">        Collarín de válvula</t>
        </is>
      </c>
      <c r="E871" s="32" t="n">
        <v>1</v>
      </c>
      <c r="F871" s="32" t="inlineStr">
        <is>
          <t>u</t>
        </is>
      </c>
      <c r="G871" s="33" t="n">
        <v>0.189</v>
      </c>
      <c r="H871" s="33">
        <f>E871*G871</f>
        <v/>
      </c>
      <c r="I871" s="32" t="inlineStr">
        <is>
          <t>Latón forjado</t>
        </is>
      </c>
      <c r="J871" s="17" t="inlineStr">
        <is>
          <t>83 × 83 × 12</t>
        </is>
      </c>
      <c r="K871" s="32" t="inlineStr">
        <is>
          <t>Incluido en válvula HZ</t>
        </is>
      </c>
      <c r="L871" s="32" t="inlineStr">
        <is>
          <t>No</t>
        </is>
      </c>
      <c r="M871" s="17" t="n"/>
      <c r="N871" s="17" t="n"/>
      <c r="O871" s="17" t="inlineStr">
        <is>
          <t>13 carga de polvo y N₂: armado de válvula</t>
        </is>
      </c>
      <c r="P871" s="17" t="n"/>
      <c r="Q871" s="32" t="inlineStr">
        <is>
          <t>P</t>
        </is>
      </c>
      <c r="R871" s="32" t="inlineStr">
        <is>
          <t>FL_DES_ABC_100kg</t>
        </is>
      </c>
      <c r="S871" s="17" t="n"/>
    </row>
    <row r="872">
      <c r="A872" s="32" t="inlineStr">
        <is>
          <t>FL_MAT_ABC_100kg</t>
        </is>
      </c>
      <c r="B872" s="32" t="n">
        <v>2</v>
      </c>
      <c r="C872" s="32" t="inlineStr">
        <is>
          <t>ABC100-17</t>
        </is>
      </c>
      <c r="D872" s="17" t="inlineStr">
        <is>
          <t xml:space="preserve">        Cuerpo de válvula</t>
        </is>
      </c>
      <c r="E872" s="32" t="n">
        <v>1</v>
      </c>
      <c r="F872" s="32" t="inlineStr">
        <is>
          <t>u</t>
        </is>
      </c>
      <c r="G872" s="33" t="n">
        <v>0.9186</v>
      </c>
      <c r="H872" s="33">
        <f>E872*G872</f>
        <v/>
      </c>
      <c r="I872" s="32" t="inlineStr">
        <is>
          <t>Latón forjado</t>
        </is>
      </c>
      <c r="J872" s="17" t="inlineStr">
        <is>
          <t>68 × 67 × 44</t>
        </is>
      </c>
      <c r="K872" s="32" t="inlineStr">
        <is>
          <t>Incluido en válvula HZ</t>
        </is>
      </c>
      <c r="L872" s="32" t="inlineStr">
        <is>
          <t>No</t>
        </is>
      </c>
      <c r="M872" s="17" t="n"/>
      <c r="N872" s="17" t="n"/>
      <c r="O872" s="17" t="inlineStr">
        <is>
          <t>13 carga de polvo y N₂: armado de válvula</t>
        </is>
      </c>
      <c r="P872" s="17" t="n"/>
      <c r="Q872" s="32" t="inlineStr">
        <is>
          <t>P</t>
        </is>
      </c>
      <c r="R872" s="32" t="inlineStr">
        <is>
          <t>FL_DES_ABC_100kg</t>
        </is>
      </c>
      <c r="S872" s="17" t="n"/>
    </row>
    <row r="873">
      <c r="A873" s="41" t="inlineStr">
        <is>
          <t>FL_MAT_ABC_100kg</t>
        </is>
      </c>
      <c r="B873" s="41" t="n">
        <v>2</v>
      </c>
      <c r="C873" s="41" t="inlineStr">
        <is>
          <t>ABC100-18</t>
        </is>
      </c>
      <c r="D873" s="42" t="inlineStr">
        <is>
          <t xml:space="preserve">        Manómetro</t>
        </is>
      </c>
      <c r="E873" s="41" t="n">
        <v>1</v>
      </c>
      <c r="F873" s="41" t="inlineStr">
        <is>
          <t>u</t>
        </is>
      </c>
      <c r="G873" s="43" t="n"/>
      <c r="H873" s="43" t="n"/>
      <c r="I873" s="41" t="inlineStr">
        <is>
          <t>Comercial</t>
        </is>
      </c>
      <c r="J873" s="42" t="inlineStr">
        <is>
          <t>Ø47 esfera, rango 0-3,5 MPa, sector verde en 1,4</t>
        </is>
      </c>
      <c r="K873" s="41" t="inlineStr">
        <is>
          <t>Compra</t>
        </is>
      </c>
      <c r="L873" s="41" t="inlineStr">
        <is>
          <t>Sí</t>
        </is>
      </c>
      <c r="M873" s="42" t="inlineStr">
        <is>
          <t>Yukon / MatafuegosYa S.R.L.</t>
        </is>
      </c>
      <c r="N873" s="42" t="inlineStr">
        <is>
          <t>Matafuegos Iglesias</t>
        </is>
      </c>
      <c r="O873" s="42" t="inlineStr">
        <is>
          <t>13 carga de polvo y N₂: armado de válvula</t>
        </is>
      </c>
      <c r="P873" s="42" t="inlineStr">
        <is>
          <t>IRAM 3533</t>
        </is>
      </c>
      <c r="Q873" s="41" t="inlineStr">
        <is>
          <t>P</t>
        </is>
      </c>
      <c r="R873" s="41" t="inlineStr">
        <is>
          <t>FL_DES_ABC_100kg</t>
        </is>
      </c>
      <c r="S873" s="42" t="inlineStr">
        <is>
          <t>Pieza comercial; sello IRAM 3533; peso: completar con la ficha del proveedor (no afecta el MRP)</t>
        </is>
      </c>
    </row>
    <row r="874">
      <c r="A874" s="32" t="inlineStr">
        <is>
          <t>FL_MAT_ABC_100kg</t>
        </is>
      </c>
      <c r="B874" s="32" t="n">
        <v>2</v>
      </c>
      <c r="C874" s="32" t="inlineStr">
        <is>
          <t>ABC100-19</t>
        </is>
      </c>
      <c r="D874" s="17" t="inlineStr">
        <is>
          <t xml:space="preserve">        Vástago</t>
        </is>
      </c>
      <c r="E874" s="32" t="n">
        <v>1</v>
      </c>
      <c r="F874" s="32" t="inlineStr">
        <is>
          <t>u</t>
        </is>
      </c>
      <c r="G874" s="33" t="n">
        <v>0.0313</v>
      </c>
      <c r="H874" s="33">
        <f>E874*G874</f>
        <v/>
      </c>
      <c r="I874" s="32" t="inlineStr">
        <is>
          <t>Latón</t>
        </is>
      </c>
      <c r="J874" s="17" t="inlineStr">
        <is>
          <t>38,8 × 20 × 20</t>
        </is>
      </c>
      <c r="K874" s="32" t="inlineStr">
        <is>
          <t>Incluido en válvula HZ</t>
        </is>
      </c>
      <c r="L874" s="32" t="inlineStr">
        <is>
          <t>No</t>
        </is>
      </c>
      <c r="M874" s="17" t="n"/>
      <c r="N874" s="17" t="n"/>
      <c r="O874" s="17" t="inlineStr">
        <is>
          <t>13 carga de polvo y N₂: armado de válvula</t>
        </is>
      </c>
      <c r="P874" s="17" t="n"/>
      <c r="Q874" s="32" t="inlineStr">
        <is>
          <t>P</t>
        </is>
      </c>
      <c r="R874" s="32" t="inlineStr">
        <is>
          <t>FL_DES_ABC_100kg</t>
        </is>
      </c>
      <c r="S874" s="17" t="inlineStr">
        <is>
          <t>con junta tórica</t>
        </is>
      </c>
    </row>
    <row r="875">
      <c r="A875" s="32" t="inlineStr">
        <is>
          <t>FL_MAT_ABC_100kg</t>
        </is>
      </c>
      <c r="B875" s="32" t="n">
        <v>2</v>
      </c>
      <c r="C875" s="32" t="inlineStr">
        <is>
          <t>ABC100-20</t>
        </is>
      </c>
      <c r="D875" s="17" t="inlineStr">
        <is>
          <t xml:space="preserve">        Resorte de válvula</t>
        </is>
      </c>
      <c r="E875" s="32" t="n">
        <v>1</v>
      </c>
      <c r="F875" s="32" t="inlineStr">
        <is>
          <t>u</t>
        </is>
      </c>
      <c r="G875" s="33" t="n">
        <v>0.0094</v>
      </c>
      <c r="H875" s="33">
        <f>E875*G875</f>
        <v/>
      </c>
      <c r="I875" s="32" t="inlineStr">
        <is>
          <t>Alambre acero inox. AISI 302</t>
        </is>
      </c>
      <c r="J875" s="17" t="inlineStr">
        <is>
          <t>35 × 27 × 27</t>
        </is>
      </c>
      <c r="K875" s="32" t="inlineStr">
        <is>
          <t>Incluido en válvula HZ</t>
        </is>
      </c>
      <c r="L875" s="32" t="inlineStr">
        <is>
          <t>No</t>
        </is>
      </c>
      <c r="M875" s="17" t="n"/>
      <c r="N875" s="17" t="n"/>
      <c r="O875" s="17" t="inlineStr">
        <is>
          <t>13 carga de polvo y N₂: armado de válvula</t>
        </is>
      </c>
      <c r="P875" s="17" t="n"/>
      <c r="Q875" s="32" t="inlineStr">
        <is>
          <t>P</t>
        </is>
      </c>
      <c r="R875" s="32" t="inlineStr">
        <is>
          <t>FL_DES_ABC_100kg</t>
        </is>
      </c>
      <c r="S875" s="17" t="inlineStr">
        <is>
          <t>cierre del vástago</t>
        </is>
      </c>
    </row>
    <row r="876">
      <c r="A876" s="32" t="inlineStr">
        <is>
          <t>FL_MAT_ABC_100kg</t>
        </is>
      </c>
      <c r="B876" s="32" t="n">
        <v>2</v>
      </c>
      <c r="C876" s="32" t="inlineStr">
        <is>
          <t>ABC100-21</t>
        </is>
      </c>
      <c r="D876" s="17" t="inlineStr">
        <is>
          <t xml:space="preserve">        Palanca de accionamiento</t>
        </is>
      </c>
      <c r="E876" s="32" t="n">
        <v>1</v>
      </c>
      <c r="F876" s="32" t="inlineStr">
        <is>
          <t>u</t>
        </is>
      </c>
      <c r="G876" s="33" t="n">
        <v>0.313</v>
      </c>
      <c r="H876" s="33">
        <f>E876*G876</f>
        <v/>
      </c>
      <c r="I876" s="32" t="inlineStr">
        <is>
          <t>Planchuela acero SAE 1010 10 × 16 pintada</t>
        </is>
      </c>
      <c r="J876" s="17" t="inlineStr">
        <is>
          <t>168,8 × 44 × 40,9</t>
        </is>
      </c>
      <c r="K876" s="32" t="inlineStr">
        <is>
          <t>Incluido en válvula HZ</t>
        </is>
      </c>
      <c r="L876" s="32" t="inlineStr">
        <is>
          <t>No</t>
        </is>
      </c>
      <c r="M876" s="17" t="n"/>
      <c r="N876" s="17" t="n"/>
      <c r="O876" s="17" t="inlineStr">
        <is>
          <t>13 carga de polvo y N₂: armado de válvula</t>
        </is>
      </c>
      <c r="P876" s="17" t="n"/>
      <c r="Q876" s="32" t="inlineStr">
        <is>
          <t>P</t>
        </is>
      </c>
      <c r="R876" s="32" t="inlineStr">
        <is>
          <t>FL_DES_ABC_100kg</t>
        </is>
      </c>
      <c r="S876" s="17" t="n"/>
    </row>
    <row r="877">
      <c r="A877" s="32" t="inlineStr">
        <is>
          <t>FL_MAT_ABC_100kg</t>
        </is>
      </c>
      <c r="B877" s="32" t="n">
        <v>2</v>
      </c>
      <c r="C877" s="32" t="inlineStr">
        <is>
          <t>ABC100-22</t>
        </is>
      </c>
      <c r="D877" s="17" t="inlineStr">
        <is>
          <t xml:space="preserve">        Eje de palanca</t>
        </is>
      </c>
      <c r="E877" s="32" t="n">
        <v>1</v>
      </c>
      <c r="F877" s="32" t="inlineStr">
        <is>
          <t>u</t>
        </is>
      </c>
      <c r="G877" s="33" t="n">
        <v>0.0187</v>
      </c>
      <c r="H877" s="33">
        <f>E877*G877</f>
        <v/>
      </c>
      <c r="I877" s="32" t="inlineStr">
        <is>
          <t>Acero inox. AISI 304</t>
        </is>
      </c>
      <c r="J877" s="17" t="inlineStr">
        <is>
          <t>47 × 8 × 8</t>
        </is>
      </c>
      <c r="K877" s="32" t="inlineStr">
        <is>
          <t>Incluido en válvula HZ</t>
        </is>
      </c>
      <c r="L877" s="32" t="inlineStr">
        <is>
          <t>No</t>
        </is>
      </c>
      <c r="M877" s="17" t="n"/>
      <c r="N877" s="17" t="n"/>
      <c r="O877" s="17" t="inlineStr">
        <is>
          <t>13 carga de polvo y N₂: armado de válvula</t>
        </is>
      </c>
      <c r="P877" s="17" t="n"/>
      <c r="Q877" s="32" t="inlineStr">
        <is>
          <t>P</t>
        </is>
      </c>
      <c r="R877" s="32" t="inlineStr">
        <is>
          <t>FL_DES_ABC_100kg</t>
        </is>
      </c>
      <c r="S877" s="17" t="n"/>
    </row>
    <row r="878">
      <c r="A878" s="32" t="inlineStr">
        <is>
          <t>FL_MAT_ABC_100kg</t>
        </is>
      </c>
      <c r="B878" s="32" t="n">
        <v>2</v>
      </c>
      <c r="C878" s="32" t="inlineStr">
        <is>
          <t>ABC100-23</t>
        </is>
      </c>
      <c r="D878" s="17" t="inlineStr">
        <is>
          <t xml:space="preserve">        Pasador de seguridad</t>
        </is>
      </c>
      <c r="E878" s="32" t="n">
        <v>1</v>
      </c>
      <c r="F878" s="32" t="inlineStr">
        <is>
          <t>u</t>
        </is>
      </c>
      <c r="G878" s="33" t="n">
        <v>0.0061</v>
      </c>
      <c r="H878" s="33">
        <f>E878*G878</f>
        <v/>
      </c>
      <c r="I878" s="32" t="inlineStr">
        <is>
          <t>Alambre acero inox. AISI 304</t>
        </is>
      </c>
      <c r="J878" s="17" t="inlineStr">
        <is>
          <t>54,4 × 21 × 20,8</t>
        </is>
      </c>
      <c r="K878" s="32" t="inlineStr">
        <is>
          <t>Incluido en válvula HZ</t>
        </is>
      </c>
      <c r="L878" s="32" t="inlineStr">
        <is>
          <t>No</t>
        </is>
      </c>
      <c r="M878" s="17" t="n"/>
      <c r="N878" s="17" t="n"/>
      <c r="O878" s="17" t="inlineStr">
        <is>
          <t>13 carga de polvo y N₂: armado de válvula</t>
        </is>
      </c>
      <c r="P878" s="17" t="n"/>
      <c r="Q878" s="32" t="inlineStr">
        <is>
          <t>P</t>
        </is>
      </c>
      <c r="R878" s="32" t="inlineStr">
        <is>
          <t>FL_DES_ABC_100kg</t>
        </is>
      </c>
      <c r="S878" s="17" t="inlineStr">
        <is>
          <t>con precinto</t>
        </is>
      </c>
    </row>
    <row r="879">
      <c r="A879" s="32" t="inlineStr">
        <is>
          <t>FL_MAT_ABC_100kg</t>
        </is>
      </c>
      <c r="B879" s="32" t="n">
        <v>2</v>
      </c>
      <c r="C879" s="32" t="inlineStr">
        <is>
          <t>ABC100-24</t>
        </is>
      </c>
      <c r="D879" s="17" t="inlineStr">
        <is>
          <t xml:space="preserve">        Caño de pesca (sifón)</t>
        </is>
      </c>
      <c r="E879" s="32" t="n">
        <v>1</v>
      </c>
      <c r="F879" s="32" t="inlineStr">
        <is>
          <t>u</t>
        </is>
      </c>
      <c r="G879" s="33" t="n">
        <v>0.2705</v>
      </c>
      <c r="H879" s="33">
        <f>E879*G879</f>
        <v/>
      </c>
      <c r="I879" s="32" t="inlineStr">
        <is>
          <t>Tubo PVC rígido</t>
        </is>
      </c>
      <c r="J879" s="17" t="inlineStr">
        <is>
          <t>Ø24 × 1.144,3 de largo</t>
        </is>
      </c>
      <c r="K879" s="32" t="inlineStr">
        <is>
          <t>Incluido en válvula HZ</t>
        </is>
      </c>
      <c r="L879" s="32" t="inlineStr">
        <is>
          <t>No</t>
        </is>
      </c>
      <c r="M879" s="17" t="n"/>
      <c r="N879" s="17" t="n"/>
      <c r="O879" s="17" t="inlineStr">
        <is>
          <t>13 carga de polvo y N₂: armado de válvula</t>
        </is>
      </c>
      <c r="P879" s="17" t="n"/>
      <c r="Q879" s="32" t="inlineStr">
        <is>
          <t>P</t>
        </is>
      </c>
      <c r="R879" s="32" t="inlineStr">
        <is>
          <t>FL_DES_ABC_100kg</t>
        </is>
      </c>
      <c r="S879" s="17" t="n"/>
    </row>
    <row r="880">
      <c r="A880" s="32" t="inlineStr">
        <is>
          <t>FL_MAT_ABC_100kg</t>
        </is>
      </c>
      <c r="B880" s="32" t="n">
        <v>2</v>
      </c>
      <c r="C880" s="32" t="inlineStr">
        <is>
          <t>ABC100-36</t>
        </is>
      </c>
      <c r="D880" s="17" t="inlineStr">
        <is>
          <t xml:space="preserve">        Junta tórica de asiento</t>
        </is>
      </c>
      <c r="E880" s="32" t="n">
        <v>1</v>
      </c>
      <c r="F880" s="32" t="inlineStr">
        <is>
          <t>u</t>
        </is>
      </c>
      <c r="G880" s="33" t="n">
        <v>0.0025</v>
      </c>
      <c r="H880" s="33">
        <f>E880*G880</f>
        <v/>
      </c>
      <c r="I880" s="32" t="inlineStr">
        <is>
          <t>NBR 70 Shore A</t>
        </is>
      </c>
      <c r="J880" s="17" t="inlineStr">
        <is>
          <t>Ø78 ext. × cordón 3</t>
        </is>
      </c>
      <c r="K880" s="32" t="inlineStr">
        <is>
          <t>Compra</t>
        </is>
      </c>
      <c r="L880" s="32" t="inlineStr">
        <is>
          <t>Sí</t>
        </is>
      </c>
      <c r="M880" s="17" t="inlineStr">
        <is>
          <t>Argensold</t>
        </is>
      </c>
      <c r="N880" s="17" t="inlineStr">
        <is>
          <t>Matafuegos Iglesias</t>
        </is>
      </c>
      <c r="O880" s="17" t="inlineStr">
        <is>
          <t>13 carga de polvo y N₂: armado de válvula</t>
        </is>
      </c>
      <c r="P880" s="17" t="n"/>
      <c r="Q880" s="32" t="inlineStr">
        <is>
          <t>P</t>
        </is>
      </c>
      <c r="R880" s="32" t="inlineStr">
        <is>
          <t>FL_DES_ABC_100kg</t>
        </is>
      </c>
      <c r="S880" s="17" t="inlineStr">
        <is>
          <t>cambio c/recarga</t>
        </is>
      </c>
    </row>
    <row r="881">
      <c r="A881" s="32" t="inlineStr">
        <is>
          <t>FL_MAT_ABC_100kg</t>
        </is>
      </c>
      <c r="B881" s="32" t="n">
        <v>2</v>
      </c>
      <c r="C881" s="32" t="inlineStr">
        <is>
          <t>ABC100-K2</t>
        </is>
      </c>
      <c r="D881" s="17" t="inlineStr">
        <is>
          <t xml:space="preserve">        Válvula HZ armada de carro 50-70-100 kg</t>
        </is>
      </c>
      <c r="E881" s="32" t="n">
        <v>1</v>
      </c>
      <c r="F881" s="32" t="inlineStr">
        <is>
          <t>u</t>
        </is>
      </c>
      <c r="G881" s="33" t="n"/>
      <c r="H881" s="33" t="n"/>
      <c r="I881" s="32" t="inlineStr">
        <is>
          <t>Latón forjado (HZ)</t>
        </is>
      </c>
      <c r="J881" s="17" t="inlineStr">
        <is>
          <t>rosca RBSP 2 1/2"-11 h</t>
        </is>
      </c>
      <c r="K881" s="32" t="inlineStr">
        <is>
          <t>Compra</t>
        </is>
      </c>
      <c r="L881" s="32" t="inlineStr">
        <is>
          <t>Sí</t>
        </is>
      </c>
      <c r="M881" s="17" t="inlineStr">
        <is>
          <t>Polvex S.R.L. / Sancibrao</t>
        </is>
      </c>
      <c r="N881" s="17" t="inlineStr">
        <is>
          <t>Mozart S.R.L.</t>
        </is>
      </c>
      <c r="O881" s="17" t="inlineStr">
        <is>
          <t>19 Ensamblaje de válvula</t>
        </is>
      </c>
      <c r="P881" s="17" t="inlineStr">
        <is>
          <t>IRAM 3523 3.3</t>
        </is>
      </c>
      <c r="Q881" s="32" t="inlineStr">
        <is>
          <t>Q</t>
        </is>
      </c>
      <c r="R881" s="32" t="inlineStr">
        <is>
          <t>FL_DES_ABC_100kg</t>
        </is>
      </c>
      <c r="S881" s="17" t="inlineStr">
        <is>
          <t>Lista de precios HZ (Q-AGENTES); plano Fadesa usa válvula HZ (R-FADESA). Trae las piezas marcadas «Incluido en válvula HZ»</t>
        </is>
      </c>
    </row>
    <row r="882">
      <c r="A882" s="32" t="inlineStr">
        <is>
          <t>FL_MAT_ABC_100kg</t>
        </is>
      </c>
      <c r="B882" s="32" t="n">
        <v>2</v>
      </c>
      <c r="C882" s="32" t="inlineStr">
        <is>
          <t>ABC100-V2</t>
        </is>
      </c>
      <c r="D882" s="17" t="inlineStr">
        <is>
          <t xml:space="preserve">        Resorte de retorno del vástago</t>
        </is>
      </c>
      <c r="E882" s="32" t="n">
        <v>1</v>
      </c>
      <c r="F882" s="32" t="inlineStr">
        <is>
          <t>u</t>
        </is>
      </c>
      <c r="G882" s="33" t="n"/>
      <c r="H882" s="33" t="n"/>
      <c r="I882" s="32" t="inlineStr">
        <is>
          <t>Acero para resortes</t>
        </is>
      </c>
      <c r="J882" s="17" t="inlineStr">
        <is>
          <t>incluido en la válvula</t>
        </is>
      </c>
      <c r="K882" s="32" t="inlineStr">
        <is>
          <t>Incluido en válvula HZ</t>
        </is>
      </c>
      <c r="L882" s="32" t="inlineStr">
        <is>
          <t>No</t>
        </is>
      </c>
      <c r="M882" s="17" t="n"/>
      <c r="N882" s="17" t="n"/>
      <c r="O882" s="17" t="inlineStr">
        <is>
          <t>19 Ensamblaje</t>
        </is>
      </c>
      <c r="P882" s="17" t="n"/>
      <c r="Q882" s="32" t="inlineStr">
        <is>
          <t>Q</t>
        </is>
      </c>
      <c r="R882" s="32" t="n"/>
      <c r="S882" s="17" t="inlineStr">
        <is>
          <t>Lista de precios HZ: válvula «c/resorte» (Q-AGENTES)</t>
        </is>
      </c>
    </row>
    <row r="883">
      <c r="A883" s="32" t="inlineStr">
        <is>
          <t>FL_MAT_ABC_100kg</t>
        </is>
      </c>
      <c r="B883" s="32" t="n">
        <v>2</v>
      </c>
      <c r="C883" s="32" t="inlineStr">
        <is>
          <t>ABC100-V3</t>
        </is>
      </c>
      <c r="D883" s="17" t="inlineStr">
        <is>
          <t xml:space="preserve">        Junta tórica del vástago</t>
        </is>
      </c>
      <c r="E883" s="32" t="n">
        <v>1</v>
      </c>
      <c r="F883" s="32" t="inlineStr">
        <is>
          <t>u</t>
        </is>
      </c>
      <c r="G883" s="33" t="n"/>
      <c r="H883" s="33" t="n"/>
      <c r="I883" s="32" t="inlineStr">
        <is>
          <t>NBR 70 Shore A</t>
        </is>
      </c>
      <c r="J883" s="17" t="inlineStr">
        <is>
          <t>incluida en la válvula</t>
        </is>
      </c>
      <c r="K883" s="32" t="inlineStr">
        <is>
          <t>Incluido en válvula HZ</t>
        </is>
      </c>
      <c r="L883" s="32" t="inlineStr">
        <is>
          <t>No</t>
        </is>
      </c>
      <c r="M883" s="17" t="n"/>
      <c r="N883" s="17" t="n"/>
      <c r="O883" s="17" t="inlineStr">
        <is>
          <t>19 Ensamblaje</t>
        </is>
      </c>
      <c r="P883" s="17" t="n"/>
      <c r="Q883" s="32" t="inlineStr">
        <is>
          <t>P</t>
        </is>
      </c>
      <c r="R883" s="32" t="n"/>
      <c r="S883" s="17" t="inlineStr">
        <is>
          <t>Figura en el plano como «vástago con junta tórica»</t>
        </is>
      </c>
    </row>
    <row r="884">
      <c r="A884" s="29" t="inlineStr">
        <is>
          <t>FL_MAT_ABC_100kg</t>
        </is>
      </c>
      <c r="B884" s="29" t="n">
        <v>1</v>
      </c>
      <c r="C884" s="29" t="inlineStr">
        <is>
          <t>ABC100-S3</t>
        </is>
      </c>
      <c r="D884" s="30" t="inlineStr">
        <is>
          <t xml:space="preserve">    Dispositivo de descarga</t>
        </is>
      </c>
      <c r="E884" s="29" t="n">
        <v>1</v>
      </c>
      <c r="F884" s="29" t="inlineStr">
        <is>
          <t>u</t>
        </is>
      </c>
      <c r="G884" s="31" t="n"/>
      <c r="H884" s="31">
        <f>H885+H886+H887+H888+H889</f>
        <v/>
      </c>
      <c r="I884" s="29" t="n"/>
      <c r="J884" s="30" t="n"/>
      <c r="K884" s="29" t="inlineStr">
        <is>
          <t>Compra / armado</t>
        </is>
      </c>
      <c r="L884" s="29" t="n"/>
      <c r="M884" s="30" t="n"/>
      <c r="N884" s="30" t="n"/>
      <c r="O884" s="30" t="n"/>
      <c r="P884" s="30" t="n"/>
      <c r="Q884" s="29" t="inlineStr">
        <is>
          <t>P</t>
        </is>
      </c>
      <c r="R884" s="29" t="inlineStr">
        <is>
          <t>FL_DES_ABC_100kg</t>
        </is>
      </c>
      <c r="S884" s="30" t="n"/>
    </row>
    <row r="885">
      <c r="A885" s="32" t="inlineStr">
        <is>
          <t>FL_MAT_ABC_100kg</t>
        </is>
      </c>
      <c r="B885" s="32" t="n">
        <v>2</v>
      </c>
      <c r="C885" s="32" t="inlineStr">
        <is>
          <t>ABC100-25</t>
        </is>
      </c>
      <c r="D885" s="17" t="inlineStr">
        <is>
          <t xml:space="preserve">        Racor de manguera</t>
        </is>
      </c>
      <c r="E885" s="32" t="n">
        <v>1</v>
      </c>
      <c r="F885" s="32" t="inlineStr">
        <is>
          <t>u</t>
        </is>
      </c>
      <c r="G885" s="33" t="n">
        <v>0.0612</v>
      </c>
      <c r="H885" s="33">
        <f>E885*G885</f>
        <v/>
      </c>
      <c r="I885" s="32" t="inlineStr">
        <is>
          <t>Latón</t>
        </is>
      </c>
      <c r="J885" s="17" t="inlineStr">
        <is>
          <t>24 × 24 × 16</t>
        </is>
      </c>
      <c r="K885" s="32" t="inlineStr">
        <is>
          <t>Compra</t>
        </is>
      </c>
      <c r="L885" s="32" t="inlineStr">
        <is>
          <t>Sí</t>
        </is>
      </c>
      <c r="M885" s="17" t="inlineStr">
        <is>
          <t>Yukon / MatafuegosYa S.R.L.</t>
        </is>
      </c>
      <c r="N885" s="17" t="inlineStr">
        <is>
          <t>Matafuegos Iglesias</t>
        </is>
      </c>
      <c r="O885" s="17" t="inlineStr">
        <is>
          <t>Después de 12 pintura: manguera, válvula esférica y tobera</t>
        </is>
      </c>
      <c r="P885" s="17" t="n"/>
      <c r="Q885" s="32" t="inlineStr">
        <is>
          <t>P</t>
        </is>
      </c>
      <c r="R885" s="32" t="inlineStr">
        <is>
          <t>FL_DES_ABC_100kg</t>
        </is>
      </c>
      <c r="S885" s="17" t="n"/>
    </row>
    <row r="886">
      <c r="A886" s="32" t="inlineStr">
        <is>
          <t>FL_MAT_ABC_100kg</t>
        </is>
      </c>
      <c r="B886" s="32" t="n">
        <v>2</v>
      </c>
      <c r="C886" s="32" t="inlineStr">
        <is>
          <t>ABC100-26</t>
        </is>
      </c>
      <c r="D886" s="17" t="inlineStr">
        <is>
          <t xml:space="preserve">        Manguera (tramo enrollado)</t>
        </is>
      </c>
      <c r="E886" s="32" t="n">
        <v>1</v>
      </c>
      <c r="F886" s="32" t="inlineStr">
        <is>
          <t>u</t>
        </is>
      </c>
      <c r="G886" s="33" t="n">
        <v>3.6666</v>
      </c>
      <c r="H886" s="33">
        <f>E886*G886</f>
        <v/>
      </c>
      <c r="I886" s="32" t="inlineStr">
        <is>
          <t>Caucho sintético</t>
        </is>
      </c>
      <c r="J886" s="17" t="inlineStr">
        <is>
          <t>Ø23,5 × 11.007 de largo desarrollado: lazo vertical de 4 vueltas alrededor de los flejes, por afuera de las patas y detrás de las orejas</t>
        </is>
      </c>
      <c r="K886" s="32" t="inlineStr">
        <is>
          <t>Compra</t>
        </is>
      </c>
      <c r="L886" s="32" t="inlineStr">
        <is>
          <t>Sí</t>
        </is>
      </c>
      <c r="M886" s="17" t="inlineStr">
        <is>
          <t>Yukon / MatafuegosYa S.R.L.</t>
        </is>
      </c>
      <c r="N886" s="17" t="inlineStr">
        <is>
          <t>Matafuegos Iglesias</t>
        </is>
      </c>
      <c r="O886" s="17" t="inlineStr">
        <is>
          <t>Después de 12 pintura: manguera, válvula esférica y tobera</t>
        </is>
      </c>
      <c r="P886" s="17" t="n"/>
      <c r="Q886" s="32" t="inlineStr">
        <is>
          <t>P</t>
        </is>
      </c>
      <c r="R886" s="32" t="inlineStr">
        <is>
          <t>FL_DES_ABC_100kg</t>
        </is>
      </c>
      <c r="S886" s="17" t="n"/>
    </row>
    <row r="887">
      <c r="A887" s="32" t="inlineStr">
        <is>
          <t>FL_MAT_ABC_100kg</t>
        </is>
      </c>
      <c r="B887" s="32" t="n">
        <v>2</v>
      </c>
      <c r="C887" s="32" t="inlineStr">
        <is>
          <t>ABC100-27</t>
        </is>
      </c>
      <c r="D887" s="17" t="inlineStr">
        <is>
          <t xml:space="preserve">        Manguera</t>
        </is>
      </c>
      <c r="E887" s="32" t="n">
        <v>1</v>
      </c>
      <c r="F887" s="32" t="inlineStr">
        <is>
          <t>u</t>
        </is>
      </c>
      <c r="G887" s="33" t="n">
        <v>0.3438</v>
      </c>
      <c r="H887" s="33">
        <f>E887*G887</f>
        <v/>
      </c>
      <c r="I887" s="32" t="inlineStr">
        <is>
          <t>Caucho sintético</t>
        </is>
      </c>
      <c r="J887" s="17" t="inlineStr">
        <is>
          <t>Ø23,5 × 1.032 de largo desarrollado</t>
        </is>
      </c>
      <c r="K887" s="32" t="inlineStr">
        <is>
          <t>Compra</t>
        </is>
      </c>
      <c r="L887" s="32" t="inlineStr">
        <is>
          <t>Sí</t>
        </is>
      </c>
      <c r="M887" s="17" t="inlineStr">
        <is>
          <t>Yukon / MatafuegosYa S.R.L.</t>
        </is>
      </c>
      <c r="N887" s="17" t="inlineStr">
        <is>
          <t>Matafuegos Iglesias</t>
        </is>
      </c>
      <c r="O887" s="17" t="inlineStr">
        <is>
          <t>Después de 12 pintura: manguera, válvula esférica y tobera</t>
        </is>
      </c>
      <c r="P887" s="17" t="n"/>
      <c r="Q887" s="32" t="inlineStr">
        <is>
          <t>P</t>
        </is>
      </c>
      <c r="R887" s="32" t="inlineStr">
        <is>
          <t>FL_DES_ABC_100kg</t>
        </is>
      </c>
      <c r="S887" s="17" t="n"/>
    </row>
    <row r="888">
      <c r="A888" s="32" t="inlineStr">
        <is>
          <t>FL_MAT_ABC_100kg</t>
        </is>
      </c>
      <c r="B888" s="32" t="n">
        <v>2</v>
      </c>
      <c r="C888" s="32" t="inlineStr">
        <is>
          <t>ABC100-29</t>
        </is>
      </c>
      <c r="D888" s="17" t="inlineStr">
        <is>
          <t xml:space="preserve">        Válvula esférica</t>
        </is>
      </c>
      <c r="E888" s="32" t="n">
        <v>1</v>
      </c>
      <c r="F888" s="32" t="inlineStr">
        <is>
          <t>u</t>
        </is>
      </c>
      <c r="G888" s="33" t="n">
        <v>0.3502</v>
      </c>
      <c r="H888" s="33">
        <f>E888*G888</f>
        <v/>
      </c>
      <c r="I888" s="32" t="inlineStr">
        <is>
          <t>Latón cromado</t>
        </is>
      </c>
      <c r="J888" s="17" t="inlineStr">
        <is>
          <t>cuerpo Ø40 × 56 con hexágonos 46, paso total, rosca a la manga y a la tobera; palanca 105 con empuñadura (cerrada: atravesada al caño)</t>
        </is>
      </c>
      <c r="K888" s="32" t="inlineStr">
        <is>
          <t>Compra</t>
        </is>
      </c>
      <c r="L888" s="32" t="inlineStr">
        <is>
          <t>Sí</t>
        </is>
      </c>
      <c r="M888" s="17" t="inlineStr">
        <is>
          <t>Yukon / MatafuegosYa S.R.L.</t>
        </is>
      </c>
      <c r="N888" s="17" t="inlineStr">
        <is>
          <t>Matafuegos Iglesias</t>
        </is>
      </c>
      <c r="O888" s="17" t="inlineStr">
        <is>
          <t>Después de 12 pintura: manguera, válvula esférica y tobera</t>
        </is>
      </c>
      <c r="P888" s="17" t="n"/>
      <c r="Q888" s="32" t="inlineStr">
        <is>
          <t>P</t>
        </is>
      </c>
      <c r="R888" s="32" t="inlineStr">
        <is>
          <t>FL_DES_ABC_100kg</t>
        </is>
      </c>
      <c r="S888" s="17" t="n"/>
    </row>
    <row r="889">
      <c r="A889" s="32" t="inlineStr">
        <is>
          <t>FL_MAT_ABC_100kg</t>
        </is>
      </c>
      <c r="B889" s="32" t="n">
        <v>2</v>
      </c>
      <c r="C889" s="32" t="inlineStr">
        <is>
          <t>ABC100-30</t>
        </is>
      </c>
      <c r="D889" s="17" t="inlineStr">
        <is>
          <t xml:space="preserve">        Tobera campana</t>
        </is>
      </c>
      <c r="E889" s="32" t="n">
        <v>1</v>
      </c>
      <c r="F889" s="32" t="inlineStr">
        <is>
          <t>u</t>
        </is>
      </c>
      <c r="G889" s="33" t="n">
        <v>0.07969999999999999</v>
      </c>
      <c r="H889" s="33">
        <f>E889*G889</f>
        <v/>
      </c>
      <c r="I889" s="32" t="inlineStr">
        <is>
          <t>Polipropileno</t>
        </is>
      </c>
      <c r="J889" s="17" t="inlineStr">
        <is>
          <t>205,9 × 106,3 × 68</t>
        </is>
      </c>
      <c r="K889" s="32" t="inlineStr">
        <is>
          <t>Compra</t>
        </is>
      </c>
      <c r="L889" s="32" t="inlineStr">
        <is>
          <t>Sí</t>
        </is>
      </c>
      <c r="M889" s="17" t="inlineStr">
        <is>
          <t>Yukon / MatafuegosYa S.R.L.</t>
        </is>
      </c>
      <c r="N889" s="17" t="inlineStr">
        <is>
          <t>Matafuegos Iglesias</t>
        </is>
      </c>
      <c r="O889" s="17" t="inlineStr">
        <is>
          <t>Después de 12 pintura: manguera, válvula esférica y tobera</t>
        </is>
      </c>
      <c r="P889" s="17" t="n"/>
      <c r="Q889" s="32" t="inlineStr">
        <is>
          <t>P</t>
        </is>
      </c>
      <c r="R889" s="32" t="inlineStr">
        <is>
          <t>FL_DES_ABC_100kg</t>
        </is>
      </c>
      <c r="S889" s="17" t="n"/>
    </row>
    <row r="890">
      <c r="A890" s="29" t="inlineStr">
        <is>
          <t>FL_MAT_ABC_100kg</t>
        </is>
      </c>
      <c r="B890" s="29" t="n">
        <v>1</v>
      </c>
      <c r="C890" s="29" t="inlineStr">
        <is>
          <t>ABC100-S4</t>
        </is>
      </c>
      <c r="D890" s="30" t="inlineStr">
        <is>
          <t xml:space="preserve">    Carro (tren rodante soldado y ruedas)</t>
        </is>
      </c>
      <c r="E890" s="29" t="n">
        <v>1</v>
      </c>
      <c r="F890" s="29" t="inlineStr">
        <is>
          <t>u</t>
        </is>
      </c>
      <c r="G890" s="31" t="n"/>
      <c r="H890" s="31">
        <f>H891+H892+H893+H895+H896+H897+H899+H900+H901+H903</f>
        <v/>
      </c>
      <c r="I890" s="29" t="n"/>
      <c r="J890" s="30" t="n"/>
      <c r="K890" s="29" t="inlineStr">
        <is>
          <t>Fabricación</t>
        </is>
      </c>
      <c r="L890" s="29" t="n"/>
      <c r="M890" s="30" t="n"/>
      <c r="N890" s="30" t="n"/>
      <c r="O890" s="30" t="n"/>
      <c r="P890" s="30" t="inlineStr">
        <is>
          <t>IRAM 3550 3.12 y 4.8 (ruedas ≥ Ø300 × 50)</t>
        </is>
      </c>
      <c r="Q890" s="29" t="inlineStr">
        <is>
          <t>P</t>
        </is>
      </c>
      <c r="R890" s="29" t="inlineStr">
        <is>
          <t>FL_DES_ABC_100kg</t>
        </is>
      </c>
      <c r="S890" s="30" t="n"/>
    </row>
    <row r="891">
      <c r="A891" s="32" t="inlineStr">
        <is>
          <t>FL_MAT_ABC_100kg</t>
        </is>
      </c>
      <c r="B891" s="32" t="n">
        <v>2</v>
      </c>
      <c r="C891" s="32" t="inlineStr">
        <is>
          <t>ABC100-06</t>
        </is>
      </c>
      <c r="D891" s="17" t="inlineStr">
        <is>
          <t xml:space="preserve">        Pata delantera</t>
        </is>
      </c>
      <c r="E891" s="32" t="n">
        <v>1</v>
      </c>
      <c r="F891" s="32" t="inlineStr">
        <is>
          <t>u</t>
        </is>
      </c>
      <c r="G891" s="33" t="n">
        <v>0.1983</v>
      </c>
      <c r="H891" s="33">
        <f>E891*G891</f>
        <v/>
      </c>
      <c r="I891" s="32" t="inlineStr">
        <is>
          <t>Chapa LAC 3,2 (orilla de la hoja de 25 kg)</t>
        </is>
      </c>
      <c r="J891" s="17" t="inlineStr">
        <is>
          <t>planchuela 100 × 80 × e3,2, de canto en el frente del fondo, atravesada; borde de abajo = línea del piso</t>
        </is>
      </c>
      <c r="K891" s="32" t="inlineStr">
        <is>
          <t>Fabricación</t>
        </is>
      </c>
      <c r="L891" s="32" t="inlineStr">
        <is>
          <t>No</t>
        </is>
      </c>
      <c r="M891" s="17" t="n"/>
      <c r="N891" s="17" t="n"/>
      <c r="O891" s="17" t="inlineStr">
        <is>
          <t>8.1 fabricación de accesorios (orillas / caño / barra) -&gt; 8 soldadura MAG al recipiente, antes de la PH (IRAM 3550 6.1.1)</t>
        </is>
      </c>
      <c r="P891" s="17" t="n"/>
      <c r="Q891" s="32" t="inlineStr">
        <is>
          <t>P</t>
        </is>
      </c>
      <c r="R891" s="32" t="inlineStr">
        <is>
          <t>FL_DES_ABC_100kg</t>
        </is>
      </c>
      <c r="S891" s="17" t="inlineStr">
        <is>
          <t>Proceso FLAMA de carros: 80 × 60 (25 y 50 kg) y 100 × 80 (70 y 100 kg), de la orilla de 3,2 de la hoja de 25 kg (sin compra); se suelda con filete de los dos lados en el tramo central</t>
        </is>
      </c>
    </row>
    <row r="892">
      <c r="A892" s="32" t="inlineStr">
        <is>
          <t>FL_MAT_ABC_100kg</t>
        </is>
      </c>
      <c r="B892" s="32" t="n">
        <v>2</v>
      </c>
      <c r="C892" s="32" t="inlineStr">
        <is>
          <t>ABC100-07</t>
        </is>
      </c>
      <c r="D892" s="17" t="inlineStr">
        <is>
          <t xml:space="preserve">        Triángulos con V (2)</t>
        </is>
      </c>
      <c r="E892" s="32" t="n">
        <v>1</v>
      </c>
      <c r="F892" s="32" t="inlineStr">
        <is>
          <t>u</t>
        </is>
      </c>
      <c r="G892" s="33" t="n">
        <v>0.297</v>
      </c>
      <c r="H892" s="33">
        <f>E892*G892</f>
        <v/>
      </c>
      <c r="I892" s="32" t="inlineStr">
        <is>
          <t>Chapa LAC 4,75 (orilla)</t>
        </is>
      </c>
      <c r="J892" s="17" t="inlineStr">
        <is>
          <t>2 triángulos con V de 90° hacia atrás, chapa e4,75, cateto vertical 100 de canto contra el cuerpo; separados 203 (± 101,5 en recta), borde de abajo a 20 de la costura del fondo; el caño apoya en la V</t>
        </is>
      </c>
      <c r="K892" s="32" t="inlineStr">
        <is>
          <t>Fabricación</t>
        </is>
      </c>
      <c r="L892" s="32" t="inlineStr">
        <is>
          <t>No</t>
        </is>
      </c>
      <c r="M892" s="17" t="n"/>
      <c r="N892" s="17" t="n"/>
      <c r="O892" s="17" t="inlineStr">
        <is>
          <t>8.1 fabricación de accesorios (orillas / caño / barra) -&gt; 8 soldadura MAG al recipiente, antes de la PH (IRAM 3550 6.1.1)</t>
        </is>
      </c>
      <c r="P892" s="17" t="n"/>
      <c r="Q892" s="32" t="inlineStr">
        <is>
          <t>P</t>
        </is>
      </c>
      <c r="R892" s="32" t="inlineStr">
        <is>
          <t>FL_DES_ABC_100kg</t>
        </is>
      </c>
      <c r="S892"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893">
      <c r="A893" s="32" t="inlineStr">
        <is>
          <t>FL_MAT_ABC_100kg</t>
        </is>
      </c>
      <c r="B893" s="32" t="n">
        <v>2</v>
      </c>
      <c r="C893" s="32" t="inlineStr">
        <is>
          <t>ABC100-08</t>
        </is>
      </c>
      <c r="D893" s="17" t="inlineStr">
        <is>
          <t xml:space="preserve">        Caño del eje</t>
        </is>
      </c>
      <c r="E893" s="32" t="n">
        <v>1</v>
      </c>
      <c r="F893" s="32" t="inlineStr">
        <is>
          <t>u</t>
        </is>
      </c>
      <c r="G893" s="33" t="n">
        <v>0.7249</v>
      </c>
      <c r="H893" s="33">
        <f>E893*G893</f>
        <v/>
      </c>
      <c r="I893" s="32" t="inlineStr">
        <is>
          <t>Caño acero SAE 1010 1¼" × 2,0</t>
        </is>
      </c>
      <c r="J893" s="17" t="inlineStr">
        <is>
          <t>caño 1¼" (Ø31,75) × 2 × 494 de largo, con marca de la mitad; apoyado en la V de los triángulos a 20 del cuerpo, no gira; adentro pasa el eje Ø25,4</t>
        </is>
      </c>
      <c r="K893" s="32" t="inlineStr">
        <is>
          <t>Fabricación</t>
        </is>
      </c>
      <c r="L893" s="32" t="inlineStr">
        <is>
          <t>No</t>
        </is>
      </c>
      <c r="M893" s="17" t="n"/>
      <c r="N893" s="17" t="n"/>
      <c r="O893" s="17" t="inlineStr">
        <is>
          <t>8.1 fabricación de accesorios (orillas / caño / barra) -&gt; 8 soldadura MAG al recipiente, antes de la PH (IRAM 3550 6.1.1)</t>
        </is>
      </c>
      <c r="P893" s="17" t="n"/>
      <c r="Q893" s="32" t="inlineStr">
        <is>
          <t>P</t>
        </is>
      </c>
      <c r="R893" s="32" t="inlineStr">
        <is>
          <t>FL_DES_ABC_100kg</t>
        </is>
      </c>
      <c r="S893" s="17" t="inlineStr">
        <is>
          <t>Proceso FLAMA de carros, puesto 8 (kit del 8.1): medidas y posición de la tabla del puesto; se suelda antes de la prueba hidráulica (IRAM 3550 6.1.1)</t>
        </is>
      </c>
    </row>
    <row r="894">
      <c r="A894" s="34" t="inlineStr">
        <is>
          <t>FL_MAT_ABC_100kg</t>
        </is>
      </c>
      <c r="B894" s="34" t="n">
        <v>3</v>
      </c>
      <c r="C894" s="34" t="inlineStr">
        <is>
          <t>MP-PORTAEJE</t>
        </is>
      </c>
      <c r="D894" s="35" t="inlineStr">
        <is>
          <t xml:space="preserve">            Caño SAE 1010 1¼" × 2,0 (tramo de barra de 6 m)</t>
        </is>
      </c>
      <c r="E894" s="34" t="n">
        <v>0.0823</v>
      </c>
      <c r="F894" s="34" t="inlineStr">
        <is>
          <t>barra</t>
        </is>
      </c>
      <c r="G894" s="36" t="n">
        <v>8.804</v>
      </c>
      <c r="H894" s="36">
        <f>E894*G894</f>
        <v/>
      </c>
      <c r="I894" s="34" t="inlineStr">
        <is>
          <t>Caño acero SAE 1010 1¼" × 2,0</t>
        </is>
      </c>
      <c r="J894" s="35" t="inlineStr">
        <is>
          <t>494 mm por pieza (kg por barra de 6 m)</t>
        </is>
      </c>
      <c r="K894" s="34" t="inlineStr">
        <is>
          <t>Compra</t>
        </is>
      </c>
      <c r="L894" s="34" t="inlineStr">
        <is>
          <t>Sí</t>
        </is>
      </c>
      <c r="M894" s="35" t="inlineStr">
        <is>
          <t>Metalpri / Prilux</t>
        </is>
      </c>
      <c r="N894" s="35" t="inlineStr">
        <is>
          <t>Comercial MID</t>
        </is>
      </c>
      <c r="O894" s="35" t="inlineStr">
        <is>
          <t>Corte en sierra</t>
        </is>
      </c>
      <c r="P894" s="35" t="n"/>
      <c r="Q894" s="34" t="inlineStr">
        <is>
          <t>C</t>
        </is>
      </c>
      <c r="R894" s="34" t="n"/>
      <c r="S894" s="35" t="inlineStr">
        <is>
          <t>Largo para la trocha del ancho de la hoja de especificaciones (kit 8.1), con marca de la mitad</t>
        </is>
      </c>
    </row>
    <row r="895">
      <c r="A895" s="32" t="inlineStr">
        <is>
          <t>FL_MAT_ABC_100kg</t>
        </is>
      </c>
      <c r="B895" s="32" t="n">
        <v>2</v>
      </c>
      <c r="C895" s="32" t="inlineStr">
        <is>
          <t>ABC100-09</t>
        </is>
      </c>
      <c r="D895" s="17" t="inlineStr">
        <is>
          <t xml:space="preserve">        Neumático macizo</t>
        </is>
      </c>
      <c r="E895" s="32" t="n">
        <v>2</v>
      </c>
      <c r="F895" s="32" t="inlineStr">
        <is>
          <t>u</t>
        </is>
      </c>
      <c r="G895" s="33" t="n">
        <v>4.3574</v>
      </c>
      <c r="H895" s="33">
        <f>E895*G895</f>
        <v/>
      </c>
      <c r="I895" s="32" t="inlineStr">
        <is>
          <t>Caucho</t>
        </is>
      </c>
      <c r="J895" s="17" t="inlineStr">
        <is>
          <t>Ø400 × 60 de ancho</t>
        </is>
      </c>
      <c r="K895" s="32" t="inlineStr">
        <is>
          <t>Compra</t>
        </is>
      </c>
      <c r="L895" s="32" t="inlineStr">
        <is>
          <t>Sí</t>
        </is>
      </c>
      <c r="M895" s="17" t="inlineStr">
        <is>
          <t>Escanort S.A.</t>
        </is>
      </c>
      <c r="N895" s="17" t="inlineStr">
        <is>
          <t>Ruedar</t>
        </is>
      </c>
      <c r="O895" s="17" t="inlineStr">
        <is>
          <t>Después de 12 pintura: ruedas montadas sobre el eje</t>
        </is>
      </c>
      <c r="P895" s="17" t="n"/>
      <c r="Q895" s="32" t="inlineStr">
        <is>
          <t>P</t>
        </is>
      </c>
      <c r="R895" s="32" t="inlineStr">
        <is>
          <t>FL_DES_ABC_100kg</t>
        </is>
      </c>
      <c r="S895" s="17" t="inlineStr">
        <is>
          <t>llanta de chapa; IRAM 3550 4.8: Ø ≥ 300 y ancho ≥ 50</t>
        </is>
      </c>
    </row>
    <row r="896">
      <c r="A896" s="32" t="inlineStr">
        <is>
          <t>FL_MAT_ABC_100kg</t>
        </is>
      </c>
      <c r="B896" s="32" t="n">
        <v>2</v>
      </c>
      <c r="C896" s="32" t="inlineStr">
        <is>
          <t>ABC100-10</t>
        </is>
      </c>
      <c r="D896" s="17" t="inlineStr">
        <is>
          <t xml:space="preserve">        Llanta con cubo</t>
        </is>
      </c>
      <c r="E896" s="32" t="n">
        <v>2</v>
      </c>
      <c r="F896" s="32" t="inlineStr">
        <is>
          <t>u</t>
        </is>
      </c>
      <c r="G896" s="33" t="n">
        <v>2.9979</v>
      </c>
      <c r="H896" s="33">
        <f>E896*G896</f>
        <v/>
      </c>
      <c r="I896" s="32" t="inlineStr">
        <is>
          <t>Chapa acero SAE 1010</t>
        </is>
      </c>
      <c r="J896" s="17" t="inlineStr">
        <is>
          <t>Ø288 × 60 de ancho</t>
        </is>
      </c>
      <c r="K896" s="32" t="inlineStr">
        <is>
          <t>Incluido en rueda</t>
        </is>
      </c>
      <c r="L896" s="32" t="inlineStr">
        <is>
          <t>No</t>
        </is>
      </c>
      <c r="M896" s="17" t="n"/>
      <c r="N896" s="17" t="n"/>
      <c r="O896" s="17" t="inlineStr">
        <is>
          <t>Después de 12 pintura: ruedas montadas sobre el eje</t>
        </is>
      </c>
      <c r="P896" s="17" t="n"/>
      <c r="Q896" s="32" t="inlineStr">
        <is>
          <t>P</t>
        </is>
      </c>
      <c r="R896" s="32" t="inlineStr">
        <is>
          <t>FL_DES_ABC_100kg</t>
        </is>
      </c>
      <c r="S896" s="17" t="n"/>
    </row>
    <row r="897">
      <c r="A897" s="32" t="inlineStr">
        <is>
          <t>FL_MAT_ABC_100kg</t>
        </is>
      </c>
      <c r="B897" s="32" t="n">
        <v>2</v>
      </c>
      <c r="C897" s="32" t="inlineStr">
        <is>
          <t>ABC100-11</t>
        </is>
      </c>
      <c r="D897" s="17" t="inlineStr">
        <is>
          <t xml:space="preserve">        Eje de ruedas</t>
        </is>
      </c>
      <c r="E897" s="32" t="n">
        <v>1</v>
      </c>
      <c r="F897" s="32" t="inlineStr">
        <is>
          <t>u</t>
        </is>
      </c>
      <c r="G897" s="33" t="n">
        <v>2.5789</v>
      </c>
      <c r="H897" s="33">
        <f>E897*G897</f>
        <v/>
      </c>
      <c r="I897" s="32" t="inlineStr">
        <is>
          <t>Barra acero SAE 1045 Ø25.4</t>
        </is>
      </c>
      <c r="J897" s="17" t="inlineStr">
        <is>
          <t>barra trefilada 1" (Ø25,4) × 650 de largo, con agujero Ø4,6 en cada punta para el pasador (montaje final)</t>
        </is>
      </c>
      <c r="K897" s="32" t="inlineStr">
        <is>
          <t>Fabricación</t>
        </is>
      </c>
      <c r="L897" s="32" t="inlineStr">
        <is>
          <t>No</t>
        </is>
      </c>
      <c r="M897" s="17" t="n"/>
      <c r="N897" s="17" t="n"/>
      <c r="O897" s="17" t="inlineStr">
        <is>
          <t>8.1 corte de barra -&gt; 8 soldadura de soportes</t>
        </is>
      </c>
      <c r="P897" s="17" t="n"/>
      <c r="Q897" s="32" t="inlineStr">
        <is>
          <t>P</t>
        </is>
      </c>
      <c r="R897" s="32" t="inlineStr">
        <is>
          <t>FL_DES_ABC_100kg</t>
        </is>
      </c>
      <c r="S897" s="17" t="inlineStr">
        <is>
          <t>Montaje final, después de la pintura, con las ruedas (proceso de carros, puesto 8)</t>
        </is>
      </c>
    </row>
    <row r="898">
      <c r="A898" s="34" t="inlineStr">
        <is>
          <t>FL_MAT_ABC_100kg</t>
        </is>
      </c>
      <c r="B898" s="34" t="n">
        <v>3</v>
      </c>
      <c r="C898" s="34" t="inlineStr">
        <is>
          <t>MP-EJE</t>
        </is>
      </c>
      <c r="D898" s="35" t="inlineStr">
        <is>
          <t xml:space="preserve">            Barra trefilada SAE 1045 1" (tramo de barra de 6 m)</t>
        </is>
      </c>
      <c r="E898" s="34" t="n">
        <v>0.1083</v>
      </c>
      <c r="F898" s="34" t="inlineStr">
        <is>
          <t>barra</t>
        </is>
      </c>
      <c r="G898" s="36" t="n">
        <v>23.866</v>
      </c>
      <c r="H898" s="36">
        <f>E898*G898</f>
        <v/>
      </c>
      <c r="I898" s="34" t="inlineStr">
        <is>
          <t>Barra trefilada SAE 1045 1"</t>
        </is>
      </c>
      <c r="J898" s="35" t="inlineStr">
        <is>
          <t>650 mm por pieza (kg por barra de 6 m)</t>
        </is>
      </c>
      <c r="K898" s="34" t="inlineStr">
        <is>
          <t>Compra</t>
        </is>
      </c>
      <c r="L898" s="34" t="inlineStr">
        <is>
          <t>Sí</t>
        </is>
      </c>
      <c r="M898" s="35" t="inlineStr">
        <is>
          <t>Vladimirsky</t>
        </is>
      </c>
      <c r="N898" s="35" t="inlineStr">
        <is>
          <t>Hierros Parrotta</t>
        </is>
      </c>
      <c r="O898" s="35" t="inlineStr">
        <is>
          <t>Corte en sierra</t>
        </is>
      </c>
      <c r="P898" s="35" t="n"/>
      <c r="Q898" s="34" t="inlineStr">
        <is>
          <t>C</t>
        </is>
      </c>
      <c r="R898" s="34" t="n"/>
      <c r="S898" s="35" t="n"/>
    </row>
    <row r="899">
      <c r="A899" s="32" t="inlineStr">
        <is>
          <t>FL_MAT_ABC_100kg</t>
        </is>
      </c>
      <c r="B899" s="32" t="n">
        <v>2</v>
      </c>
      <c r="C899" s="32" t="inlineStr">
        <is>
          <t>ABC100-12</t>
        </is>
      </c>
      <c r="D899" s="17" t="inlineStr">
        <is>
          <t xml:space="preserve">        Arandelas de tope (4)</t>
        </is>
      </c>
      <c r="E899" s="32" t="n">
        <v>1</v>
      </c>
      <c r="F899" s="32" t="inlineStr">
        <is>
          <t>u</t>
        </is>
      </c>
      <c r="G899" s="33" t="n">
        <v>0.0891</v>
      </c>
      <c r="H899" s="33">
        <f>E899*G899</f>
        <v/>
      </c>
      <c r="I899" s="32" t="inlineStr">
        <is>
          <t>Acero SAE 1010 Ø40 × 4</t>
        </is>
      </c>
      <c r="J899" s="17" t="inlineStr">
        <is>
          <t>4 × Ø40 × Ø26,4 × 4 (a cada lado de cada rueda)</t>
        </is>
      </c>
      <c r="K899" s="32" t="inlineStr">
        <is>
          <t>Compra</t>
        </is>
      </c>
      <c r="L899" s="32" t="inlineStr">
        <is>
          <t>Sí</t>
        </is>
      </c>
      <c r="M899" s="17" t="inlineStr">
        <is>
          <t>Hierros Parrotta</t>
        </is>
      </c>
      <c r="N899" s="17" t="inlineStr">
        <is>
          <t>-</t>
        </is>
      </c>
      <c r="O899" s="17" t="inlineStr">
        <is>
          <t>Después de 12 pintura: ruedas montadas sobre el eje</t>
        </is>
      </c>
      <c r="P899" s="17" t="n"/>
      <c r="Q899" s="32" t="inlineStr">
        <is>
          <t>P</t>
        </is>
      </c>
      <c r="R899" s="32" t="inlineStr">
        <is>
          <t>FL_DES_ABC_100kg</t>
        </is>
      </c>
      <c r="S899" s="17" t="inlineStr">
        <is>
          <t>Montaje final, después de la pintura, con las ruedas (proceso de carros, puesto 8)</t>
        </is>
      </c>
    </row>
    <row r="900">
      <c r="A900" s="32" t="inlineStr">
        <is>
          <t>FL_MAT_ABC_100kg</t>
        </is>
      </c>
      <c r="B900" s="32" t="n">
        <v>2</v>
      </c>
      <c r="C900" s="32" t="inlineStr">
        <is>
          <t>ABC100-13</t>
        </is>
      </c>
      <c r="D900" s="17" t="inlineStr">
        <is>
          <t xml:space="preserve">        Pasadores del eje (2)</t>
        </is>
      </c>
      <c r="E900" s="32" t="n">
        <v>1</v>
      </c>
      <c r="F900" s="32" t="inlineStr">
        <is>
          <t>u</t>
        </is>
      </c>
      <c r="G900" s="33" t="n">
        <v>0.0132</v>
      </c>
      <c r="H900" s="33">
        <f>E900*G900</f>
        <v/>
      </c>
      <c r="I900" s="32" t="inlineStr">
        <is>
          <t>Pasador partido acero Ø4 × 40</t>
        </is>
      </c>
      <c r="J900" s="17" t="inlineStr">
        <is>
          <t>2 pasadores partidos Ø4 × 40, uno en cada punta del eje, por fuera de la arandela</t>
        </is>
      </c>
      <c r="K900" s="32" t="inlineStr">
        <is>
          <t>Compra</t>
        </is>
      </c>
      <c r="L900" s="32" t="inlineStr">
        <is>
          <t>Sí</t>
        </is>
      </c>
      <c r="M900" s="17" t="inlineStr">
        <is>
          <t>Hierros Parrotta</t>
        </is>
      </c>
      <c r="N900" s="17" t="inlineStr">
        <is>
          <t>-</t>
        </is>
      </c>
      <c r="O900" s="17" t="inlineStr">
        <is>
          <t>Después de 12 pintura: ruedas montadas sobre el eje</t>
        </is>
      </c>
      <c r="P900" s="17" t="n"/>
      <c r="Q900" s="32" t="inlineStr">
        <is>
          <t>P</t>
        </is>
      </c>
      <c r="R900" s="32" t="inlineStr">
        <is>
          <t>FL_DES_ABC_100kg</t>
        </is>
      </c>
      <c r="S900" s="17" t="inlineStr">
        <is>
          <t>Montaje final, después de la pintura, con las ruedas (proceso de carros, puesto 8)</t>
        </is>
      </c>
    </row>
    <row r="901">
      <c r="A901" s="32" t="inlineStr">
        <is>
          <t>FL_MAT_ABC_100kg</t>
        </is>
      </c>
      <c r="B901" s="32" t="n">
        <v>2</v>
      </c>
      <c r="C901" s="32" t="inlineStr">
        <is>
          <t>ABC100-14</t>
        </is>
      </c>
      <c r="D901" s="17" t="inlineStr">
        <is>
          <t xml:space="preserve">        Manija del carro</t>
        </is>
      </c>
      <c r="E901" s="32" t="n">
        <v>1</v>
      </c>
      <c r="F901" s="32" t="inlineStr">
        <is>
          <t>u</t>
        </is>
      </c>
      <c r="G901" s="33" t="n">
        <v>1.4658</v>
      </c>
      <c r="H901" s="33">
        <f>E901*G901</f>
        <v/>
      </c>
      <c r="I901" s="32" t="inlineStr">
        <is>
          <t>Caño acero SAE 1010 1" × 2,0</t>
        </is>
      </c>
      <c r="J901" s="17" t="inlineStr">
        <is>
          <t>caño 1" (Ø25,4) × 2,0, corte 1.370 (desarrollado del modelo 1.362); puntas aplastadas en lengüetas 40 × 60 × 4 soldadas a los costados, borde de abajo 200 bajo la costura de la cúpula; 2 curvas de 90° y 2 de 30° (doblez a 1.165 del piso), puño hacia atrás a 1.360</t>
        </is>
      </c>
      <c r="K901" s="32" t="inlineStr">
        <is>
          <t>Fabricación</t>
        </is>
      </c>
      <c r="L901" s="32" t="inlineStr">
        <is>
          <t>No</t>
        </is>
      </c>
      <c r="M901" s="17" t="n"/>
      <c r="N901" s="17" t="n"/>
      <c r="O901" s="17" t="inlineStr">
        <is>
          <t>8.1 fabricación de accesorios (orillas / caño / barra) -&gt; 8 soldadura MAG al recipiente, antes de la PH (IRAM 3550 6.1.1)</t>
        </is>
      </c>
      <c r="P901" s="17" t="n"/>
      <c r="Q901" s="32" t="inlineStr">
        <is>
          <t>P</t>
        </is>
      </c>
      <c r="R901" s="32" t="inlineStr">
        <is>
          <t>FL_DES_ABC_100kg</t>
        </is>
      </c>
      <c r="S901"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902">
      <c r="A902" s="34" t="inlineStr">
        <is>
          <t>FL_MAT_ABC_100kg</t>
        </is>
      </c>
      <c r="B902" s="34" t="n">
        <v>3</v>
      </c>
      <c r="C902" s="34" t="inlineStr">
        <is>
          <t>MP-CANO-CARRO</t>
        </is>
      </c>
      <c r="D902" s="35" t="inlineStr">
        <is>
          <t xml:space="preserve">            Caño SAE 1010 1" × 2,0 (tramo de barra de 6 m)</t>
        </is>
      </c>
      <c r="E902" s="34" t="n">
        <v>0.2283</v>
      </c>
      <c r="F902" s="34" t="inlineStr">
        <is>
          <t>barra</t>
        </is>
      </c>
      <c r="G902" s="36" t="n">
        <v>6.925</v>
      </c>
      <c r="H902" s="36">
        <f>E902*G902</f>
        <v/>
      </c>
      <c r="I902" s="34" t="inlineStr">
        <is>
          <t>Caño acero SAE 1010 1" × 2,0</t>
        </is>
      </c>
      <c r="J902" s="35" t="inlineStr">
        <is>
          <t>1.370 mm por pieza (kg por barra de 6 m)</t>
        </is>
      </c>
      <c r="K902" s="34" t="inlineStr">
        <is>
          <t>Compra</t>
        </is>
      </c>
      <c r="L902" s="34" t="inlineStr">
        <is>
          <t>Sí</t>
        </is>
      </c>
      <c r="M902" s="35" t="inlineStr">
        <is>
          <t>Metalpri / Prilux</t>
        </is>
      </c>
      <c r="N902" s="35" t="inlineStr">
        <is>
          <t>Comercial MID</t>
        </is>
      </c>
      <c r="O902" s="35" t="inlineStr">
        <is>
          <t>Corte en sierra</t>
        </is>
      </c>
      <c r="P902" s="35" t="n"/>
      <c r="Q902" s="34" t="inlineStr">
        <is>
          <t>C</t>
        </is>
      </c>
      <c r="R902" s="34" t="n"/>
      <c r="S902" s="35" t="inlineStr">
        <is>
          <t>Largo de corte = desarrollo del modelo a 10 mm (kit del puesto 8.1), con las lengüetas a aplastar</t>
        </is>
      </c>
    </row>
    <row r="903">
      <c r="A903" s="32" t="inlineStr">
        <is>
          <t>FL_MAT_ABC_100kg</t>
        </is>
      </c>
      <c r="B903" s="32" t="n">
        <v>2</v>
      </c>
      <c r="C903" s="32" t="inlineStr">
        <is>
          <t>ABC100-28</t>
        </is>
      </c>
      <c r="D903" s="17" t="inlineStr">
        <is>
          <t xml:space="preserve">        Flejes del soporte de manga (3)</t>
        </is>
      </c>
      <c r="E903" s="32" t="n">
        <v>1</v>
      </c>
      <c r="F903" s="32" t="inlineStr">
        <is>
          <t>u</t>
        </is>
      </c>
      <c r="G903" s="33" t="n">
        <v>1.8531</v>
      </c>
      <c r="H903" s="33">
        <f>E903*G903</f>
        <v/>
      </c>
      <c r="I903" s="32" t="inlineStr">
        <is>
          <t>Chapa LAC 3,2 × 40 plegada</t>
        </is>
      </c>
      <c r="J903" s="17" t="inlineStr">
        <is>
          <t>3 flejes iguales 40 × 3,2 de 601 de corte, 4 dobleces de 90° (U abierta hacia afuera): base 328 por fuera, soldada al cuerpo por el centro, patas 129 (hasta delante de la última vuelta) y orejas 20 hacia los costados; superior a 40 bajo la costura de la cúpula, inferior a 40 sobre la del fondo; el del medio, con las orejas hacia adentro: la manga pasa por adentro de sus patas, el paquete se cierra y los 12 m quedan tensados sin pandearse; la manga pasa por afuera de las patas y detrás de las orejas</t>
        </is>
      </c>
      <c r="K903" s="32" t="inlineStr">
        <is>
          <t>Fabricación</t>
        </is>
      </c>
      <c r="L903" s="32" t="inlineStr">
        <is>
          <t>No</t>
        </is>
      </c>
      <c r="M903" s="17" t="n"/>
      <c r="N903" s="17" t="n"/>
      <c r="O903" s="17" t="inlineStr">
        <is>
          <t>8.1 fabricación de accesorios (orillas / caño / barra) -&gt; 8 soldadura MAG al recipiente, antes de la PH (IRAM 3550 6.1.1)</t>
        </is>
      </c>
      <c r="P903" s="17" t="n"/>
      <c r="Q903" s="32" t="inlineStr">
        <is>
          <t>P</t>
        </is>
      </c>
      <c r="R903" s="32" t="inlineStr">
        <is>
          <t>FL_DES_ABC_100kg</t>
        </is>
      </c>
      <c r="S903" s="17" t="inlineStr">
        <is>
          <t>Proceso FLAMA de carros, puesto 8 (kit del 8.1): medidas y posición de la tabla del puesto; se suelda antes de la prueba hidráulica (IRAM 3550 6.1.1); chapa de las orillas del corte (sin compra)</t>
        </is>
      </c>
    </row>
    <row r="904">
      <c r="A904" s="29" t="inlineStr">
        <is>
          <t>FL_MAT_ABC_100kg</t>
        </is>
      </c>
      <c r="B904" s="29" t="n">
        <v>1</v>
      </c>
      <c r="C904" s="29" t="inlineStr">
        <is>
          <t>ABC100-S5</t>
        </is>
      </c>
      <c r="D904" s="30" t="inlineStr">
        <is>
          <t xml:space="preserve">    Carga: agente extintor y gas impulsor</t>
        </is>
      </c>
      <c r="E904" s="29" t="n">
        <v>1</v>
      </c>
      <c r="F904" s="29" t="inlineStr">
        <is>
          <t>u</t>
        </is>
      </c>
      <c r="G904" s="31" t="n"/>
      <c r="H904" s="31">
        <f>H905+H906</f>
        <v/>
      </c>
      <c r="I904" s="29" t="n"/>
      <c r="J904" s="30" t="n"/>
      <c r="K904" s="29" t="inlineStr">
        <is>
          <t>Carga en planta</t>
        </is>
      </c>
      <c r="L904" s="29" t="n"/>
      <c r="M904" s="30" t="n"/>
      <c r="N904" s="30" t="n"/>
      <c r="O904" s="30" t="inlineStr">
        <is>
          <t>18 Carga de polvo (T01) / C8 (T02)</t>
        </is>
      </c>
      <c r="P904" s="30" t="n"/>
      <c r="Q904" s="29" t="n"/>
      <c r="R904" s="29" t="n"/>
      <c r="S904" s="30" t="n"/>
    </row>
    <row r="905">
      <c r="A905" s="32" t="inlineStr">
        <is>
          <t>FL_MAT_ABC_100kg</t>
        </is>
      </c>
      <c r="B905" s="32" t="n">
        <v>2</v>
      </c>
      <c r="C905" s="32" t="inlineStr">
        <is>
          <t>ABC100-A1</t>
        </is>
      </c>
      <c r="D905" s="17" t="inlineStr">
        <is>
          <t xml:space="preserve">        Polvo químico seco ABC 90 (Sello IRAM 3569)</t>
        </is>
      </c>
      <c r="E905" s="32" t="n">
        <v>100</v>
      </c>
      <c r="F905" s="32" t="inlineStr">
        <is>
          <t>kg</t>
        </is>
      </c>
      <c r="G905" s="33" t="n">
        <v>1</v>
      </c>
      <c r="H905" s="33">
        <f>E905*G905</f>
        <v/>
      </c>
      <c r="I905" s="32" t="inlineStr">
        <is>
          <t>Polvo químico seco ABC 90 (Sello IRAM 3569)</t>
        </is>
      </c>
      <c r="J905" s="17" t="inlineStr">
        <is>
          <t>nominal 100 kg; tolerancia ± 3 % (IRAM 3517-2:2020 tabla 3)</t>
        </is>
      </c>
      <c r="K905" s="32" t="inlineStr">
        <is>
          <t>Compra</t>
        </is>
      </c>
      <c r="L905" s="32" t="inlineStr">
        <is>
          <t>Sí</t>
        </is>
      </c>
      <c r="M905" s="17" t="inlineStr">
        <is>
          <t>DEM S.A. (DEMSA)</t>
        </is>
      </c>
      <c r="N905" s="17" t="inlineStr">
        <is>
          <t>Polvex S.R.L. / Sancibrao</t>
        </is>
      </c>
      <c r="O905" s="17" t="inlineStr">
        <is>
          <t>SP-1 almacén previo a la carga</t>
        </is>
      </c>
      <c r="P905" s="17" t="inlineStr">
        <is>
          <t>IRAM 3569</t>
        </is>
      </c>
      <c r="Q905" s="32" t="inlineStr">
        <is>
          <t>N</t>
        </is>
      </c>
      <c r="R905" s="32" t="n"/>
      <c r="S905" s="17" t="inlineStr">
        <is>
          <t>Composición declarada del polvo ABC 90: MAP 90 % (IRAM 3569: 85,5-94,5 %) = 90 kg MAP + 7 kg sulfato de amonio + 3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906">
      <c r="A906" s="37" t="inlineStr">
        <is>
          <t>FL_MAT_ABC_100kg</t>
        </is>
      </c>
      <c r="B906" s="37" t="n">
        <v>2</v>
      </c>
      <c r="C906" s="37" t="inlineStr">
        <is>
          <t>ABC100-A2</t>
        </is>
      </c>
      <c r="D906" s="18" t="inlineStr">
        <is>
          <t xml:space="preserve">        Gas impulsor: N₂</t>
        </is>
      </c>
      <c r="E906" s="37" t="n">
        <v>0.5189</v>
      </c>
      <c r="F906" s="37" t="inlineStr">
        <is>
          <t>kg</t>
        </is>
      </c>
      <c r="G906" s="38" t="n">
        <v>1</v>
      </c>
      <c r="H906" s="38">
        <f>E906*G906</f>
        <v/>
      </c>
      <c r="I906" s="37" t="inlineStr">
        <is>
          <t>N₂</t>
        </is>
      </c>
      <c r="J906" s="18" t="inlineStr">
        <is>
          <t>415,4 L normales para 1,4 MPa a 20 °C en 30,09 dm³ libres</t>
        </is>
      </c>
      <c r="K906" s="37" t="inlineStr">
        <is>
          <t>Compra</t>
        </is>
      </c>
      <c r="L906" s="37" t="inlineStr">
        <is>
          <t>Sí</t>
        </is>
      </c>
      <c r="M906" s="18" t="inlineStr">
        <is>
          <t>Air Liquide Argentina - sucursal Piñeyro</t>
        </is>
      </c>
      <c r="N906" s="18" t="inlineStr">
        <is>
          <t>Gogniat</t>
        </is>
      </c>
      <c r="O906" s="18" t="inlineStr">
        <is>
          <t>20 Presurización (T05) / C10</t>
        </is>
      </c>
      <c r="P906" s="18" t="inlineStr">
        <is>
          <t>IRAM 3517-2 9.4.9 (tabla 2) · IRAM 3523 2.3 y 3.10</t>
        </is>
      </c>
      <c r="Q906" s="37" t="inlineStr">
        <is>
          <t>C</t>
        </is>
      </c>
      <c r="R906" s="37" t="n"/>
      <c r="S906" s="18" t="inlineStr">
        <is>
          <t>N₂ ≥ 99,8 %, H₂O ≤ 40 ppm (Q-N2, Air Liquide) · volumen libre con ρ empacada mínima 1,1 kg/dm³ (NOM-104-STPS-2001); confirmar con descarga ≥ 85 % (IRAM 3523 4.9.1)</t>
        </is>
      </c>
    </row>
    <row r="907">
      <c r="A907" s="29" t="inlineStr">
        <is>
          <t>FL_MAT_ABC_100kg</t>
        </is>
      </c>
      <c r="B907" s="29" t="n">
        <v>1</v>
      </c>
      <c r="C907" s="29" t="inlineStr">
        <is>
          <t>ABC100-S6</t>
        </is>
      </c>
      <c r="D907" s="30" t="inlineStr">
        <is>
          <t xml:space="preserve">    Identificación y precinto</t>
        </is>
      </c>
      <c r="E907" s="29" t="n">
        <v>1</v>
      </c>
      <c r="F907" s="29" t="inlineStr">
        <is>
          <t>u</t>
        </is>
      </c>
      <c r="G907" s="31" t="n"/>
      <c r="H907" s="31">
        <f>H908+H909+H910+H911+H912+H913+H914</f>
        <v/>
      </c>
      <c r="I907" s="29" t="n"/>
      <c r="J907" s="30" t="n"/>
      <c r="K907" s="29" t="inlineStr">
        <is>
          <t>Compra</t>
        </is>
      </c>
      <c r="L907" s="29" t="n"/>
      <c r="M907" s="30" t="n"/>
      <c r="N907" s="30" t="n"/>
      <c r="O907" s="30" t="inlineStr">
        <is>
          <t>22 Etiquetado (T07)</t>
        </is>
      </c>
      <c r="P907" s="30" t="n"/>
      <c r="Q907" s="29" t="n"/>
      <c r="R907" s="29" t="n"/>
      <c r="S907" s="30" t="n"/>
    </row>
    <row r="908">
      <c r="A908" s="32" t="inlineStr">
        <is>
          <t>FL_MAT_ABC_100kg</t>
        </is>
      </c>
      <c r="B908" s="32" t="n">
        <v>2</v>
      </c>
      <c r="C908" s="32" t="inlineStr">
        <is>
          <t>ABC100-31</t>
        </is>
      </c>
      <c r="D908" s="17" t="inlineStr">
        <is>
          <t xml:space="preserve">        Etiqueta / placa de características</t>
        </is>
      </c>
      <c r="E908" s="32" t="n">
        <v>1</v>
      </c>
      <c r="F908" s="32" t="inlineStr">
        <is>
          <t>u</t>
        </is>
      </c>
      <c r="G908" s="33" t="n">
        <v>0.06610000000000001</v>
      </c>
      <c r="H908" s="33">
        <f>E908*G908</f>
        <v/>
      </c>
      <c r="I908" s="32" t="inlineStr">
        <is>
          <t>Vinilo autoadhesivo laminado</t>
        </is>
      </c>
      <c r="J908" s="17" t="inlineStr">
        <is>
          <t>736 × 214 (desarrollo × alto: panel central 108° + 2 alas laterales), e ≈ 0,3, laminado UV</t>
        </is>
      </c>
      <c r="K908" s="32" t="inlineStr">
        <is>
          <t>Compra</t>
        </is>
      </c>
      <c r="L908" s="32" t="inlineStr">
        <is>
          <t>Sí</t>
        </is>
      </c>
      <c r="M908" s="17" t="inlineStr">
        <is>
          <t>Astuprint</t>
        </is>
      </c>
      <c r="N908" s="17" t="inlineStr">
        <is>
          <t>Multilabel Argentina S.A.</t>
        </is>
      </c>
      <c r="O908" s="17" t="inlineStr">
        <is>
          <t>22 Etiquetado (T07)</t>
        </is>
      </c>
      <c r="P908" s="17" t="inlineStr">
        <is>
          <t>IRAM 3534 · IRAM 3550 cap. 5 · relevamiento de mercado</t>
        </is>
      </c>
      <c r="Q908" s="32" t="inlineStr">
        <is>
          <t>P</t>
        </is>
      </c>
      <c r="R908" s="32" t="inlineStr">
        <is>
          <t>FL_DES_ABC_100kg</t>
        </is>
      </c>
      <c r="S908" s="17" t="inlineStr">
        <is>
          <t>IRAM 3534</t>
        </is>
      </c>
    </row>
    <row r="909">
      <c r="A909" s="32" t="inlineStr">
        <is>
          <t>FL_MAT_ABC_100kg</t>
        </is>
      </c>
      <c r="B909" s="32" t="n">
        <v>2</v>
      </c>
      <c r="C909" s="32" t="inlineStr">
        <is>
          <t>ABC100-32</t>
        </is>
      </c>
      <c r="D909" s="17" t="inlineStr">
        <is>
          <t xml:space="preserve">        Oblea de fabricación (PBA)</t>
        </is>
      </c>
      <c r="E909" s="32" t="n">
        <v>1</v>
      </c>
      <c r="F909" s="32" t="inlineStr">
        <is>
          <t>u</t>
        </is>
      </c>
      <c r="G909" s="33" t="n">
        <v>0.0009</v>
      </c>
      <c r="H909" s="33">
        <f>E909*G909</f>
        <v/>
      </c>
      <c r="I909" s="32" t="inlineStr">
        <is>
          <t>Papel de seguridad autodestructible</t>
        </is>
      </c>
      <c r="J909" s="17" t="inlineStr">
        <is>
          <t>Ø46 (Res. OPDS 522/07), numerada, autodestructible</t>
        </is>
      </c>
      <c r="K909" s="32" t="inlineStr">
        <is>
          <t>Compra</t>
        </is>
      </c>
      <c r="L909" s="32" t="inlineStr">
        <is>
          <t>Sí</t>
        </is>
      </c>
      <c r="M909" s="17" t="inlineStr">
        <is>
          <t>Ministerio de Ambiente PBA (ex OPDS)</t>
        </is>
      </c>
      <c r="N909" s="17" t="inlineStr">
        <is>
          <t>-</t>
        </is>
      </c>
      <c r="O909" s="17" t="inlineStr">
        <is>
          <t>22 Etiquetado (T07)</t>
        </is>
      </c>
      <c r="P909" s="17" t="inlineStr">
        <is>
          <t>Res. OPDS 522/07 anexos 1, 2 y 6</t>
        </is>
      </c>
      <c r="Q909" s="32" t="inlineStr">
        <is>
          <t>P</t>
        </is>
      </c>
      <c r="R909" s="32" t="inlineStr">
        <is>
          <t>FL_DES_ABC_100kg</t>
        </is>
      </c>
      <c r="S909" s="17" t="inlineStr">
        <is>
          <t>Res. 522/07</t>
        </is>
      </c>
    </row>
    <row r="910">
      <c r="A910" s="32" t="inlineStr">
        <is>
          <t>FL_MAT_ABC_100kg</t>
        </is>
      </c>
      <c r="B910" s="32" t="n">
        <v>2</v>
      </c>
      <c r="C910" s="32" t="inlineStr">
        <is>
          <t>ABC100-33</t>
        </is>
      </c>
      <c r="D910" s="17" t="inlineStr">
        <is>
          <t xml:space="preserve">        Estampilla IRAM de conformidad</t>
        </is>
      </c>
      <c r="E910" s="32" t="n">
        <v>1</v>
      </c>
      <c r="F910" s="32" t="inlineStr">
        <is>
          <t>u</t>
        </is>
      </c>
      <c r="G910" s="33" t="n">
        <v>0.001</v>
      </c>
      <c r="H910" s="33">
        <f>E910*G910</f>
        <v/>
      </c>
      <c r="I910" s="32" t="inlineStr">
        <is>
          <t>Provista por IRAM (Anexo R)</t>
        </is>
      </c>
      <c r="J910" s="17" t="inlineStr">
        <is>
          <t>60 × 40</t>
        </is>
      </c>
      <c r="K910" s="32" t="inlineStr">
        <is>
          <t>Compra</t>
        </is>
      </c>
      <c r="L910" s="32" t="inlineStr">
        <is>
          <t>Sí</t>
        </is>
      </c>
      <c r="M910" s="17" t="inlineStr">
        <is>
          <t>IRAM - Instituto Argentino de Normalización</t>
        </is>
      </c>
      <c r="N910" s="17" t="inlineStr">
        <is>
          <t>-</t>
        </is>
      </c>
      <c r="O910" s="17" t="inlineStr">
        <is>
          <t>22 Etiquetado (T07)</t>
        </is>
      </c>
      <c r="P910" s="17" t="inlineStr">
        <is>
          <t>IRAM Anexo R (DC-PG-129)</t>
        </is>
      </c>
      <c r="Q910" s="32" t="inlineStr">
        <is>
          <t>P</t>
        </is>
      </c>
      <c r="R910" s="32" t="inlineStr">
        <is>
          <t>FL_DES_ABC_100kg</t>
        </is>
      </c>
      <c r="S910" s="17" t="inlineStr">
        <is>
          <t>numerada</t>
        </is>
      </c>
    </row>
    <row r="911">
      <c r="A911" s="32" t="inlineStr">
        <is>
          <t>FL_MAT_ABC_100kg</t>
        </is>
      </c>
      <c r="B911" s="32" t="n">
        <v>2</v>
      </c>
      <c r="C911" s="32" t="inlineStr">
        <is>
          <t>ABC100-34</t>
        </is>
      </c>
      <c r="D911" s="17" t="inlineStr">
        <is>
          <t xml:space="preserve">        Tarjeta de identificación AGC (CABA)</t>
        </is>
      </c>
      <c r="E911" s="32" t="n">
        <v>1</v>
      </c>
      <c r="F911" s="32" t="inlineStr">
        <is>
          <t>u</t>
        </is>
      </c>
      <c r="G911" s="33" t="n">
        <v>0.0032</v>
      </c>
      <c r="H911" s="33">
        <f>E911*G911</f>
        <v/>
      </c>
      <c r="I911" s="32" t="inlineStr">
        <is>
          <t>Etiqueta autoadhesiva emitida por la AGC</t>
        </is>
      </c>
      <c r="J911" s="17" t="inlineStr">
        <is>
          <t>140 × 55</t>
        </is>
      </c>
      <c r="K911" s="32" t="inlineStr">
        <is>
          <t>Compra</t>
        </is>
      </c>
      <c r="L911" s="32" t="inlineStr">
        <is>
          <t>Sí</t>
        </is>
      </c>
      <c r="M911" s="17" t="inlineStr">
        <is>
          <t>Agencia Gubernamental de Control (CABA)</t>
        </is>
      </c>
      <c r="N911" s="17" t="inlineStr">
        <is>
          <t>-</t>
        </is>
      </c>
      <c r="O911" s="17" t="inlineStr">
        <is>
          <t>22 Etiquetado (T07)</t>
        </is>
      </c>
      <c r="P911" s="17" t="inlineStr">
        <is>
          <t>Ordenanza 40.473 art. 6 · Res. AGC 32/15</t>
        </is>
      </c>
      <c r="Q911" s="32" t="inlineStr">
        <is>
          <t>P</t>
        </is>
      </c>
      <c r="R911" s="32" t="inlineStr">
        <is>
          <t>FL_DES_ABC_100kg</t>
        </is>
      </c>
      <c r="S911" s="17" t="inlineStr">
        <is>
          <t>sólo destino CABA</t>
        </is>
      </c>
    </row>
    <row r="912">
      <c r="A912" s="32" t="inlineStr">
        <is>
          <t>FL_MAT_ABC_100kg</t>
        </is>
      </c>
      <c r="B912" s="32" t="n">
        <v>2</v>
      </c>
      <c r="C912" s="32" t="inlineStr">
        <is>
          <t>ABC100-35</t>
        </is>
      </c>
      <c r="D912" s="17" t="inlineStr">
        <is>
          <t xml:space="preserve">        Etiqueta de n° de serie GS1</t>
        </is>
      </c>
      <c r="E912" s="32" t="n">
        <v>1</v>
      </c>
      <c r="F912" s="32" t="inlineStr">
        <is>
          <t>u</t>
        </is>
      </c>
      <c r="G912" s="33" t="n">
        <v>0.0005</v>
      </c>
      <c r="H912" s="33">
        <f>E912*G912</f>
        <v/>
      </c>
      <c r="I912" s="32" t="inlineStr">
        <is>
          <t>Poliéster autoadhesivo impreso térmico</t>
        </is>
      </c>
      <c r="J912" s="17" t="inlineStr">
        <is>
          <t>45 × 25</t>
        </is>
      </c>
      <c r="K912" s="32" t="inlineStr">
        <is>
          <t>Compra</t>
        </is>
      </c>
      <c r="L912" s="32" t="inlineStr">
        <is>
          <t>Sí</t>
        </is>
      </c>
      <c r="M912" s="17" t="inlineStr">
        <is>
          <t>Astuprint</t>
        </is>
      </c>
      <c r="N912" s="17" t="inlineStr">
        <is>
          <t>GS1 Argentina</t>
        </is>
      </c>
      <c r="O912" s="17" t="inlineStr">
        <is>
          <t>22 Etiquetado (T07)</t>
        </is>
      </c>
      <c r="P912" s="17" t="inlineStr">
        <is>
          <t>GS1 Argentina (GTIN 779) · trazabilidad IRAM 3523 5.1</t>
        </is>
      </c>
      <c r="Q912" s="32" t="inlineStr">
        <is>
          <t>P</t>
        </is>
      </c>
      <c r="R912" s="32" t="inlineStr">
        <is>
          <t>FL_DES_ABC_100kg</t>
        </is>
      </c>
      <c r="S912" s="17" t="inlineStr">
        <is>
          <t>QR GTIN + serie</t>
        </is>
      </c>
    </row>
    <row r="913">
      <c r="A913" s="32" t="inlineStr">
        <is>
          <t>FL_MAT_ABC_100kg</t>
        </is>
      </c>
      <c r="B913" s="32" t="n">
        <v>2</v>
      </c>
      <c r="C913" s="32" t="inlineStr">
        <is>
          <t>ABC100-37</t>
        </is>
      </c>
      <c r="D913" s="17" t="inlineStr">
        <is>
          <t xml:space="preserve">        Faja de garantía válvula-cuello</t>
        </is>
      </c>
      <c r="E913" s="32" t="n">
        <v>1</v>
      </c>
      <c r="F913" s="32" t="inlineStr">
        <is>
          <t>u</t>
        </is>
      </c>
      <c r="G913" s="33" t="n">
        <v>0.0004</v>
      </c>
      <c r="H913" s="33">
        <f>E913*G913</f>
        <v/>
      </c>
      <c r="I913" s="32" t="inlineStr">
        <is>
          <t>Vinilo destructible rayado rojo/blanco</t>
        </is>
      </c>
      <c r="J913" s="17" t="inlineStr">
        <is>
          <t>30 × 47 (ancho × largo desarrollado), pegada sobre la unión: cuerpo de la válvula, tuerca y cuello</t>
        </is>
      </c>
      <c r="K913" s="32" t="inlineStr">
        <is>
          <t>Compra</t>
        </is>
      </c>
      <c r="L913" s="32" t="inlineStr">
        <is>
          <t>Sí</t>
        </is>
      </c>
      <c r="M913" s="17" t="inlineStr">
        <is>
          <t>Astuprint</t>
        </is>
      </c>
      <c r="N913" s="17" t="inlineStr">
        <is>
          <t>Multilabel Argentina S.A.</t>
        </is>
      </c>
      <c r="O913" s="17" t="inlineStr">
        <is>
          <t>22 Etiquetado (T07)</t>
        </is>
      </c>
      <c r="P913" s="17" t="inlineStr">
        <is>
          <t>Sin norma: práctica de mercado (garantía de fábrica)</t>
        </is>
      </c>
      <c r="Q913" s="32" t="inlineStr">
        <is>
          <t>P</t>
        </is>
      </c>
      <c r="R913" s="32" t="inlineStr">
        <is>
          <t>FL_DES_ABC_100kg</t>
        </is>
      </c>
      <c r="S913" s="17" t="inlineStr">
        <is>
          <t>nuevo sin abrir</t>
        </is>
      </c>
    </row>
    <row r="914">
      <c r="A914" s="32" t="inlineStr">
        <is>
          <t>FL_MAT_ABC_100kg</t>
        </is>
      </c>
      <c r="B914" s="32" t="n">
        <v>2</v>
      </c>
      <c r="C914" s="32" t="inlineStr">
        <is>
          <t>ABC100-38</t>
        </is>
      </c>
      <c r="D914" s="17" t="inlineStr">
        <is>
          <t xml:space="preserve">        Precinto de fábrica</t>
        </is>
      </c>
      <c r="E914" s="32" t="n">
        <v>1</v>
      </c>
      <c r="F914" s="32" t="inlineStr">
        <is>
          <t>u</t>
        </is>
      </c>
      <c r="G914" s="33" t="n">
        <v>0.0002</v>
      </c>
      <c r="H914" s="33">
        <f>E914*G914</f>
        <v/>
      </c>
      <c r="I914" s="32" t="inlineStr">
        <is>
          <t>Polipropileno color</t>
        </is>
      </c>
      <c r="J914" s="17" t="inlineStr">
        <is>
          <t>Ø5 × 10, numerado, rotura 30-50 N</t>
        </is>
      </c>
      <c r="K914" s="32" t="inlineStr">
        <is>
          <t>Compra</t>
        </is>
      </c>
      <c r="L914" s="32" t="inlineStr">
        <is>
          <t>Sí</t>
        </is>
      </c>
      <c r="M914" s="17" t="inlineStr">
        <is>
          <t>SonFuertes (vía Papelera Damián)</t>
        </is>
      </c>
      <c r="N914" s="17" t="inlineStr">
        <is>
          <t>Precinter S.R.L.</t>
        </is>
      </c>
      <c r="O914" s="17" t="inlineStr">
        <is>
          <t>20 Presurización (T05)</t>
        </is>
      </c>
      <c r="P914" s="17" t="inlineStr">
        <is>
          <t>IRAM 3523 3.3.2 · IRAM 3517-2:2020 9.4.13</t>
        </is>
      </c>
      <c r="Q914" s="32" t="inlineStr">
        <is>
          <t>P</t>
        </is>
      </c>
      <c r="R914" s="32" t="inlineStr">
        <is>
          <t>FL_DES_ABC_100kg</t>
        </is>
      </c>
      <c r="S914" s="17" t="inlineStr">
        <is>
          <t>id. FLAMA y lote</t>
        </is>
      </c>
    </row>
    <row r="915">
      <c r="A915" s="29" t="inlineStr">
        <is>
          <t>FL_MAT_ABC_100kg</t>
        </is>
      </c>
      <c r="B915" s="29" t="n">
        <v>1</v>
      </c>
      <c r="C915" s="29" t="inlineStr">
        <is>
          <t>ABC100-S7</t>
        </is>
      </c>
      <c r="D915" s="30" t="inlineStr">
        <is>
          <t xml:space="preserve">    Embalaje</t>
        </is>
      </c>
      <c r="E915" s="29" t="n">
        <v>1</v>
      </c>
      <c r="F915" s="29" t="inlineStr">
        <is>
          <t>u</t>
        </is>
      </c>
      <c r="G915" s="31" t="n"/>
      <c r="H915" s="31">
        <f>H918</f>
        <v/>
      </c>
      <c r="I915" s="29" t="n"/>
      <c r="J915" s="30" t="n"/>
      <c r="K915" s="29" t="inlineStr">
        <is>
          <t>Compra</t>
        </is>
      </c>
      <c r="L915" s="29" t="n"/>
      <c r="M915" s="30" t="n"/>
      <c r="N915" s="30" t="n"/>
      <c r="O915" s="30" t="inlineStr">
        <is>
          <t>23 Embalaje -&gt; 24 envolvedora (T11)</t>
        </is>
      </c>
      <c r="P915" s="30" t="n"/>
      <c r="Q915" s="29" t="n"/>
      <c r="R915" s="29" t="n"/>
      <c r="S915" s="30" t="n"/>
    </row>
    <row r="916">
      <c r="A916" s="32" t="inlineStr">
        <is>
          <t>FL_MAT_ABC_100kg</t>
        </is>
      </c>
      <c r="B916" s="32" t="n">
        <v>2</v>
      </c>
      <c r="C916" s="32" t="inlineStr">
        <is>
          <t>ABC100-E1</t>
        </is>
      </c>
      <c r="D916" s="17" t="inlineStr">
        <is>
          <t xml:space="preserve">        Esquineros y funda de polietileno</t>
        </is>
      </c>
      <c r="E916" s="32" t="n">
        <v>1</v>
      </c>
      <c r="F916" s="32" t="inlineStr">
        <is>
          <t>jgo</t>
        </is>
      </c>
      <c r="G916" s="33" t="n"/>
      <c r="H916" s="33" t="n"/>
      <c r="I916" s="32" t="inlineStr">
        <is>
          <t>PE / cartón</t>
        </is>
      </c>
      <c r="J916" s="17" t="inlineStr">
        <is>
          <t>a medida de la envolvente del plano</t>
        </is>
      </c>
      <c r="K916" s="32" t="inlineStr">
        <is>
          <t>Compra</t>
        </is>
      </c>
      <c r="L916" s="32" t="inlineStr">
        <is>
          <t>Sí</t>
        </is>
      </c>
      <c r="M916" s="17" t="inlineStr">
        <is>
          <t>MV Embalajes</t>
        </is>
      </c>
      <c r="N916" s="17" t="inlineStr">
        <is>
          <t>Embalpack</t>
        </is>
      </c>
      <c r="O916" s="17" t="inlineStr">
        <is>
          <t>23 Embalaje</t>
        </is>
      </c>
      <c r="P916" s="17" t="n"/>
      <c r="Q916" s="32" t="inlineStr">
        <is>
          <t>P</t>
        </is>
      </c>
      <c r="R916" s="32" t="n"/>
      <c r="S916" s="17" t="inlineStr">
        <is>
          <t>Medida del plano</t>
        </is>
      </c>
    </row>
    <row r="917">
      <c r="A917" s="32" t="inlineStr">
        <is>
          <t>FL_MAT_ABC_100kg</t>
        </is>
      </c>
      <c r="B917" s="32" t="n">
        <v>2</v>
      </c>
      <c r="C917" s="32" t="inlineStr">
        <is>
          <t>ABC100-E3</t>
        </is>
      </c>
      <c r="D917" s="17" t="inlineStr">
        <is>
          <t xml:space="preserve">        Pallet 1200 × 1000 (fracción)</t>
        </is>
      </c>
      <c r="E917" s="32" t="n">
        <v>1</v>
      </c>
      <c r="F917" s="32" t="inlineStr">
        <is>
          <t>u</t>
        </is>
      </c>
      <c r="G917" s="33" t="n"/>
      <c r="H917" s="33" t="n"/>
      <c r="I917" s="32" t="inlineStr">
        <is>
          <t>Madera</t>
        </is>
      </c>
      <c r="J917" s="17" t="inlineStr">
        <is>
          <t>1 u por pallet</t>
        </is>
      </c>
      <c r="K917" s="32" t="inlineStr">
        <is>
          <t>Compra</t>
        </is>
      </c>
      <c r="L917" s="32" t="inlineStr">
        <is>
          <t>Sí</t>
        </is>
      </c>
      <c r="M917" s="17" t="inlineStr">
        <is>
          <t>IndusPallets</t>
        </is>
      </c>
      <c r="N917" s="17" t="inlineStr">
        <is>
          <t>-</t>
        </is>
      </c>
      <c r="O917" s="17" t="inlineStr">
        <is>
          <t>23 Embalaje</t>
        </is>
      </c>
      <c r="P917" s="17" t="n"/>
      <c r="Q917" s="32" t="inlineStr">
        <is>
          <t>C</t>
        </is>
      </c>
      <c r="R917" s="32" t="n"/>
      <c r="S917" s="17" t="inlineStr">
        <is>
          <t>u por pallet = acomodo de la caja (plano) en 1200 × 1000 × 1450 de alto</t>
        </is>
      </c>
    </row>
    <row r="918">
      <c r="A918" s="37" t="inlineStr">
        <is>
          <t>FL_MAT_ABC_100kg</t>
        </is>
      </c>
      <c r="B918" s="37" t="n">
        <v>2</v>
      </c>
      <c r="C918" s="37" t="inlineStr">
        <is>
          <t>ABC100-E4</t>
        </is>
      </c>
      <c r="D918" s="18" t="inlineStr">
        <is>
          <t xml:space="preserve">        Film stretch (fracción del pallet)</t>
        </is>
      </c>
      <c r="E918" s="37" t="n">
        <v>0.12</v>
      </c>
      <c r="F918" s="37" t="inlineStr">
        <is>
          <t>kg</t>
        </is>
      </c>
      <c r="G918" s="38" t="n">
        <v>1</v>
      </c>
      <c r="H918" s="38">
        <f>E918*G918</f>
        <v/>
      </c>
      <c r="I918" s="37" t="inlineStr">
        <is>
          <t>PE lineal 23 µm</t>
        </is>
      </c>
      <c r="J918" s="18" t="inlineStr">
        <is>
          <t>0,12 kg por pallet / 1 u</t>
        </is>
      </c>
      <c r="K918" s="37" t="inlineStr">
        <is>
          <t>Compra</t>
        </is>
      </c>
      <c r="L918" s="37" t="inlineStr">
        <is>
          <t>Sí</t>
        </is>
      </c>
      <c r="M918" s="18" t="inlineStr">
        <is>
          <t>MV Embalajes</t>
        </is>
      </c>
      <c r="N918" s="18" t="inlineStr">
        <is>
          <t>Embalpack</t>
        </is>
      </c>
      <c r="O918" s="18" t="inlineStr">
        <is>
          <t>24 Envolvedora (T11)</t>
        </is>
      </c>
      <c r="P918" s="18" t="n"/>
      <c r="Q918" s="37" t="inlineStr">
        <is>
          <t>C</t>
        </is>
      </c>
      <c r="R918" s="37" t="n"/>
      <c r="S918"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919">
      <c r="A919" s="32" t="inlineStr">
        <is>
          <t>FL_MAT_ABC_100kg</t>
        </is>
      </c>
      <c r="B919" s="32" t="n">
        <v>2</v>
      </c>
      <c r="C919" s="32" t="inlineStr">
        <is>
          <t>ABC100-E5</t>
        </is>
      </c>
      <c r="D919" s="17" t="inlineStr">
        <is>
          <t xml:space="preserve">        Etiqueta de pallet (lote y destino, fracción)</t>
        </is>
      </c>
      <c r="E919" s="32" t="n">
        <v>1</v>
      </c>
      <c r="F919" s="32" t="inlineStr">
        <is>
          <t>u</t>
        </is>
      </c>
      <c r="G919" s="33" t="n"/>
      <c r="H919" s="33" t="n"/>
      <c r="I919" s="32" t="inlineStr">
        <is>
          <t>Papel térmico</t>
        </is>
      </c>
      <c r="J919" s="17" t="inlineStr">
        <is>
          <t>100 × 150</t>
        </is>
      </c>
      <c r="K919" s="32" t="inlineStr">
        <is>
          <t>Compra</t>
        </is>
      </c>
      <c r="L919" s="32" t="inlineStr">
        <is>
          <t>Sí</t>
        </is>
      </c>
      <c r="M919" s="17" t="inlineStr">
        <is>
          <t>Astuprint</t>
        </is>
      </c>
      <c r="N919" s="17" t="inlineStr">
        <is>
          <t>Multilabel Argentina S.A.</t>
        </is>
      </c>
      <c r="O919" s="17" t="inlineStr">
        <is>
          <t>24 Envolvedora</t>
        </is>
      </c>
      <c r="P919" s="17" t="n"/>
      <c r="Q919" s="32" t="inlineStr">
        <is>
          <t>C</t>
        </is>
      </c>
      <c r="R919" s="32" t="n"/>
      <c r="S919" s="17" t="n"/>
    </row>
  </sheetData>
  <autoFilter ref="A4:S919"/>
  <pageMargins left="0.75" right="0.75" top="1" bottom="1" header="0.5" footer="0.5"/>
</worksheet>
</file>

<file path=xl/worksheets/sheet5.xml><?xml version="1.0" encoding="utf-8"?>
<worksheet xmlns="http://schemas.openxmlformats.org/spreadsheetml/2006/main">
  <sheetPr>
    <outlinePr summaryBelow="0" summaryRight="1"/>
    <pageSetUpPr/>
  </sheetPr>
  <dimension ref="A1:S18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2" customWidth="1" min="1" max="1"/>
    <col width="6" customWidth="1" min="2" max="2"/>
    <col width="17" customWidth="1" min="3" max="3"/>
    <col width="52" customWidth="1" min="4" max="4"/>
    <col width="9" customWidth="1" min="5" max="5"/>
    <col width="6" customWidth="1" min="6" max="6"/>
    <col width="11" customWidth="1" min="7" max="7"/>
    <col width="11" customWidth="1" min="8" max="8"/>
    <col width="30" customWidth="1" min="9" max="9"/>
    <col width="52" customWidth="1" min="10" max="10"/>
    <col width="20" customWidth="1" min="11" max="11"/>
    <col width="8" customWidth="1" min="12" max="12"/>
    <col width="26" customWidth="1" min="13" max="13"/>
    <col width="24" customWidth="1" min="14" max="14"/>
    <col width="40" customWidth="1" min="15" max="15"/>
    <col width="32" customWidth="1" min="16" max="16"/>
    <col width="5" customWidth="1" min="17" max="17"/>
    <col width="20" customWidth="1" min="18" max="18"/>
    <col width="60" customWidth="1" min="19" max="19"/>
  </cols>
  <sheetData>
    <row r="1">
      <c r="A1" s="4" t="inlineStr">
        <is>
          <t>BOM de cilindros sueltos FL_REC</t>
        </is>
      </c>
    </row>
    <row r="2">
      <c r="A2" s="11" t="inlineStr">
        <is>
          <t>Colores:</t>
        </is>
      </c>
      <c r="B2" s="12" t="inlineStr">
        <is>
          <t>Validado</t>
        </is>
      </c>
      <c r="D2" s="13" t="inlineStr">
        <is>
          <t>Estimado</t>
        </is>
      </c>
      <c r="F2" s="14" t="inlineStr">
        <is>
          <t>A validar</t>
        </is>
      </c>
      <c r="H2" s="15" t="inlineStr">
        <is>
          <t>No cumple o decisión pendiente</t>
        </is>
      </c>
    </row>
    <row r="4" ht="30" customHeight="1">
      <c r="A4" s="25" t="inlineStr">
        <is>
          <t>Producto</t>
        </is>
      </c>
      <c r="B4" s="25" t="inlineStr">
        <is>
          <t>Nivel</t>
        </is>
      </c>
      <c r="C4" s="25" t="inlineStr">
        <is>
          <t>Código</t>
        </is>
      </c>
      <c r="D4" s="25" t="inlineStr">
        <is>
          <t>Descripción</t>
        </is>
      </c>
      <c r="E4" s="25" t="inlineStr">
        <is>
          <t>Cant.</t>
        </is>
      </c>
      <c r="F4" s="25" t="inlineStr">
        <is>
          <t>UM</t>
        </is>
      </c>
      <c r="G4" s="25" t="inlineStr">
        <is>
          <t>Peso unit. (kg/UM)</t>
        </is>
      </c>
      <c r="H4" s="25" t="inlineStr">
        <is>
          <t>Peso total (kg)</t>
        </is>
      </c>
      <c r="I4" s="25" t="inlineStr">
        <is>
          <t>Material</t>
        </is>
      </c>
      <c r="J4" s="25" t="inlineStr">
        <is>
          <t>Medida (mm)</t>
        </is>
      </c>
      <c r="K4" s="25" t="inlineStr">
        <is>
          <t>Origen</t>
        </is>
      </c>
      <c r="L4" s="25" t="inlineStr">
        <is>
          <t>Entra MRP</t>
        </is>
      </c>
      <c r="M4" s="25" t="inlineStr">
        <is>
          <t>Proveedor principal</t>
        </is>
      </c>
      <c r="N4" s="25" t="inlineStr">
        <is>
          <t>Alternativa</t>
        </is>
      </c>
      <c r="O4" s="25" t="inlineStr">
        <is>
          <t>Operación / puesto (layout FLAMA)</t>
        </is>
      </c>
      <c r="P4" s="25" t="inlineStr">
        <is>
          <t>Norma / referencia</t>
        </is>
      </c>
      <c r="Q4" s="25" t="inlineStr">
        <is>
          <t>Fte.</t>
        </is>
      </c>
      <c r="R4" s="25" t="inlineStr">
        <is>
          <t>Plano</t>
        </is>
      </c>
      <c r="S4" s="25" t="inlineStr">
        <is>
          <t>Observaciones</t>
        </is>
      </c>
    </row>
    <row r="5">
      <c r="A5" s="26" t="inlineStr">
        <is>
          <t>FL_REC_ABC_1kg</t>
        </is>
      </c>
      <c r="B5" s="26" t="n">
        <v>0</v>
      </c>
      <c r="C5" s="26" t="inlineStr">
        <is>
          <t>FL_REC_ABC_1kg</t>
        </is>
      </c>
      <c r="D5" s="27" t="inlineStr">
        <is>
          <t>Cilindro (recipiente) ABC 1 kg - repuesto vacío sin válvula</t>
        </is>
      </c>
      <c r="E5" s="26" t="n">
        <v>1</v>
      </c>
      <c r="F5" s="26" t="inlineStr">
        <is>
          <t>u</t>
        </is>
      </c>
      <c r="G5" s="28" t="n"/>
      <c r="H5" s="28" t="n"/>
      <c r="I5" s="26" t="n"/>
      <c r="J5" s="27" t="n"/>
      <c r="K5" s="26" t="n"/>
      <c r="L5" s="26" t="n"/>
      <c r="M5" s="27" t="n"/>
      <c r="N5" s="27" t="n"/>
      <c r="O5" s="27" t="n"/>
      <c r="P5" s="27" t="inlineStr">
        <is>
          <t>IRAM 3523</t>
        </is>
      </c>
      <c r="Q5" s="26" t="inlineStr">
        <is>
          <t>P</t>
        </is>
      </c>
      <c r="R5" s="26" t="inlineStr">
        <is>
          <t>FL_REC_ABC_1kg</t>
        </is>
      </c>
      <c r="S5" s="27" t="inlineStr">
        <is>
          <t>Fabricación propia</t>
        </is>
      </c>
    </row>
    <row r="6">
      <c r="A6" s="29" t="inlineStr">
        <is>
          <t>FL_REC_ABC_1kg</t>
        </is>
      </c>
      <c r="B6" s="29" t="n">
        <v>1</v>
      </c>
      <c r="C6" s="29" t="inlineStr">
        <is>
          <t>ABC1-S1</t>
        </is>
      </c>
      <c r="D6" s="30" t="inlineStr">
        <is>
          <t xml:space="preserve">    Recipiente (cilindro)</t>
        </is>
      </c>
      <c r="E6" s="29" t="n">
        <v>1</v>
      </c>
      <c r="F6" s="29" t="inlineStr">
        <is>
          <t>u</t>
        </is>
      </c>
      <c r="G6" s="31" t="n"/>
      <c r="H6" s="31">
        <f>H7+H9+H11+H13+H14+H21</f>
        <v/>
      </c>
      <c r="I6" s="29" t="n"/>
      <c r="J6" s="30" t="n"/>
      <c r="K6" s="29" t="inlineStr">
        <is>
          <t>Fabricación</t>
        </is>
      </c>
      <c r="L6" s="29" t="n"/>
      <c r="M6" s="30" t="n"/>
      <c r="N6" s="30" t="n"/>
      <c r="O6" s="30" t="n"/>
      <c r="P6" s="30" t="inlineStr">
        <is>
          <t>IRAM 3523 / 3550 (recipiente)</t>
        </is>
      </c>
      <c r="Q6" s="29" t="inlineStr">
        <is>
          <t>P</t>
        </is>
      </c>
      <c r="R6" s="29" t="inlineStr">
        <is>
          <t>FL_DES_ABC_1kg</t>
        </is>
      </c>
      <c r="S6" s="30" t="n"/>
    </row>
    <row r="7">
      <c r="A7" s="32" t="inlineStr">
        <is>
          <t>FL_REC_ABC_1kg</t>
        </is>
      </c>
      <c r="B7" s="32" t="n">
        <v>2</v>
      </c>
      <c r="C7" s="32" t="inlineStr">
        <is>
          <t>ABC1-01</t>
        </is>
      </c>
      <c r="D7" s="17" t="inlineStr">
        <is>
          <t xml:space="preserve">        Cuerpo (virola)</t>
        </is>
      </c>
      <c r="E7" s="32" t="n">
        <v>1</v>
      </c>
      <c r="F7" s="32" t="inlineStr">
        <is>
          <t>u</t>
        </is>
      </c>
      <c r="G7" s="33" t="n">
        <v>0.6072</v>
      </c>
      <c r="H7" s="33">
        <f>E7*G7</f>
        <v/>
      </c>
      <c r="I7" s="32" t="inlineStr">
        <is>
          <t>Caño c-c LF Ø76,2 e=1,25 (SAE 1010)</t>
        </is>
      </c>
      <c r="J7" s="17" t="inlineStr">
        <is>
          <t>Ø76,2 × e1,25 × 263,4 de alto; desarrollo 235,5 × 263,4</t>
        </is>
      </c>
      <c r="K7" s="32" t="inlineStr">
        <is>
          <t>Fabricación</t>
        </is>
      </c>
      <c r="L7" s="32" t="inlineStr">
        <is>
          <t>No</t>
        </is>
      </c>
      <c r="M7" s="17" t="n"/>
      <c r="N7" s="17" t="n"/>
      <c r="O7" s="17" t="inlineStr">
        <is>
          <t>5 Corte láser de caño (M15/M16) -&gt; 9 encastre -&gt; 10 bordoneado (los dos extremos)</t>
        </is>
      </c>
      <c r="P7" s="17" t="n"/>
      <c r="Q7" s="32" t="inlineStr">
        <is>
          <t>P</t>
        </is>
      </c>
      <c r="R7" s="32" t="inlineStr">
        <is>
          <t>FL_DES_ABC_1kg</t>
        </is>
      </c>
      <c r="S7" s="17" t="inlineStr">
        <is>
          <t>costura long. MAG</t>
        </is>
      </c>
    </row>
    <row r="8">
      <c r="A8" s="34" t="inlineStr">
        <is>
          <t>FL_REC_ABC_1kg</t>
        </is>
      </c>
      <c r="B8" s="34" t="n">
        <v>3</v>
      </c>
      <c r="C8" s="34" t="inlineStr">
        <is>
          <t>MP-CANO</t>
        </is>
      </c>
      <c r="D8" s="35" t="inlineStr">
        <is>
          <t xml:space="preserve">            Caño Ø76,2 × 1,25 (tramo de barra de 6 m)</t>
        </is>
      </c>
      <c r="E8" s="34" t="n">
        <v>0.0435</v>
      </c>
      <c r="F8" s="34" t="inlineStr">
        <is>
          <t>barra</t>
        </is>
      </c>
      <c r="G8" s="36" t="n">
        <v>14.288</v>
      </c>
      <c r="H8" s="36">
        <f>E8*G8</f>
        <v/>
      </c>
      <c r="I8" s="34" t="inlineStr">
        <is>
          <t>Caño acero SAE 1010 con costura</t>
        </is>
      </c>
      <c r="J8" s="35" t="inlineStr">
        <is>
          <t>255 mm por cuerpo; 23 cuerpos por barra (kg por barra)</t>
        </is>
      </c>
      <c r="K8" s="34" t="inlineStr">
        <is>
          <t>Compra</t>
        </is>
      </c>
      <c r="L8" s="34" t="inlineStr">
        <is>
          <t>Sí</t>
        </is>
      </c>
      <c r="M8" s="35" t="inlineStr">
        <is>
          <t>Metalpri / Prilux</t>
        </is>
      </c>
      <c r="N8" s="35" t="inlineStr">
        <is>
          <t>Comercial MID</t>
        </is>
      </c>
      <c r="O8" s="35" t="inlineStr">
        <is>
          <t>AL-1T cantiléver</t>
        </is>
      </c>
      <c r="P8" s="35" t="n"/>
      <c r="Q8" s="34" t="inlineStr">
        <is>
          <t>L</t>
        </is>
      </c>
      <c r="R8" s="34" t="inlineStr">
        <is>
          <t>FL_PI_04 h2</t>
        </is>
      </c>
      <c r="S8" s="35" t="n"/>
    </row>
    <row r="9">
      <c r="A9" s="32" t="inlineStr">
        <is>
          <t>FL_REC_ABC_1kg</t>
        </is>
      </c>
      <c r="B9" s="32" t="n">
        <v>2</v>
      </c>
      <c r="C9" s="32" t="inlineStr">
        <is>
          <t>ABC1-02</t>
        </is>
      </c>
      <c r="D9" s="17" t="inlineStr">
        <is>
          <t xml:space="preserve">        Cúpula</t>
        </is>
      </c>
      <c r="E9" s="32" t="n">
        <v>1</v>
      </c>
      <c r="F9" s="32" t="inlineStr">
        <is>
          <t>u</t>
        </is>
      </c>
      <c r="G9" s="33" t="n">
        <v>0.0335</v>
      </c>
      <c r="H9" s="33">
        <f>E9*G9</f>
        <v/>
      </c>
      <c r="I9" s="32" t="inlineStr">
        <is>
          <t>Chapa LAF IRAM-IAS U 500-05 e=0,9</t>
        </is>
      </c>
      <c r="J9" s="17" t="inlineStr">
        <is>
          <t>Ø76,2 × e0,9 × 12,1 de alto; disco Ø108</t>
        </is>
      </c>
      <c r="K9" s="32" t="inlineStr">
        <is>
          <t>Fabricación</t>
        </is>
      </c>
      <c r="L9" s="32" t="inlineStr">
        <is>
          <t>No</t>
        </is>
      </c>
      <c r="M9" s="17" t="n"/>
      <c r="N9" s="17" t="n"/>
      <c r="O9" s="17" t="inlineStr">
        <is>
          <t>6 Desbobinado + embutido (M06-M08) -&gt; numerado de cúpula (micropercusión, en arco junto al cuello) -&gt; 8 soldadura de cuello</t>
        </is>
      </c>
      <c r="P9" s="17" t="n"/>
      <c r="Q9" s="32" t="inlineStr">
        <is>
          <t>P</t>
        </is>
      </c>
      <c r="R9" s="32" t="inlineStr">
        <is>
          <t>FL_DES_ABC_1kg</t>
        </is>
      </c>
      <c r="S9" s="17" t="inlineStr">
        <is>
          <t>embutida</t>
        </is>
      </c>
    </row>
    <row r="10">
      <c r="A10" s="34" t="inlineStr">
        <is>
          <t>FL_REC_ABC_1kg</t>
        </is>
      </c>
      <c r="B10" s="34" t="n">
        <v>3</v>
      </c>
      <c r="C10" s="34" t="inlineStr">
        <is>
          <t>MP-FLEJE</t>
        </is>
      </c>
      <c r="D10" s="35" t="inlineStr">
        <is>
          <t xml:space="preserve">            Fleje e=0,9 × 114 (paso 111)</t>
        </is>
      </c>
      <c r="E10" s="34" t="n">
        <v>0.111</v>
      </c>
      <c r="F10" s="34" t="inlineStr">
        <is>
          <t>m</t>
        </is>
      </c>
      <c r="G10" s="36" t="n">
        <v>0.805</v>
      </c>
      <c r="H10" s="36">
        <f>E10*G10</f>
        <v/>
      </c>
      <c r="I10" s="34" t="inlineStr">
        <is>
          <t>Fleje SAE 1010</t>
        </is>
      </c>
      <c r="J10" s="35" t="inlineStr">
        <is>
          <t>disco Ø108 (kg por m de fleje)</t>
        </is>
      </c>
      <c r="K10" s="34" t="inlineStr">
        <is>
          <t>Compra</t>
        </is>
      </c>
      <c r="L10" s="34" t="inlineStr">
        <is>
          <t>Sí</t>
        </is>
      </c>
      <c r="M10" s="35" t="inlineStr">
        <is>
          <t>Pacheco Chapas</t>
        </is>
      </c>
      <c r="N10" s="35" t="inlineStr">
        <is>
          <t>Pradecon S.A.</t>
        </is>
      </c>
      <c r="O10" s="35" t="inlineStr">
        <is>
          <t>AL-1F porta-flejes</t>
        </is>
      </c>
      <c r="P10" s="35" t="n"/>
      <c r="Q10" s="34" t="inlineStr">
        <is>
          <t>L</t>
        </is>
      </c>
      <c r="R10" s="34" t="inlineStr">
        <is>
          <t>FL_PI_04 h2</t>
        </is>
      </c>
      <c r="S10" s="35" t="n"/>
    </row>
    <row r="11">
      <c r="A11" s="32" t="inlineStr">
        <is>
          <t>FL_REC_ABC_1kg</t>
        </is>
      </c>
      <c r="B11" s="32" t="n">
        <v>2</v>
      </c>
      <c r="C11" s="32" t="inlineStr">
        <is>
          <t>ABC1-03</t>
        </is>
      </c>
      <c r="D11" s="17" t="inlineStr">
        <is>
          <t xml:space="preserve">        Fondo</t>
        </is>
      </c>
      <c r="E11" s="32" t="n">
        <v>1</v>
      </c>
      <c r="F11" s="32" t="inlineStr">
        <is>
          <t>u</t>
        </is>
      </c>
      <c r="G11" s="33" t="n">
        <v>0.06619999999999999</v>
      </c>
      <c r="H11" s="33">
        <f>E11*G11</f>
        <v/>
      </c>
      <c r="I11" s="32" t="inlineStr">
        <is>
          <t>Chapa LAF IRAM-IAS U 500-05 e=1,25</t>
        </is>
      </c>
      <c r="J11" s="17" t="inlineStr">
        <is>
          <t>Ø76,2 × e1,25 × 22 de alto; disco Ø100</t>
        </is>
      </c>
      <c r="K11" s="32" t="inlineStr">
        <is>
          <t>Fabricación</t>
        </is>
      </c>
      <c r="L11" s="32" t="inlineStr">
        <is>
          <t>No</t>
        </is>
      </c>
      <c r="M11" s="17" t="n"/>
      <c r="N11" s="17" t="n"/>
      <c r="O11" s="17" t="inlineStr">
        <is>
          <t>6 Desbobinado + embutido (M06-M08)</t>
        </is>
      </c>
      <c r="P11" s="17" t="n"/>
      <c r="Q11" s="32" t="inlineStr">
        <is>
          <t>P</t>
        </is>
      </c>
      <c r="R11" s="32" t="inlineStr">
        <is>
          <t>FL_DES_ABC_1kg</t>
        </is>
      </c>
      <c r="S11" s="17" t="inlineStr">
        <is>
          <t>embutido</t>
        </is>
      </c>
    </row>
    <row r="12">
      <c r="A12" s="34" t="inlineStr">
        <is>
          <t>FL_REC_ABC_1kg</t>
        </is>
      </c>
      <c r="B12" s="34" t="n">
        <v>3</v>
      </c>
      <c r="C12" s="34" t="inlineStr">
        <is>
          <t>MP-FLEJE</t>
        </is>
      </c>
      <c r="D12" s="35" t="inlineStr">
        <is>
          <t xml:space="preserve">            Fleje e=1,25 × 106 (paso 103)</t>
        </is>
      </c>
      <c r="E12" s="34" t="n">
        <v>0.103</v>
      </c>
      <c r="F12" s="34" t="inlineStr">
        <is>
          <t>m</t>
        </is>
      </c>
      <c r="G12" s="36" t="n">
        <v>1.04</v>
      </c>
      <c r="H12" s="36">
        <f>E12*G12</f>
        <v/>
      </c>
      <c r="I12" s="34" t="inlineStr">
        <is>
          <t>Fleje SAE 1010</t>
        </is>
      </c>
      <c r="J12" s="35" t="inlineStr">
        <is>
          <t>disco Ø100 (kg por m de fleje)</t>
        </is>
      </c>
      <c r="K12" s="34" t="inlineStr">
        <is>
          <t>Compra</t>
        </is>
      </c>
      <c r="L12" s="34" t="inlineStr">
        <is>
          <t>Sí</t>
        </is>
      </c>
      <c r="M12" s="35" t="inlineStr">
        <is>
          <t>Pacheco Chapas</t>
        </is>
      </c>
      <c r="N12" s="35" t="inlineStr">
        <is>
          <t>Pradecon S.A.</t>
        </is>
      </c>
      <c r="O12" s="35" t="inlineStr">
        <is>
          <t>AL-1F porta-flejes</t>
        </is>
      </c>
      <c r="P12" s="35" t="n"/>
      <c r="Q12" s="34" t="inlineStr">
        <is>
          <t>L</t>
        </is>
      </c>
      <c r="R12" s="34" t="inlineStr">
        <is>
          <t>FL_PI_04 h2</t>
        </is>
      </c>
      <c r="S12" s="35" t="n"/>
    </row>
    <row r="13">
      <c r="A13" s="32" t="inlineStr">
        <is>
          <t>FL_REC_ABC_1kg</t>
        </is>
      </c>
      <c r="B13" s="32" t="n">
        <v>2</v>
      </c>
      <c r="C13" s="32" t="inlineStr">
        <is>
          <t>ABC1-04</t>
        </is>
      </c>
      <c r="D13" s="17" t="inlineStr">
        <is>
          <t xml:space="preserve">        Cuello roscado</t>
        </is>
      </c>
      <c r="E13" s="32" t="n">
        <v>1</v>
      </c>
      <c r="F13" s="32" t="inlineStr">
        <is>
          <t>u</t>
        </is>
      </c>
      <c r="G13" s="33" t="n">
        <v>0.0358</v>
      </c>
      <c r="H13" s="33">
        <f>E13*G13</f>
        <v/>
      </c>
      <c r="I13" s="32" t="inlineStr">
        <is>
          <t>Acero SAE 1010</t>
        </is>
      </c>
      <c r="J13" s="17" t="inlineStr">
        <is>
          <t>Ø29 × 12,5 de alto, rosca M22x1,5, asiento Ø26</t>
        </is>
      </c>
      <c r="K13" s="32" t="inlineStr">
        <is>
          <t>Compra (mecanizado, Eli-Met)</t>
        </is>
      </c>
      <c r="L13" s="32" t="inlineStr">
        <is>
          <t>Sí</t>
        </is>
      </c>
      <c r="M13" s="17" t="inlineStr">
        <is>
          <t>Eli-Met</t>
        </is>
      </c>
      <c r="N13" s="17" t="inlineStr">
        <is>
          <t>-</t>
        </is>
      </c>
      <c r="O13" s="17" t="inlineStr">
        <is>
          <t>Compra -&gt; 8 soldadura de cuello</t>
        </is>
      </c>
      <c r="P13" s="17" t="n"/>
      <c r="Q13" s="32" t="inlineStr">
        <is>
          <t>P</t>
        </is>
      </c>
      <c r="R13" s="32" t="inlineStr">
        <is>
          <t>FL_DES_ABC_1kg</t>
        </is>
      </c>
      <c r="S13" s="17" t="inlineStr">
        <is>
          <t>M22x1,5</t>
        </is>
      </c>
    </row>
    <row r="14">
      <c r="A14" s="37" t="inlineStr">
        <is>
          <t>FL_REC_ABC_1kg</t>
        </is>
      </c>
      <c r="B14" s="37" t="n">
        <v>2</v>
      </c>
      <c r="C14" s="37" t="inlineStr">
        <is>
          <t>ABC1-C1</t>
        </is>
      </c>
      <c r="D14" s="18" t="inlineStr">
        <is>
          <t xml:space="preserve">        Alambre MAG ER70S-6 Ø0,9 (AWS A5.18)</t>
        </is>
      </c>
      <c r="E14" s="37" t="n">
        <v>0.0146</v>
      </c>
      <c r="F14" s="37" t="inlineStr">
        <is>
          <t>kg</t>
        </is>
      </c>
      <c r="G14" s="38" t="n">
        <v>0.95</v>
      </c>
      <c r="H14" s="38">
        <f>E14*G14</f>
        <v/>
      </c>
      <c r="I14" s="37" t="inlineStr">
        <is>
          <t>ER70S-6</t>
        </is>
      </c>
      <c r="J14" s="18" t="inlineStr">
        <is>
          <t>metal depositado de los cordones del plano 14 g / rendimiento 0,95</t>
        </is>
      </c>
      <c r="K14" s="37" t="inlineStr">
        <is>
          <t>Compra</t>
        </is>
      </c>
      <c r="L14" s="37" t="inlineStr">
        <is>
          <t>Sí</t>
        </is>
      </c>
      <c r="M14" s="18" t="inlineStr">
        <is>
          <t>Conarco (ESAB Argentina)</t>
        </is>
      </c>
      <c r="N14" s="18" t="inlineStr">
        <is>
          <t>-</t>
        </is>
      </c>
      <c r="O14" s="18" t="inlineStr">
        <is>
          <t>4 sold. long. / 8 cuello / 11 circunferencial</t>
        </is>
      </c>
      <c r="P14" s="18" t="inlineStr">
        <is>
          <t>IRAM 3523 3.2.4.2 · IRAM 3550 4.1.2</t>
        </is>
      </c>
      <c r="Q14" s="37" t="inlineStr">
        <is>
          <t>C</t>
        </is>
      </c>
      <c r="R14" s="37" t="n"/>
      <c r="S14"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5">
      <c r="A15" s="37" t="inlineStr">
        <is>
          <t>FL_REC_ABC_1kg</t>
        </is>
      </c>
      <c r="B15" s="37" t="n">
        <v>2</v>
      </c>
      <c r="C15" s="37" t="inlineStr">
        <is>
          <t>ABC1-C2</t>
        </is>
      </c>
      <c r="D15" s="18" t="inlineStr">
        <is>
          <t xml:space="preserve">        Gas de protección MAG Arcal 21 / ARCAL Speed (Ar + 8 % CO₂, M20)</t>
        </is>
      </c>
      <c r="E15" s="37" t="n">
        <v>13.3</v>
      </c>
      <c r="F15" s="37" t="inlineStr">
        <is>
          <t>L</t>
        </is>
      </c>
      <c r="G15" s="38" t="n"/>
      <c r="H15" s="38" t="n"/>
      <c r="I15" s="37" t="inlineStr">
        <is>
          <t>EN ISO 14175 M20-ArC-8</t>
        </is>
      </c>
      <c r="J15" s="18" t="inlineStr">
        <is>
          <t>14 L/min × 0,95 min de arco (cordones 570 mm: long. 0 + circ. 479 + cuello 91, a 600 mm/min)</t>
        </is>
      </c>
      <c r="K15" s="37" t="inlineStr">
        <is>
          <t>Compra</t>
        </is>
      </c>
      <c r="L15" s="37" t="inlineStr">
        <is>
          <t>Sí</t>
        </is>
      </c>
      <c r="M15" s="18" t="inlineStr">
        <is>
          <t>Air Liquide Argentina - sucursal Piñeyro</t>
        </is>
      </c>
      <c r="N15" s="18" t="inlineStr">
        <is>
          <t>Gogniat</t>
        </is>
      </c>
      <c r="O15" s="18" t="inlineStr">
        <is>
          <t>Colector SC</t>
        </is>
      </c>
      <c r="P15" s="18" t="inlineStr">
        <is>
          <t>IRAM 3523 3.2.4.2 · IRAM 3550 3.2.2.2</t>
        </is>
      </c>
      <c r="Q15" s="37" t="inlineStr">
        <is>
          <t>C</t>
        </is>
      </c>
      <c r="R15" s="37" t="n"/>
      <c r="S15"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6">
      <c r="A16" s="39" t="inlineStr">
        <is>
          <t>FL_REC_ABC_1kg</t>
        </is>
      </c>
      <c r="B16" s="39" t="n">
        <v>2</v>
      </c>
      <c r="C16" s="39" t="inlineStr">
        <is>
          <t>ABC1-C3</t>
        </is>
      </c>
      <c r="D16" s="19" t="inlineStr">
        <is>
          <t xml:space="preserve">        Granalla de acero S330 / S390 (ISO 11124-3, SAE J444)</t>
        </is>
      </c>
      <c r="E16" s="39" t="n">
        <v>0.08</v>
      </c>
      <c r="F16" s="39" t="inlineStr">
        <is>
          <t>kg</t>
        </is>
      </c>
      <c r="G16" s="40" t="n"/>
      <c r="H16" s="40" t="n"/>
      <c r="I16" s="39" t="inlineStr">
        <is>
          <t>Granalla esférica alto C</t>
        </is>
      </c>
      <c r="J16" s="19" t="inlineStr">
        <is>
          <t>0,073 m² a Sa 2½ (ISO 8501-1); 3,4 kg/h ÷ 42,5 u/h</t>
        </is>
      </c>
      <c r="K16" s="39" t="inlineStr">
        <is>
          <t>Compra</t>
        </is>
      </c>
      <c r="L16" s="39" t="inlineStr">
        <is>
          <t>Sí</t>
        </is>
      </c>
      <c r="M16" s="19" t="inlineStr">
        <is>
          <t>CyM Materiales</t>
        </is>
      </c>
      <c r="N16" s="19" t="inlineStr">
        <is>
          <t>Roca Ingeniería</t>
        </is>
      </c>
      <c r="O16" s="19" t="inlineStr">
        <is>
          <t>14 Granallado (B08)</t>
        </is>
      </c>
      <c r="P16" s="19" t="inlineStr">
        <is>
          <t>DOC-01</t>
        </is>
      </c>
      <c r="Q16" s="39" t="inlineStr">
        <is>
          <t>C</t>
        </is>
      </c>
      <c r="R16" s="39" t="n"/>
      <c r="S16" s="19" t="inlineStr">
        <is>
          <t>Consumo (desgaste) por turbina ≈ HP / 2 lb/h (The Fabricator, «aspectos básicos del granallado por turbina»): G-100 con 2 × 7,5 HP = 7,5 lb/h = 3,4 kg/h; ritmo 340 u por turno (Getweld) = 42,5 u/h. OJO: Ø76,2 fuera del rango de la Airblast G-100 (Ø80-200): definir soporte o equipo</t>
        </is>
      </c>
    </row>
    <row r="17">
      <c r="A17" s="32" t="inlineStr">
        <is>
          <t>FL_REC_ABC_1kg</t>
        </is>
      </c>
      <c r="B17" s="32" t="n">
        <v>2</v>
      </c>
      <c r="C17" s="32" t="inlineStr">
        <is>
          <t>ABC1-C4</t>
        </is>
      </c>
      <c r="D17" s="17" t="inlineStr">
        <is>
          <t xml:space="preserve">        Servicio de pintura en polvo al horno, rojo 03-1-050</t>
        </is>
      </c>
      <c r="E17" s="32" t="n">
        <v>1</v>
      </c>
      <c r="F17" s="32" t="inlineStr">
        <is>
          <t>u</t>
        </is>
      </c>
      <c r="G17" s="33" t="n"/>
      <c r="H17" s="33" t="n"/>
      <c r="I17" s="32" t="inlineStr">
        <is>
          <t>Servicio tercerizado</t>
        </is>
      </c>
      <c r="J17" s="17" t="inlineStr">
        <is>
          <t>superficie exterior 0,073 m²</t>
        </is>
      </c>
      <c r="K17" s="32" t="inlineStr">
        <is>
          <t>Compra (servicio)</t>
        </is>
      </c>
      <c r="L17" s="32" t="inlineStr">
        <is>
          <t>Sí</t>
        </is>
      </c>
      <c r="M17" s="17" t="inlineStr">
        <is>
          <t>Prymax</t>
        </is>
      </c>
      <c r="N17" s="17" t="inlineStr">
        <is>
          <t>Pintor de carros (cotización por mensaje)</t>
        </is>
      </c>
      <c r="O17" s="17" t="inlineStr">
        <is>
          <t>17 Pintura tercerizada</t>
        </is>
      </c>
      <c r="P17" s="17" t="inlineStr">
        <is>
          <t>IRAM 3523 5.3 / IRAM 3550 3.11 · IRAM 121</t>
        </is>
      </c>
      <c r="Q17" s="32" t="inlineStr">
        <is>
          <t>Q</t>
        </is>
      </c>
      <c r="R17" s="32" t="n"/>
      <c r="S17" s="17" t="inlineStr">
        <is>
          <t>Q-PRYMAX (precio por cilindro); exigir informe de niebla salina del sistema de pintura; tercerización aceptada por el Ministerio (Res. 349/07 art. 18)</t>
        </is>
      </c>
    </row>
    <row r="18">
      <c r="A18" s="39" t="inlineStr">
        <is>
          <t>FL_REC_ABC_1kg</t>
        </is>
      </c>
      <c r="B18" s="39" t="n">
        <v>2</v>
      </c>
      <c r="C18" s="39" t="inlineStr">
        <is>
          <t>ABC1-T1</t>
        </is>
      </c>
      <c r="D18" s="19" t="inlineStr">
        <is>
          <t xml:space="preserve">        Tapón protector de rosca del cuello</t>
        </is>
      </c>
      <c r="E18" s="39" t="n">
        <v>1</v>
      </c>
      <c r="F18" s="39" t="inlineStr">
        <is>
          <t>u</t>
        </is>
      </c>
      <c r="G18" s="40" t="n"/>
      <c r="H18" s="40" t="n"/>
      <c r="I18" s="39" t="inlineStr">
        <is>
          <t>Polietileno</t>
        </is>
      </c>
      <c r="J18" s="19" t="inlineStr">
        <is>
          <t>para rosca M22x1,5 (plano FL_REC_ABC_1kg hoja 3, R4)</t>
        </is>
      </c>
      <c r="K18" s="39" t="inlineStr">
        <is>
          <t>Compra</t>
        </is>
      </c>
      <c r="L18" s="39" t="inlineStr">
        <is>
          <t>Sí</t>
        </is>
      </c>
      <c r="M18" s="19" t="inlineStr">
        <is>
          <t>-</t>
        </is>
      </c>
      <c r="N18" s="19" t="inlineStr">
        <is>
          <t>-</t>
        </is>
      </c>
      <c r="O18" s="19" t="inlineStr">
        <is>
          <t>Embalaje</t>
        </is>
      </c>
      <c r="P18" s="19" t="n"/>
      <c r="Q18" s="39" t="inlineStr">
        <is>
          <t>P</t>
        </is>
      </c>
      <c r="R18" s="39" t="n"/>
      <c r="S18" s="19" t="n"/>
    </row>
    <row r="19">
      <c r="A19" s="32" t="inlineStr">
        <is>
          <t>FL_REC_ABC_1kg</t>
        </is>
      </c>
      <c r="B19" s="32" t="n">
        <v>2</v>
      </c>
      <c r="C19" s="32" t="inlineStr">
        <is>
          <t>ABC1-T2</t>
        </is>
      </c>
      <c r="D19" s="17" t="inlineStr">
        <is>
          <t xml:space="preserve">        Marcado del recipiente: estampado en la cúpula, en arco junto al cuello (puesto de numerado de cúpula)</t>
        </is>
      </c>
      <c r="E19" s="32" t="n">
        <v>1</v>
      </c>
      <c r="F19" s="32" t="inlineStr">
        <is>
          <t>u</t>
        </is>
      </c>
      <c r="G19" s="33" t="n"/>
      <c r="H19" s="33" t="n"/>
      <c r="I19" s="32" t="inlineStr">
        <is>
          <t>-</t>
        </is>
      </c>
      <c r="J19" s="17" t="inlineStr">
        <is>
          <t>Fabricante, n° de serie, año; en arco junto al cuello, letra 5 mm; cuño DPS 15 × 7 junto al n°</t>
        </is>
      </c>
      <c r="K19" s="32" t="inlineStr">
        <is>
          <t>Proceso</t>
        </is>
      </c>
      <c r="L19" s="32" t="inlineStr">
        <is>
          <t>No</t>
        </is>
      </c>
      <c r="M19" s="17" t="n"/>
      <c r="N19" s="17" t="n"/>
      <c r="O19" s="17" t="inlineStr">
        <is>
          <t>Marcado</t>
        </is>
      </c>
      <c r="P19" s="17" t="inlineStr">
        <is>
          <t>IRAM 3523 5.1 · Res. 349/07 anexo IV</t>
        </is>
      </c>
      <c r="Q19" s="32" t="inlineStr">
        <is>
          <t>N</t>
        </is>
      </c>
      <c r="R19" s="32" t="n"/>
      <c r="S19" s="17" t="n"/>
    </row>
    <row r="20">
      <c r="A20" s="32" t="inlineStr">
        <is>
          <t>FL_REC_ABC_1kg</t>
        </is>
      </c>
      <c r="B20" s="32" t="n">
        <v>2</v>
      </c>
      <c r="C20" s="32" t="inlineStr">
        <is>
          <t>ABC1-T3</t>
        </is>
      </c>
      <c r="D20" s="17" t="inlineStr">
        <is>
          <t xml:space="preserve">        Etiqueta de identificación del cilindro suelto</t>
        </is>
      </c>
      <c r="E20" s="32" t="n">
        <v>1</v>
      </c>
      <c r="F20" s="32" t="inlineStr">
        <is>
          <t>u</t>
        </is>
      </c>
      <c r="G20" s="33" t="n"/>
      <c r="H20" s="33" t="n"/>
      <c r="I20" s="32" t="inlineStr">
        <is>
          <t>Poliéster autoadhesivo removible</t>
        </is>
      </c>
      <c r="J20" s="17" t="inlineStr">
        <is>
          <t>100 × 60, impresión térmica, QR GS1</t>
        </is>
      </c>
      <c r="K20" s="32" t="inlineStr">
        <is>
          <t>Compra</t>
        </is>
      </c>
      <c r="L20" s="32" t="inlineStr">
        <is>
          <t>Sí</t>
        </is>
      </c>
      <c r="M20" s="17" t="inlineStr">
        <is>
          <t>Astuprint</t>
        </is>
      </c>
      <c r="N20" s="17" t="inlineStr">
        <is>
          <t>GS1 Argentina</t>
        </is>
      </c>
      <c r="O20" s="17" t="inlineStr">
        <is>
          <t>Etiquetado</t>
        </is>
      </c>
      <c r="P20" s="17" t="n"/>
      <c r="Q20" s="32" t="inlineStr">
        <is>
          <t>P</t>
        </is>
      </c>
      <c r="R20" s="32" t="inlineStr">
        <is>
          <t>FL_REC_ABC_1kg hoja 3</t>
        </is>
      </c>
      <c r="S20" s="17" t="n"/>
    </row>
    <row r="21">
      <c r="A21" s="32" t="inlineStr">
        <is>
          <t>FL_REC_ABC_1kg</t>
        </is>
      </c>
      <c r="B21" s="32" t="n">
        <v>2</v>
      </c>
      <c r="C21" s="32" t="inlineStr">
        <is>
          <t>ABC1-T4</t>
        </is>
      </c>
      <c r="D21" s="17" t="inlineStr">
        <is>
          <t xml:space="preserve">        Protocolo de ensayo hidrostático (certificado que acompaña)</t>
        </is>
      </c>
      <c r="E21" s="32" t="n">
        <v>1</v>
      </c>
      <c r="F21" s="32" t="inlineStr">
        <is>
          <t>u</t>
        </is>
      </c>
      <c r="G21" s="33" t="n">
        <v>0.005</v>
      </c>
      <c r="H21" s="33">
        <f>E21*G21</f>
        <v/>
      </c>
      <c r="I21" s="32" t="inlineStr">
        <is>
          <t>Papel</t>
        </is>
      </c>
      <c r="J21" s="17" t="inlineStr">
        <is>
          <t>A5</t>
        </is>
      </c>
      <c r="K21" s="32" t="inlineStr">
        <is>
          <t>Proceso</t>
        </is>
      </c>
      <c r="L21" s="32" t="inlineStr">
        <is>
          <t>No</t>
        </is>
      </c>
      <c r="M21" s="17" t="n"/>
      <c r="N21" s="17" t="n"/>
      <c r="O21" s="17" t="inlineStr">
        <is>
          <t>Control de calidad</t>
        </is>
      </c>
      <c r="P21" s="17" t="inlineStr">
        <is>
          <t>IRAM 3523 4.1 y cap. 6 · IRAM 2587</t>
        </is>
      </c>
      <c r="Q21" s="32" t="inlineStr">
        <is>
          <t>N</t>
        </is>
      </c>
      <c r="R21" s="32" t="inlineStr">
        <is>
          <t>FL_REC_ABC_1kg hoja 3</t>
        </is>
      </c>
      <c r="S21" s="17" t="n"/>
    </row>
    <row r="22">
      <c r="A22" s="29" t="inlineStr">
        <is>
          <t>FL_REC_ABC_1kg</t>
        </is>
      </c>
      <c r="B22" s="29" t="n">
        <v>1</v>
      </c>
      <c r="C22" s="29" t="inlineStr">
        <is>
          <t>ABC1-S7</t>
        </is>
      </c>
      <c r="D22" s="30" t="inlineStr">
        <is>
          <t xml:space="preserve">    Embalaje</t>
        </is>
      </c>
      <c r="E22" s="29" t="n">
        <v>1</v>
      </c>
      <c r="F22" s="29" t="inlineStr">
        <is>
          <t>u</t>
        </is>
      </c>
      <c r="G22" s="31" t="n"/>
      <c r="H22" s="31">
        <f>H25</f>
        <v/>
      </c>
      <c r="I22" s="29" t="n"/>
      <c r="J22" s="30" t="n"/>
      <c r="K22" s="29" t="inlineStr">
        <is>
          <t>Compra</t>
        </is>
      </c>
      <c r="L22" s="29" t="n"/>
      <c r="M22" s="30" t="n"/>
      <c r="N22" s="30" t="n"/>
      <c r="O22" s="30" t="inlineStr">
        <is>
          <t>23 Embalaje -&gt; 24 envolvedora (T11)</t>
        </is>
      </c>
      <c r="P22" s="30" t="n"/>
      <c r="Q22" s="29" t="n"/>
      <c r="R22" s="29" t="n"/>
      <c r="S22" s="30" t="n"/>
    </row>
    <row r="23">
      <c r="A23" s="32" t="inlineStr">
        <is>
          <t>FL_REC_ABC_1kg</t>
        </is>
      </c>
      <c r="B23" s="32" t="n">
        <v>2</v>
      </c>
      <c r="C23" s="32" t="inlineStr">
        <is>
          <t>ABC1-E1</t>
        </is>
      </c>
      <c r="D23" s="17" t="inlineStr">
        <is>
          <t xml:space="preserve">        Caja de cartón corrugado simple</t>
        </is>
      </c>
      <c r="E23" s="32" t="n">
        <v>1</v>
      </c>
      <c r="F23" s="32" t="inlineStr">
        <is>
          <t>u</t>
        </is>
      </c>
      <c r="G23" s="33" t="n"/>
      <c r="H23" s="33" t="n"/>
      <c r="I23" s="32" t="inlineStr">
        <is>
          <t>Cartón corrugado</t>
        </is>
      </c>
      <c r="J23" s="17" t="inlineStr">
        <is>
          <t>106 × 106 × 318 interior (envolvente del plano + 15 por lado)</t>
        </is>
      </c>
      <c r="K23" s="32" t="inlineStr">
        <is>
          <t>Compra</t>
        </is>
      </c>
      <c r="L23" s="32" t="inlineStr">
        <is>
          <t>Sí</t>
        </is>
      </c>
      <c r="M23" s="17" t="inlineStr">
        <is>
          <t>Maxipack</t>
        </is>
      </c>
      <c r="N23" s="17" t="inlineStr">
        <is>
          <t>Cartocan</t>
        </is>
      </c>
      <c r="O23" s="17" t="inlineStr">
        <is>
          <t>23 Embalaje</t>
        </is>
      </c>
      <c r="P23" s="17" t="n"/>
      <c r="Q23" s="32" t="inlineStr">
        <is>
          <t>P</t>
        </is>
      </c>
      <c r="R23" s="32" t="n"/>
      <c r="S23" s="17" t="inlineStr">
        <is>
          <t>Medida del plano</t>
        </is>
      </c>
    </row>
    <row r="24">
      <c r="A24" s="32" t="inlineStr">
        <is>
          <t>FL_REC_ABC_1kg</t>
        </is>
      </c>
      <c r="B24" s="32" t="n">
        <v>2</v>
      </c>
      <c r="C24" s="32" t="inlineStr">
        <is>
          <t>ABC1-E3</t>
        </is>
      </c>
      <c r="D24" s="17" t="inlineStr">
        <is>
          <t xml:space="preserve">        Pallet 1200 × 1000 (fracción)</t>
        </is>
      </c>
      <c r="E24" s="32" t="n">
        <v>0.0025</v>
      </c>
      <c r="F24" s="32" t="inlineStr">
        <is>
          <t>u</t>
        </is>
      </c>
      <c r="G24" s="33" t="n"/>
      <c r="H24" s="33" t="n"/>
      <c r="I24" s="32" t="inlineStr">
        <is>
          <t>Madera</t>
        </is>
      </c>
      <c r="J24" s="17" t="inlineStr">
        <is>
          <t>396 u por pallet</t>
        </is>
      </c>
      <c r="K24" s="32" t="inlineStr">
        <is>
          <t>Compra</t>
        </is>
      </c>
      <c r="L24" s="32" t="inlineStr">
        <is>
          <t>Sí</t>
        </is>
      </c>
      <c r="M24" s="17" t="inlineStr">
        <is>
          <t>IndusPallets</t>
        </is>
      </c>
      <c r="N24" s="17" t="inlineStr">
        <is>
          <t>-</t>
        </is>
      </c>
      <c r="O24" s="17" t="inlineStr">
        <is>
          <t>23 Embalaje</t>
        </is>
      </c>
      <c r="P24" s="17" t="n"/>
      <c r="Q24" s="32" t="inlineStr">
        <is>
          <t>C</t>
        </is>
      </c>
      <c r="R24" s="32" t="n"/>
      <c r="S24" s="17" t="inlineStr">
        <is>
          <t>u por pallet = acomodo de la caja (plano) en 1200 × 1000 × 1450 de alto</t>
        </is>
      </c>
    </row>
    <row r="25">
      <c r="A25" s="37" t="inlineStr">
        <is>
          <t>FL_REC_ABC_1kg</t>
        </is>
      </c>
      <c r="B25" s="37" t="n">
        <v>2</v>
      </c>
      <c r="C25" s="37" t="inlineStr">
        <is>
          <t>ABC1-E4</t>
        </is>
      </c>
      <c r="D25" s="18" t="inlineStr">
        <is>
          <t xml:space="preserve">        Film stretch (fracción del pallet)</t>
        </is>
      </c>
      <c r="E25" s="37" t="n">
        <v>0.0003</v>
      </c>
      <c r="F25" s="37" t="inlineStr">
        <is>
          <t>kg</t>
        </is>
      </c>
      <c r="G25" s="38" t="n">
        <v>1</v>
      </c>
      <c r="H25" s="38">
        <f>E25*G25</f>
        <v/>
      </c>
      <c r="I25" s="37" t="inlineStr">
        <is>
          <t>PE lineal 23 µm</t>
        </is>
      </c>
      <c r="J25" s="18" t="inlineStr">
        <is>
          <t>0,12 kg por pallet / 396 u</t>
        </is>
      </c>
      <c r="K25" s="37" t="inlineStr">
        <is>
          <t>Compra</t>
        </is>
      </c>
      <c r="L25" s="37" t="inlineStr">
        <is>
          <t>Sí</t>
        </is>
      </c>
      <c r="M25" s="18" t="inlineStr">
        <is>
          <t>MV Embalajes</t>
        </is>
      </c>
      <c r="N25" s="18" t="inlineStr">
        <is>
          <t>Embalpack</t>
        </is>
      </c>
      <c r="O25" s="18" t="inlineStr">
        <is>
          <t>24 Envolvedora (T11)</t>
        </is>
      </c>
      <c r="P25" s="18" t="n"/>
      <c r="Q25" s="37" t="inlineStr">
        <is>
          <t>C</t>
        </is>
      </c>
      <c r="R25" s="37" t="n"/>
      <c r="S25"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26">
      <c r="A26" s="32" t="inlineStr">
        <is>
          <t>FL_REC_ABC_1kg</t>
        </is>
      </c>
      <c r="B26" s="32" t="n">
        <v>2</v>
      </c>
      <c r="C26" s="32" t="inlineStr">
        <is>
          <t>ABC1-E5</t>
        </is>
      </c>
      <c r="D26" s="17" t="inlineStr">
        <is>
          <t xml:space="preserve">        Etiqueta de pallet (lote y destino, fracción)</t>
        </is>
      </c>
      <c r="E26" s="32" t="n">
        <v>0.0025</v>
      </c>
      <c r="F26" s="32" t="inlineStr">
        <is>
          <t>u</t>
        </is>
      </c>
      <c r="G26" s="33" t="n"/>
      <c r="H26" s="33" t="n"/>
      <c r="I26" s="32" t="inlineStr">
        <is>
          <t>Papel térmico</t>
        </is>
      </c>
      <c r="J26" s="17" t="inlineStr">
        <is>
          <t>100 × 150</t>
        </is>
      </c>
      <c r="K26" s="32" t="inlineStr">
        <is>
          <t>Compra</t>
        </is>
      </c>
      <c r="L26" s="32" t="inlineStr">
        <is>
          <t>Sí</t>
        </is>
      </c>
      <c r="M26" s="17" t="inlineStr">
        <is>
          <t>Astuprint</t>
        </is>
      </c>
      <c r="N26" s="17" t="inlineStr">
        <is>
          <t>Multilabel Argentina S.A.</t>
        </is>
      </c>
      <c r="O26" s="17" t="inlineStr">
        <is>
          <t>24 Envolvedora</t>
        </is>
      </c>
      <c r="P26" s="17" t="n"/>
      <c r="Q26" s="32" t="inlineStr">
        <is>
          <t>C</t>
        </is>
      </c>
      <c r="R26" s="32" t="n"/>
      <c r="S26" s="17" t="n"/>
    </row>
    <row r="27">
      <c r="A27" s="37" t="inlineStr">
        <is>
          <t>FL_REC_ABC_1kg</t>
        </is>
      </c>
      <c r="B27" s="37" t="n">
        <v>2</v>
      </c>
      <c r="C27" s="37" t="inlineStr">
        <is>
          <t>ABC1-E6</t>
        </is>
      </c>
      <c r="D27" s="18" t="inlineStr">
        <is>
          <t xml:space="preserve">        Cinta de embalaje PP 48 mm (cierre de la caja)</t>
        </is>
      </c>
      <c r="E27" s="37" t="n">
        <v>0.492</v>
      </c>
      <c r="F27" s="37" t="inlineStr">
        <is>
          <t>m</t>
        </is>
      </c>
      <c r="G27" s="38" t="n"/>
      <c r="H27" s="38" t="n"/>
      <c r="I27" s="37" t="inlineStr">
        <is>
          <t>Polipropileno con adhesivo acrílico</t>
        </is>
      </c>
      <c r="J27" s="18" t="inlineStr">
        <is>
          <t>cierre en I arriba y abajo: 2 × (106 + 2 × 70 de solapa)</t>
        </is>
      </c>
      <c r="K27" s="37" t="inlineStr">
        <is>
          <t>Compra</t>
        </is>
      </c>
      <c r="L27" s="37" t="inlineStr">
        <is>
          <t>Sí</t>
        </is>
      </c>
      <c r="M27" s="18" t="inlineStr">
        <is>
          <t>MV Embalajes</t>
        </is>
      </c>
      <c r="N27" s="18" t="inlineStr">
        <is>
          <t>Embalpack</t>
        </is>
      </c>
      <c r="O27" s="18" t="inlineStr">
        <is>
          <t>23 Embalaje</t>
        </is>
      </c>
      <c r="P27" s="18" t="n"/>
      <c r="Q27" s="37" t="inlineStr">
        <is>
          <t>C</t>
        </is>
      </c>
      <c r="R27" s="37" t="n"/>
      <c r="S27" s="18" t="inlineStr">
        <is>
          <t>Solapa de 70 mm por lado: práctica de cierre de cajas (medir en la línea)</t>
        </is>
      </c>
    </row>
    <row r="28">
      <c r="A28" s="32" t="inlineStr">
        <is>
          <t>FL_REC_ABC_1kg</t>
        </is>
      </c>
      <c r="B28" s="32" t="n">
        <v>2</v>
      </c>
      <c r="C28" s="32" t="inlineStr">
        <is>
          <t>ABC1-E7</t>
        </is>
      </c>
      <c r="D28" s="17" t="inlineStr">
        <is>
          <t xml:space="preserve">        Esquineros de cartón 50 × 50 × 1200 (fracción del pallet)</t>
        </is>
      </c>
      <c r="E28" s="32" t="n">
        <v>0.0101</v>
      </c>
      <c r="F28" s="32" t="inlineStr">
        <is>
          <t>u</t>
        </is>
      </c>
      <c r="G28" s="33" t="n"/>
      <c r="H28" s="33" t="n"/>
      <c r="I28" s="32" t="inlineStr">
        <is>
          <t>Cartón</t>
        </is>
      </c>
      <c r="J28" s="17" t="inlineStr">
        <is>
          <t>4 por pallet / 396 u</t>
        </is>
      </c>
      <c r="K28" s="32" t="inlineStr">
        <is>
          <t>Compra</t>
        </is>
      </c>
      <c r="L28" s="32" t="inlineStr">
        <is>
          <t>Sí</t>
        </is>
      </c>
      <c r="M28" s="17" t="inlineStr">
        <is>
          <t>Maxipack</t>
        </is>
      </c>
      <c r="N28" s="17" t="inlineStr">
        <is>
          <t>Cartocan</t>
        </is>
      </c>
      <c r="O28" s="17" t="inlineStr">
        <is>
          <t>24 Envolvedora (T11)</t>
        </is>
      </c>
      <c r="P28" s="17" t="n"/>
      <c r="Q28" s="32" t="inlineStr">
        <is>
          <t>C</t>
        </is>
      </c>
      <c r="R28" s="32" t="n"/>
      <c r="S28" s="17" t="inlineStr">
        <is>
          <t>Planilla MP-64</t>
        </is>
      </c>
    </row>
    <row r="29">
      <c r="A29" s="32" t="inlineStr">
        <is>
          <t>FL_REC_ABC_1kg</t>
        </is>
      </c>
      <c r="B29" s="32" t="n">
        <v>2</v>
      </c>
      <c r="C29" s="32" t="inlineStr">
        <is>
          <t>ABC1-E8</t>
        </is>
      </c>
      <c r="D29" s="17" t="inlineStr">
        <is>
          <t xml:space="preserve">        Separador de capa de cartón 1200 × 1000 (fracción del pallet)</t>
        </is>
      </c>
      <c r="E29" s="32" t="n">
        <v>0.0076</v>
      </c>
      <c r="F29" s="32" t="inlineStr">
        <is>
          <t>u</t>
        </is>
      </c>
      <c r="G29" s="33" t="n"/>
      <c r="H29" s="33" t="n"/>
      <c r="I29" s="32" t="inlineStr">
        <is>
          <t>Cartón</t>
        </is>
      </c>
      <c r="J29" s="17" t="inlineStr">
        <is>
          <t>4 capas → 3 separadores por pallet / 396 u</t>
        </is>
      </c>
      <c r="K29" s="32" t="inlineStr">
        <is>
          <t>Compra</t>
        </is>
      </c>
      <c r="L29" s="32" t="inlineStr">
        <is>
          <t>Sí</t>
        </is>
      </c>
      <c r="M29" s="17" t="inlineStr">
        <is>
          <t>Maxipack</t>
        </is>
      </c>
      <c r="N29" s="17" t="inlineStr">
        <is>
          <t>Cartocan</t>
        </is>
      </c>
      <c r="O29" s="17" t="inlineStr">
        <is>
          <t>23 Embalaje</t>
        </is>
      </c>
      <c r="P29" s="17" t="n"/>
      <c r="Q29" s="32" t="inlineStr">
        <is>
          <t>C</t>
        </is>
      </c>
      <c r="R29" s="32" t="n"/>
      <c r="S29" s="17" t="inlineStr">
        <is>
          <t>Planilla MP-61</t>
        </is>
      </c>
    </row>
    <row r="30">
      <c r="A30" s="26" t="inlineStr">
        <is>
          <t>FL_REC_ABC_2.5kg</t>
        </is>
      </c>
      <c r="B30" s="26" t="n">
        <v>0</v>
      </c>
      <c r="C30" s="26" t="inlineStr">
        <is>
          <t>FL_REC_ABC_2.5kg</t>
        </is>
      </c>
      <c r="D30" s="27" t="inlineStr">
        <is>
          <t>Cilindro (recipiente) ABC 2,5 kg - repuesto vacío sin válvula</t>
        </is>
      </c>
      <c r="E30" s="26" t="n">
        <v>1</v>
      </c>
      <c r="F30" s="26" t="inlineStr">
        <is>
          <t>u</t>
        </is>
      </c>
      <c r="G30" s="28" t="n"/>
      <c r="H30" s="28" t="n"/>
      <c r="I30" s="26" t="n"/>
      <c r="J30" s="27" t="n"/>
      <c r="K30" s="26" t="n"/>
      <c r="L30" s="26" t="n"/>
      <c r="M30" s="27" t="n"/>
      <c r="N30" s="27" t="n"/>
      <c r="O30" s="27" t="n"/>
      <c r="P30" s="27" t="inlineStr">
        <is>
          <t>IRAM 3523</t>
        </is>
      </c>
      <c r="Q30" s="26" t="inlineStr">
        <is>
          <t>P</t>
        </is>
      </c>
      <c r="R30" s="26" t="inlineStr">
        <is>
          <t>FL_REC_ABC_2.5kg</t>
        </is>
      </c>
      <c r="S30" s="27" t="inlineStr">
        <is>
          <t>Fabricación propia</t>
        </is>
      </c>
    </row>
    <row r="31">
      <c r="A31" s="29" t="inlineStr">
        <is>
          <t>FL_REC_ABC_2.5kg</t>
        </is>
      </c>
      <c r="B31" s="29" t="n">
        <v>1</v>
      </c>
      <c r="C31" s="29" t="inlineStr">
        <is>
          <t>ABC2.5-S1</t>
        </is>
      </c>
      <c r="D31" s="30" t="inlineStr">
        <is>
          <t xml:space="preserve">    Recipiente (cilindro)</t>
        </is>
      </c>
      <c r="E31" s="29" t="n">
        <v>1</v>
      </c>
      <c r="F31" s="29" t="inlineStr">
        <is>
          <t>u</t>
        </is>
      </c>
      <c r="G31" s="31" t="n"/>
      <c r="H31" s="31">
        <f>H32+H34+H36+H38+H39+H46</f>
        <v/>
      </c>
      <c r="I31" s="29" t="n"/>
      <c r="J31" s="30" t="n"/>
      <c r="K31" s="29" t="inlineStr">
        <is>
          <t>Fabricación</t>
        </is>
      </c>
      <c r="L31" s="29" t="n"/>
      <c r="M31" s="30" t="n"/>
      <c r="N31" s="30" t="n"/>
      <c r="O31" s="30" t="n"/>
      <c r="P31" s="30" t="inlineStr">
        <is>
          <t>IRAM 3523 / 3550 (recipiente)</t>
        </is>
      </c>
      <c r="Q31" s="29" t="inlineStr">
        <is>
          <t>P</t>
        </is>
      </c>
      <c r="R31" s="29" t="inlineStr">
        <is>
          <t>FL_DES_ABC_2.5kg</t>
        </is>
      </c>
      <c r="S31" s="30" t="n"/>
    </row>
    <row r="32">
      <c r="A32" s="32" t="inlineStr">
        <is>
          <t>FL_REC_ABC_2.5kg</t>
        </is>
      </c>
      <c r="B32" s="32" t="n">
        <v>2</v>
      </c>
      <c r="C32" s="32" t="inlineStr">
        <is>
          <t>ABC2.5-01</t>
        </is>
      </c>
      <c r="D32" s="17" t="inlineStr">
        <is>
          <t xml:space="preserve">        Cuerpo (virola)</t>
        </is>
      </c>
      <c r="E32" s="32" t="n">
        <v>1</v>
      </c>
      <c r="F32" s="32" t="inlineStr">
        <is>
          <t>u</t>
        </is>
      </c>
      <c r="G32" s="33" t="n">
        <v>1.011</v>
      </c>
      <c r="H32" s="33">
        <f>E32*G32</f>
        <v/>
      </c>
      <c r="I32" s="32" t="inlineStr">
        <is>
          <t>Chapa LAF IRAM-IAS U 500-05 e=1,25</t>
        </is>
      </c>
      <c r="J32" s="17" t="inlineStr">
        <is>
          <t>Ø124 × e1,25 × 267,4 de alto; desarrollo 385,6 × 267,4</t>
        </is>
      </c>
      <c r="K32" s="32" t="inlineStr">
        <is>
          <t>Fabricación</t>
        </is>
      </c>
      <c r="L32" s="32" t="inlineStr">
        <is>
          <t>No</t>
        </is>
      </c>
      <c r="M32" s="17" t="n"/>
      <c r="N32" s="17" t="n"/>
      <c r="O32" s="17" t="inlineStr">
        <is>
          <t>1 Guillotina -&gt; 3 cilindrado -&gt; 4 soldadura longitudinal -&gt; 9 encastre del fondo -&gt; 10 bordoneado</t>
        </is>
      </c>
      <c r="P32" s="17" t="n"/>
      <c r="Q32" s="32" t="inlineStr">
        <is>
          <t>P</t>
        </is>
      </c>
      <c r="R32" s="32" t="inlineStr">
        <is>
          <t>FL_DES_ABC_2.5kg</t>
        </is>
      </c>
      <c r="S32" s="17" t="inlineStr">
        <is>
          <t>costura long. MAG</t>
        </is>
      </c>
    </row>
    <row r="33">
      <c r="A33" s="34" t="inlineStr">
        <is>
          <t>FL_REC_ABC_2.5kg</t>
        </is>
      </c>
      <c r="B33" s="34" t="n">
        <v>3</v>
      </c>
      <c r="C33" s="34" t="inlineStr">
        <is>
          <t>MP-HOJA</t>
        </is>
      </c>
      <c r="D33" s="35" t="inlineStr">
        <is>
          <t xml:space="preserve">            Recorte de hoja LAF 1220 × 2440 e=1,25</t>
        </is>
      </c>
      <c r="E33" s="34" t="n">
        <v>1</v>
      </c>
      <c r="F33" s="34" t="inlineStr">
        <is>
          <t>u</t>
        </is>
      </c>
      <c r="G33" s="36" t="n">
        <v>1.082</v>
      </c>
      <c r="H33" s="36">
        <f>E33*G33</f>
        <v/>
      </c>
      <c r="I33" s="34" t="inlineStr">
        <is>
          <t>Chapa LAF IRAM-IAS U 500-05 LAF</t>
        </is>
      </c>
      <c r="J33" s="35" t="inlineStr">
        <is>
          <t>385,5 × 269,5 (aprovech. 94,2 %)</t>
        </is>
      </c>
      <c r="K33" s="34" t="inlineStr">
        <is>
          <t>Compra</t>
        </is>
      </c>
      <c r="L33" s="34" t="inlineStr">
        <is>
          <t>Sí</t>
        </is>
      </c>
      <c r="M33" s="35" t="inlineStr">
        <is>
          <t>Pradecon S.A.</t>
        </is>
      </c>
      <c r="N33" s="35" t="inlineStr">
        <is>
          <t>Pacheco Chapas</t>
        </is>
      </c>
      <c r="O33" s="35" t="inlineStr">
        <is>
          <t>AL-1H paquetes de hojas</t>
        </is>
      </c>
      <c r="P33" s="35" t="n"/>
      <c r="Q33" s="34" t="inlineStr">
        <is>
          <t>L</t>
        </is>
      </c>
      <c r="R33" s="34" t="inlineStr">
        <is>
          <t>FL_PI_04 h2</t>
        </is>
      </c>
      <c r="S33" s="35" t="n"/>
    </row>
    <row r="34">
      <c r="A34" s="32" t="inlineStr">
        <is>
          <t>FL_REC_ABC_2.5kg</t>
        </is>
      </c>
      <c r="B34" s="32" t="n">
        <v>2</v>
      </c>
      <c r="C34" s="32" t="inlineStr">
        <is>
          <t>ABC2.5-02</t>
        </is>
      </c>
      <c r="D34" s="17" t="inlineStr">
        <is>
          <t xml:space="preserve">        Cúpula</t>
        </is>
      </c>
      <c r="E34" s="32" t="n">
        <v>1</v>
      </c>
      <c r="F34" s="32" t="inlineStr">
        <is>
          <t>u</t>
        </is>
      </c>
      <c r="G34" s="33" t="n">
        <v>0.1734</v>
      </c>
      <c r="H34" s="33">
        <f>E34*G34</f>
        <v/>
      </c>
      <c r="I34" s="32" t="inlineStr">
        <is>
          <t>Chapa LAF IRAM-IAS U 500-05 e=1,25</t>
        </is>
      </c>
      <c r="J34" s="17" t="inlineStr">
        <is>
          <t>Ø124 × e1,25 × 38,1 de alto; disco Ø179</t>
        </is>
      </c>
      <c r="K34" s="32" t="inlineStr">
        <is>
          <t>Fabricación</t>
        </is>
      </c>
      <c r="L34" s="32" t="inlineStr">
        <is>
          <t>No</t>
        </is>
      </c>
      <c r="M34" s="17" t="n"/>
      <c r="N34" s="17" t="n"/>
      <c r="O34" s="17" t="inlineStr">
        <is>
          <t>6 Desbobinado + embutido (M06-M08) -&gt; numerado de cúpula (micropercusión, en arco junto al cuello) -&gt; 8 soldadura de cuello</t>
        </is>
      </c>
      <c r="P34" s="17" t="n"/>
      <c r="Q34" s="32" t="inlineStr">
        <is>
          <t>P</t>
        </is>
      </c>
      <c r="R34" s="32" t="inlineStr">
        <is>
          <t>FL_DES_ABC_2.5kg</t>
        </is>
      </c>
      <c r="S34" s="17" t="inlineStr">
        <is>
          <t>embutida</t>
        </is>
      </c>
    </row>
    <row r="35">
      <c r="A35" s="34" t="inlineStr">
        <is>
          <t>FL_REC_ABC_2.5kg</t>
        </is>
      </c>
      <c r="B35" s="34" t="n">
        <v>3</v>
      </c>
      <c r="C35" s="34" t="inlineStr">
        <is>
          <t>MP-FLEJE</t>
        </is>
      </c>
      <c r="D35" s="35" t="inlineStr">
        <is>
          <t xml:space="preserve">            Fleje e=1,25 × 200 (paso 182)</t>
        </is>
      </c>
      <c r="E35" s="34" t="n">
        <v>0.182</v>
      </c>
      <c r="F35" s="34" t="inlineStr">
        <is>
          <t>m</t>
        </is>
      </c>
      <c r="G35" s="36" t="n">
        <v>1.962</v>
      </c>
      <c r="H35" s="36">
        <f>E35*G35</f>
        <v/>
      </c>
      <c r="I35" s="34" t="inlineStr">
        <is>
          <t>Fleje SAE 1010</t>
        </is>
      </c>
      <c r="J35" s="35" t="inlineStr">
        <is>
          <t>disco Ø179 (kg por m de fleje)</t>
        </is>
      </c>
      <c r="K35" s="34" t="inlineStr">
        <is>
          <t>Compra</t>
        </is>
      </c>
      <c r="L35" s="34" t="inlineStr">
        <is>
          <t>Sí</t>
        </is>
      </c>
      <c r="M35" s="35" t="inlineStr">
        <is>
          <t>Pacheco Chapas</t>
        </is>
      </c>
      <c r="N35" s="35" t="inlineStr">
        <is>
          <t>Pradecon S.A.</t>
        </is>
      </c>
      <c r="O35" s="35" t="inlineStr">
        <is>
          <t>AL-1F porta-flejes</t>
        </is>
      </c>
      <c r="P35" s="35" t="n"/>
      <c r="Q35" s="34" t="inlineStr">
        <is>
          <t>L</t>
        </is>
      </c>
      <c r="R35" s="34" t="inlineStr">
        <is>
          <t>FL_PI_04 h2</t>
        </is>
      </c>
      <c r="S35" s="35" t="n"/>
    </row>
    <row r="36">
      <c r="A36" s="32" t="inlineStr">
        <is>
          <t>FL_REC_ABC_2.5kg</t>
        </is>
      </c>
      <c r="B36" s="32" t="n">
        <v>2</v>
      </c>
      <c r="C36" s="32" t="inlineStr">
        <is>
          <t>ABC2.5-03</t>
        </is>
      </c>
      <c r="D36" s="17" t="inlineStr">
        <is>
          <t xml:space="preserve">        Fondo</t>
        </is>
      </c>
      <c r="E36" s="32" t="n">
        <v>1</v>
      </c>
      <c r="F36" s="32" t="inlineStr">
        <is>
          <t>u</t>
        </is>
      </c>
      <c r="G36" s="33" t="n">
        <v>0.1657</v>
      </c>
      <c r="H36" s="33">
        <f>E36*G36</f>
        <v/>
      </c>
      <c r="I36" s="32" t="inlineStr">
        <is>
          <t>Chapa LAF IRAM-IAS U 500-05 e=1,25</t>
        </is>
      </c>
      <c r="J36" s="17" t="inlineStr">
        <is>
          <t>Ø124 × e1,25 × 20,5 de alto; disco Ø148</t>
        </is>
      </c>
      <c r="K36" s="32" t="inlineStr">
        <is>
          <t>Fabricación</t>
        </is>
      </c>
      <c r="L36" s="32" t="inlineStr">
        <is>
          <t>No</t>
        </is>
      </c>
      <c r="M36" s="17" t="n"/>
      <c r="N36" s="17" t="n"/>
      <c r="O36" s="17" t="inlineStr">
        <is>
          <t>6 Desbobinado + embutido (M06-M08)</t>
        </is>
      </c>
      <c r="P36" s="17" t="n"/>
      <c r="Q36" s="32" t="inlineStr">
        <is>
          <t>P</t>
        </is>
      </c>
      <c r="R36" s="32" t="inlineStr">
        <is>
          <t>FL_DES_ABC_2.5kg</t>
        </is>
      </c>
      <c r="S36" s="17" t="inlineStr">
        <is>
          <t>embutido</t>
        </is>
      </c>
    </row>
    <row r="37">
      <c r="A37" s="34" t="inlineStr">
        <is>
          <t>FL_REC_ABC_2.5kg</t>
        </is>
      </c>
      <c r="B37" s="34" t="n">
        <v>3</v>
      </c>
      <c r="C37" s="34" t="inlineStr">
        <is>
          <t>MP-FLEJE</t>
        </is>
      </c>
      <c r="D37" s="35" t="inlineStr">
        <is>
          <t xml:space="preserve">            Fleje e=1,25 × 200 (paso 151)</t>
        </is>
      </c>
      <c r="E37" s="34" t="n">
        <v>0.151</v>
      </c>
      <c r="F37" s="34" t="inlineStr">
        <is>
          <t>m</t>
        </is>
      </c>
      <c r="G37" s="36" t="n">
        <v>1.962</v>
      </c>
      <c r="H37" s="36">
        <f>E37*G37</f>
        <v/>
      </c>
      <c r="I37" s="34" t="inlineStr">
        <is>
          <t>Fleje SAE 1010</t>
        </is>
      </c>
      <c r="J37" s="35" t="inlineStr">
        <is>
          <t>disco Ø148 (kg por m de fleje)</t>
        </is>
      </c>
      <c r="K37" s="34" t="inlineStr">
        <is>
          <t>Compra</t>
        </is>
      </c>
      <c r="L37" s="34" t="inlineStr">
        <is>
          <t>Sí</t>
        </is>
      </c>
      <c r="M37" s="35" t="inlineStr">
        <is>
          <t>Pacheco Chapas</t>
        </is>
      </c>
      <c r="N37" s="35" t="inlineStr">
        <is>
          <t>Pradecon S.A.</t>
        </is>
      </c>
      <c r="O37" s="35" t="inlineStr">
        <is>
          <t>AL-1F porta-flejes</t>
        </is>
      </c>
      <c r="P37" s="35" t="n"/>
      <c r="Q37" s="34" t="inlineStr">
        <is>
          <t>L</t>
        </is>
      </c>
      <c r="R37" s="34" t="inlineStr">
        <is>
          <t>FL_PI_04 h2</t>
        </is>
      </c>
      <c r="S37" s="35" t="n"/>
    </row>
    <row r="38">
      <c r="A38" s="32" t="inlineStr">
        <is>
          <t>FL_REC_ABC_2.5kg</t>
        </is>
      </c>
      <c r="B38" s="32" t="n">
        <v>2</v>
      </c>
      <c r="C38" s="32" t="inlineStr">
        <is>
          <t>ABC2.5-04</t>
        </is>
      </c>
      <c r="D38" s="17" t="inlineStr">
        <is>
          <t xml:space="preserve">        Cuello roscado</t>
        </is>
      </c>
      <c r="E38" s="32" t="n">
        <v>1</v>
      </c>
      <c r="F38" s="32" t="inlineStr">
        <is>
          <t>u</t>
        </is>
      </c>
      <c r="G38" s="33" t="n">
        <v>0.0545</v>
      </c>
      <c r="H38" s="33">
        <f>E38*G38</f>
        <v/>
      </c>
      <c r="I38" s="32" t="inlineStr">
        <is>
          <t>Acero SAE 1010</t>
        </is>
      </c>
      <c r="J38" s="17" t="inlineStr">
        <is>
          <t>Ø37 × 14 de alto, rosca M30x1,5, asiento Ø35</t>
        </is>
      </c>
      <c r="K38" s="32" t="inlineStr">
        <is>
          <t>Compra (mecanizado, Eli-Met)</t>
        </is>
      </c>
      <c r="L38" s="32" t="inlineStr">
        <is>
          <t>Sí</t>
        </is>
      </c>
      <c r="M38" s="17" t="inlineStr">
        <is>
          <t>Eli-Met</t>
        </is>
      </c>
      <c r="N38" s="17" t="inlineStr">
        <is>
          <t>-</t>
        </is>
      </c>
      <c r="O38" s="17" t="inlineStr">
        <is>
          <t>Compra -&gt; 8 soldadura de cuello</t>
        </is>
      </c>
      <c r="P38" s="17" t="n"/>
      <c r="Q38" s="32" t="inlineStr">
        <is>
          <t>P</t>
        </is>
      </c>
      <c r="R38" s="32" t="inlineStr">
        <is>
          <t>FL_DES_ABC_2.5kg</t>
        </is>
      </c>
      <c r="S38" s="17" t="inlineStr">
        <is>
          <t>M30x1,5</t>
        </is>
      </c>
    </row>
    <row r="39">
      <c r="A39" s="37" t="inlineStr">
        <is>
          <t>FL_REC_ABC_2.5kg</t>
        </is>
      </c>
      <c r="B39" s="37" t="n">
        <v>2</v>
      </c>
      <c r="C39" s="37" t="inlineStr">
        <is>
          <t>ABC2.5-C1</t>
        </is>
      </c>
      <c r="D39" s="18" t="inlineStr">
        <is>
          <t xml:space="preserve">        Alambre MAG ER70S-6 Ø0,9 (AWS A5.18)</t>
        </is>
      </c>
      <c r="E39" s="37" t="n">
        <v>0.0292</v>
      </c>
      <c r="F39" s="37" t="inlineStr">
        <is>
          <t>kg</t>
        </is>
      </c>
      <c r="G39" s="38" t="n">
        <v>0.95</v>
      </c>
      <c r="H39" s="38">
        <f>E39*G39</f>
        <v/>
      </c>
      <c r="I39" s="37" t="inlineStr">
        <is>
          <t>ER70S-6</t>
        </is>
      </c>
      <c r="J39" s="18" t="inlineStr">
        <is>
          <t>metal depositado de los cordones del plano 28 g / rendimiento 0,95</t>
        </is>
      </c>
      <c r="K39" s="37" t="inlineStr">
        <is>
          <t>Compra</t>
        </is>
      </c>
      <c r="L39" s="37" t="inlineStr">
        <is>
          <t>Sí</t>
        </is>
      </c>
      <c r="M39" s="18" t="inlineStr">
        <is>
          <t>Conarco (ESAB Argentina)</t>
        </is>
      </c>
      <c r="N39" s="18" t="inlineStr">
        <is>
          <t>-</t>
        </is>
      </c>
      <c r="O39" s="18" t="inlineStr">
        <is>
          <t>4 sold. long. / 8 cuello / 11 circunferencial</t>
        </is>
      </c>
      <c r="P39" s="18" t="inlineStr">
        <is>
          <t>IRAM 3523 3.2.4.2 · IRAM 3550 4.1.2</t>
        </is>
      </c>
      <c r="Q39" s="37" t="inlineStr">
        <is>
          <t>C</t>
        </is>
      </c>
      <c r="R39" s="37" t="n"/>
      <c r="S3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40">
      <c r="A40" s="37" t="inlineStr">
        <is>
          <t>FL_REC_ABC_2.5kg</t>
        </is>
      </c>
      <c r="B40" s="37" t="n">
        <v>2</v>
      </c>
      <c r="C40" s="37" t="inlineStr">
        <is>
          <t>ABC2.5-C2</t>
        </is>
      </c>
      <c r="D40" s="18" t="inlineStr">
        <is>
          <t xml:space="preserve">        Gas de protección MAG Arcal 21 / ARCAL Speed (Ar + 8 % CO₂, M20)</t>
        </is>
      </c>
      <c r="E40" s="37" t="n">
        <v>27.1</v>
      </c>
      <c r="F40" s="37" t="inlineStr">
        <is>
          <t>L</t>
        </is>
      </c>
      <c r="G40" s="38" t="n"/>
      <c r="H40" s="38" t="n"/>
      <c r="I40" s="37" t="inlineStr">
        <is>
          <t>EN ISO 14175 M20-ArC-8</t>
        </is>
      </c>
      <c r="J40" s="18" t="inlineStr">
        <is>
          <t>14 L/min × 1,94 min de arco (cordones 1.163 mm: long. 267 + circ. 779 + cuello 116, a 600 mm/min)</t>
        </is>
      </c>
      <c r="K40" s="37" t="inlineStr">
        <is>
          <t>Compra</t>
        </is>
      </c>
      <c r="L40" s="37" t="inlineStr">
        <is>
          <t>Sí</t>
        </is>
      </c>
      <c r="M40" s="18" t="inlineStr">
        <is>
          <t>Air Liquide Argentina - sucursal Piñeyro</t>
        </is>
      </c>
      <c r="N40" s="18" t="inlineStr">
        <is>
          <t>Gogniat</t>
        </is>
      </c>
      <c r="O40" s="18" t="inlineStr">
        <is>
          <t>Colector SC</t>
        </is>
      </c>
      <c r="P40" s="18" t="inlineStr">
        <is>
          <t>IRAM 3523 3.2.4.2 · IRAM 3550 3.2.2.2</t>
        </is>
      </c>
      <c r="Q40" s="37" t="inlineStr">
        <is>
          <t>C</t>
        </is>
      </c>
      <c r="R40" s="37" t="n"/>
      <c r="S4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41">
      <c r="A41" s="37" t="inlineStr">
        <is>
          <t>FL_REC_ABC_2.5kg</t>
        </is>
      </c>
      <c r="B41" s="37" t="n">
        <v>2</v>
      </c>
      <c r="C41" s="37" t="inlineStr">
        <is>
          <t>ABC2.5-C3</t>
        </is>
      </c>
      <c r="D41" s="18" t="inlineStr">
        <is>
          <t xml:space="preserve">        Granalla de acero S330 / S390 (ISO 11124-3, SAE J444)</t>
        </is>
      </c>
      <c r="E41" s="37" t="n">
        <v>0.08</v>
      </c>
      <c r="F41" s="37" t="inlineStr">
        <is>
          <t>kg</t>
        </is>
      </c>
      <c r="G41" s="38" t="n"/>
      <c r="H41" s="38" t="n"/>
      <c r="I41" s="37" t="inlineStr">
        <is>
          <t>Granalla esférica alto C</t>
        </is>
      </c>
      <c r="J41" s="18" t="inlineStr">
        <is>
          <t>0,138 m² a Sa 2½ (ISO 8501-1); 3,4 kg/h ÷ 42,5 u/h</t>
        </is>
      </c>
      <c r="K41" s="37" t="inlineStr">
        <is>
          <t>Compra</t>
        </is>
      </c>
      <c r="L41" s="37" t="inlineStr">
        <is>
          <t>Sí</t>
        </is>
      </c>
      <c r="M41" s="18" t="inlineStr">
        <is>
          <t>CyM Materiales</t>
        </is>
      </c>
      <c r="N41" s="18" t="inlineStr">
        <is>
          <t>Roca Ingeniería</t>
        </is>
      </c>
      <c r="O41" s="18" t="inlineStr">
        <is>
          <t>14 Granallado (B08)</t>
        </is>
      </c>
      <c r="P41" s="18" t="inlineStr">
        <is>
          <t>DOC-01</t>
        </is>
      </c>
      <c r="Q41" s="37" t="inlineStr">
        <is>
          <t>C</t>
        </is>
      </c>
      <c r="R41" s="37" t="n"/>
      <c r="S41" s="18" t="inlineStr">
        <is>
          <t>Consumo (desgaste) por turbina ≈ HP / 2 lb/h (The Fabricator, «aspectos básicos del granallado por turbina»): G-100 con 2 × 7,5 HP = 7,5 lb/h = 3,4 kg/h; ritmo 340 u por turno (Getweld) = 42,5 u/h.</t>
        </is>
      </c>
    </row>
    <row r="42">
      <c r="A42" s="32" t="inlineStr">
        <is>
          <t>FL_REC_ABC_2.5kg</t>
        </is>
      </c>
      <c r="B42" s="32" t="n">
        <v>2</v>
      </c>
      <c r="C42" s="32" t="inlineStr">
        <is>
          <t>ABC2.5-C4</t>
        </is>
      </c>
      <c r="D42" s="17" t="inlineStr">
        <is>
          <t xml:space="preserve">        Servicio de pintura en polvo al horno, rojo 03-1-050</t>
        </is>
      </c>
      <c r="E42" s="32" t="n">
        <v>1</v>
      </c>
      <c r="F42" s="32" t="inlineStr">
        <is>
          <t>u</t>
        </is>
      </c>
      <c r="G42" s="33" t="n"/>
      <c r="H42" s="33" t="n"/>
      <c r="I42" s="32" t="inlineStr">
        <is>
          <t>Servicio tercerizado</t>
        </is>
      </c>
      <c r="J42" s="17" t="inlineStr">
        <is>
          <t>superficie exterior 0,138 m²</t>
        </is>
      </c>
      <c r="K42" s="32" t="inlineStr">
        <is>
          <t>Compra (servicio)</t>
        </is>
      </c>
      <c r="L42" s="32" t="inlineStr">
        <is>
          <t>Sí</t>
        </is>
      </c>
      <c r="M42" s="17" t="inlineStr">
        <is>
          <t>Prymax</t>
        </is>
      </c>
      <c r="N42" s="17" t="inlineStr">
        <is>
          <t>Pintor de carros (cotización por mensaje)</t>
        </is>
      </c>
      <c r="O42" s="17" t="inlineStr">
        <is>
          <t>17 Pintura tercerizada</t>
        </is>
      </c>
      <c r="P42" s="17" t="inlineStr">
        <is>
          <t>IRAM 3523 5.3 / IRAM 3550 3.11 · IRAM 121</t>
        </is>
      </c>
      <c r="Q42" s="32" t="inlineStr">
        <is>
          <t>Q</t>
        </is>
      </c>
      <c r="R42" s="32" t="n"/>
      <c r="S42" s="17" t="inlineStr">
        <is>
          <t>Q-PRYMAX (precio por cilindro); exigir informe de niebla salina del sistema de pintura; tercerización aceptada por el Ministerio (Res. 349/07 art. 18)</t>
        </is>
      </c>
    </row>
    <row r="43">
      <c r="A43" s="39" t="inlineStr">
        <is>
          <t>FL_REC_ABC_2.5kg</t>
        </is>
      </c>
      <c r="B43" s="39" t="n">
        <v>2</v>
      </c>
      <c r="C43" s="39" t="inlineStr">
        <is>
          <t>ABC2.5-T1</t>
        </is>
      </c>
      <c r="D43" s="19" t="inlineStr">
        <is>
          <t xml:space="preserve">        Tapón protector de rosca del cuello</t>
        </is>
      </c>
      <c r="E43" s="39" t="n">
        <v>1</v>
      </c>
      <c r="F43" s="39" t="inlineStr">
        <is>
          <t>u</t>
        </is>
      </c>
      <c r="G43" s="40" t="n"/>
      <c r="H43" s="40" t="n"/>
      <c r="I43" s="39" t="inlineStr">
        <is>
          <t>Polietileno</t>
        </is>
      </c>
      <c r="J43" s="19" t="inlineStr">
        <is>
          <t>para rosca M30x1,5 (plano FL_REC_ABC_2.5kg hoja 3, R4)</t>
        </is>
      </c>
      <c r="K43" s="39" t="inlineStr">
        <is>
          <t>Compra</t>
        </is>
      </c>
      <c r="L43" s="39" t="inlineStr">
        <is>
          <t>Sí</t>
        </is>
      </c>
      <c r="M43" s="19" t="inlineStr">
        <is>
          <t>-</t>
        </is>
      </c>
      <c r="N43" s="19" t="inlineStr">
        <is>
          <t>-</t>
        </is>
      </c>
      <c r="O43" s="19" t="inlineStr">
        <is>
          <t>Embalaje</t>
        </is>
      </c>
      <c r="P43" s="19" t="n"/>
      <c r="Q43" s="39" t="inlineStr">
        <is>
          <t>P</t>
        </is>
      </c>
      <c r="R43" s="39" t="n"/>
      <c r="S43" s="19" t="n"/>
    </row>
    <row r="44">
      <c r="A44" s="32" t="inlineStr">
        <is>
          <t>FL_REC_ABC_2.5kg</t>
        </is>
      </c>
      <c r="B44" s="32" t="n">
        <v>2</v>
      </c>
      <c r="C44" s="32" t="inlineStr">
        <is>
          <t>ABC2.5-T2</t>
        </is>
      </c>
      <c r="D44" s="17" t="inlineStr">
        <is>
          <t xml:space="preserve">        Marcado del recipiente: estampado en la cúpula, en arco junto al cuello (puesto de numerado de cúpula)</t>
        </is>
      </c>
      <c r="E44" s="32" t="n">
        <v>1</v>
      </c>
      <c r="F44" s="32" t="inlineStr">
        <is>
          <t>u</t>
        </is>
      </c>
      <c r="G44" s="33" t="n"/>
      <c r="H44" s="33" t="n"/>
      <c r="I44" s="32" t="inlineStr">
        <is>
          <t>-</t>
        </is>
      </c>
      <c r="J44" s="17" t="inlineStr">
        <is>
          <t>Fabricante, n° de serie, año; en arco junto al cuello, letra 5 mm; cuño DPS 15 × 7 junto al n°</t>
        </is>
      </c>
      <c r="K44" s="32" t="inlineStr">
        <is>
          <t>Proceso</t>
        </is>
      </c>
      <c r="L44" s="32" t="inlineStr">
        <is>
          <t>No</t>
        </is>
      </c>
      <c r="M44" s="17" t="n"/>
      <c r="N44" s="17" t="n"/>
      <c r="O44" s="17" t="inlineStr">
        <is>
          <t>Marcado</t>
        </is>
      </c>
      <c r="P44" s="17" t="inlineStr">
        <is>
          <t>IRAM 3523 5.1 · Res. 349/07 anexo IV</t>
        </is>
      </c>
      <c r="Q44" s="32" t="inlineStr">
        <is>
          <t>N</t>
        </is>
      </c>
      <c r="R44" s="32" t="n"/>
      <c r="S44" s="17" t="n"/>
    </row>
    <row r="45">
      <c r="A45" s="32" t="inlineStr">
        <is>
          <t>FL_REC_ABC_2.5kg</t>
        </is>
      </c>
      <c r="B45" s="32" t="n">
        <v>2</v>
      </c>
      <c r="C45" s="32" t="inlineStr">
        <is>
          <t>ABC2.5-T3</t>
        </is>
      </c>
      <c r="D45" s="17" t="inlineStr">
        <is>
          <t xml:space="preserve">        Etiqueta de identificación del cilindro suelto</t>
        </is>
      </c>
      <c r="E45" s="32" t="n">
        <v>1</v>
      </c>
      <c r="F45" s="32" t="inlineStr">
        <is>
          <t>u</t>
        </is>
      </c>
      <c r="G45" s="33" t="n"/>
      <c r="H45" s="33" t="n"/>
      <c r="I45" s="32" t="inlineStr">
        <is>
          <t>Poliéster autoadhesivo removible</t>
        </is>
      </c>
      <c r="J45" s="17" t="inlineStr">
        <is>
          <t>100 × 60, impresión térmica, QR GS1</t>
        </is>
      </c>
      <c r="K45" s="32" t="inlineStr">
        <is>
          <t>Compra</t>
        </is>
      </c>
      <c r="L45" s="32" t="inlineStr">
        <is>
          <t>Sí</t>
        </is>
      </c>
      <c r="M45" s="17" t="inlineStr">
        <is>
          <t>Astuprint</t>
        </is>
      </c>
      <c r="N45" s="17" t="inlineStr">
        <is>
          <t>GS1 Argentina</t>
        </is>
      </c>
      <c r="O45" s="17" t="inlineStr">
        <is>
          <t>Etiquetado</t>
        </is>
      </c>
      <c r="P45" s="17" t="n"/>
      <c r="Q45" s="32" t="inlineStr">
        <is>
          <t>P</t>
        </is>
      </c>
      <c r="R45" s="32" t="inlineStr">
        <is>
          <t>FL_REC_ABC_2.5kg hoja 3</t>
        </is>
      </c>
      <c r="S45" s="17" t="n"/>
    </row>
    <row r="46">
      <c r="A46" s="32" t="inlineStr">
        <is>
          <t>FL_REC_ABC_2.5kg</t>
        </is>
      </c>
      <c r="B46" s="32" t="n">
        <v>2</v>
      </c>
      <c r="C46" s="32" t="inlineStr">
        <is>
          <t>ABC2.5-T4</t>
        </is>
      </c>
      <c r="D46" s="17" t="inlineStr">
        <is>
          <t xml:space="preserve">        Protocolo de ensayo hidrostático (certificado que acompaña)</t>
        </is>
      </c>
      <c r="E46" s="32" t="n">
        <v>1</v>
      </c>
      <c r="F46" s="32" t="inlineStr">
        <is>
          <t>u</t>
        </is>
      </c>
      <c r="G46" s="33" t="n">
        <v>0.005</v>
      </c>
      <c r="H46" s="33">
        <f>E46*G46</f>
        <v/>
      </c>
      <c r="I46" s="32" t="inlineStr">
        <is>
          <t>Papel</t>
        </is>
      </c>
      <c r="J46" s="17" t="inlineStr">
        <is>
          <t>A5</t>
        </is>
      </c>
      <c r="K46" s="32" t="inlineStr">
        <is>
          <t>Proceso</t>
        </is>
      </c>
      <c r="L46" s="32" t="inlineStr">
        <is>
          <t>No</t>
        </is>
      </c>
      <c r="M46" s="17" t="n"/>
      <c r="N46" s="17" t="n"/>
      <c r="O46" s="17" t="inlineStr">
        <is>
          <t>Control de calidad</t>
        </is>
      </c>
      <c r="P46" s="17" t="inlineStr">
        <is>
          <t>IRAM 3523 4.1 y cap. 6 · IRAM 2587</t>
        </is>
      </c>
      <c r="Q46" s="32" t="inlineStr">
        <is>
          <t>N</t>
        </is>
      </c>
      <c r="R46" s="32" t="inlineStr">
        <is>
          <t>FL_REC_ABC_2.5kg hoja 3</t>
        </is>
      </c>
      <c r="S46" s="17" t="n"/>
    </row>
    <row r="47">
      <c r="A47" s="29" t="inlineStr">
        <is>
          <t>FL_REC_ABC_2.5kg</t>
        </is>
      </c>
      <c r="B47" s="29" t="n">
        <v>1</v>
      </c>
      <c r="C47" s="29" t="inlineStr">
        <is>
          <t>ABC2.5-S7</t>
        </is>
      </c>
      <c r="D47" s="30" t="inlineStr">
        <is>
          <t xml:space="preserve">    Embalaje</t>
        </is>
      </c>
      <c r="E47" s="29" t="n">
        <v>1</v>
      </c>
      <c r="F47" s="29" t="inlineStr">
        <is>
          <t>u</t>
        </is>
      </c>
      <c r="G47" s="31" t="n"/>
      <c r="H47" s="31">
        <f>H50</f>
        <v/>
      </c>
      <c r="I47" s="29" t="n"/>
      <c r="J47" s="30" t="n"/>
      <c r="K47" s="29" t="inlineStr">
        <is>
          <t>Compra</t>
        </is>
      </c>
      <c r="L47" s="29" t="n"/>
      <c r="M47" s="30" t="n"/>
      <c r="N47" s="30" t="n"/>
      <c r="O47" s="30" t="inlineStr">
        <is>
          <t>23 Embalaje -&gt; 24 envolvedora (T11)</t>
        </is>
      </c>
      <c r="P47" s="30" t="n"/>
      <c r="Q47" s="29" t="n"/>
      <c r="R47" s="29" t="n"/>
      <c r="S47" s="30" t="n"/>
    </row>
    <row r="48">
      <c r="A48" s="32" t="inlineStr">
        <is>
          <t>FL_REC_ABC_2.5kg</t>
        </is>
      </c>
      <c r="B48" s="32" t="n">
        <v>2</v>
      </c>
      <c r="C48" s="32" t="inlineStr">
        <is>
          <t>ABC2.5-E1</t>
        </is>
      </c>
      <c r="D48" s="17" t="inlineStr">
        <is>
          <t xml:space="preserve">        Caja de cartón corrugado simple</t>
        </is>
      </c>
      <c r="E48" s="32" t="n">
        <v>1</v>
      </c>
      <c r="F48" s="32" t="inlineStr">
        <is>
          <t>u</t>
        </is>
      </c>
      <c r="G48" s="33" t="n"/>
      <c r="H48" s="33" t="n"/>
      <c r="I48" s="32" t="inlineStr">
        <is>
          <t>Cartón corrugado</t>
        </is>
      </c>
      <c r="J48" s="17" t="inlineStr">
        <is>
          <t>154 × 154 × 334 interior (envolvente del plano + 15 por lado)</t>
        </is>
      </c>
      <c r="K48" s="32" t="inlineStr">
        <is>
          <t>Compra</t>
        </is>
      </c>
      <c r="L48" s="32" t="inlineStr">
        <is>
          <t>Sí</t>
        </is>
      </c>
      <c r="M48" s="17" t="inlineStr">
        <is>
          <t>Maxipack</t>
        </is>
      </c>
      <c r="N48" s="17" t="inlineStr">
        <is>
          <t>Cartocan</t>
        </is>
      </c>
      <c r="O48" s="17" t="inlineStr">
        <is>
          <t>23 Embalaje</t>
        </is>
      </c>
      <c r="P48" s="17" t="n"/>
      <c r="Q48" s="32" t="inlineStr">
        <is>
          <t>P</t>
        </is>
      </c>
      <c r="R48" s="32" t="n"/>
      <c r="S48" s="17" t="inlineStr">
        <is>
          <t>Medida del plano</t>
        </is>
      </c>
    </row>
    <row r="49">
      <c r="A49" s="32" t="inlineStr">
        <is>
          <t>FL_REC_ABC_2.5kg</t>
        </is>
      </c>
      <c r="B49" s="32" t="n">
        <v>2</v>
      </c>
      <c r="C49" s="32" t="inlineStr">
        <is>
          <t>ABC2.5-E3</t>
        </is>
      </c>
      <c r="D49" s="17" t="inlineStr">
        <is>
          <t xml:space="preserve">        Pallet 1200 × 1000 (fracción)</t>
        </is>
      </c>
      <c r="E49" s="32" t="n">
        <v>0.006</v>
      </c>
      <c r="F49" s="32" t="inlineStr">
        <is>
          <t>u</t>
        </is>
      </c>
      <c r="G49" s="33" t="n"/>
      <c r="H49" s="33" t="n"/>
      <c r="I49" s="32" t="inlineStr">
        <is>
          <t>Madera</t>
        </is>
      </c>
      <c r="J49" s="17" t="inlineStr">
        <is>
          <t>168 u por pallet</t>
        </is>
      </c>
      <c r="K49" s="32" t="inlineStr">
        <is>
          <t>Compra</t>
        </is>
      </c>
      <c r="L49" s="32" t="inlineStr">
        <is>
          <t>Sí</t>
        </is>
      </c>
      <c r="M49" s="17" t="inlineStr">
        <is>
          <t>IndusPallets</t>
        </is>
      </c>
      <c r="N49" s="17" t="inlineStr">
        <is>
          <t>-</t>
        </is>
      </c>
      <c r="O49" s="17" t="inlineStr">
        <is>
          <t>23 Embalaje</t>
        </is>
      </c>
      <c r="P49" s="17" t="n"/>
      <c r="Q49" s="32" t="inlineStr">
        <is>
          <t>C</t>
        </is>
      </c>
      <c r="R49" s="32" t="n"/>
      <c r="S49" s="17" t="inlineStr">
        <is>
          <t>u por pallet = acomodo de la caja (plano) en 1200 × 1000 × 1450 de alto</t>
        </is>
      </c>
    </row>
    <row r="50">
      <c r="A50" s="37" t="inlineStr">
        <is>
          <t>FL_REC_ABC_2.5kg</t>
        </is>
      </c>
      <c r="B50" s="37" t="n">
        <v>2</v>
      </c>
      <c r="C50" s="37" t="inlineStr">
        <is>
          <t>ABC2.5-E4</t>
        </is>
      </c>
      <c r="D50" s="18" t="inlineStr">
        <is>
          <t xml:space="preserve">        Film stretch (fracción del pallet)</t>
        </is>
      </c>
      <c r="E50" s="37" t="n">
        <v>0.0007</v>
      </c>
      <c r="F50" s="37" t="inlineStr">
        <is>
          <t>kg</t>
        </is>
      </c>
      <c r="G50" s="38" t="n">
        <v>1</v>
      </c>
      <c r="H50" s="38">
        <f>E50*G50</f>
        <v/>
      </c>
      <c r="I50" s="37" t="inlineStr">
        <is>
          <t>PE lineal 23 µm</t>
        </is>
      </c>
      <c r="J50" s="18" t="inlineStr">
        <is>
          <t>0,12 kg por pallet / 168 u</t>
        </is>
      </c>
      <c r="K50" s="37" t="inlineStr">
        <is>
          <t>Compra</t>
        </is>
      </c>
      <c r="L50" s="37" t="inlineStr">
        <is>
          <t>Sí</t>
        </is>
      </c>
      <c r="M50" s="18" t="inlineStr">
        <is>
          <t>MV Embalajes</t>
        </is>
      </c>
      <c r="N50" s="18" t="inlineStr">
        <is>
          <t>Embalpack</t>
        </is>
      </c>
      <c r="O50" s="18" t="inlineStr">
        <is>
          <t>24 Envolvedora (T11)</t>
        </is>
      </c>
      <c r="P50" s="18" t="n"/>
      <c r="Q50" s="37" t="inlineStr">
        <is>
          <t>C</t>
        </is>
      </c>
      <c r="R50" s="37" t="n"/>
      <c r="S50"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1">
      <c r="A51" s="32" t="inlineStr">
        <is>
          <t>FL_REC_ABC_2.5kg</t>
        </is>
      </c>
      <c r="B51" s="32" t="n">
        <v>2</v>
      </c>
      <c r="C51" s="32" t="inlineStr">
        <is>
          <t>ABC2.5-E5</t>
        </is>
      </c>
      <c r="D51" s="17" t="inlineStr">
        <is>
          <t xml:space="preserve">        Etiqueta de pallet (lote y destino, fracción)</t>
        </is>
      </c>
      <c r="E51" s="32" t="n">
        <v>0.006</v>
      </c>
      <c r="F51" s="32" t="inlineStr">
        <is>
          <t>u</t>
        </is>
      </c>
      <c r="G51" s="33" t="n"/>
      <c r="H51" s="33" t="n"/>
      <c r="I51" s="32" t="inlineStr">
        <is>
          <t>Papel térmico</t>
        </is>
      </c>
      <c r="J51" s="17" t="inlineStr">
        <is>
          <t>100 × 150</t>
        </is>
      </c>
      <c r="K51" s="32" t="inlineStr">
        <is>
          <t>Compra</t>
        </is>
      </c>
      <c r="L51" s="32" t="inlineStr">
        <is>
          <t>Sí</t>
        </is>
      </c>
      <c r="M51" s="17" t="inlineStr">
        <is>
          <t>Astuprint</t>
        </is>
      </c>
      <c r="N51" s="17" t="inlineStr">
        <is>
          <t>Multilabel Argentina S.A.</t>
        </is>
      </c>
      <c r="O51" s="17" t="inlineStr">
        <is>
          <t>24 Envolvedora</t>
        </is>
      </c>
      <c r="P51" s="17" t="n"/>
      <c r="Q51" s="32" t="inlineStr">
        <is>
          <t>C</t>
        </is>
      </c>
      <c r="R51" s="32" t="n"/>
      <c r="S51" s="17" t="n"/>
    </row>
    <row r="52">
      <c r="A52" s="37" t="inlineStr">
        <is>
          <t>FL_REC_ABC_2.5kg</t>
        </is>
      </c>
      <c r="B52" s="37" t="n">
        <v>2</v>
      </c>
      <c r="C52" s="37" t="inlineStr">
        <is>
          <t>ABC2.5-E6</t>
        </is>
      </c>
      <c r="D52" s="18" t="inlineStr">
        <is>
          <t xml:space="preserve">        Cinta de embalaje PP 48 mm (cierre de la caja)</t>
        </is>
      </c>
      <c r="E52" s="37" t="n">
        <v>0.588</v>
      </c>
      <c r="F52" s="37" t="inlineStr">
        <is>
          <t>m</t>
        </is>
      </c>
      <c r="G52" s="38" t="n"/>
      <c r="H52" s="38" t="n"/>
      <c r="I52" s="37" t="inlineStr">
        <is>
          <t>Polipropileno con adhesivo acrílico</t>
        </is>
      </c>
      <c r="J52" s="18" t="inlineStr">
        <is>
          <t>cierre en I arriba y abajo: 2 × (154 + 2 × 70 de solapa)</t>
        </is>
      </c>
      <c r="K52" s="37" t="inlineStr">
        <is>
          <t>Compra</t>
        </is>
      </c>
      <c r="L52" s="37" t="inlineStr">
        <is>
          <t>Sí</t>
        </is>
      </c>
      <c r="M52" s="18" t="inlineStr">
        <is>
          <t>MV Embalajes</t>
        </is>
      </c>
      <c r="N52" s="18" t="inlineStr">
        <is>
          <t>Embalpack</t>
        </is>
      </c>
      <c r="O52" s="18" t="inlineStr">
        <is>
          <t>23 Embalaje</t>
        </is>
      </c>
      <c r="P52" s="18" t="n"/>
      <c r="Q52" s="37" t="inlineStr">
        <is>
          <t>C</t>
        </is>
      </c>
      <c r="R52" s="37" t="n"/>
      <c r="S52" s="18" t="inlineStr">
        <is>
          <t>Solapa de 70 mm por lado: práctica de cierre de cajas (medir en la línea)</t>
        </is>
      </c>
    </row>
    <row r="53">
      <c r="A53" s="32" t="inlineStr">
        <is>
          <t>FL_REC_ABC_2.5kg</t>
        </is>
      </c>
      <c r="B53" s="32" t="n">
        <v>2</v>
      </c>
      <c r="C53" s="32" t="inlineStr">
        <is>
          <t>ABC2.5-E7</t>
        </is>
      </c>
      <c r="D53" s="17" t="inlineStr">
        <is>
          <t xml:space="preserve">        Esquineros de cartón 50 × 50 × 1200 (fracción del pallet)</t>
        </is>
      </c>
      <c r="E53" s="32" t="n">
        <v>0.0238</v>
      </c>
      <c r="F53" s="32" t="inlineStr">
        <is>
          <t>u</t>
        </is>
      </c>
      <c r="G53" s="33" t="n"/>
      <c r="H53" s="33" t="n"/>
      <c r="I53" s="32" t="inlineStr">
        <is>
          <t>Cartón</t>
        </is>
      </c>
      <c r="J53" s="17" t="inlineStr">
        <is>
          <t>4 por pallet / 168 u</t>
        </is>
      </c>
      <c r="K53" s="32" t="inlineStr">
        <is>
          <t>Compra</t>
        </is>
      </c>
      <c r="L53" s="32" t="inlineStr">
        <is>
          <t>Sí</t>
        </is>
      </c>
      <c r="M53" s="17" t="inlineStr">
        <is>
          <t>Maxipack</t>
        </is>
      </c>
      <c r="N53" s="17" t="inlineStr">
        <is>
          <t>Cartocan</t>
        </is>
      </c>
      <c r="O53" s="17" t="inlineStr">
        <is>
          <t>24 Envolvedora (T11)</t>
        </is>
      </c>
      <c r="P53" s="17" t="n"/>
      <c r="Q53" s="32" t="inlineStr">
        <is>
          <t>C</t>
        </is>
      </c>
      <c r="R53" s="32" t="n"/>
      <c r="S53" s="17" t="inlineStr">
        <is>
          <t>Planilla MP-64</t>
        </is>
      </c>
    </row>
    <row r="54">
      <c r="A54" s="32" t="inlineStr">
        <is>
          <t>FL_REC_ABC_2.5kg</t>
        </is>
      </c>
      <c r="B54" s="32" t="n">
        <v>2</v>
      </c>
      <c r="C54" s="32" t="inlineStr">
        <is>
          <t>ABC2.5-E8</t>
        </is>
      </c>
      <c r="D54" s="17" t="inlineStr">
        <is>
          <t xml:space="preserve">        Separador de capa de cartón 1200 × 1000 (fracción del pallet)</t>
        </is>
      </c>
      <c r="E54" s="32" t="n">
        <v>0.0179</v>
      </c>
      <c r="F54" s="32" t="inlineStr">
        <is>
          <t>u</t>
        </is>
      </c>
      <c r="G54" s="33" t="n"/>
      <c r="H54" s="33" t="n"/>
      <c r="I54" s="32" t="inlineStr">
        <is>
          <t>Cartón</t>
        </is>
      </c>
      <c r="J54" s="17" t="inlineStr">
        <is>
          <t>4 capas → 3 separadores por pallet / 168 u</t>
        </is>
      </c>
      <c r="K54" s="32" t="inlineStr">
        <is>
          <t>Compra</t>
        </is>
      </c>
      <c r="L54" s="32" t="inlineStr">
        <is>
          <t>Sí</t>
        </is>
      </c>
      <c r="M54" s="17" t="inlineStr">
        <is>
          <t>Maxipack</t>
        </is>
      </c>
      <c r="N54" s="17" t="inlineStr">
        <is>
          <t>Cartocan</t>
        </is>
      </c>
      <c r="O54" s="17" t="inlineStr">
        <is>
          <t>23 Embalaje</t>
        </is>
      </c>
      <c r="P54" s="17" t="n"/>
      <c r="Q54" s="32" t="inlineStr">
        <is>
          <t>C</t>
        </is>
      </c>
      <c r="R54" s="32" t="n"/>
      <c r="S54" s="17" t="inlineStr">
        <is>
          <t>Planilla MP-61</t>
        </is>
      </c>
    </row>
    <row r="55">
      <c r="A55" s="26" t="inlineStr">
        <is>
          <t>FL_REC_ABC_5kg</t>
        </is>
      </c>
      <c r="B55" s="26" t="n">
        <v>0</v>
      </c>
      <c r="C55" s="26" t="inlineStr">
        <is>
          <t>FL_REC_ABC_5kg</t>
        </is>
      </c>
      <c r="D55" s="27" t="inlineStr">
        <is>
          <t>Cilindro (recipiente) ABC 5 kg - repuesto vacío sin válvula</t>
        </is>
      </c>
      <c r="E55" s="26" t="n">
        <v>1</v>
      </c>
      <c r="F55" s="26" t="inlineStr">
        <is>
          <t>u</t>
        </is>
      </c>
      <c r="G55" s="28" t="n"/>
      <c r="H55" s="28" t="n"/>
      <c r="I55" s="26" t="n"/>
      <c r="J55" s="27" t="n"/>
      <c r="K55" s="26" t="n"/>
      <c r="L55" s="26" t="n"/>
      <c r="M55" s="27" t="n"/>
      <c r="N55" s="27" t="n"/>
      <c r="O55" s="27" t="n"/>
      <c r="P55" s="27" t="inlineStr">
        <is>
          <t>IRAM 3523</t>
        </is>
      </c>
      <c r="Q55" s="26" t="inlineStr">
        <is>
          <t>P</t>
        </is>
      </c>
      <c r="R55" s="26" t="inlineStr">
        <is>
          <t>FL_REC_ABC_5kg</t>
        </is>
      </c>
      <c r="S55" s="27" t="inlineStr">
        <is>
          <t>Fabricación propia</t>
        </is>
      </c>
    </row>
    <row r="56">
      <c r="A56" s="29" t="inlineStr">
        <is>
          <t>FL_REC_ABC_5kg</t>
        </is>
      </c>
      <c r="B56" s="29" t="n">
        <v>1</v>
      </c>
      <c r="C56" s="29" t="inlineStr">
        <is>
          <t>ABC5-S1</t>
        </is>
      </c>
      <c r="D56" s="30" t="inlineStr">
        <is>
          <t xml:space="preserve">    Recipiente (cilindro)</t>
        </is>
      </c>
      <c r="E56" s="29" t="n">
        <v>1</v>
      </c>
      <c r="F56" s="29" t="inlineStr">
        <is>
          <t>u</t>
        </is>
      </c>
      <c r="G56" s="31" t="n"/>
      <c r="H56" s="31">
        <f>H57+H59+H61+H63+H64+H71</f>
        <v/>
      </c>
      <c r="I56" s="29" t="n"/>
      <c r="J56" s="30" t="n"/>
      <c r="K56" s="29" t="inlineStr">
        <is>
          <t>Fabricación</t>
        </is>
      </c>
      <c r="L56" s="29" t="n"/>
      <c r="M56" s="30" t="n"/>
      <c r="N56" s="30" t="n"/>
      <c r="O56" s="30" t="n"/>
      <c r="P56" s="30" t="inlineStr">
        <is>
          <t>IRAM 3523 / 3550 (recipiente)</t>
        </is>
      </c>
      <c r="Q56" s="29" t="inlineStr">
        <is>
          <t>P</t>
        </is>
      </c>
      <c r="R56" s="29" t="inlineStr">
        <is>
          <t>FL_DES_ABC_5kg</t>
        </is>
      </c>
      <c r="S56" s="30" t="n"/>
    </row>
    <row r="57">
      <c r="A57" s="32" t="inlineStr">
        <is>
          <t>FL_REC_ABC_5kg</t>
        </is>
      </c>
      <c r="B57" s="32" t="n">
        <v>2</v>
      </c>
      <c r="C57" s="32" t="inlineStr">
        <is>
          <t>ABC5-01</t>
        </is>
      </c>
      <c r="D57" s="17" t="inlineStr">
        <is>
          <t xml:space="preserve">        Cuerpo (virola)</t>
        </is>
      </c>
      <c r="E57" s="32" t="n">
        <v>1</v>
      </c>
      <c r="F57" s="32" t="inlineStr">
        <is>
          <t>u</t>
        </is>
      </c>
      <c r="G57" s="33" t="n">
        <v>1.9541</v>
      </c>
      <c r="H57" s="33">
        <f>E57*G57</f>
        <v/>
      </c>
      <c r="I57" s="32" t="inlineStr">
        <is>
          <t>Chapa LAF IRAM-IAS U 500-05 e=1,6</t>
        </is>
      </c>
      <c r="J57" s="17" t="inlineStr">
        <is>
          <t>Ø153 × e1,6 × 327,3 de alto; desarrollo 475,6 × 327,3</t>
        </is>
      </c>
      <c r="K57" s="32" t="inlineStr">
        <is>
          <t>Fabricación</t>
        </is>
      </c>
      <c r="L57" s="32" t="inlineStr">
        <is>
          <t>No</t>
        </is>
      </c>
      <c r="M57" s="17" t="n"/>
      <c r="N57" s="17" t="n"/>
      <c r="O57" s="17" t="inlineStr">
        <is>
          <t>1 Guillotina -&gt; 3 cilindrado -&gt; 4 soldadura longitudinal -&gt; 9 encastre del fondo -&gt; 10 bordoneado</t>
        </is>
      </c>
      <c r="P57" s="17" t="n"/>
      <c r="Q57" s="32" t="inlineStr">
        <is>
          <t>P</t>
        </is>
      </c>
      <c r="R57" s="32" t="inlineStr">
        <is>
          <t>FL_DES_ABC_5kg</t>
        </is>
      </c>
      <c r="S57" s="17" t="inlineStr">
        <is>
          <t>costura long. MAG</t>
        </is>
      </c>
    </row>
    <row r="58">
      <c r="A58" s="34" t="inlineStr">
        <is>
          <t>FL_REC_ABC_5kg</t>
        </is>
      </c>
      <c r="B58" s="34" t="n">
        <v>3</v>
      </c>
      <c r="C58" s="34" t="inlineStr">
        <is>
          <t>MP-HOJA</t>
        </is>
      </c>
      <c r="D58" s="35" t="inlineStr">
        <is>
          <t xml:space="preserve">            Recorte de hoja LAF 1000 × 2000 e=1,6</t>
        </is>
      </c>
      <c r="E58" s="34" t="n">
        <v>1</v>
      </c>
      <c r="F58" s="34" t="inlineStr">
        <is>
          <t>u</t>
        </is>
      </c>
      <c r="G58" s="36" t="n">
        <v>2.092</v>
      </c>
      <c r="H58" s="36">
        <f>E58*G58</f>
        <v/>
      </c>
      <c r="I58" s="34" t="inlineStr">
        <is>
          <t>Chapa LAF IRAM-IAS U 500-05 LAF</t>
        </is>
      </c>
      <c r="J58" s="35" t="inlineStr">
        <is>
          <t>330 × 474,5 (aprovech. 94 %)</t>
        </is>
      </c>
      <c r="K58" s="34" t="inlineStr">
        <is>
          <t>Compra</t>
        </is>
      </c>
      <c r="L58" s="34" t="inlineStr">
        <is>
          <t>Sí</t>
        </is>
      </c>
      <c r="M58" s="35" t="inlineStr">
        <is>
          <t>Pradecon S.A.</t>
        </is>
      </c>
      <c r="N58" s="35" t="inlineStr">
        <is>
          <t>Pacheco Chapas</t>
        </is>
      </c>
      <c r="O58" s="35" t="inlineStr">
        <is>
          <t>AL-1H paquetes de hojas</t>
        </is>
      </c>
      <c r="P58" s="35" t="n"/>
      <c r="Q58" s="34" t="inlineStr">
        <is>
          <t>L</t>
        </is>
      </c>
      <c r="R58" s="34" t="inlineStr">
        <is>
          <t>FL_PI_04 h2</t>
        </is>
      </c>
      <c r="S58" s="35" t="n"/>
    </row>
    <row r="59">
      <c r="A59" s="32" t="inlineStr">
        <is>
          <t>FL_REC_ABC_5kg</t>
        </is>
      </c>
      <c r="B59" s="32" t="n">
        <v>2</v>
      </c>
      <c r="C59" s="32" t="inlineStr">
        <is>
          <t>ABC5-02</t>
        </is>
      </c>
      <c r="D59" s="17" t="inlineStr">
        <is>
          <t xml:space="preserve">        Cúpula</t>
        </is>
      </c>
      <c r="E59" s="32" t="n">
        <v>1</v>
      </c>
      <c r="F59" s="32" t="inlineStr">
        <is>
          <t>u</t>
        </is>
      </c>
      <c r="G59" s="33" t="n">
        <v>0.3608</v>
      </c>
      <c r="H59" s="33">
        <f>E59*G59</f>
        <v/>
      </c>
      <c r="I59" s="32" t="inlineStr">
        <is>
          <t>Chapa LAF IRAM-IAS U 500-05 e=1,6</t>
        </is>
      </c>
      <c r="J59" s="17" t="inlineStr">
        <is>
          <t>Ø153 × e1,6 × 53,2 de alto; disco Ø221</t>
        </is>
      </c>
      <c r="K59" s="32" t="inlineStr">
        <is>
          <t>Fabricación</t>
        </is>
      </c>
      <c r="L59" s="32" t="inlineStr">
        <is>
          <t>No</t>
        </is>
      </c>
      <c r="M59" s="17" t="n"/>
      <c r="N59" s="17" t="n"/>
      <c r="O59" s="17" t="inlineStr">
        <is>
          <t>6 Desbobinado + embutido (M06-M08) -&gt; numerado de cúpula (micropercusión, en arco junto al cuello) -&gt; 8 soldadura de cuello</t>
        </is>
      </c>
      <c r="P59" s="17" t="n"/>
      <c r="Q59" s="32" t="inlineStr">
        <is>
          <t>P</t>
        </is>
      </c>
      <c r="R59" s="32" t="inlineStr">
        <is>
          <t>FL_DES_ABC_5kg</t>
        </is>
      </c>
      <c r="S59" s="17" t="inlineStr">
        <is>
          <t>embutida</t>
        </is>
      </c>
    </row>
    <row r="60">
      <c r="A60" s="34" t="inlineStr">
        <is>
          <t>FL_REC_ABC_5kg</t>
        </is>
      </c>
      <c r="B60" s="34" t="n">
        <v>3</v>
      </c>
      <c r="C60" s="34" t="inlineStr">
        <is>
          <t>MP-FLEJE</t>
        </is>
      </c>
      <c r="D60" s="35" t="inlineStr">
        <is>
          <t xml:space="preserve">            Fleje e=1,6 × 250 (paso 224)</t>
        </is>
      </c>
      <c r="E60" s="34" t="n">
        <v>0.224</v>
      </c>
      <c r="F60" s="34" t="inlineStr">
        <is>
          <t>m</t>
        </is>
      </c>
      <c r="G60" s="36" t="n">
        <v>3.14</v>
      </c>
      <c r="H60" s="36">
        <f>E60*G60</f>
        <v/>
      </c>
      <c r="I60" s="34" t="inlineStr">
        <is>
          <t>Fleje SAE 1010</t>
        </is>
      </c>
      <c r="J60" s="35" t="inlineStr">
        <is>
          <t>disco Ø221 (kg por m de fleje)</t>
        </is>
      </c>
      <c r="K60" s="34" t="inlineStr">
        <is>
          <t>Compra</t>
        </is>
      </c>
      <c r="L60" s="34" t="inlineStr">
        <is>
          <t>Sí</t>
        </is>
      </c>
      <c r="M60" s="35" t="inlineStr">
        <is>
          <t>Pacheco Chapas</t>
        </is>
      </c>
      <c r="N60" s="35" t="inlineStr">
        <is>
          <t>Pradecon S.A.</t>
        </is>
      </c>
      <c r="O60" s="35" t="inlineStr">
        <is>
          <t>AL-1F porta-flejes</t>
        </is>
      </c>
      <c r="P60" s="35" t="n"/>
      <c r="Q60" s="34" t="inlineStr">
        <is>
          <t>L</t>
        </is>
      </c>
      <c r="R60" s="34" t="inlineStr">
        <is>
          <t>FL_PI_04 h2</t>
        </is>
      </c>
      <c r="S60" s="35" t="n"/>
    </row>
    <row r="61">
      <c r="A61" s="32" t="inlineStr">
        <is>
          <t>FL_REC_ABC_5kg</t>
        </is>
      </c>
      <c r="B61" s="32" t="n">
        <v>2</v>
      </c>
      <c r="C61" s="32" t="inlineStr">
        <is>
          <t>ABC5-03</t>
        </is>
      </c>
      <c r="D61" s="17" t="inlineStr">
        <is>
          <t xml:space="preserve">        Fondo</t>
        </is>
      </c>
      <c r="E61" s="32" t="n">
        <v>1</v>
      </c>
      <c r="F61" s="32" t="inlineStr">
        <is>
          <t>u</t>
        </is>
      </c>
      <c r="G61" s="33" t="n">
        <v>0.3173</v>
      </c>
      <c r="H61" s="33">
        <f>E61*G61</f>
        <v/>
      </c>
      <c r="I61" s="32" t="inlineStr">
        <is>
          <t>Chapa LAF IRAM-IAS U 500-05 e=1,6</t>
        </is>
      </c>
      <c r="J61" s="17" t="inlineStr">
        <is>
          <t>Ø153 × e1,6 × 26 de alto; disco Ø177</t>
        </is>
      </c>
      <c r="K61" s="32" t="inlineStr">
        <is>
          <t>Fabricación</t>
        </is>
      </c>
      <c r="L61" s="32" t="inlineStr">
        <is>
          <t>No</t>
        </is>
      </c>
      <c r="M61" s="17" t="n"/>
      <c r="N61" s="17" t="n"/>
      <c r="O61" s="17" t="inlineStr">
        <is>
          <t>6 Desbobinado + embutido (M06-M08)</t>
        </is>
      </c>
      <c r="P61" s="17" t="n"/>
      <c r="Q61" s="32" t="inlineStr">
        <is>
          <t>P</t>
        </is>
      </c>
      <c r="R61" s="32" t="inlineStr">
        <is>
          <t>FL_DES_ABC_5kg</t>
        </is>
      </c>
      <c r="S61" s="17" t="inlineStr">
        <is>
          <t>embutido</t>
        </is>
      </c>
    </row>
    <row r="62">
      <c r="A62" s="34" t="inlineStr">
        <is>
          <t>FL_REC_ABC_5kg</t>
        </is>
      </c>
      <c r="B62" s="34" t="n">
        <v>3</v>
      </c>
      <c r="C62" s="34" t="inlineStr">
        <is>
          <t>MP-FLEJE</t>
        </is>
      </c>
      <c r="D62" s="35" t="inlineStr">
        <is>
          <t xml:space="preserve">            Fleje e=1,6 × 200 (paso 180)</t>
        </is>
      </c>
      <c r="E62" s="34" t="n">
        <v>0.18</v>
      </c>
      <c r="F62" s="34" t="inlineStr">
        <is>
          <t>m</t>
        </is>
      </c>
      <c r="G62" s="36" t="n">
        <v>2.512</v>
      </c>
      <c r="H62" s="36">
        <f>E62*G62</f>
        <v/>
      </c>
      <c r="I62" s="34" t="inlineStr">
        <is>
          <t>Fleje SAE 1010</t>
        </is>
      </c>
      <c r="J62" s="35" t="inlineStr">
        <is>
          <t>disco Ø177 (kg por m de fleje)</t>
        </is>
      </c>
      <c r="K62" s="34" t="inlineStr">
        <is>
          <t>Compra</t>
        </is>
      </c>
      <c r="L62" s="34" t="inlineStr">
        <is>
          <t>Sí</t>
        </is>
      </c>
      <c r="M62" s="35" t="inlineStr">
        <is>
          <t>Pacheco Chapas</t>
        </is>
      </c>
      <c r="N62" s="35" t="inlineStr">
        <is>
          <t>Pradecon S.A.</t>
        </is>
      </c>
      <c r="O62" s="35" t="inlineStr">
        <is>
          <t>AL-1F porta-flejes</t>
        </is>
      </c>
      <c r="P62" s="35" t="n"/>
      <c r="Q62" s="34" t="inlineStr">
        <is>
          <t>L</t>
        </is>
      </c>
      <c r="R62" s="34" t="inlineStr">
        <is>
          <t>FL_PI_04 h2</t>
        </is>
      </c>
      <c r="S62" s="35" t="n"/>
    </row>
    <row r="63">
      <c r="A63" s="32" t="inlineStr">
        <is>
          <t>FL_REC_ABC_5kg</t>
        </is>
      </c>
      <c r="B63" s="32" t="n">
        <v>2</v>
      </c>
      <c r="C63" s="32" t="inlineStr">
        <is>
          <t>ABC5-04</t>
        </is>
      </c>
      <c r="D63" s="17" t="inlineStr">
        <is>
          <t xml:space="preserve">        Cuello roscado</t>
        </is>
      </c>
      <c r="E63" s="32" t="n">
        <v>1</v>
      </c>
      <c r="F63" s="32" t="inlineStr">
        <is>
          <t>u</t>
        </is>
      </c>
      <c r="G63" s="33" t="n">
        <v>0.0589</v>
      </c>
      <c r="H63" s="33">
        <f>E63*G63</f>
        <v/>
      </c>
      <c r="I63" s="32" t="inlineStr">
        <is>
          <t>Acero SAE 1010</t>
        </is>
      </c>
      <c r="J63" s="17" t="inlineStr">
        <is>
          <t>Ø37 × 15 de alto, rosca M30x1,5, asiento Ø35</t>
        </is>
      </c>
      <c r="K63" s="32" t="inlineStr">
        <is>
          <t>Compra (mecanizado, Eli-Met)</t>
        </is>
      </c>
      <c r="L63" s="32" t="inlineStr">
        <is>
          <t>Sí</t>
        </is>
      </c>
      <c r="M63" s="17" t="inlineStr">
        <is>
          <t>Eli-Met</t>
        </is>
      </c>
      <c r="N63" s="17" t="inlineStr">
        <is>
          <t>-</t>
        </is>
      </c>
      <c r="O63" s="17" t="inlineStr">
        <is>
          <t>Compra -&gt; 8 soldadura de cuello</t>
        </is>
      </c>
      <c r="P63" s="17" t="n"/>
      <c r="Q63" s="32" t="inlineStr">
        <is>
          <t>P</t>
        </is>
      </c>
      <c r="R63" s="32" t="inlineStr">
        <is>
          <t>FL_DES_ABC_5kg</t>
        </is>
      </c>
      <c r="S63" s="17" t="inlineStr">
        <is>
          <t>M30x1,5</t>
        </is>
      </c>
    </row>
    <row r="64">
      <c r="A64" s="37" t="inlineStr">
        <is>
          <t>FL_REC_ABC_5kg</t>
        </is>
      </c>
      <c r="B64" s="37" t="n">
        <v>2</v>
      </c>
      <c r="C64" s="37" t="inlineStr">
        <is>
          <t>ABC5-C1</t>
        </is>
      </c>
      <c r="D64" s="18" t="inlineStr">
        <is>
          <t xml:space="preserve">        Alambre MAG ER70S-6 Ø0,9 (AWS A5.18)</t>
        </is>
      </c>
      <c r="E64" s="37" t="n">
        <v>0.0551</v>
      </c>
      <c r="F64" s="37" t="inlineStr">
        <is>
          <t>kg</t>
        </is>
      </c>
      <c r="G64" s="38" t="n">
        <v>0.95</v>
      </c>
      <c r="H64" s="38">
        <f>E64*G64</f>
        <v/>
      </c>
      <c r="I64" s="37" t="inlineStr">
        <is>
          <t>ER70S-6</t>
        </is>
      </c>
      <c r="J64" s="18" t="inlineStr">
        <is>
          <t>metal depositado de los cordones del plano 52 g / rendimiento 0,95</t>
        </is>
      </c>
      <c r="K64" s="37" t="inlineStr">
        <is>
          <t>Compra</t>
        </is>
      </c>
      <c r="L64" s="37" t="inlineStr">
        <is>
          <t>Sí</t>
        </is>
      </c>
      <c r="M64" s="18" t="inlineStr">
        <is>
          <t>Conarco (ESAB Argentina)</t>
        </is>
      </c>
      <c r="N64" s="18" t="inlineStr">
        <is>
          <t>-</t>
        </is>
      </c>
      <c r="O64" s="18" t="inlineStr">
        <is>
          <t>4 sold. long. / 8 cuello / 11 circunferencial</t>
        </is>
      </c>
      <c r="P64" s="18" t="inlineStr">
        <is>
          <t>IRAM 3523 3.2.4.2 · IRAM 3550 4.1.2</t>
        </is>
      </c>
      <c r="Q64" s="37" t="inlineStr">
        <is>
          <t>C</t>
        </is>
      </c>
      <c r="R64" s="37" t="n"/>
      <c r="S64"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65">
      <c r="A65" s="37" t="inlineStr">
        <is>
          <t>FL_REC_ABC_5kg</t>
        </is>
      </c>
      <c r="B65" s="37" t="n">
        <v>2</v>
      </c>
      <c r="C65" s="37" t="inlineStr">
        <is>
          <t>ABC5-C2</t>
        </is>
      </c>
      <c r="D65" s="18" t="inlineStr">
        <is>
          <t xml:space="preserve">        Gas de protección MAG Arcal 21 / ARCAL Speed (Ar + 8 % CO₂, M20)</t>
        </is>
      </c>
      <c r="E65" s="37" t="n">
        <v>32.8</v>
      </c>
      <c r="F65" s="37" t="inlineStr">
        <is>
          <t>L</t>
        </is>
      </c>
      <c r="G65" s="38" t="n"/>
      <c r="H65" s="38" t="n"/>
      <c r="I65" s="37" t="inlineStr">
        <is>
          <t>EN ISO 14175 M20-ArC-8</t>
        </is>
      </c>
      <c r="J65" s="18" t="inlineStr">
        <is>
          <t>14 L/min × 2,34 min de arco (cordones 1.405 mm: long. 327 + circ. 961 + cuello 116, a 600 mm/min)</t>
        </is>
      </c>
      <c r="K65" s="37" t="inlineStr">
        <is>
          <t>Compra</t>
        </is>
      </c>
      <c r="L65" s="37" t="inlineStr">
        <is>
          <t>Sí</t>
        </is>
      </c>
      <c r="M65" s="18" t="inlineStr">
        <is>
          <t>Air Liquide Argentina - sucursal Piñeyro</t>
        </is>
      </c>
      <c r="N65" s="18" t="inlineStr">
        <is>
          <t>Gogniat</t>
        </is>
      </c>
      <c r="O65" s="18" t="inlineStr">
        <is>
          <t>Colector SC</t>
        </is>
      </c>
      <c r="P65" s="18" t="inlineStr">
        <is>
          <t>IRAM 3523 3.2.4.2 · IRAM 3550 3.2.2.2</t>
        </is>
      </c>
      <c r="Q65" s="37" t="inlineStr">
        <is>
          <t>C</t>
        </is>
      </c>
      <c r="R65" s="37" t="n"/>
      <c r="S65"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66">
      <c r="A66" s="37" t="inlineStr">
        <is>
          <t>FL_REC_ABC_5kg</t>
        </is>
      </c>
      <c r="B66" s="37" t="n">
        <v>2</v>
      </c>
      <c r="C66" s="37" t="inlineStr">
        <is>
          <t>ABC5-C3</t>
        </is>
      </c>
      <c r="D66" s="18" t="inlineStr">
        <is>
          <t xml:space="preserve">        Granalla de acero S330 / S390 (ISO 11124-3, SAE J444)</t>
        </is>
      </c>
      <c r="E66" s="37" t="n">
        <v>0.08</v>
      </c>
      <c r="F66" s="37" t="inlineStr">
        <is>
          <t>kg</t>
        </is>
      </c>
      <c r="G66" s="38" t="n"/>
      <c r="H66" s="38" t="n"/>
      <c r="I66" s="37" t="inlineStr">
        <is>
          <t>Granalla esférica alto C</t>
        </is>
      </c>
      <c r="J66" s="18" t="inlineStr">
        <is>
          <t>0,21 m² a Sa 2½ (ISO 8501-1); 3,4 kg/h ÷ 42,5 u/h</t>
        </is>
      </c>
      <c r="K66" s="37" t="inlineStr">
        <is>
          <t>Compra</t>
        </is>
      </c>
      <c r="L66" s="37" t="inlineStr">
        <is>
          <t>Sí</t>
        </is>
      </c>
      <c r="M66" s="18" t="inlineStr">
        <is>
          <t>CyM Materiales</t>
        </is>
      </c>
      <c r="N66" s="18" t="inlineStr">
        <is>
          <t>Roca Ingeniería</t>
        </is>
      </c>
      <c r="O66" s="18" t="inlineStr">
        <is>
          <t>14 Granallado (B08)</t>
        </is>
      </c>
      <c r="P66" s="18" t="inlineStr">
        <is>
          <t>DOC-01</t>
        </is>
      </c>
      <c r="Q66" s="37" t="inlineStr">
        <is>
          <t>C</t>
        </is>
      </c>
      <c r="R66" s="37" t="n"/>
      <c r="S66" s="18" t="inlineStr">
        <is>
          <t>Consumo (desgaste) por turbina ≈ HP / 2 lb/h (The Fabricator, «aspectos básicos del granallado por turbina»): G-100 con 2 × 7,5 HP = 7,5 lb/h = 3,4 kg/h; ritmo 340 u por turno (Getweld) = 42,5 u/h.</t>
        </is>
      </c>
    </row>
    <row r="67">
      <c r="A67" s="32" t="inlineStr">
        <is>
          <t>FL_REC_ABC_5kg</t>
        </is>
      </c>
      <c r="B67" s="32" t="n">
        <v>2</v>
      </c>
      <c r="C67" s="32" t="inlineStr">
        <is>
          <t>ABC5-C4</t>
        </is>
      </c>
      <c r="D67" s="17" t="inlineStr">
        <is>
          <t xml:space="preserve">        Servicio de pintura en polvo al horno, rojo 03-1-050</t>
        </is>
      </c>
      <c r="E67" s="32" t="n">
        <v>1</v>
      </c>
      <c r="F67" s="32" t="inlineStr">
        <is>
          <t>u</t>
        </is>
      </c>
      <c r="G67" s="33" t="n"/>
      <c r="H67" s="33" t="n"/>
      <c r="I67" s="32" t="inlineStr">
        <is>
          <t>Servicio tercerizado</t>
        </is>
      </c>
      <c r="J67" s="17" t="inlineStr">
        <is>
          <t>superficie exterior 0,21 m²</t>
        </is>
      </c>
      <c r="K67" s="32" t="inlineStr">
        <is>
          <t>Compra (servicio)</t>
        </is>
      </c>
      <c r="L67" s="32" t="inlineStr">
        <is>
          <t>Sí</t>
        </is>
      </c>
      <c r="M67" s="17" t="inlineStr">
        <is>
          <t>Prymax</t>
        </is>
      </c>
      <c r="N67" s="17" t="inlineStr">
        <is>
          <t>Pintor de carros (cotización por mensaje)</t>
        </is>
      </c>
      <c r="O67" s="17" t="inlineStr">
        <is>
          <t>17 Pintura tercerizada</t>
        </is>
      </c>
      <c r="P67" s="17" t="inlineStr">
        <is>
          <t>IRAM 3523 5.3 / IRAM 3550 3.11 · IRAM 121</t>
        </is>
      </c>
      <c r="Q67" s="32" t="inlineStr">
        <is>
          <t>Q</t>
        </is>
      </c>
      <c r="R67" s="32" t="n"/>
      <c r="S67" s="17" t="inlineStr">
        <is>
          <t>Q-PRYMAX (precio por cilindro); exigir informe de niebla salina del sistema de pintura; tercerización aceptada por el Ministerio (Res. 349/07 art. 18)</t>
        </is>
      </c>
    </row>
    <row r="68">
      <c r="A68" s="39" t="inlineStr">
        <is>
          <t>FL_REC_ABC_5kg</t>
        </is>
      </c>
      <c r="B68" s="39" t="n">
        <v>2</v>
      </c>
      <c r="C68" s="39" t="inlineStr">
        <is>
          <t>ABC5-T1</t>
        </is>
      </c>
      <c r="D68" s="19" t="inlineStr">
        <is>
          <t xml:space="preserve">        Tapón protector de rosca del cuello</t>
        </is>
      </c>
      <c r="E68" s="39" t="n">
        <v>1</v>
      </c>
      <c r="F68" s="39" t="inlineStr">
        <is>
          <t>u</t>
        </is>
      </c>
      <c r="G68" s="40" t="n"/>
      <c r="H68" s="40" t="n"/>
      <c r="I68" s="39" t="inlineStr">
        <is>
          <t>Polietileno</t>
        </is>
      </c>
      <c r="J68" s="19" t="inlineStr">
        <is>
          <t>para rosca M30x1,5 (plano FL_REC_ABC_5kg hoja 3, R4)</t>
        </is>
      </c>
      <c r="K68" s="39" t="inlineStr">
        <is>
          <t>Compra</t>
        </is>
      </c>
      <c r="L68" s="39" t="inlineStr">
        <is>
          <t>Sí</t>
        </is>
      </c>
      <c r="M68" s="19" t="inlineStr">
        <is>
          <t>-</t>
        </is>
      </c>
      <c r="N68" s="19" t="inlineStr">
        <is>
          <t>-</t>
        </is>
      </c>
      <c r="O68" s="19" t="inlineStr">
        <is>
          <t>Embalaje</t>
        </is>
      </c>
      <c r="P68" s="19" t="n"/>
      <c r="Q68" s="39" t="inlineStr">
        <is>
          <t>P</t>
        </is>
      </c>
      <c r="R68" s="39" t="n"/>
      <c r="S68" s="19" t="n"/>
    </row>
    <row r="69">
      <c r="A69" s="32" t="inlineStr">
        <is>
          <t>FL_REC_ABC_5kg</t>
        </is>
      </c>
      <c r="B69" s="32" t="n">
        <v>2</v>
      </c>
      <c r="C69" s="32" t="inlineStr">
        <is>
          <t>ABC5-T2</t>
        </is>
      </c>
      <c r="D69" s="17" t="inlineStr">
        <is>
          <t xml:space="preserve">        Marcado del recipiente: estampado en la cúpula, en arco junto al cuello (puesto de numerado de cúpula)</t>
        </is>
      </c>
      <c r="E69" s="32" t="n">
        <v>1</v>
      </c>
      <c r="F69" s="32" t="inlineStr">
        <is>
          <t>u</t>
        </is>
      </c>
      <c r="G69" s="33" t="n"/>
      <c r="H69" s="33" t="n"/>
      <c r="I69" s="32" t="inlineStr">
        <is>
          <t>-</t>
        </is>
      </c>
      <c r="J69" s="17" t="inlineStr">
        <is>
          <t>Fabricante, n° de serie, año; en arco junto al cuello, letra 5 mm; cuño DPS 15 × 7 junto al n°</t>
        </is>
      </c>
      <c r="K69" s="32" t="inlineStr">
        <is>
          <t>Proceso</t>
        </is>
      </c>
      <c r="L69" s="32" t="inlineStr">
        <is>
          <t>No</t>
        </is>
      </c>
      <c r="M69" s="17" t="n"/>
      <c r="N69" s="17" t="n"/>
      <c r="O69" s="17" t="inlineStr">
        <is>
          <t>Marcado</t>
        </is>
      </c>
      <c r="P69" s="17" t="inlineStr">
        <is>
          <t>IRAM 3523 5.1 · Res. 349/07 anexo IV</t>
        </is>
      </c>
      <c r="Q69" s="32" t="inlineStr">
        <is>
          <t>N</t>
        </is>
      </c>
      <c r="R69" s="32" t="n"/>
      <c r="S69" s="17" t="n"/>
    </row>
    <row r="70">
      <c r="A70" s="32" t="inlineStr">
        <is>
          <t>FL_REC_ABC_5kg</t>
        </is>
      </c>
      <c r="B70" s="32" t="n">
        <v>2</v>
      </c>
      <c r="C70" s="32" t="inlineStr">
        <is>
          <t>ABC5-T3</t>
        </is>
      </c>
      <c r="D70" s="17" t="inlineStr">
        <is>
          <t xml:space="preserve">        Etiqueta de identificación del cilindro suelto</t>
        </is>
      </c>
      <c r="E70" s="32" t="n">
        <v>1</v>
      </c>
      <c r="F70" s="32" t="inlineStr">
        <is>
          <t>u</t>
        </is>
      </c>
      <c r="G70" s="33" t="n"/>
      <c r="H70" s="33" t="n"/>
      <c r="I70" s="32" t="inlineStr">
        <is>
          <t>Poliéster autoadhesivo removible</t>
        </is>
      </c>
      <c r="J70" s="17" t="inlineStr">
        <is>
          <t>100 × 60, impresión térmica, QR GS1</t>
        </is>
      </c>
      <c r="K70" s="32" t="inlineStr">
        <is>
          <t>Compra</t>
        </is>
      </c>
      <c r="L70" s="32" t="inlineStr">
        <is>
          <t>Sí</t>
        </is>
      </c>
      <c r="M70" s="17" t="inlineStr">
        <is>
          <t>Astuprint</t>
        </is>
      </c>
      <c r="N70" s="17" t="inlineStr">
        <is>
          <t>GS1 Argentina</t>
        </is>
      </c>
      <c r="O70" s="17" t="inlineStr">
        <is>
          <t>Etiquetado</t>
        </is>
      </c>
      <c r="P70" s="17" t="n"/>
      <c r="Q70" s="32" t="inlineStr">
        <is>
          <t>P</t>
        </is>
      </c>
      <c r="R70" s="32" t="inlineStr">
        <is>
          <t>FL_REC_ABC_5kg hoja 3</t>
        </is>
      </c>
      <c r="S70" s="17" t="n"/>
    </row>
    <row r="71">
      <c r="A71" s="32" t="inlineStr">
        <is>
          <t>FL_REC_ABC_5kg</t>
        </is>
      </c>
      <c r="B71" s="32" t="n">
        <v>2</v>
      </c>
      <c r="C71" s="32" t="inlineStr">
        <is>
          <t>ABC5-T4</t>
        </is>
      </c>
      <c r="D71" s="17" t="inlineStr">
        <is>
          <t xml:space="preserve">        Protocolo de ensayo hidrostático (certificado que acompaña)</t>
        </is>
      </c>
      <c r="E71" s="32" t="n">
        <v>1</v>
      </c>
      <c r="F71" s="32" t="inlineStr">
        <is>
          <t>u</t>
        </is>
      </c>
      <c r="G71" s="33" t="n">
        <v>0.005</v>
      </c>
      <c r="H71" s="33">
        <f>E71*G71</f>
        <v/>
      </c>
      <c r="I71" s="32" t="inlineStr">
        <is>
          <t>Papel</t>
        </is>
      </c>
      <c r="J71" s="17" t="inlineStr">
        <is>
          <t>A5</t>
        </is>
      </c>
      <c r="K71" s="32" t="inlineStr">
        <is>
          <t>Proceso</t>
        </is>
      </c>
      <c r="L71" s="32" t="inlineStr">
        <is>
          <t>No</t>
        </is>
      </c>
      <c r="M71" s="17" t="n"/>
      <c r="N71" s="17" t="n"/>
      <c r="O71" s="17" t="inlineStr">
        <is>
          <t>Control de calidad</t>
        </is>
      </c>
      <c r="P71" s="17" t="inlineStr">
        <is>
          <t>IRAM 3523 4.1 y cap. 6 · IRAM 2587</t>
        </is>
      </c>
      <c r="Q71" s="32" t="inlineStr">
        <is>
          <t>N</t>
        </is>
      </c>
      <c r="R71" s="32" t="inlineStr">
        <is>
          <t>FL_REC_ABC_5kg hoja 3</t>
        </is>
      </c>
      <c r="S71" s="17" t="n"/>
    </row>
    <row r="72">
      <c r="A72" s="29" t="inlineStr">
        <is>
          <t>FL_REC_ABC_5kg</t>
        </is>
      </c>
      <c r="B72" s="29" t="n">
        <v>1</v>
      </c>
      <c r="C72" s="29" t="inlineStr">
        <is>
          <t>ABC5-S7</t>
        </is>
      </c>
      <c r="D72" s="30" t="inlineStr">
        <is>
          <t xml:space="preserve">    Embalaje</t>
        </is>
      </c>
      <c r="E72" s="29" t="n">
        <v>1</v>
      </c>
      <c r="F72" s="29" t="inlineStr">
        <is>
          <t>u</t>
        </is>
      </c>
      <c r="G72" s="31" t="n"/>
      <c r="H72" s="31">
        <f>H75</f>
        <v/>
      </c>
      <c r="I72" s="29" t="n"/>
      <c r="J72" s="30" t="n"/>
      <c r="K72" s="29" t="inlineStr">
        <is>
          <t>Compra</t>
        </is>
      </c>
      <c r="L72" s="29" t="n"/>
      <c r="M72" s="30" t="n"/>
      <c r="N72" s="30" t="n"/>
      <c r="O72" s="30" t="inlineStr">
        <is>
          <t>23 Embalaje -&gt; 24 envolvedora (T11)</t>
        </is>
      </c>
      <c r="P72" s="30" t="n"/>
      <c r="Q72" s="29" t="n"/>
      <c r="R72" s="29" t="n"/>
      <c r="S72" s="30" t="n"/>
    </row>
    <row r="73">
      <c r="A73" s="32" t="inlineStr">
        <is>
          <t>FL_REC_ABC_5kg</t>
        </is>
      </c>
      <c r="B73" s="32" t="n">
        <v>2</v>
      </c>
      <c r="C73" s="32" t="inlineStr">
        <is>
          <t>ABC5-E1</t>
        </is>
      </c>
      <c r="D73" s="17" t="inlineStr">
        <is>
          <t xml:space="preserve">        Caja de cartón corrugado simple</t>
        </is>
      </c>
      <c r="E73" s="32" t="n">
        <v>1</v>
      </c>
      <c r="F73" s="32" t="inlineStr">
        <is>
          <t>u</t>
        </is>
      </c>
      <c r="G73" s="33" t="n"/>
      <c r="H73" s="33" t="n"/>
      <c r="I73" s="32" t="inlineStr">
        <is>
          <t>Cartón corrugado</t>
        </is>
      </c>
      <c r="J73" s="17" t="inlineStr">
        <is>
          <t>183 × 183 × 410 interior (envolvente del plano + 15 por lado)</t>
        </is>
      </c>
      <c r="K73" s="32" t="inlineStr">
        <is>
          <t>Compra</t>
        </is>
      </c>
      <c r="L73" s="32" t="inlineStr">
        <is>
          <t>Sí</t>
        </is>
      </c>
      <c r="M73" s="17" t="inlineStr">
        <is>
          <t>Maxipack</t>
        </is>
      </c>
      <c r="N73" s="17" t="inlineStr">
        <is>
          <t>Cartocan</t>
        </is>
      </c>
      <c r="O73" s="17" t="inlineStr">
        <is>
          <t>23 Embalaje</t>
        </is>
      </c>
      <c r="P73" s="17" t="n"/>
      <c r="Q73" s="32" t="inlineStr">
        <is>
          <t>P</t>
        </is>
      </c>
      <c r="R73" s="32" t="n"/>
      <c r="S73" s="17" t="inlineStr">
        <is>
          <t>Medida del plano</t>
        </is>
      </c>
    </row>
    <row r="74">
      <c r="A74" s="32" t="inlineStr">
        <is>
          <t>FL_REC_ABC_5kg</t>
        </is>
      </c>
      <c r="B74" s="32" t="n">
        <v>2</v>
      </c>
      <c r="C74" s="32" t="inlineStr">
        <is>
          <t>ABC5-E3</t>
        </is>
      </c>
      <c r="D74" s="17" t="inlineStr">
        <is>
          <t xml:space="preserve">        Pallet 1200 × 1000 (fracción)</t>
        </is>
      </c>
      <c r="E74" s="32" t="n">
        <v>0.0111</v>
      </c>
      <c r="F74" s="32" t="inlineStr">
        <is>
          <t>u</t>
        </is>
      </c>
      <c r="G74" s="33" t="n"/>
      <c r="H74" s="33" t="n"/>
      <c r="I74" s="32" t="inlineStr">
        <is>
          <t>Madera</t>
        </is>
      </c>
      <c r="J74" s="17" t="inlineStr">
        <is>
          <t>90 u por pallet</t>
        </is>
      </c>
      <c r="K74" s="32" t="inlineStr">
        <is>
          <t>Compra</t>
        </is>
      </c>
      <c r="L74" s="32" t="inlineStr">
        <is>
          <t>Sí</t>
        </is>
      </c>
      <c r="M74" s="17" t="inlineStr">
        <is>
          <t>IndusPallets</t>
        </is>
      </c>
      <c r="N74" s="17" t="inlineStr">
        <is>
          <t>-</t>
        </is>
      </c>
      <c r="O74" s="17" t="inlineStr">
        <is>
          <t>23 Embalaje</t>
        </is>
      </c>
      <c r="P74" s="17" t="n"/>
      <c r="Q74" s="32" t="inlineStr">
        <is>
          <t>C</t>
        </is>
      </c>
      <c r="R74" s="32" t="n"/>
      <c r="S74" s="17" t="inlineStr">
        <is>
          <t>u por pallet = acomodo de la caja (plano) en 1200 × 1000 × 1450 de alto</t>
        </is>
      </c>
    </row>
    <row r="75">
      <c r="A75" s="37" t="inlineStr">
        <is>
          <t>FL_REC_ABC_5kg</t>
        </is>
      </c>
      <c r="B75" s="37" t="n">
        <v>2</v>
      </c>
      <c r="C75" s="37" t="inlineStr">
        <is>
          <t>ABC5-E4</t>
        </is>
      </c>
      <c r="D75" s="18" t="inlineStr">
        <is>
          <t xml:space="preserve">        Film stretch (fracción del pallet)</t>
        </is>
      </c>
      <c r="E75" s="37" t="n">
        <v>0.0013</v>
      </c>
      <c r="F75" s="37" t="inlineStr">
        <is>
          <t>kg</t>
        </is>
      </c>
      <c r="G75" s="38" t="n">
        <v>1</v>
      </c>
      <c r="H75" s="38">
        <f>E75*G75</f>
        <v/>
      </c>
      <c r="I75" s="37" t="inlineStr">
        <is>
          <t>PE lineal 23 µm</t>
        </is>
      </c>
      <c r="J75" s="18" t="inlineStr">
        <is>
          <t>0,12 kg por pallet / 90 u</t>
        </is>
      </c>
      <c r="K75" s="37" t="inlineStr">
        <is>
          <t>Compra</t>
        </is>
      </c>
      <c r="L75" s="37" t="inlineStr">
        <is>
          <t>Sí</t>
        </is>
      </c>
      <c r="M75" s="18" t="inlineStr">
        <is>
          <t>MV Embalajes</t>
        </is>
      </c>
      <c r="N75" s="18" t="inlineStr">
        <is>
          <t>Embalpack</t>
        </is>
      </c>
      <c r="O75" s="18" t="inlineStr">
        <is>
          <t>24 Envolvedora (T11)</t>
        </is>
      </c>
      <c r="P75" s="18" t="n"/>
      <c r="Q75" s="37" t="inlineStr">
        <is>
          <t>C</t>
        </is>
      </c>
      <c r="R75" s="37" t="n"/>
      <c r="S75"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6">
      <c r="A76" s="32" t="inlineStr">
        <is>
          <t>FL_REC_ABC_5kg</t>
        </is>
      </c>
      <c r="B76" s="32" t="n">
        <v>2</v>
      </c>
      <c r="C76" s="32" t="inlineStr">
        <is>
          <t>ABC5-E5</t>
        </is>
      </c>
      <c r="D76" s="17" t="inlineStr">
        <is>
          <t xml:space="preserve">        Etiqueta de pallet (lote y destino, fracción)</t>
        </is>
      </c>
      <c r="E76" s="32" t="n">
        <v>0.0111</v>
      </c>
      <c r="F76" s="32" t="inlineStr">
        <is>
          <t>u</t>
        </is>
      </c>
      <c r="G76" s="33" t="n"/>
      <c r="H76" s="33" t="n"/>
      <c r="I76" s="32" t="inlineStr">
        <is>
          <t>Papel térmico</t>
        </is>
      </c>
      <c r="J76" s="17" t="inlineStr">
        <is>
          <t>100 × 150</t>
        </is>
      </c>
      <c r="K76" s="32" t="inlineStr">
        <is>
          <t>Compra</t>
        </is>
      </c>
      <c r="L76" s="32" t="inlineStr">
        <is>
          <t>Sí</t>
        </is>
      </c>
      <c r="M76" s="17" t="inlineStr">
        <is>
          <t>Astuprint</t>
        </is>
      </c>
      <c r="N76" s="17" t="inlineStr">
        <is>
          <t>Multilabel Argentina S.A.</t>
        </is>
      </c>
      <c r="O76" s="17" t="inlineStr">
        <is>
          <t>24 Envolvedora</t>
        </is>
      </c>
      <c r="P76" s="17" t="n"/>
      <c r="Q76" s="32" t="inlineStr">
        <is>
          <t>C</t>
        </is>
      </c>
      <c r="R76" s="32" t="n"/>
      <c r="S76" s="17" t="n"/>
    </row>
    <row r="77">
      <c r="A77" s="37" t="inlineStr">
        <is>
          <t>FL_REC_ABC_5kg</t>
        </is>
      </c>
      <c r="B77" s="37" t="n">
        <v>2</v>
      </c>
      <c r="C77" s="37" t="inlineStr">
        <is>
          <t>ABC5-E6</t>
        </is>
      </c>
      <c r="D77" s="18" t="inlineStr">
        <is>
          <t xml:space="preserve">        Cinta de embalaje PP 48 mm (cierre de la caja)</t>
        </is>
      </c>
      <c r="E77" s="37" t="n">
        <v>0.646</v>
      </c>
      <c r="F77" s="37" t="inlineStr">
        <is>
          <t>m</t>
        </is>
      </c>
      <c r="G77" s="38" t="n"/>
      <c r="H77" s="38" t="n"/>
      <c r="I77" s="37" t="inlineStr">
        <is>
          <t>Polipropileno con adhesivo acrílico</t>
        </is>
      </c>
      <c r="J77" s="18" t="inlineStr">
        <is>
          <t>cierre en I arriba y abajo: 2 × (183 + 2 × 70 de solapa)</t>
        </is>
      </c>
      <c r="K77" s="37" t="inlineStr">
        <is>
          <t>Compra</t>
        </is>
      </c>
      <c r="L77" s="37" t="inlineStr">
        <is>
          <t>Sí</t>
        </is>
      </c>
      <c r="M77" s="18" t="inlineStr">
        <is>
          <t>MV Embalajes</t>
        </is>
      </c>
      <c r="N77" s="18" t="inlineStr">
        <is>
          <t>Embalpack</t>
        </is>
      </c>
      <c r="O77" s="18" t="inlineStr">
        <is>
          <t>23 Embalaje</t>
        </is>
      </c>
      <c r="P77" s="18" t="n"/>
      <c r="Q77" s="37" t="inlineStr">
        <is>
          <t>C</t>
        </is>
      </c>
      <c r="R77" s="37" t="n"/>
      <c r="S77" s="18" t="inlineStr">
        <is>
          <t>Solapa de 70 mm por lado: práctica de cierre de cajas (medir en la línea)</t>
        </is>
      </c>
    </row>
    <row r="78">
      <c r="A78" s="32" t="inlineStr">
        <is>
          <t>FL_REC_ABC_5kg</t>
        </is>
      </c>
      <c r="B78" s="32" t="n">
        <v>2</v>
      </c>
      <c r="C78" s="32" t="inlineStr">
        <is>
          <t>ABC5-E7</t>
        </is>
      </c>
      <c r="D78" s="17" t="inlineStr">
        <is>
          <t xml:space="preserve">        Esquineros de cartón 50 × 50 × 1200 (fracción del pallet)</t>
        </is>
      </c>
      <c r="E78" s="32" t="n">
        <v>0.0444</v>
      </c>
      <c r="F78" s="32" t="inlineStr">
        <is>
          <t>u</t>
        </is>
      </c>
      <c r="G78" s="33" t="n"/>
      <c r="H78" s="33" t="n"/>
      <c r="I78" s="32" t="inlineStr">
        <is>
          <t>Cartón</t>
        </is>
      </c>
      <c r="J78" s="17" t="inlineStr">
        <is>
          <t>4 por pallet / 90 u</t>
        </is>
      </c>
      <c r="K78" s="32" t="inlineStr">
        <is>
          <t>Compra</t>
        </is>
      </c>
      <c r="L78" s="32" t="inlineStr">
        <is>
          <t>Sí</t>
        </is>
      </c>
      <c r="M78" s="17" t="inlineStr">
        <is>
          <t>Maxipack</t>
        </is>
      </c>
      <c r="N78" s="17" t="inlineStr">
        <is>
          <t>Cartocan</t>
        </is>
      </c>
      <c r="O78" s="17" t="inlineStr">
        <is>
          <t>24 Envolvedora (T11)</t>
        </is>
      </c>
      <c r="P78" s="17" t="n"/>
      <c r="Q78" s="32" t="inlineStr">
        <is>
          <t>C</t>
        </is>
      </c>
      <c r="R78" s="32" t="n"/>
      <c r="S78" s="17" t="inlineStr">
        <is>
          <t>Planilla MP-64</t>
        </is>
      </c>
    </row>
    <row r="79">
      <c r="A79" s="32" t="inlineStr">
        <is>
          <t>FL_REC_ABC_5kg</t>
        </is>
      </c>
      <c r="B79" s="32" t="n">
        <v>2</v>
      </c>
      <c r="C79" s="32" t="inlineStr">
        <is>
          <t>ABC5-E8</t>
        </is>
      </c>
      <c r="D79" s="17" t="inlineStr">
        <is>
          <t xml:space="preserve">        Separador de capa de cartón 1200 × 1000 (fracción del pallet)</t>
        </is>
      </c>
      <c r="E79" s="32" t="n">
        <v>0.0222</v>
      </c>
      <c r="F79" s="32" t="inlineStr">
        <is>
          <t>u</t>
        </is>
      </c>
      <c r="G79" s="33" t="n"/>
      <c r="H79" s="33" t="n"/>
      <c r="I79" s="32" t="inlineStr">
        <is>
          <t>Cartón</t>
        </is>
      </c>
      <c r="J79" s="17" t="inlineStr">
        <is>
          <t>3 capas → 2 separadores por pallet / 90 u</t>
        </is>
      </c>
      <c r="K79" s="32" t="inlineStr">
        <is>
          <t>Compra</t>
        </is>
      </c>
      <c r="L79" s="32" t="inlineStr">
        <is>
          <t>Sí</t>
        </is>
      </c>
      <c r="M79" s="17" t="inlineStr">
        <is>
          <t>Maxipack</t>
        </is>
      </c>
      <c r="N79" s="17" t="inlineStr">
        <is>
          <t>Cartocan</t>
        </is>
      </c>
      <c r="O79" s="17" t="inlineStr">
        <is>
          <t>23 Embalaje</t>
        </is>
      </c>
      <c r="P79" s="17" t="n"/>
      <c r="Q79" s="32" t="inlineStr">
        <is>
          <t>C</t>
        </is>
      </c>
      <c r="R79" s="32" t="n"/>
      <c r="S79" s="17" t="inlineStr">
        <is>
          <t>Planilla MP-61</t>
        </is>
      </c>
    </row>
    <row r="80">
      <c r="A80" s="26" t="inlineStr">
        <is>
          <t>FL_REC_ABC_10kg</t>
        </is>
      </c>
      <c r="B80" s="26" t="n">
        <v>0</v>
      </c>
      <c r="C80" s="26" t="inlineStr">
        <is>
          <t>FL_REC_ABC_10kg</t>
        </is>
      </c>
      <c r="D80" s="27" t="inlineStr">
        <is>
          <t>Cilindro (recipiente) ABC 10 kg - repuesto vacío sin válvula</t>
        </is>
      </c>
      <c r="E80" s="26" t="n">
        <v>1</v>
      </c>
      <c r="F80" s="26" t="inlineStr">
        <is>
          <t>u</t>
        </is>
      </c>
      <c r="G80" s="28" t="n"/>
      <c r="H80" s="28" t="n"/>
      <c r="I80" s="26" t="n"/>
      <c r="J80" s="27" t="n"/>
      <c r="K80" s="26" t="n"/>
      <c r="L80" s="26" t="n"/>
      <c r="M80" s="27" t="n"/>
      <c r="N80" s="27" t="n"/>
      <c r="O80" s="27" t="n"/>
      <c r="P80" s="27" t="inlineStr">
        <is>
          <t>IRAM 3523</t>
        </is>
      </c>
      <c r="Q80" s="26" t="inlineStr">
        <is>
          <t>P</t>
        </is>
      </c>
      <c r="R80" s="26" t="inlineStr">
        <is>
          <t>FL_REC_ABC_10kg</t>
        </is>
      </c>
      <c r="S80" s="27" t="inlineStr">
        <is>
          <t>Fabricación propia</t>
        </is>
      </c>
    </row>
    <row r="81">
      <c r="A81" s="29" t="inlineStr">
        <is>
          <t>FL_REC_ABC_10kg</t>
        </is>
      </c>
      <c r="B81" s="29" t="n">
        <v>1</v>
      </c>
      <c r="C81" s="29" t="inlineStr">
        <is>
          <t>ABC10-S1</t>
        </is>
      </c>
      <c r="D81" s="30" t="inlineStr">
        <is>
          <t xml:space="preserve">    Recipiente (cilindro)</t>
        </is>
      </c>
      <c r="E81" s="29" t="n">
        <v>1</v>
      </c>
      <c r="F81" s="29" t="inlineStr">
        <is>
          <t>u</t>
        </is>
      </c>
      <c r="G81" s="31" t="n"/>
      <c r="H81" s="31">
        <f>H82+H84+H86+H88+H89+H96</f>
        <v/>
      </c>
      <c r="I81" s="29" t="n"/>
      <c r="J81" s="30" t="n"/>
      <c r="K81" s="29" t="inlineStr">
        <is>
          <t>Fabricación</t>
        </is>
      </c>
      <c r="L81" s="29" t="n"/>
      <c r="M81" s="30" t="n"/>
      <c r="N81" s="30" t="n"/>
      <c r="O81" s="30" t="n"/>
      <c r="P81" s="30" t="inlineStr">
        <is>
          <t>IRAM 3523 / 3550 (recipiente)</t>
        </is>
      </c>
      <c r="Q81" s="29" t="inlineStr">
        <is>
          <t>P</t>
        </is>
      </c>
      <c r="R81" s="29" t="inlineStr">
        <is>
          <t>FL_DES_ABC_10kg</t>
        </is>
      </c>
      <c r="S81" s="30" t="n"/>
    </row>
    <row r="82">
      <c r="A82" s="32" t="inlineStr">
        <is>
          <t>FL_REC_ABC_10kg</t>
        </is>
      </c>
      <c r="B82" s="32" t="n">
        <v>2</v>
      </c>
      <c r="C82" s="32" t="inlineStr">
        <is>
          <t>ABC10-01</t>
        </is>
      </c>
      <c r="D82" s="17" t="inlineStr">
        <is>
          <t xml:space="preserve">        Cuerpo (virola)</t>
        </is>
      </c>
      <c r="E82" s="32" t="n">
        <v>1</v>
      </c>
      <c r="F82" s="32" t="inlineStr">
        <is>
          <t>u</t>
        </is>
      </c>
      <c r="G82" s="33" t="n">
        <v>4.3636</v>
      </c>
      <c r="H82" s="33">
        <f>E82*G82</f>
        <v/>
      </c>
      <c r="I82" s="32" t="inlineStr">
        <is>
          <t>Chapa LAF IRAM-IAS U 500-05 e=2</t>
        </is>
      </c>
      <c r="J82" s="17" t="inlineStr">
        <is>
          <t>Ø181,5 × e2 × 493,1 de alto; desarrollo 563,9 × 493,1</t>
        </is>
      </c>
      <c r="K82" s="32" t="inlineStr">
        <is>
          <t>Fabricación</t>
        </is>
      </c>
      <c r="L82" s="32" t="inlineStr">
        <is>
          <t>No</t>
        </is>
      </c>
      <c r="M82" s="17" t="n"/>
      <c r="N82" s="17" t="n"/>
      <c r="O82" s="17" t="inlineStr">
        <is>
          <t>1 Guillotina -&gt; 3 cilindrado -&gt; 4 soldadura longitudinal -&gt; 9 encastre del fondo -&gt; 10 bordoneado</t>
        </is>
      </c>
      <c r="P82" s="17" t="n"/>
      <c r="Q82" s="32" t="inlineStr">
        <is>
          <t>P</t>
        </is>
      </c>
      <c r="R82" s="32" t="inlineStr">
        <is>
          <t>FL_DES_ABC_10kg</t>
        </is>
      </c>
      <c r="S82" s="17" t="inlineStr">
        <is>
          <t>costura long. MAG</t>
        </is>
      </c>
    </row>
    <row r="83">
      <c r="A83" s="34" t="inlineStr">
        <is>
          <t>FL_REC_ABC_10kg</t>
        </is>
      </c>
      <c r="B83" s="34" t="n">
        <v>3</v>
      </c>
      <c r="C83" s="34" t="inlineStr">
        <is>
          <t>MP-HOJA</t>
        </is>
      </c>
      <c r="D83" s="35" t="inlineStr">
        <is>
          <t xml:space="preserve">            Recorte de hoja LAF 1500 × 3000 e=2</t>
        </is>
      </c>
      <c r="E83" s="34" t="n">
        <v>1</v>
      </c>
      <c r="F83" s="34" t="inlineStr">
        <is>
          <t>u</t>
        </is>
      </c>
      <c r="G83" s="36" t="n">
        <v>4.71</v>
      </c>
      <c r="H83" s="36">
        <f>E83*G83</f>
        <v/>
      </c>
      <c r="I83" s="34" t="inlineStr">
        <is>
          <t>Chapa LAF IRAM-IAS U 500-05 LAF</t>
        </is>
      </c>
      <c r="J83" s="35" t="inlineStr">
        <is>
          <t>495 × 563 (aprovech. 92,9 %)</t>
        </is>
      </c>
      <c r="K83" s="34" t="inlineStr">
        <is>
          <t>Compra</t>
        </is>
      </c>
      <c r="L83" s="34" t="inlineStr">
        <is>
          <t>Sí</t>
        </is>
      </c>
      <c r="M83" s="35" t="inlineStr">
        <is>
          <t>Pradecon S.A.</t>
        </is>
      </c>
      <c r="N83" s="35" t="inlineStr">
        <is>
          <t>Pacheco Chapas</t>
        </is>
      </c>
      <c r="O83" s="35" t="inlineStr">
        <is>
          <t>AL-1H paquetes de hojas</t>
        </is>
      </c>
      <c r="P83" s="35" t="n"/>
      <c r="Q83" s="34" t="inlineStr">
        <is>
          <t>L</t>
        </is>
      </c>
      <c r="R83" s="34" t="inlineStr">
        <is>
          <t>FL_PI_04 h2</t>
        </is>
      </c>
      <c r="S83" s="35" t="n"/>
    </row>
    <row r="84">
      <c r="A84" s="32" t="inlineStr">
        <is>
          <t>FL_REC_ABC_10kg</t>
        </is>
      </c>
      <c r="B84" s="32" t="n">
        <v>2</v>
      </c>
      <c r="C84" s="32" t="inlineStr">
        <is>
          <t>ABC10-02</t>
        </is>
      </c>
      <c r="D84" s="17" t="inlineStr">
        <is>
          <t xml:space="preserve">        Cúpula</t>
        </is>
      </c>
      <c r="E84" s="32" t="n">
        <v>1</v>
      </c>
      <c r="F84" s="32" t="inlineStr">
        <is>
          <t>u</t>
        </is>
      </c>
      <c r="G84" s="33" t="n">
        <v>0.501</v>
      </c>
      <c r="H84" s="33">
        <f>E84*G84</f>
        <v/>
      </c>
      <c r="I84" s="32" t="inlineStr">
        <is>
          <t>Chapa LAF IRAM-IAS U 500-05 e=1,6</t>
        </is>
      </c>
      <c r="J84" s="17" t="inlineStr">
        <is>
          <t>Ø181,5 × e1,6 × 61,4 de alto; disco Ø258</t>
        </is>
      </c>
      <c r="K84" s="32" t="inlineStr">
        <is>
          <t>Fabricación</t>
        </is>
      </c>
      <c r="L84" s="32" t="inlineStr">
        <is>
          <t>No</t>
        </is>
      </c>
      <c r="M84" s="17" t="n"/>
      <c r="N84" s="17" t="n"/>
      <c r="O84" s="17" t="inlineStr">
        <is>
          <t>6 Desbobinado + embutido (M06-M08) -&gt; numerado de cúpula (micropercusión, en arco junto al cuello) -&gt; 8 soldadura de cuello</t>
        </is>
      </c>
      <c r="P84" s="17" t="n"/>
      <c r="Q84" s="32" t="inlineStr">
        <is>
          <t>P</t>
        </is>
      </c>
      <c r="R84" s="32" t="inlineStr">
        <is>
          <t>FL_DES_ABC_10kg</t>
        </is>
      </c>
      <c r="S84" s="17" t="inlineStr">
        <is>
          <t>embutida</t>
        </is>
      </c>
    </row>
    <row r="85">
      <c r="A85" s="34" t="inlineStr">
        <is>
          <t>FL_REC_ABC_10kg</t>
        </is>
      </c>
      <c r="B85" s="34" t="n">
        <v>3</v>
      </c>
      <c r="C85" s="34" t="inlineStr">
        <is>
          <t>MP-FLEJE</t>
        </is>
      </c>
      <c r="D85" s="35" t="inlineStr">
        <is>
          <t xml:space="preserve">            Fleje e=1,6 × 300 (paso 261)</t>
        </is>
      </c>
      <c r="E85" s="34" t="n">
        <v>0.261</v>
      </c>
      <c r="F85" s="34" t="inlineStr">
        <is>
          <t>m</t>
        </is>
      </c>
      <c r="G85" s="36" t="n">
        <v>3.768</v>
      </c>
      <c r="H85" s="36">
        <f>E85*G85</f>
        <v/>
      </c>
      <c r="I85" s="34" t="inlineStr">
        <is>
          <t>Fleje SAE 1010</t>
        </is>
      </c>
      <c r="J85" s="35" t="inlineStr">
        <is>
          <t>disco Ø258 (kg por m de fleje)</t>
        </is>
      </c>
      <c r="K85" s="34" t="inlineStr">
        <is>
          <t>Compra</t>
        </is>
      </c>
      <c r="L85" s="34" t="inlineStr">
        <is>
          <t>Sí</t>
        </is>
      </c>
      <c r="M85" s="35" t="inlineStr">
        <is>
          <t>Pacheco Chapas</t>
        </is>
      </c>
      <c r="N85" s="35" t="inlineStr">
        <is>
          <t>Pradecon S.A.</t>
        </is>
      </c>
      <c r="O85" s="35" t="inlineStr">
        <is>
          <t>AL-1F porta-flejes</t>
        </is>
      </c>
      <c r="P85" s="35" t="n"/>
      <c r="Q85" s="34" t="inlineStr">
        <is>
          <t>L</t>
        </is>
      </c>
      <c r="R85" s="34" t="inlineStr">
        <is>
          <t>FL_PI_04 h2</t>
        </is>
      </c>
      <c r="S85" s="35" t="n"/>
    </row>
    <row r="86">
      <c r="A86" s="32" t="inlineStr">
        <is>
          <t>FL_REC_ABC_10kg</t>
        </is>
      </c>
      <c r="B86" s="32" t="n">
        <v>2</v>
      </c>
      <c r="C86" s="32" t="inlineStr">
        <is>
          <t>ABC10-03</t>
        </is>
      </c>
      <c r="D86" s="17" t="inlineStr">
        <is>
          <t xml:space="preserve">        Fondo</t>
        </is>
      </c>
      <c r="E86" s="32" t="n">
        <v>1</v>
      </c>
      <c r="F86" s="32" t="inlineStr">
        <is>
          <t>u</t>
        </is>
      </c>
      <c r="G86" s="33" t="n">
        <v>0.5084</v>
      </c>
      <c r="H86" s="33">
        <f>E86*G86</f>
        <v/>
      </c>
      <c r="I86" s="32" t="inlineStr">
        <is>
          <t>Chapa LAF IRAM-IAS U 500-05 e=2</t>
        </is>
      </c>
      <c r="J86" s="17" t="inlineStr">
        <is>
          <t>Ø181,5 × e2 × 21,7 de alto; disco Ø205</t>
        </is>
      </c>
      <c r="K86" s="32" t="inlineStr">
        <is>
          <t>Fabricación</t>
        </is>
      </c>
      <c r="L86" s="32" t="inlineStr">
        <is>
          <t>No</t>
        </is>
      </c>
      <c r="M86" s="17" t="n"/>
      <c r="N86" s="17" t="n"/>
      <c r="O86" s="17" t="inlineStr">
        <is>
          <t>6 Desbobinado + embutido (M06-M08)</t>
        </is>
      </c>
      <c r="P86" s="17" t="n"/>
      <c r="Q86" s="32" t="inlineStr">
        <is>
          <t>P</t>
        </is>
      </c>
      <c r="R86" s="32" t="inlineStr">
        <is>
          <t>FL_DES_ABC_10kg</t>
        </is>
      </c>
      <c r="S86" s="17" t="inlineStr">
        <is>
          <t>embutido</t>
        </is>
      </c>
    </row>
    <row r="87">
      <c r="A87" s="34" t="inlineStr">
        <is>
          <t>FL_REC_ABC_10kg</t>
        </is>
      </c>
      <c r="B87" s="34" t="n">
        <v>3</v>
      </c>
      <c r="C87" s="34" t="inlineStr">
        <is>
          <t>MP-FLEJE</t>
        </is>
      </c>
      <c r="D87" s="35" t="inlineStr">
        <is>
          <t xml:space="preserve">            Fleje e=2 × 249 (paso 208)</t>
        </is>
      </c>
      <c r="E87" s="34" t="n">
        <v>0.208</v>
      </c>
      <c r="F87" s="34" t="inlineStr">
        <is>
          <t>m</t>
        </is>
      </c>
      <c r="G87" s="36" t="n">
        <v>3.909</v>
      </c>
      <c r="H87" s="36">
        <f>E87*G87</f>
        <v/>
      </c>
      <c r="I87" s="34" t="inlineStr">
        <is>
          <t>Fleje SAE 1010</t>
        </is>
      </c>
      <c r="J87" s="35" t="inlineStr">
        <is>
          <t>disco Ø205 (kg por m de fleje)</t>
        </is>
      </c>
      <c r="K87" s="34" t="inlineStr">
        <is>
          <t>Compra</t>
        </is>
      </c>
      <c r="L87" s="34" t="inlineStr">
        <is>
          <t>Sí</t>
        </is>
      </c>
      <c r="M87" s="35" t="inlineStr">
        <is>
          <t>Pacheco Chapas</t>
        </is>
      </c>
      <c r="N87" s="35" t="inlineStr">
        <is>
          <t>Pradecon S.A.</t>
        </is>
      </c>
      <c r="O87" s="35" t="inlineStr">
        <is>
          <t>AL-1F porta-flejes</t>
        </is>
      </c>
      <c r="P87" s="35" t="n"/>
      <c r="Q87" s="34" t="inlineStr">
        <is>
          <t>L</t>
        </is>
      </c>
      <c r="R87" s="34" t="inlineStr">
        <is>
          <t>FL_PI_04 h2</t>
        </is>
      </c>
      <c r="S87" s="35" t="n"/>
    </row>
    <row r="88">
      <c r="A88" s="32" t="inlineStr">
        <is>
          <t>FL_REC_ABC_10kg</t>
        </is>
      </c>
      <c r="B88" s="32" t="n">
        <v>2</v>
      </c>
      <c r="C88" s="32" t="inlineStr">
        <is>
          <t>ABC10-04</t>
        </is>
      </c>
      <c r="D88" s="17" t="inlineStr">
        <is>
          <t xml:space="preserve">        Cuello roscado</t>
        </is>
      </c>
      <c r="E88" s="32" t="n">
        <v>1</v>
      </c>
      <c r="F88" s="32" t="inlineStr">
        <is>
          <t>u</t>
        </is>
      </c>
      <c r="G88" s="33" t="n">
        <v>0.0541</v>
      </c>
      <c r="H88" s="33">
        <f>E88*G88</f>
        <v/>
      </c>
      <c r="I88" s="32" t="inlineStr">
        <is>
          <t>Acero SAE 1010</t>
        </is>
      </c>
      <c r="J88" s="17" t="inlineStr">
        <is>
          <t>Ø36,8 × 14 de alto, rosca M30x1,5, asiento Ø35</t>
        </is>
      </c>
      <c r="K88" s="32" t="inlineStr">
        <is>
          <t>Compra (mecanizado, Eli-Met)</t>
        </is>
      </c>
      <c r="L88" s="32" t="inlineStr">
        <is>
          <t>Sí</t>
        </is>
      </c>
      <c r="M88" s="17" t="inlineStr">
        <is>
          <t>Eli-Met</t>
        </is>
      </c>
      <c r="N88" s="17" t="inlineStr">
        <is>
          <t>-</t>
        </is>
      </c>
      <c r="O88" s="17" t="inlineStr">
        <is>
          <t>Compra -&gt; 8 soldadura de cuello</t>
        </is>
      </c>
      <c r="P88" s="17" t="n"/>
      <c r="Q88" s="32" t="inlineStr">
        <is>
          <t>P</t>
        </is>
      </c>
      <c r="R88" s="32" t="inlineStr">
        <is>
          <t>FL_DES_ABC_10kg</t>
        </is>
      </c>
      <c r="S88" s="17" t="inlineStr">
        <is>
          <t>M30x1,5</t>
        </is>
      </c>
    </row>
    <row r="89">
      <c r="A89" s="37" t="inlineStr">
        <is>
          <t>FL_REC_ABC_10kg</t>
        </is>
      </c>
      <c r="B89" s="37" t="n">
        <v>2</v>
      </c>
      <c r="C89" s="37" t="inlineStr">
        <is>
          <t>ABC10-C1</t>
        </is>
      </c>
      <c r="D89" s="18" t="inlineStr">
        <is>
          <t xml:space="preserve">        Alambre MAG ER70S-6 Ø0,9 (AWS A5.18)</t>
        </is>
      </c>
      <c r="E89" s="37" t="n">
        <v>0.0985</v>
      </c>
      <c r="F89" s="37" t="inlineStr">
        <is>
          <t>kg</t>
        </is>
      </c>
      <c r="G89" s="38" t="n">
        <v>0.95</v>
      </c>
      <c r="H89" s="38">
        <f>E89*G89</f>
        <v/>
      </c>
      <c r="I89" s="37" t="inlineStr">
        <is>
          <t>ER70S-6</t>
        </is>
      </c>
      <c r="J89" s="18" t="inlineStr">
        <is>
          <t>metal depositado de los cordones del plano 94 g / rendimiento 0,95</t>
        </is>
      </c>
      <c r="K89" s="37" t="inlineStr">
        <is>
          <t>Compra</t>
        </is>
      </c>
      <c r="L89" s="37" t="inlineStr">
        <is>
          <t>Sí</t>
        </is>
      </c>
      <c r="M89" s="18" t="inlineStr">
        <is>
          <t>Conarco (ESAB Argentina)</t>
        </is>
      </c>
      <c r="N89" s="18" t="inlineStr">
        <is>
          <t>-</t>
        </is>
      </c>
      <c r="O89" s="18" t="inlineStr">
        <is>
          <t>4 sold. long. / 8 cuello / 11 circunferencial</t>
        </is>
      </c>
      <c r="P89" s="18" t="inlineStr">
        <is>
          <t>IRAM 3523 3.2.4.2 · IRAM 3550 4.1.2</t>
        </is>
      </c>
      <c r="Q89" s="37" t="inlineStr">
        <is>
          <t>C</t>
        </is>
      </c>
      <c r="R89" s="37" t="n"/>
      <c r="S8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90">
      <c r="A90" s="37" t="inlineStr">
        <is>
          <t>FL_REC_ABC_10kg</t>
        </is>
      </c>
      <c r="B90" s="37" t="n">
        <v>2</v>
      </c>
      <c r="C90" s="37" t="inlineStr">
        <is>
          <t>ABC10-C2</t>
        </is>
      </c>
      <c r="D90" s="18" t="inlineStr">
        <is>
          <t xml:space="preserve">        Gas de protección MAG Arcal 21 / ARCAL Speed (Ar + 8 % CO₂, M20)</t>
        </is>
      </c>
      <c r="E90" s="37" t="n">
        <v>40.8</v>
      </c>
      <c r="F90" s="37" t="inlineStr">
        <is>
          <t>L</t>
        </is>
      </c>
      <c r="G90" s="38" t="n"/>
      <c r="H90" s="38" t="n"/>
      <c r="I90" s="37" t="inlineStr">
        <is>
          <t>EN ISO 14175 M20-ArC-8</t>
        </is>
      </c>
      <c r="J90" s="18" t="inlineStr">
        <is>
          <t>14 L/min × 2,92 min de arco (cordones 1.749 mm: long. 493 + circ. 1.140 + cuello 116, a 600 mm/min)</t>
        </is>
      </c>
      <c r="K90" s="37" t="inlineStr">
        <is>
          <t>Compra</t>
        </is>
      </c>
      <c r="L90" s="37" t="inlineStr">
        <is>
          <t>Sí</t>
        </is>
      </c>
      <c r="M90" s="18" t="inlineStr">
        <is>
          <t>Air Liquide Argentina - sucursal Piñeyro</t>
        </is>
      </c>
      <c r="N90" s="18" t="inlineStr">
        <is>
          <t>Gogniat</t>
        </is>
      </c>
      <c r="O90" s="18" t="inlineStr">
        <is>
          <t>Colector SC</t>
        </is>
      </c>
      <c r="P90" s="18" t="inlineStr">
        <is>
          <t>IRAM 3523 3.2.4.2 · IRAM 3550 3.2.2.2</t>
        </is>
      </c>
      <c r="Q90" s="37" t="inlineStr">
        <is>
          <t>C</t>
        </is>
      </c>
      <c r="R90" s="37" t="n"/>
      <c r="S9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91">
      <c r="A91" s="37" t="inlineStr">
        <is>
          <t>FL_REC_ABC_10kg</t>
        </is>
      </c>
      <c r="B91" s="37" t="n">
        <v>2</v>
      </c>
      <c r="C91" s="37" t="inlineStr">
        <is>
          <t>ABC10-C3</t>
        </is>
      </c>
      <c r="D91" s="18" t="inlineStr">
        <is>
          <t xml:space="preserve">        Granalla de acero S330 / S390 (ISO 11124-3, SAE J444)</t>
        </is>
      </c>
      <c r="E91" s="37" t="n">
        <v>0.08</v>
      </c>
      <c r="F91" s="37" t="inlineStr">
        <is>
          <t>kg</t>
        </is>
      </c>
      <c r="G91" s="38" t="n"/>
      <c r="H91" s="38" t="n"/>
      <c r="I91" s="37" t="inlineStr">
        <is>
          <t>Granalla esférica alto C</t>
        </is>
      </c>
      <c r="J91" s="18" t="inlineStr">
        <is>
          <t>0,35 m² a Sa 2½ (ISO 8501-1); 3,4 kg/h ÷ 42,5 u/h</t>
        </is>
      </c>
      <c r="K91" s="37" t="inlineStr">
        <is>
          <t>Compra</t>
        </is>
      </c>
      <c r="L91" s="37" t="inlineStr">
        <is>
          <t>Sí</t>
        </is>
      </c>
      <c r="M91" s="18" t="inlineStr">
        <is>
          <t>CyM Materiales</t>
        </is>
      </c>
      <c r="N91" s="18" t="inlineStr">
        <is>
          <t>Roca Ingeniería</t>
        </is>
      </c>
      <c r="O91" s="18" t="inlineStr">
        <is>
          <t>14 Granallado (B08)</t>
        </is>
      </c>
      <c r="P91" s="18" t="inlineStr">
        <is>
          <t>DOC-01</t>
        </is>
      </c>
      <c r="Q91" s="37" t="inlineStr">
        <is>
          <t>C</t>
        </is>
      </c>
      <c r="R91" s="37" t="n"/>
      <c r="S91" s="18" t="inlineStr">
        <is>
          <t>Consumo (desgaste) por turbina ≈ HP / 2 lb/h (The Fabricator, «aspectos básicos del granallado por turbina»): G-100 con 2 × 7,5 HP = 7,5 lb/h = 3,4 kg/h; ritmo 340 u por turno (Getweld) = 42,5 u/h.</t>
        </is>
      </c>
    </row>
    <row r="92">
      <c r="A92" s="32" t="inlineStr">
        <is>
          <t>FL_REC_ABC_10kg</t>
        </is>
      </c>
      <c r="B92" s="32" t="n">
        <v>2</v>
      </c>
      <c r="C92" s="32" t="inlineStr">
        <is>
          <t>ABC10-C4</t>
        </is>
      </c>
      <c r="D92" s="17" t="inlineStr">
        <is>
          <t xml:space="preserve">        Servicio de pintura en polvo al horno, rojo 03-1-050</t>
        </is>
      </c>
      <c r="E92" s="32" t="n">
        <v>1</v>
      </c>
      <c r="F92" s="32" t="inlineStr">
        <is>
          <t>u</t>
        </is>
      </c>
      <c r="G92" s="33" t="n"/>
      <c r="H92" s="33" t="n"/>
      <c r="I92" s="32" t="inlineStr">
        <is>
          <t>Servicio tercerizado</t>
        </is>
      </c>
      <c r="J92" s="17" t="inlineStr">
        <is>
          <t>superficie exterior 0,35 m²</t>
        </is>
      </c>
      <c r="K92" s="32" t="inlineStr">
        <is>
          <t>Compra (servicio)</t>
        </is>
      </c>
      <c r="L92" s="32" t="inlineStr">
        <is>
          <t>Sí</t>
        </is>
      </c>
      <c r="M92" s="17" t="inlineStr">
        <is>
          <t>Prymax</t>
        </is>
      </c>
      <c r="N92" s="17" t="inlineStr">
        <is>
          <t>Pintor de carros (cotización por mensaje)</t>
        </is>
      </c>
      <c r="O92" s="17" t="inlineStr">
        <is>
          <t>17 Pintura tercerizada</t>
        </is>
      </c>
      <c r="P92" s="17" t="inlineStr">
        <is>
          <t>IRAM 3523 5.3 / IRAM 3550 3.11 · IRAM 121</t>
        </is>
      </c>
      <c r="Q92" s="32" t="inlineStr">
        <is>
          <t>Q</t>
        </is>
      </c>
      <c r="R92" s="32" t="n"/>
      <c r="S92" s="17" t="inlineStr">
        <is>
          <t>Q-PRYMAX (precio por cilindro); exigir informe de niebla salina del sistema de pintura; tercerización aceptada por el Ministerio (Res. 349/07 art. 18)</t>
        </is>
      </c>
    </row>
    <row r="93">
      <c r="A93" s="39" t="inlineStr">
        <is>
          <t>FL_REC_ABC_10kg</t>
        </is>
      </c>
      <c r="B93" s="39" t="n">
        <v>2</v>
      </c>
      <c r="C93" s="39" t="inlineStr">
        <is>
          <t>ABC10-T1</t>
        </is>
      </c>
      <c r="D93" s="19" t="inlineStr">
        <is>
          <t xml:space="preserve">        Tapón protector de rosca del cuello</t>
        </is>
      </c>
      <c r="E93" s="39" t="n">
        <v>1</v>
      </c>
      <c r="F93" s="39" t="inlineStr">
        <is>
          <t>u</t>
        </is>
      </c>
      <c r="G93" s="40" t="n"/>
      <c r="H93" s="40" t="n"/>
      <c r="I93" s="39" t="inlineStr">
        <is>
          <t>Polietileno</t>
        </is>
      </c>
      <c r="J93" s="19" t="inlineStr">
        <is>
          <t>para rosca M30x1,5 (plano FL_REC_ABC_10kg hoja 3, R4)</t>
        </is>
      </c>
      <c r="K93" s="39" t="inlineStr">
        <is>
          <t>Compra</t>
        </is>
      </c>
      <c r="L93" s="39" t="inlineStr">
        <is>
          <t>Sí</t>
        </is>
      </c>
      <c r="M93" s="19" t="inlineStr">
        <is>
          <t>-</t>
        </is>
      </c>
      <c r="N93" s="19" t="inlineStr">
        <is>
          <t>-</t>
        </is>
      </c>
      <c r="O93" s="19" t="inlineStr">
        <is>
          <t>Embalaje</t>
        </is>
      </c>
      <c r="P93" s="19" t="n"/>
      <c r="Q93" s="39" t="inlineStr">
        <is>
          <t>P</t>
        </is>
      </c>
      <c r="R93" s="39" t="n"/>
      <c r="S93" s="19" t="n"/>
    </row>
    <row r="94">
      <c r="A94" s="32" t="inlineStr">
        <is>
          <t>FL_REC_ABC_10kg</t>
        </is>
      </c>
      <c r="B94" s="32" t="n">
        <v>2</v>
      </c>
      <c r="C94" s="32" t="inlineStr">
        <is>
          <t>ABC10-T2</t>
        </is>
      </c>
      <c r="D94" s="17" t="inlineStr">
        <is>
          <t xml:space="preserve">        Marcado del recipiente: estampado en la cúpula, en arco junto al cuello (puesto de numerado de cúpula)</t>
        </is>
      </c>
      <c r="E94" s="32" t="n">
        <v>1</v>
      </c>
      <c r="F94" s="32" t="inlineStr">
        <is>
          <t>u</t>
        </is>
      </c>
      <c r="G94" s="33" t="n"/>
      <c r="H94" s="33" t="n"/>
      <c r="I94" s="32" t="inlineStr">
        <is>
          <t>-</t>
        </is>
      </c>
      <c r="J94" s="17" t="inlineStr">
        <is>
          <t>Fabricante, n° de serie, año; en arco junto al cuello, letra 5 mm; cuño DPS 15 × 7 junto al n°</t>
        </is>
      </c>
      <c r="K94" s="32" t="inlineStr">
        <is>
          <t>Proceso</t>
        </is>
      </c>
      <c r="L94" s="32" t="inlineStr">
        <is>
          <t>No</t>
        </is>
      </c>
      <c r="M94" s="17" t="n"/>
      <c r="N94" s="17" t="n"/>
      <c r="O94" s="17" t="inlineStr">
        <is>
          <t>Marcado</t>
        </is>
      </c>
      <c r="P94" s="17" t="inlineStr">
        <is>
          <t>IRAM 3523 5.1 · Res. 349/07 anexo IV</t>
        </is>
      </c>
      <c r="Q94" s="32" t="inlineStr">
        <is>
          <t>N</t>
        </is>
      </c>
      <c r="R94" s="32" t="n"/>
      <c r="S94" s="17" t="n"/>
    </row>
    <row r="95">
      <c r="A95" s="32" t="inlineStr">
        <is>
          <t>FL_REC_ABC_10kg</t>
        </is>
      </c>
      <c r="B95" s="32" t="n">
        <v>2</v>
      </c>
      <c r="C95" s="32" t="inlineStr">
        <is>
          <t>ABC10-T3</t>
        </is>
      </c>
      <c r="D95" s="17" t="inlineStr">
        <is>
          <t xml:space="preserve">        Etiqueta de identificación del cilindro suelto</t>
        </is>
      </c>
      <c r="E95" s="32" t="n">
        <v>1</v>
      </c>
      <c r="F95" s="32" t="inlineStr">
        <is>
          <t>u</t>
        </is>
      </c>
      <c r="G95" s="33" t="n"/>
      <c r="H95" s="33" t="n"/>
      <c r="I95" s="32" t="inlineStr">
        <is>
          <t>Poliéster autoadhesivo removible</t>
        </is>
      </c>
      <c r="J95" s="17" t="inlineStr">
        <is>
          <t>100 × 60, impresión térmica, QR GS1</t>
        </is>
      </c>
      <c r="K95" s="32" t="inlineStr">
        <is>
          <t>Compra</t>
        </is>
      </c>
      <c r="L95" s="32" t="inlineStr">
        <is>
          <t>Sí</t>
        </is>
      </c>
      <c r="M95" s="17" t="inlineStr">
        <is>
          <t>Astuprint</t>
        </is>
      </c>
      <c r="N95" s="17" t="inlineStr">
        <is>
          <t>GS1 Argentina</t>
        </is>
      </c>
      <c r="O95" s="17" t="inlineStr">
        <is>
          <t>Etiquetado</t>
        </is>
      </c>
      <c r="P95" s="17" t="n"/>
      <c r="Q95" s="32" t="inlineStr">
        <is>
          <t>P</t>
        </is>
      </c>
      <c r="R95" s="32" t="inlineStr">
        <is>
          <t>FL_REC_ABC_10kg hoja 3</t>
        </is>
      </c>
      <c r="S95" s="17" t="n"/>
    </row>
    <row r="96">
      <c r="A96" s="32" t="inlineStr">
        <is>
          <t>FL_REC_ABC_10kg</t>
        </is>
      </c>
      <c r="B96" s="32" t="n">
        <v>2</v>
      </c>
      <c r="C96" s="32" t="inlineStr">
        <is>
          <t>ABC10-T4</t>
        </is>
      </c>
      <c r="D96" s="17" t="inlineStr">
        <is>
          <t xml:space="preserve">        Protocolo de ensayo hidrostático (certificado que acompaña)</t>
        </is>
      </c>
      <c r="E96" s="32" t="n">
        <v>1</v>
      </c>
      <c r="F96" s="32" t="inlineStr">
        <is>
          <t>u</t>
        </is>
      </c>
      <c r="G96" s="33" t="n">
        <v>0.005</v>
      </c>
      <c r="H96" s="33">
        <f>E96*G96</f>
        <v/>
      </c>
      <c r="I96" s="32" t="inlineStr">
        <is>
          <t>Papel</t>
        </is>
      </c>
      <c r="J96" s="17" t="inlineStr">
        <is>
          <t>A5</t>
        </is>
      </c>
      <c r="K96" s="32" t="inlineStr">
        <is>
          <t>Proceso</t>
        </is>
      </c>
      <c r="L96" s="32" t="inlineStr">
        <is>
          <t>No</t>
        </is>
      </c>
      <c r="M96" s="17" t="n"/>
      <c r="N96" s="17" t="n"/>
      <c r="O96" s="17" t="inlineStr">
        <is>
          <t>Control de calidad</t>
        </is>
      </c>
      <c r="P96" s="17" t="inlineStr">
        <is>
          <t>IRAM 3523 4.1 y cap. 6 · IRAM 2587</t>
        </is>
      </c>
      <c r="Q96" s="32" t="inlineStr">
        <is>
          <t>N</t>
        </is>
      </c>
      <c r="R96" s="32" t="inlineStr">
        <is>
          <t>FL_REC_ABC_10kg hoja 3</t>
        </is>
      </c>
      <c r="S96" s="17" t="n"/>
    </row>
    <row r="97">
      <c r="A97" s="29" t="inlineStr">
        <is>
          <t>FL_REC_ABC_10kg</t>
        </is>
      </c>
      <c r="B97" s="29" t="n">
        <v>1</v>
      </c>
      <c r="C97" s="29" t="inlineStr">
        <is>
          <t>ABC10-S7</t>
        </is>
      </c>
      <c r="D97" s="30" t="inlineStr">
        <is>
          <t xml:space="preserve">    Embalaje</t>
        </is>
      </c>
      <c r="E97" s="29" t="n">
        <v>1</v>
      </c>
      <c r="F97" s="29" t="inlineStr">
        <is>
          <t>u</t>
        </is>
      </c>
      <c r="G97" s="31" t="n"/>
      <c r="H97" s="31">
        <f>H100</f>
        <v/>
      </c>
      <c r="I97" s="29" t="n"/>
      <c r="J97" s="30" t="n"/>
      <c r="K97" s="29" t="inlineStr">
        <is>
          <t>Compra</t>
        </is>
      </c>
      <c r="L97" s="29" t="n"/>
      <c r="M97" s="30" t="n"/>
      <c r="N97" s="30" t="n"/>
      <c r="O97" s="30" t="inlineStr">
        <is>
          <t>23 Embalaje -&gt; 24 envolvedora (T11)</t>
        </is>
      </c>
      <c r="P97" s="30" t="n"/>
      <c r="Q97" s="29" t="n"/>
      <c r="R97" s="29" t="n"/>
      <c r="S97" s="30" t="n"/>
    </row>
    <row r="98">
      <c r="A98" s="32" t="inlineStr">
        <is>
          <t>FL_REC_ABC_10kg</t>
        </is>
      </c>
      <c r="B98" s="32" t="n">
        <v>2</v>
      </c>
      <c r="C98" s="32" t="inlineStr">
        <is>
          <t>ABC10-E1</t>
        </is>
      </c>
      <c r="D98" s="17" t="inlineStr">
        <is>
          <t xml:space="preserve">        Caja de cartón corrugado doble</t>
        </is>
      </c>
      <c r="E98" s="32" t="n">
        <v>1</v>
      </c>
      <c r="F98" s="32" t="inlineStr">
        <is>
          <t>u</t>
        </is>
      </c>
      <c r="G98" s="33" t="n"/>
      <c r="H98" s="33" t="n"/>
      <c r="I98" s="32" t="inlineStr">
        <is>
          <t>Cartón corrugado</t>
        </is>
      </c>
      <c r="J98" s="17" t="inlineStr">
        <is>
          <t>212 × 212 × 582 interior (envolvente del plano + 15 por lado)</t>
        </is>
      </c>
      <c r="K98" s="32" t="inlineStr">
        <is>
          <t>Compra</t>
        </is>
      </c>
      <c r="L98" s="32" t="inlineStr">
        <is>
          <t>Sí</t>
        </is>
      </c>
      <c r="M98" s="17" t="inlineStr">
        <is>
          <t>Maxipack</t>
        </is>
      </c>
      <c r="N98" s="17" t="inlineStr">
        <is>
          <t>Cartocan</t>
        </is>
      </c>
      <c r="O98" s="17" t="inlineStr">
        <is>
          <t>23 Embalaje</t>
        </is>
      </c>
      <c r="P98" s="17" t="n"/>
      <c r="Q98" s="32" t="inlineStr">
        <is>
          <t>P</t>
        </is>
      </c>
      <c r="R98" s="32" t="n"/>
      <c r="S98" s="17" t="inlineStr">
        <is>
          <t>Medida del plano</t>
        </is>
      </c>
    </row>
    <row r="99">
      <c r="A99" s="32" t="inlineStr">
        <is>
          <t>FL_REC_ABC_10kg</t>
        </is>
      </c>
      <c r="B99" s="32" t="n">
        <v>2</v>
      </c>
      <c r="C99" s="32" t="inlineStr">
        <is>
          <t>ABC10-E3</t>
        </is>
      </c>
      <c r="D99" s="17" t="inlineStr">
        <is>
          <t xml:space="preserve">        Pallet 1200 × 1000 (fracción)</t>
        </is>
      </c>
      <c r="E99" s="32" t="n">
        <v>0.025</v>
      </c>
      <c r="F99" s="32" t="inlineStr">
        <is>
          <t>u</t>
        </is>
      </c>
      <c r="G99" s="33" t="n"/>
      <c r="H99" s="33" t="n"/>
      <c r="I99" s="32" t="inlineStr">
        <is>
          <t>Madera</t>
        </is>
      </c>
      <c r="J99" s="17" t="inlineStr">
        <is>
          <t>40 u por pallet</t>
        </is>
      </c>
      <c r="K99" s="32" t="inlineStr">
        <is>
          <t>Compra</t>
        </is>
      </c>
      <c r="L99" s="32" t="inlineStr">
        <is>
          <t>Sí</t>
        </is>
      </c>
      <c r="M99" s="17" t="inlineStr">
        <is>
          <t>IndusPallets</t>
        </is>
      </c>
      <c r="N99" s="17" t="inlineStr">
        <is>
          <t>-</t>
        </is>
      </c>
      <c r="O99" s="17" t="inlineStr">
        <is>
          <t>23 Embalaje</t>
        </is>
      </c>
      <c r="P99" s="17" t="n"/>
      <c r="Q99" s="32" t="inlineStr">
        <is>
          <t>C</t>
        </is>
      </c>
      <c r="R99" s="32" t="n"/>
      <c r="S99" s="17" t="inlineStr">
        <is>
          <t>u por pallet = acomodo de la caja (plano) en 1200 × 1000 × 1450 de alto</t>
        </is>
      </c>
    </row>
    <row r="100">
      <c r="A100" s="37" t="inlineStr">
        <is>
          <t>FL_REC_ABC_10kg</t>
        </is>
      </c>
      <c r="B100" s="37" t="n">
        <v>2</v>
      </c>
      <c r="C100" s="37" t="inlineStr">
        <is>
          <t>ABC10-E4</t>
        </is>
      </c>
      <c r="D100" s="18" t="inlineStr">
        <is>
          <t xml:space="preserve">        Film stretch (fracción del pallet)</t>
        </is>
      </c>
      <c r="E100" s="37" t="n">
        <v>0.003</v>
      </c>
      <c r="F100" s="37" t="inlineStr">
        <is>
          <t>kg</t>
        </is>
      </c>
      <c r="G100" s="38" t="n">
        <v>1</v>
      </c>
      <c r="H100" s="38">
        <f>E100*G100</f>
        <v/>
      </c>
      <c r="I100" s="37" t="inlineStr">
        <is>
          <t>PE lineal 23 µm</t>
        </is>
      </c>
      <c r="J100" s="18" t="inlineStr">
        <is>
          <t>0,12 kg por pallet / 40 u</t>
        </is>
      </c>
      <c r="K100" s="37" t="inlineStr">
        <is>
          <t>Compra</t>
        </is>
      </c>
      <c r="L100" s="37" t="inlineStr">
        <is>
          <t>Sí</t>
        </is>
      </c>
      <c r="M100" s="18" t="inlineStr">
        <is>
          <t>MV Embalajes</t>
        </is>
      </c>
      <c r="N100" s="18" t="inlineStr">
        <is>
          <t>Embalpack</t>
        </is>
      </c>
      <c r="O100" s="18" t="inlineStr">
        <is>
          <t>24 Envolvedora (T11)</t>
        </is>
      </c>
      <c r="P100" s="18" t="n"/>
      <c r="Q100" s="37" t="inlineStr">
        <is>
          <t>C</t>
        </is>
      </c>
      <c r="R100" s="37" t="n"/>
      <c r="S100"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01">
      <c r="A101" s="32" t="inlineStr">
        <is>
          <t>FL_REC_ABC_10kg</t>
        </is>
      </c>
      <c r="B101" s="32" t="n">
        <v>2</v>
      </c>
      <c r="C101" s="32" t="inlineStr">
        <is>
          <t>ABC10-E5</t>
        </is>
      </c>
      <c r="D101" s="17" t="inlineStr">
        <is>
          <t xml:space="preserve">        Etiqueta de pallet (lote y destino, fracción)</t>
        </is>
      </c>
      <c r="E101" s="32" t="n">
        <v>0.025</v>
      </c>
      <c r="F101" s="32" t="inlineStr">
        <is>
          <t>u</t>
        </is>
      </c>
      <c r="G101" s="33" t="n"/>
      <c r="H101" s="33" t="n"/>
      <c r="I101" s="32" t="inlineStr">
        <is>
          <t>Papel térmico</t>
        </is>
      </c>
      <c r="J101" s="17" t="inlineStr">
        <is>
          <t>100 × 150</t>
        </is>
      </c>
      <c r="K101" s="32" t="inlineStr">
        <is>
          <t>Compra</t>
        </is>
      </c>
      <c r="L101" s="32" t="inlineStr">
        <is>
          <t>Sí</t>
        </is>
      </c>
      <c r="M101" s="17" t="inlineStr">
        <is>
          <t>Astuprint</t>
        </is>
      </c>
      <c r="N101" s="17" t="inlineStr">
        <is>
          <t>Multilabel Argentina S.A.</t>
        </is>
      </c>
      <c r="O101" s="17" t="inlineStr">
        <is>
          <t>24 Envolvedora</t>
        </is>
      </c>
      <c r="P101" s="17" t="n"/>
      <c r="Q101" s="32" t="inlineStr">
        <is>
          <t>C</t>
        </is>
      </c>
      <c r="R101" s="32" t="n"/>
      <c r="S101" s="17" t="n"/>
    </row>
    <row r="102">
      <c r="A102" s="37" t="inlineStr">
        <is>
          <t>FL_REC_ABC_10kg</t>
        </is>
      </c>
      <c r="B102" s="37" t="n">
        <v>2</v>
      </c>
      <c r="C102" s="37" t="inlineStr">
        <is>
          <t>ABC10-E6</t>
        </is>
      </c>
      <c r="D102" s="18" t="inlineStr">
        <is>
          <t xml:space="preserve">        Cinta de embalaje PP 48 mm (cierre de la caja)</t>
        </is>
      </c>
      <c r="E102" s="37" t="n">
        <v>0.703</v>
      </c>
      <c r="F102" s="37" t="inlineStr">
        <is>
          <t>m</t>
        </is>
      </c>
      <c r="G102" s="38" t="n"/>
      <c r="H102" s="38" t="n"/>
      <c r="I102" s="37" t="inlineStr">
        <is>
          <t>Polipropileno con adhesivo acrílico</t>
        </is>
      </c>
      <c r="J102" s="18" t="inlineStr">
        <is>
          <t>cierre en I arriba y abajo: 2 × (212 + 2 × 70 de solapa)</t>
        </is>
      </c>
      <c r="K102" s="37" t="inlineStr">
        <is>
          <t>Compra</t>
        </is>
      </c>
      <c r="L102" s="37" t="inlineStr">
        <is>
          <t>Sí</t>
        </is>
      </c>
      <c r="M102" s="18" t="inlineStr">
        <is>
          <t>MV Embalajes</t>
        </is>
      </c>
      <c r="N102" s="18" t="inlineStr">
        <is>
          <t>Embalpack</t>
        </is>
      </c>
      <c r="O102" s="18" t="inlineStr">
        <is>
          <t>23 Embalaje</t>
        </is>
      </c>
      <c r="P102" s="18" t="n"/>
      <c r="Q102" s="37" t="inlineStr">
        <is>
          <t>C</t>
        </is>
      </c>
      <c r="R102" s="37" t="n"/>
      <c r="S102" s="18" t="inlineStr">
        <is>
          <t>Solapa de 70 mm por lado: práctica de cierre de cajas (medir en la línea)</t>
        </is>
      </c>
    </row>
    <row r="103">
      <c r="A103" s="32" t="inlineStr">
        <is>
          <t>FL_REC_ABC_10kg</t>
        </is>
      </c>
      <c r="B103" s="32" t="n">
        <v>2</v>
      </c>
      <c r="C103" s="32" t="inlineStr">
        <is>
          <t>ABC10-E7</t>
        </is>
      </c>
      <c r="D103" s="17" t="inlineStr">
        <is>
          <t xml:space="preserve">        Esquineros de cartón 50 × 50 × 1200 (fracción del pallet)</t>
        </is>
      </c>
      <c r="E103" s="32" t="n">
        <v>0.1</v>
      </c>
      <c r="F103" s="32" t="inlineStr">
        <is>
          <t>u</t>
        </is>
      </c>
      <c r="G103" s="33" t="n"/>
      <c r="H103" s="33" t="n"/>
      <c r="I103" s="32" t="inlineStr">
        <is>
          <t>Cartón</t>
        </is>
      </c>
      <c r="J103" s="17" t="inlineStr">
        <is>
          <t>4 por pallet / 40 u</t>
        </is>
      </c>
      <c r="K103" s="32" t="inlineStr">
        <is>
          <t>Compra</t>
        </is>
      </c>
      <c r="L103" s="32" t="inlineStr">
        <is>
          <t>Sí</t>
        </is>
      </c>
      <c r="M103" s="17" t="inlineStr">
        <is>
          <t>Maxipack</t>
        </is>
      </c>
      <c r="N103" s="17" t="inlineStr">
        <is>
          <t>Cartocan</t>
        </is>
      </c>
      <c r="O103" s="17" t="inlineStr">
        <is>
          <t>24 Envolvedora (T11)</t>
        </is>
      </c>
      <c r="P103" s="17" t="n"/>
      <c r="Q103" s="32" t="inlineStr">
        <is>
          <t>C</t>
        </is>
      </c>
      <c r="R103" s="32" t="n"/>
      <c r="S103" s="17" t="inlineStr">
        <is>
          <t>Planilla MP-64</t>
        </is>
      </c>
    </row>
    <row r="104">
      <c r="A104" s="32" t="inlineStr">
        <is>
          <t>FL_REC_ABC_10kg</t>
        </is>
      </c>
      <c r="B104" s="32" t="n">
        <v>2</v>
      </c>
      <c r="C104" s="32" t="inlineStr">
        <is>
          <t>ABC10-E8</t>
        </is>
      </c>
      <c r="D104" s="17" t="inlineStr">
        <is>
          <t xml:space="preserve">        Separador de capa de cartón 1200 × 1000 (fracción del pallet)</t>
        </is>
      </c>
      <c r="E104" s="32" t="n">
        <v>0.025</v>
      </c>
      <c r="F104" s="32" t="inlineStr">
        <is>
          <t>u</t>
        </is>
      </c>
      <c r="G104" s="33" t="n"/>
      <c r="H104" s="33" t="n"/>
      <c r="I104" s="32" t="inlineStr">
        <is>
          <t>Cartón</t>
        </is>
      </c>
      <c r="J104" s="17" t="inlineStr">
        <is>
          <t>2 capas → 1 separadores por pallet / 40 u</t>
        </is>
      </c>
      <c r="K104" s="32" t="inlineStr">
        <is>
          <t>Compra</t>
        </is>
      </c>
      <c r="L104" s="32" t="inlineStr">
        <is>
          <t>Sí</t>
        </is>
      </c>
      <c r="M104" s="17" t="inlineStr">
        <is>
          <t>Maxipack</t>
        </is>
      </c>
      <c r="N104" s="17" t="inlineStr">
        <is>
          <t>Cartocan</t>
        </is>
      </c>
      <c r="O104" s="17" t="inlineStr">
        <is>
          <t>23 Embalaje</t>
        </is>
      </c>
      <c r="P104" s="17" t="n"/>
      <c r="Q104" s="32" t="inlineStr">
        <is>
          <t>C</t>
        </is>
      </c>
      <c r="R104" s="32" t="n"/>
      <c r="S104" s="17" t="inlineStr">
        <is>
          <t>Planilla MP-61</t>
        </is>
      </c>
    </row>
    <row r="105">
      <c r="A105" s="26" t="inlineStr">
        <is>
          <t>FL_REC_ABC_25kg</t>
        </is>
      </c>
      <c r="B105" s="26" t="n">
        <v>0</v>
      </c>
      <c r="C105" s="26" t="inlineStr">
        <is>
          <t>FL_REC_ABC_25kg</t>
        </is>
      </c>
      <c r="D105" s="27" t="inlineStr">
        <is>
          <t>Cilindro (recipiente) ABC 25 kg rodante - repuesto vacío sin válvula</t>
        </is>
      </c>
      <c r="E105" s="26" t="n">
        <v>1</v>
      </c>
      <c r="F105" s="26" t="inlineStr">
        <is>
          <t>u</t>
        </is>
      </c>
      <c r="G105" s="28" t="n"/>
      <c r="H105" s="28" t="n"/>
      <c r="I105" s="26" t="n"/>
      <c r="J105" s="27" t="n"/>
      <c r="K105" s="26" t="n"/>
      <c r="L105" s="26" t="n"/>
      <c r="M105" s="27" t="n"/>
      <c r="N105" s="27" t="n"/>
      <c r="O105" s="27" t="n"/>
      <c r="P105" s="27" t="inlineStr">
        <is>
          <t>IRAM 3550</t>
        </is>
      </c>
      <c r="Q105" s="26" t="inlineStr">
        <is>
          <t>P</t>
        </is>
      </c>
      <c r="R105" s="26" t="inlineStr">
        <is>
          <t>FL_REC_ABC_25kg</t>
        </is>
      </c>
      <c r="S105" s="27" t="inlineStr">
        <is>
          <t>Fabricación propia</t>
        </is>
      </c>
    </row>
    <row r="106">
      <c r="A106" s="29" t="inlineStr">
        <is>
          <t>FL_REC_ABC_25kg</t>
        </is>
      </c>
      <c r="B106" s="29" t="n">
        <v>1</v>
      </c>
      <c r="C106" s="29" t="inlineStr">
        <is>
          <t>ABC25-S1</t>
        </is>
      </c>
      <c r="D106" s="30" t="inlineStr">
        <is>
          <t xml:space="preserve">    Recipiente (cilindro)</t>
        </is>
      </c>
      <c r="E106" s="29" t="n">
        <v>1</v>
      </c>
      <c r="F106" s="29" t="inlineStr">
        <is>
          <t>u</t>
        </is>
      </c>
      <c r="G106" s="31" t="n"/>
      <c r="H106" s="31">
        <f>H107+H109+H110+H111+H112+H118</f>
        <v/>
      </c>
      <c r="I106" s="29" t="n"/>
      <c r="J106" s="30" t="n"/>
      <c r="K106" s="29" t="inlineStr">
        <is>
          <t>Fabricación</t>
        </is>
      </c>
      <c r="L106" s="29" t="n"/>
      <c r="M106" s="30" t="n"/>
      <c r="N106" s="30" t="n"/>
      <c r="O106" s="30" t="n"/>
      <c r="P106" s="30" t="inlineStr">
        <is>
          <t>IRAM 3523 / 3550 (recipiente)</t>
        </is>
      </c>
      <c r="Q106" s="29" t="inlineStr">
        <is>
          <t>P</t>
        </is>
      </c>
      <c r="R106" s="29" t="inlineStr">
        <is>
          <t>FL_DES_ABC_25kg</t>
        </is>
      </c>
      <c r="S106" s="30" t="n"/>
    </row>
    <row r="107">
      <c r="A107" s="32" t="inlineStr">
        <is>
          <t>FL_REC_ABC_25kg</t>
        </is>
      </c>
      <c r="B107" s="32" t="n">
        <v>2</v>
      </c>
      <c r="C107" s="32" t="inlineStr">
        <is>
          <t>ABC25-01</t>
        </is>
      </c>
      <c r="D107" s="17" t="inlineStr">
        <is>
          <t xml:space="preserve">        Cuerpo (virola)</t>
        </is>
      </c>
      <c r="E107" s="32" t="n">
        <v>1</v>
      </c>
      <c r="F107" s="32" t="inlineStr">
        <is>
          <t>u</t>
        </is>
      </c>
      <c r="G107" s="33" t="n">
        <v>10.633</v>
      </c>
      <c r="H107" s="33">
        <f>E107*G107</f>
        <v/>
      </c>
      <c r="I107" s="32" t="inlineStr">
        <is>
          <t>Chapa LAC IRAM-IAS U 500-04 e=3,2</t>
        </is>
      </c>
      <c r="J107" s="17" t="inlineStr">
        <is>
          <t>Ø276,5 × e3,2 × 493 de alto; desarrollo 858,6 × 493</t>
        </is>
      </c>
      <c r="K107" s="32" t="inlineStr">
        <is>
          <t>Fabricación</t>
        </is>
      </c>
      <c r="L107" s="32" t="inlineStr">
        <is>
          <t>No</t>
        </is>
      </c>
      <c r="M107" s="17" t="n"/>
      <c r="N107" s="17" t="n"/>
      <c r="O107"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P107" s="17" t="n"/>
      <c r="Q107" s="32" t="inlineStr">
        <is>
          <t>P</t>
        </is>
      </c>
      <c r="R107" s="32" t="inlineStr">
        <is>
          <t>FL_DES_ABC_25kg</t>
        </is>
      </c>
      <c r="S107" s="17" t="inlineStr">
        <is>
          <t>costura long. MAG</t>
        </is>
      </c>
    </row>
    <row r="108">
      <c r="A108" s="34" t="inlineStr">
        <is>
          <t>FL_REC_ABC_25kg</t>
        </is>
      </c>
      <c r="B108" s="34" t="n">
        <v>3</v>
      </c>
      <c r="C108" s="34" t="inlineStr">
        <is>
          <t>MP-HOJA</t>
        </is>
      </c>
      <c r="D108" s="35" t="inlineStr">
        <is>
          <t xml:space="preserve">            Recorte de hoja LAC 1500 × 3000 e=3,2</t>
        </is>
      </c>
      <c r="E108" s="34" t="n">
        <v>1</v>
      </c>
      <c r="F108" s="34" t="inlineStr">
        <is>
          <t>u</t>
        </is>
      </c>
      <c r="G108" s="36" t="n">
        <v>12.558</v>
      </c>
      <c r="H108" s="36">
        <f>E108*G108</f>
        <v/>
      </c>
      <c r="I108" s="34" t="inlineStr">
        <is>
          <t>Chapa LAC IRAM-IAS U 500-04 LAC</t>
        </is>
      </c>
      <c r="J108" s="35" t="inlineStr">
        <is>
          <t>490 × 858 (aprovech. 84,1 %)</t>
        </is>
      </c>
      <c r="K108" s="34" t="inlineStr">
        <is>
          <t>Compra</t>
        </is>
      </c>
      <c r="L108" s="34" t="inlineStr">
        <is>
          <t>Sí</t>
        </is>
      </c>
      <c r="M108" s="35" t="inlineStr">
        <is>
          <t>Pradecon S.A.</t>
        </is>
      </c>
      <c r="N108" s="35" t="inlineStr">
        <is>
          <t>Pacheco Chapas</t>
        </is>
      </c>
      <c r="O108" s="35" t="inlineStr">
        <is>
          <t>AL-1H paquetes de hojas</t>
        </is>
      </c>
      <c r="P108" s="35" t="n"/>
      <c r="Q108" s="34" t="inlineStr">
        <is>
          <t>L</t>
        </is>
      </c>
      <c r="R108" s="34" t="inlineStr">
        <is>
          <t>FL_PI_04 h2</t>
        </is>
      </c>
      <c r="S108" s="35" t="n"/>
    </row>
    <row r="109">
      <c r="A109" s="32" t="inlineStr">
        <is>
          <t>FL_REC_ABC_25kg</t>
        </is>
      </c>
      <c r="B109" s="32" t="n">
        <v>2</v>
      </c>
      <c r="C109" s="32" t="inlineStr">
        <is>
          <t>ABC25-02</t>
        </is>
      </c>
      <c r="D109" s="17" t="inlineStr">
        <is>
          <t xml:space="preserve">        Cúpula</t>
        </is>
      </c>
      <c r="E109" s="32" t="n">
        <v>1</v>
      </c>
      <c r="F109" s="32" t="inlineStr">
        <is>
          <t>u</t>
        </is>
      </c>
      <c r="G109" s="33" t="n">
        <v>2.3872</v>
      </c>
      <c r="H109" s="33">
        <f>E109*G109</f>
        <v/>
      </c>
      <c r="I109" s="32" t="inlineStr">
        <is>
          <t>Chapa LAC IRAM-IAS U 500-04 e=3,2</t>
        </is>
      </c>
      <c r="J109" s="17" t="inlineStr">
        <is>
          <t>Ø276,5 × e3,2 × 94,4 de alto; disco Ø358,3</t>
        </is>
      </c>
      <c r="K109" s="32" t="inlineStr">
        <is>
          <t>Compra (tapa embutida tercerizada)</t>
        </is>
      </c>
      <c r="L109" s="32" t="inlineStr">
        <is>
          <t>Sí</t>
        </is>
      </c>
      <c r="M109" s="17" t="inlineStr">
        <is>
          <t>Gockel Ingeniería S.R.L.</t>
        </is>
      </c>
      <c r="N109" s="17" t="inlineStr">
        <is>
          <t>-</t>
        </is>
      </c>
      <c r="O109" s="17" t="inlineStr">
        <is>
          <t>Compra -&gt; 6 soldadura de cupla -&gt; 7 armado y sold. circunferencial -&gt; 11 marcado (estampado en arco junto al cuello)</t>
        </is>
      </c>
      <c r="P109" s="17" t="n"/>
      <c r="Q109" s="32" t="inlineStr">
        <is>
          <t>P</t>
        </is>
      </c>
      <c r="R109" s="32" t="inlineStr">
        <is>
          <t>FL_DES_ABC_25kg</t>
        </is>
      </c>
      <c r="S109" s="17" t="inlineStr">
        <is>
          <t>embutida</t>
        </is>
      </c>
    </row>
    <row r="110">
      <c r="A110" s="32" t="inlineStr">
        <is>
          <t>FL_REC_ABC_25kg</t>
        </is>
      </c>
      <c r="B110" s="32" t="n">
        <v>2</v>
      </c>
      <c r="C110" s="32" t="inlineStr">
        <is>
          <t>ABC25-03</t>
        </is>
      </c>
      <c r="D110" s="17" t="inlineStr">
        <is>
          <t xml:space="preserve">        Fondo</t>
        </is>
      </c>
      <c r="E110" s="32" t="n">
        <v>1</v>
      </c>
      <c r="F110" s="32" t="inlineStr">
        <is>
          <t>u</t>
        </is>
      </c>
      <c r="G110" s="33" t="n">
        <v>2.4433</v>
      </c>
      <c r="H110" s="33">
        <f>E110*G110</f>
        <v/>
      </c>
      <c r="I110" s="32" t="inlineStr">
        <is>
          <t>Chapa LAC IRAM-IAS U 500-04 e=3,2</t>
        </is>
      </c>
      <c r="J110" s="17" t="inlineStr">
        <is>
          <t>Ø276,5 × e3,2 × 95 de alto; disco Ø362,5</t>
        </is>
      </c>
      <c r="K110" s="32" t="inlineStr">
        <is>
          <t>Compra (tapa embutida tercerizada)</t>
        </is>
      </c>
      <c r="L110" s="32" t="inlineStr">
        <is>
          <t>Sí</t>
        </is>
      </c>
      <c r="M110" s="17" t="inlineStr">
        <is>
          <t>Gockel Ingeniería S.R.L.</t>
        </is>
      </c>
      <c r="N110" s="17" t="inlineStr">
        <is>
          <t>-</t>
        </is>
      </c>
      <c r="O110" s="17" t="inlineStr">
        <is>
          <t>Compra -&gt; 7 armado y sold. circunferencial</t>
        </is>
      </c>
      <c r="P110" s="17" t="n"/>
      <c r="Q110" s="32" t="inlineStr">
        <is>
          <t>P</t>
        </is>
      </c>
      <c r="R110" s="32" t="inlineStr">
        <is>
          <t>FL_DES_ABC_25kg</t>
        </is>
      </c>
      <c r="S110" s="17" t="inlineStr">
        <is>
          <t>embutido</t>
        </is>
      </c>
    </row>
    <row r="111">
      <c r="A111" s="32" t="inlineStr">
        <is>
          <t>FL_REC_ABC_25kg</t>
        </is>
      </c>
      <c r="B111" s="32" t="n">
        <v>2</v>
      </c>
      <c r="C111" s="32" t="inlineStr">
        <is>
          <t>ABC25-04</t>
        </is>
      </c>
      <c r="D111" s="17" t="inlineStr">
        <is>
          <t xml:space="preserve">        Cuello roscado</t>
        </is>
      </c>
      <c r="E111" s="32" t="n">
        <v>1</v>
      </c>
      <c r="F111" s="32" t="inlineStr">
        <is>
          <t>u</t>
        </is>
      </c>
      <c r="G111" s="33" t="n">
        <v>0.1326</v>
      </c>
      <c r="H111" s="33">
        <f>E111*G111</f>
        <v/>
      </c>
      <c r="I111" s="32" t="inlineStr">
        <is>
          <t>Acero SAE 1010</t>
        </is>
      </c>
      <c r="J111" s="17" t="inlineStr">
        <is>
          <t>Ø37 × 35 de alto, rosca M30x1,5, asiento Ø35</t>
        </is>
      </c>
      <c r="K111" s="32" t="inlineStr">
        <is>
          <t>Compra (mecanizado, Eli-Met)</t>
        </is>
      </c>
      <c r="L111" s="32" t="inlineStr">
        <is>
          <t>Sí</t>
        </is>
      </c>
      <c r="M111" s="17" t="inlineStr">
        <is>
          <t>Eli-Met</t>
        </is>
      </c>
      <c r="N111" s="17" t="inlineStr">
        <is>
          <t>-</t>
        </is>
      </c>
      <c r="O111" s="17" t="inlineStr">
        <is>
          <t>Compra -&gt; 6 soldadura de cupla en la cúpula (tapón plástico hasta la carga)</t>
        </is>
      </c>
      <c r="P111" s="17" t="n"/>
      <c r="Q111" s="32" t="inlineStr">
        <is>
          <t>P</t>
        </is>
      </c>
      <c r="R111" s="32" t="inlineStr">
        <is>
          <t>FL_DES_ABC_25kg</t>
        </is>
      </c>
      <c r="S111" s="17" t="inlineStr">
        <is>
          <t>M30x1,5</t>
        </is>
      </c>
    </row>
    <row r="112">
      <c r="A112" s="37" t="inlineStr">
        <is>
          <t>FL_REC_ABC_25kg</t>
        </is>
      </c>
      <c r="B112" s="37" t="n">
        <v>2</v>
      </c>
      <c r="C112" s="37" t="inlineStr">
        <is>
          <t>ABC25-C1</t>
        </is>
      </c>
      <c r="D112" s="18" t="inlineStr">
        <is>
          <t xml:space="preserve">        Alambre MAG ER70S-6 Ø1,0 (AWS A5.18)</t>
        </is>
      </c>
      <c r="E112" s="37" t="n">
        <v>0.3431</v>
      </c>
      <c r="F112" s="37" t="inlineStr">
        <is>
          <t>kg</t>
        </is>
      </c>
      <c r="G112" s="38" t="n">
        <v>0.95</v>
      </c>
      <c r="H112" s="38">
        <f>E112*G112</f>
        <v/>
      </c>
      <c r="I112" s="37" t="inlineStr">
        <is>
          <t>ER70S-6</t>
        </is>
      </c>
      <c r="J112" s="18" t="inlineStr">
        <is>
          <t>metal depositado de los cordones del plano 326 g / rendimiento 0,95</t>
        </is>
      </c>
      <c r="K112" s="37" t="inlineStr">
        <is>
          <t>Compra</t>
        </is>
      </c>
      <c r="L112" s="37" t="inlineStr">
        <is>
          <t>Sí</t>
        </is>
      </c>
      <c r="M112" s="18" t="inlineStr">
        <is>
          <t>Conarco (ESAB Argentina)</t>
        </is>
      </c>
      <c r="N112" s="18" t="inlineStr">
        <is>
          <t>-</t>
        </is>
      </c>
      <c r="O112" s="18" t="inlineStr">
        <is>
          <t>5 sold. long. / 6 cupla / 7 circunferencial</t>
        </is>
      </c>
      <c r="P112" s="18" t="inlineStr">
        <is>
          <t>IRAM 3523 3.2.4.2 · IRAM 3550 4.1.2</t>
        </is>
      </c>
      <c r="Q112" s="37" t="inlineStr">
        <is>
          <t>C</t>
        </is>
      </c>
      <c r="R112" s="37" t="n"/>
      <c r="S112"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13">
      <c r="A113" s="37" t="inlineStr">
        <is>
          <t>FL_REC_ABC_25kg</t>
        </is>
      </c>
      <c r="B113" s="37" t="n">
        <v>2</v>
      </c>
      <c r="C113" s="37" t="inlineStr">
        <is>
          <t>ABC25-C2</t>
        </is>
      </c>
      <c r="D113" s="18" t="inlineStr">
        <is>
          <t xml:space="preserve">        Gas de protección MAG Arcal 21 / ARCAL Speed (Ar + 8 % CO₂, M20)</t>
        </is>
      </c>
      <c r="E113" s="37" t="n">
        <v>54.8</v>
      </c>
      <c r="F113" s="37" t="inlineStr">
        <is>
          <t>L</t>
        </is>
      </c>
      <c r="G113" s="38" t="n"/>
      <c r="H113" s="38" t="n"/>
      <c r="I113" s="37" t="inlineStr">
        <is>
          <t>EN ISO 14175 M20-ArC-8</t>
        </is>
      </c>
      <c r="J113" s="18" t="inlineStr">
        <is>
          <t>14 L/min × 3,91 min de arco (cordones 2.347 mm: long. 493 + circ. 1.737 + cuello 116, a 600 mm/min)</t>
        </is>
      </c>
      <c r="K113" s="37" t="inlineStr">
        <is>
          <t>Compra</t>
        </is>
      </c>
      <c r="L113" s="37" t="inlineStr">
        <is>
          <t>Sí</t>
        </is>
      </c>
      <c r="M113" s="18" t="inlineStr">
        <is>
          <t>Air Liquide Argentina - sucursal Piñeyro</t>
        </is>
      </c>
      <c r="N113" s="18" t="inlineStr">
        <is>
          <t>Gogniat</t>
        </is>
      </c>
      <c r="O113" s="18" t="inlineStr">
        <is>
          <t>Colector SC</t>
        </is>
      </c>
      <c r="P113" s="18" t="inlineStr">
        <is>
          <t>IRAM 3523 3.2.4.2 · IRAM 3550 3.2.2.2</t>
        </is>
      </c>
      <c r="Q113" s="37" t="inlineStr">
        <is>
          <t>C</t>
        </is>
      </c>
      <c r="R113" s="37" t="n"/>
      <c r="S113"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14">
      <c r="A114" s="32" t="inlineStr">
        <is>
          <t>FL_REC_ABC_25kg</t>
        </is>
      </c>
      <c r="B114" s="32" t="n">
        <v>2</v>
      </c>
      <c r="C114" s="32" t="inlineStr">
        <is>
          <t>ABC25-C4</t>
        </is>
      </c>
      <c r="D114" s="17" t="inlineStr">
        <is>
          <t xml:space="preserve">        Servicio de pintura en polvo al horno, rojo 03-1-050 (con preparación por quemado)</t>
        </is>
      </c>
      <c r="E114" s="32" t="n">
        <v>1</v>
      </c>
      <c r="F114" s="32" t="inlineStr">
        <is>
          <t>u</t>
        </is>
      </c>
      <c r="G114" s="33" t="n"/>
      <c r="H114" s="33" t="n"/>
      <c r="I114" s="32" t="inlineStr">
        <is>
          <t>Servicio tercerizado</t>
        </is>
      </c>
      <c r="J114" s="17" t="inlineStr">
        <is>
          <t>superficie exterior 0,616 m²</t>
        </is>
      </c>
      <c r="K114" s="32" t="inlineStr">
        <is>
          <t>Compra (servicio)</t>
        </is>
      </c>
      <c r="L114" s="32" t="inlineStr">
        <is>
          <t>Sí</t>
        </is>
      </c>
      <c r="M114" s="17" t="inlineStr">
        <is>
          <t>Pintor de carros (cotización por mensaje)</t>
        </is>
      </c>
      <c r="N114" s="17" t="inlineStr">
        <is>
          <t>Prymax</t>
        </is>
      </c>
      <c r="O114" s="17" t="inlineStr">
        <is>
          <t>17 Pintura tercerizada</t>
        </is>
      </c>
      <c r="P114" s="17" t="inlineStr">
        <is>
          <t>IRAM 3523 5.3 / IRAM 3550 3.11 · IRAM 121</t>
        </is>
      </c>
      <c r="Q114" s="32" t="inlineStr">
        <is>
          <t>Q</t>
        </is>
      </c>
      <c r="R114" s="32" t="n"/>
      <c r="S114" s="17" t="inlineStr">
        <is>
          <t>Q-CARROS (precio por carro); exigir informe de niebla salina del sistema de pintura; tercerización aceptada por el Ministerio (Res. 349/07 art. 18)</t>
        </is>
      </c>
    </row>
    <row r="115">
      <c r="A115" s="39" t="inlineStr">
        <is>
          <t>FL_REC_ABC_25kg</t>
        </is>
      </c>
      <c r="B115" s="39" t="n">
        <v>2</v>
      </c>
      <c r="C115" s="39" t="inlineStr">
        <is>
          <t>ABC25-T1</t>
        </is>
      </c>
      <c r="D115" s="19" t="inlineStr">
        <is>
          <t xml:space="preserve">        Tapón protector de rosca del cuello</t>
        </is>
      </c>
      <c r="E115" s="39" t="n">
        <v>1</v>
      </c>
      <c r="F115" s="39" t="inlineStr">
        <is>
          <t>u</t>
        </is>
      </c>
      <c r="G115" s="40" t="n"/>
      <c r="H115" s="40" t="n"/>
      <c r="I115" s="39" t="inlineStr">
        <is>
          <t>Polietileno</t>
        </is>
      </c>
      <c r="J115" s="19" t="inlineStr">
        <is>
          <t>para rosca M30x1,5 (plano FL_REC_ABC_25kg hoja 3, R4)</t>
        </is>
      </c>
      <c r="K115" s="39" t="inlineStr">
        <is>
          <t>Compra</t>
        </is>
      </c>
      <c r="L115" s="39" t="inlineStr">
        <is>
          <t>Sí</t>
        </is>
      </c>
      <c r="M115" s="19" t="inlineStr">
        <is>
          <t>-</t>
        </is>
      </c>
      <c r="N115" s="19" t="inlineStr">
        <is>
          <t>-</t>
        </is>
      </c>
      <c r="O115" s="19" t="inlineStr">
        <is>
          <t>Embalaje</t>
        </is>
      </c>
      <c r="P115" s="19" t="n"/>
      <c r="Q115" s="39" t="inlineStr">
        <is>
          <t>P</t>
        </is>
      </c>
      <c r="R115" s="39" t="n"/>
      <c r="S115" s="19" t="n"/>
    </row>
    <row r="116">
      <c r="A116" s="32" t="inlineStr">
        <is>
          <t>FL_REC_ABC_25kg</t>
        </is>
      </c>
      <c r="B116" s="32" t="n">
        <v>2</v>
      </c>
      <c r="C116" s="32" t="inlineStr">
        <is>
          <t>ABC25-T2</t>
        </is>
      </c>
      <c r="D116" s="17" t="inlineStr">
        <is>
          <t xml:space="preserve">        Marcado del recipiente: estampado en la cúpula, en arco junto al cuello (puesto 11, después de la PH y el secado)</t>
        </is>
      </c>
      <c r="E116" s="32" t="n">
        <v>1</v>
      </c>
      <c r="F116" s="32" t="inlineStr">
        <is>
          <t>u</t>
        </is>
      </c>
      <c r="G116" s="33" t="n"/>
      <c r="H116" s="33" t="n"/>
      <c r="I116" s="32" t="inlineStr">
        <is>
          <t>-</t>
        </is>
      </c>
      <c r="J116" s="17" t="inlineStr">
        <is>
          <t>Fabricante, n° de serie, año, presión de ensayo; en arco junto al cuello, letra 5 mm; cuño DPS 15 × 7 junto al n°</t>
        </is>
      </c>
      <c r="K116" s="32" t="inlineStr">
        <is>
          <t>Proceso</t>
        </is>
      </c>
      <c r="L116" s="32" t="inlineStr">
        <is>
          <t>No</t>
        </is>
      </c>
      <c r="M116" s="17" t="n"/>
      <c r="N116" s="17" t="n"/>
      <c r="O116" s="17" t="inlineStr">
        <is>
          <t>Marcado</t>
        </is>
      </c>
      <c r="P116" s="17" t="inlineStr">
        <is>
          <t>IRAM 3550 5.1 · Res. 349/07 anexo IV</t>
        </is>
      </c>
      <c r="Q116" s="32" t="inlineStr">
        <is>
          <t>N</t>
        </is>
      </c>
      <c r="R116" s="32" t="n"/>
      <c r="S116" s="17" t="n"/>
    </row>
    <row r="117">
      <c r="A117" s="32" t="inlineStr">
        <is>
          <t>FL_REC_ABC_25kg</t>
        </is>
      </c>
      <c r="B117" s="32" t="n">
        <v>2</v>
      </c>
      <c r="C117" s="32" t="inlineStr">
        <is>
          <t>ABC25-T3</t>
        </is>
      </c>
      <c r="D117" s="17" t="inlineStr">
        <is>
          <t xml:space="preserve">        Etiqueta de identificación del cilindro suelto</t>
        </is>
      </c>
      <c r="E117" s="32" t="n">
        <v>1</v>
      </c>
      <c r="F117" s="32" t="inlineStr">
        <is>
          <t>u</t>
        </is>
      </c>
      <c r="G117" s="33" t="n"/>
      <c r="H117" s="33" t="n"/>
      <c r="I117" s="32" t="inlineStr">
        <is>
          <t>Poliéster autoadhesivo removible</t>
        </is>
      </c>
      <c r="J117" s="17" t="inlineStr">
        <is>
          <t>100 × 60, impresión térmica, QR GS1</t>
        </is>
      </c>
      <c r="K117" s="32" t="inlineStr">
        <is>
          <t>Compra</t>
        </is>
      </c>
      <c r="L117" s="32" t="inlineStr">
        <is>
          <t>Sí</t>
        </is>
      </c>
      <c r="M117" s="17" t="inlineStr">
        <is>
          <t>Astuprint</t>
        </is>
      </c>
      <c r="N117" s="17" t="inlineStr">
        <is>
          <t>GS1 Argentina</t>
        </is>
      </c>
      <c r="O117" s="17" t="inlineStr">
        <is>
          <t>Etiquetado</t>
        </is>
      </c>
      <c r="P117" s="17" t="n"/>
      <c r="Q117" s="32" t="inlineStr">
        <is>
          <t>P</t>
        </is>
      </c>
      <c r="R117" s="32" t="inlineStr">
        <is>
          <t>FL_REC_ABC_25kg hoja 3</t>
        </is>
      </c>
      <c r="S117" s="17" t="n"/>
    </row>
    <row r="118">
      <c r="A118" s="32" t="inlineStr">
        <is>
          <t>FL_REC_ABC_25kg</t>
        </is>
      </c>
      <c r="B118" s="32" t="n">
        <v>2</v>
      </c>
      <c r="C118" s="32" t="inlineStr">
        <is>
          <t>ABC25-T4</t>
        </is>
      </c>
      <c r="D118" s="17" t="inlineStr">
        <is>
          <t xml:space="preserve">        Protocolo de ensayo hidrostático (certificado que acompaña)</t>
        </is>
      </c>
      <c r="E118" s="32" t="n">
        <v>1</v>
      </c>
      <c r="F118" s="32" t="inlineStr">
        <is>
          <t>u</t>
        </is>
      </c>
      <c r="G118" s="33" t="n">
        <v>0.005</v>
      </c>
      <c r="H118" s="33">
        <f>E118*G118</f>
        <v/>
      </c>
      <c r="I118" s="32" t="inlineStr">
        <is>
          <t>Papel</t>
        </is>
      </c>
      <c r="J118" s="17" t="inlineStr">
        <is>
          <t>A5</t>
        </is>
      </c>
      <c r="K118" s="32" t="inlineStr">
        <is>
          <t>Proceso</t>
        </is>
      </c>
      <c r="L118" s="32" t="inlineStr">
        <is>
          <t>No</t>
        </is>
      </c>
      <c r="M118" s="17" t="n"/>
      <c r="N118" s="17" t="n"/>
      <c r="O118" s="17" t="inlineStr">
        <is>
          <t>Control de calidad</t>
        </is>
      </c>
      <c r="P118" s="17" t="inlineStr">
        <is>
          <t>IRAM 3550 4.1 y cap. 6 · IRAM 2587</t>
        </is>
      </c>
      <c r="Q118" s="32" t="inlineStr">
        <is>
          <t>N</t>
        </is>
      </c>
      <c r="R118" s="32" t="inlineStr">
        <is>
          <t>FL_REC_ABC_25kg hoja 3</t>
        </is>
      </c>
      <c r="S118" s="17" t="n"/>
    </row>
    <row r="119">
      <c r="A119" s="29" t="inlineStr">
        <is>
          <t>FL_REC_ABC_25kg</t>
        </is>
      </c>
      <c r="B119" s="29" t="n">
        <v>1</v>
      </c>
      <c r="C119" s="29" t="inlineStr">
        <is>
          <t>ABC25-S7</t>
        </is>
      </c>
      <c r="D119" s="30" t="inlineStr">
        <is>
          <t xml:space="preserve">    Embalaje</t>
        </is>
      </c>
      <c r="E119" s="29" t="n">
        <v>1</v>
      </c>
      <c r="F119" s="29" t="inlineStr">
        <is>
          <t>u</t>
        </is>
      </c>
      <c r="G119" s="31" t="n"/>
      <c r="H119" s="31">
        <f>H122</f>
        <v/>
      </c>
      <c r="I119" s="29" t="n"/>
      <c r="J119" s="30" t="n"/>
      <c r="K119" s="29" t="inlineStr">
        <is>
          <t>Compra</t>
        </is>
      </c>
      <c r="L119" s="29" t="n"/>
      <c r="M119" s="30" t="n"/>
      <c r="N119" s="30" t="n"/>
      <c r="O119" s="30" t="inlineStr">
        <is>
          <t>23 Embalaje -&gt; 24 envolvedora (T11)</t>
        </is>
      </c>
      <c r="P119" s="30" t="n"/>
      <c r="Q119" s="29" t="n"/>
      <c r="R119" s="29" t="n"/>
      <c r="S119" s="30" t="n"/>
    </row>
    <row r="120">
      <c r="A120" s="32" t="inlineStr">
        <is>
          <t>FL_REC_ABC_25kg</t>
        </is>
      </c>
      <c r="B120" s="32" t="n">
        <v>2</v>
      </c>
      <c r="C120" s="32" t="inlineStr">
        <is>
          <t>ABC25-E1</t>
        </is>
      </c>
      <c r="D120" s="17" t="inlineStr">
        <is>
          <t xml:space="preserve">        Esquineros y funda de polietileno</t>
        </is>
      </c>
      <c r="E120" s="32" t="n">
        <v>1</v>
      </c>
      <c r="F120" s="32" t="inlineStr">
        <is>
          <t>jgo</t>
        </is>
      </c>
      <c r="G120" s="33" t="n"/>
      <c r="H120" s="33" t="n"/>
      <c r="I120" s="32" t="inlineStr">
        <is>
          <t>PE / cartón</t>
        </is>
      </c>
      <c r="J120" s="17" t="inlineStr">
        <is>
          <t>a medida de la envolvente del plano</t>
        </is>
      </c>
      <c r="K120" s="32" t="inlineStr">
        <is>
          <t>Compra</t>
        </is>
      </c>
      <c r="L120" s="32" t="inlineStr">
        <is>
          <t>Sí</t>
        </is>
      </c>
      <c r="M120" s="17" t="inlineStr">
        <is>
          <t>MV Embalajes</t>
        </is>
      </c>
      <c r="N120" s="17" t="inlineStr">
        <is>
          <t>Embalpack</t>
        </is>
      </c>
      <c r="O120" s="17" t="inlineStr">
        <is>
          <t>23 Embalaje</t>
        </is>
      </c>
      <c r="P120" s="17" t="n"/>
      <c r="Q120" s="32" t="inlineStr">
        <is>
          <t>P</t>
        </is>
      </c>
      <c r="R120" s="32" t="n"/>
      <c r="S120" s="17" t="inlineStr">
        <is>
          <t>Medida del plano</t>
        </is>
      </c>
    </row>
    <row r="121">
      <c r="A121" s="32" t="inlineStr">
        <is>
          <t>FL_REC_ABC_25kg</t>
        </is>
      </c>
      <c r="B121" s="32" t="n">
        <v>2</v>
      </c>
      <c r="C121" s="32" t="inlineStr">
        <is>
          <t>ABC25-E3</t>
        </is>
      </c>
      <c r="D121" s="17" t="inlineStr">
        <is>
          <t xml:space="preserve">        Pallet 1200 × 1000 (fracción)</t>
        </is>
      </c>
      <c r="E121" s="32" t="n">
        <v>0.0833</v>
      </c>
      <c r="F121" s="32" t="inlineStr">
        <is>
          <t>u</t>
        </is>
      </c>
      <c r="G121" s="33" t="n"/>
      <c r="H121" s="33" t="n"/>
      <c r="I121" s="32" t="inlineStr">
        <is>
          <t>Madera</t>
        </is>
      </c>
      <c r="J121" s="17" t="inlineStr">
        <is>
          <t>12 u por pallet</t>
        </is>
      </c>
      <c r="K121" s="32" t="inlineStr">
        <is>
          <t>Compra</t>
        </is>
      </c>
      <c r="L121" s="32" t="inlineStr">
        <is>
          <t>Sí</t>
        </is>
      </c>
      <c r="M121" s="17" t="inlineStr">
        <is>
          <t>IndusPallets</t>
        </is>
      </c>
      <c r="N121" s="17" t="inlineStr">
        <is>
          <t>-</t>
        </is>
      </c>
      <c r="O121" s="17" t="inlineStr">
        <is>
          <t>23 Embalaje</t>
        </is>
      </c>
      <c r="P121" s="17" t="n"/>
      <c r="Q121" s="32" t="inlineStr">
        <is>
          <t>C</t>
        </is>
      </c>
      <c r="R121" s="32" t="n"/>
      <c r="S121" s="17" t="inlineStr">
        <is>
          <t>u por pallet = acomodo de la caja (plano) en 1200 × 1000 × 1450 de alto</t>
        </is>
      </c>
    </row>
    <row r="122">
      <c r="A122" s="37" t="inlineStr">
        <is>
          <t>FL_REC_ABC_25kg</t>
        </is>
      </c>
      <c r="B122" s="37" t="n">
        <v>2</v>
      </c>
      <c r="C122" s="37" t="inlineStr">
        <is>
          <t>ABC25-E4</t>
        </is>
      </c>
      <c r="D122" s="18" t="inlineStr">
        <is>
          <t xml:space="preserve">        Film stretch (fracción del pallet)</t>
        </is>
      </c>
      <c r="E122" s="37" t="n">
        <v>0.01</v>
      </c>
      <c r="F122" s="37" t="inlineStr">
        <is>
          <t>kg</t>
        </is>
      </c>
      <c r="G122" s="38" t="n">
        <v>1</v>
      </c>
      <c r="H122" s="38">
        <f>E122*G122</f>
        <v/>
      </c>
      <c r="I122" s="37" t="inlineStr">
        <is>
          <t>PE lineal 23 µm</t>
        </is>
      </c>
      <c r="J122" s="18" t="inlineStr">
        <is>
          <t>0,12 kg por pallet / 12 u</t>
        </is>
      </c>
      <c r="K122" s="37" t="inlineStr">
        <is>
          <t>Compra</t>
        </is>
      </c>
      <c r="L122" s="37" t="inlineStr">
        <is>
          <t>Sí</t>
        </is>
      </c>
      <c r="M122" s="18" t="inlineStr">
        <is>
          <t>MV Embalajes</t>
        </is>
      </c>
      <c r="N122" s="18" t="inlineStr">
        <is>
          <t>Embalpack</t>
        </is>
      </c>
      <c r="O122" s="18" t="inlineStr">
        <is>
          <t>24 Envolvedora (T11)</t>
        </is>
      </c>
      <c r="P122" s="18" t="n"/>
      <c r="Q122" s="37" t="inlineStr">
        <is>
          <t>C</t>
        </is>
      </c>
      <c r="R122" s="37" t="n"/>
      <c r="S122"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23">
      <c r="A123" s="32" t="inlineStr">
        <is>
          <t>FL_REC_ABC_25kg</t>
        </is>
      </c>
      <c r="B123" s="32" t="n">
        <v>2</v>
      </c>
      <c r="C123" s="32" t="inlineStr">
        <is>
          <t>ABC25-E5</t>
        </is>
      </c>
      <c r="D123" s="17" t="inlineStr">
        <is>
          <t xml:space="preserve">        Etiqueta de pallet (lote y destino, fracción)</t>
        </is>
      </c>
      <c r="E123" s="32" t="n">
        <v>0.0833</v>
      </c>
      <c r="F123" s="32" t="inlineStr">
        <is>
          <t>u</t>
        </is>
      </c>
      <c r="G123" s="33" t="n"/>
      <c r="H123" s="33" t="n"/>
      <c r="I123" s="32" t="inlineStr">
        <is>
          <t>Papel térmico</t>
        </is>
      </c>
      <c r="J123" s="17" t="inlineStr">
        <is>
          <t>100 × 150</t>
        </is>
      </c>
      <c r="K123" s="32" t="inlineStr">
        <is>
          <t>Compra</t>
        </is>
      </c>
      <c r="L123" s="32" t="inlineStr">
        <is>
          <t>Sí</t>
        </is>
      </c>
      <c r="M123" s="17" t="inlineStr">
        <is>
          <t>Astuprint</t>
        </is>
      </c>
      <c r="N123" s="17" t="inlineStr">
        <is>
          <t>Multilabel Argentina S.A.</t>
        </is>
      </c>
      <c r="O123" s="17" t="inlineStr">
        <is>
          <t>24 Envolvedora</t>
        </is>
      </c>
      <c r="P123" s="17" t="n"/>
      <c r="Q123" s="32" t="inlineStr">
        <is>
          <t>C</t>
        </is>
      </c>
      <c r="R123" s="32" t="n"/>
      <c r="S123" s="17" t="n"/>
    </row>
    <row r="124">
      <c r="A124" s="32" t="inlineStr">
        <is>
          <t>FL_REC_ABC_25kg</t>
        </is>
      </c>
      <c r="B124" s="32" t="n">
        <v>2</v>
      </c>
      <c r="C124" s="32" t="inlineStr">
        <is>
          <t>ABC25-E8</t>
        </is>
      </c>
      <c r="D124" s="17" t="inlineStr">
        <is>
          <t xml:space="preserve">        Separador de capa de cartón 1200 × 1000 (fracción del pallet)</t>
        </is>
      </c>
      <c r="E124" s="32" t="n">
        <v>0</v>
      </c>
      <c r="F124" s="32" t="inlineStr">
        <is>
          <t>u</t>
        </is>
      </c>
      <c r="G124" s="33" t="n"/>
      <c r="H124" s="33" t="n"/>
      <c r="I124" s="32" t="inlineStr">
        <is>
          <t>Cartón</t>
        </is>
      </c>
      <c r="J124" s="17" t="inlineStr">
        <is>
          <t>1 capas → 0 separadores por pallet / 12 u</t>
        </is>
      </c>
      <c r="K124" s="32" t="inlineStr">
        <is>
          <t>Compra</t>
        </is>
      </c>
      <c r="L124" s="32" t="inlineStr">
        <is>
          <t>Sí</t>
        </is>
      </c>
      <c r="M124" s="17" t="inlineStr">
        <is>
          <t>Maxipack</t>
        </is>
      </c>
      <c r="N124" s="17" t="inlineStr">
        <is>
          <t>Cartocan</t>
        </is>
      </c>
      <c r="O124" s="17" t="inlineStr">
        <is>
          <t>23 Embalaje</t>
        </is>
      </c>
      <c r="P124" s="17" t="n"/>
      <c r="Q124" s="32" t="inlineStr">
        <is>
          <t>C</t>
        </is>
      </c>
      <c r="R124" s="32" t="n"/>
      <c r="S124" s="17" t="inlineStr">
        <is>
          <t>Planilla MP-61</t>
        </is>
      </c>
    </row>
    <row r="125">
      <c r="A125" s="26" t="inlineStr">
        <is>
          <t>FL_REC_ABC_50kg</t>
        </is>
      </c>
      <c r="B125" s="26" t="n">
        <v>0</v>
      </c>
      <c r="C125" s="26" t="inlineStr">
        <is>
          <t>FL_REC_ABC_50kg</t>
        </is>
      </c>
      <c r="D125" s="27" t="inlineStr">
        <is>
          <t>Cilindro (recipiente) ABC 50 kg rodante - repuesto vacío sin válvula</t>
        </is>
      </c>
      <c r="E125" s="26" t="n">
        <v>1</v>
      </c>
      <c r="F125" s="26" t="inlineStr">
        <is>
          <t>u</t>
        </is>
      </c>
      <c r="G125" s="28" t="n"/>
      <c r="H125" s="28" t="n"/>
      <c r="I125" s="26" t="n"/>
      <c r="J125" s="27" t="n"/>
      <c r="K125" s="26" t="n"/>
      <c r="L125" s="26" t="n"/>
      <c r="M125" s="27" t="n"/>
      <c r="N125" s="27" t="n"/>
      <c r="O125" s="27" t="n"/>
      <c r="P125" s="27" t="inlineStr">
        <is>
          <t>IRAM 3550</t>
        </is>
      </c>
      <c r="Q125" s="26" t="inlineStr">
        <is>
          <t>P</t>
        </is>
      </c>
      <c r="R125" s="26" t="inlineStr">
        <is>
          <t>FL_REC_ABC_50kg</t>
        </is>
      </c>
      <c r="S125" s="27" t="inlineStr">
        <is>
          <t>Fabricación propia</t>
        </is>
      </c>
    </row>
    <row r="126">
      <c r="A126" s="29" t="inlineStr">
        <is>
          <t>FL_REC_ABC_50kg</t>
        </is>
      </c>
      <c r="B126" s="29" t="n">
        <v>1</v>
      </c>
      <c r="C126" s="29" t="inlineStr">
        <is>
          <t>ABC50-S1</t>
        </is>
      </c>
      <c r="D126" s="30" t="inlineStr">
        <is>
          <t xml:space="preserve">    Recipiente (cilindro)</t>
        </is>
      </c>
      <c r="E126" s="29" t="n">
        <v>1</v>
      </c>
      <c r="F126" s="29" t="inlineStr">
        <is>
          <t>u</t>
        </is>
      </c>
      <c r="G126" s="31" t="n"/>
      <c r="H126" s="31">
        <f>H127+H129+H130+H131+H132+H138</f>
        <v/>
      </c>
      <c r="I126" s="29" t="n"/>
      <c r="J126" s="30" t="n"/>
      <c r="K126" s="29" t="inlineStr">
        <is>
          <t>Fabricación</t>
        </is>
      </c>
      <c r="L126" s="29" t="n"/>
      <c r="M126" s="30" t="n"/>
      <c r="N126" s="30" t="n"/>
      <c r="O126" s="30" t="n"/>
      <c r="P126" s="30" t="inlineStr">
        <is>
          <t>IRAM 3523 / 3550 (recipiente)</t>
        </is>
      </c>
      <c r="Q126" s="29" t="inlineStr">
        <is>
          <t>P</t>
        </is>
      </c>
      <c r="R126" s="29" t="inlineStr">
        <is>
          <t>FL_DES_ABC_50kg</t>
        </is>
      </c>
      <c r="S126" s="30" t="n"/>
    </row>
    <row r="127">
      <c r="A127" s="32" t="inlineStr">
        <is>
          <t>FL_REC_ABC_50kg</t>
        </is>
      </c>
      <c r="B127" s="32" t="n">
        <v>2</v>
      </c>
      <c r="C127" s="32" t="inlineStr">
        <is>
          <t>ABC50-01</t>
        </is>
      </c>
      <c r="D127" s="17" t="inlineStr">
        <is>
          <t xml:space="preserve">        Cuerpo (virola)</t>
        </is>
      </c>
      <c r="E127" s="32" t="n">
        <v>1</v>
      </c>
      <c r="F127" s="32" t="inlineStr">
        <is>
          <t>u</t>
        </is>
      </c>
      <c r="G127" s="33" t="n">
        <v>16.0005</v>
      </c>
      <c r="H127" s="33">
        <f>E127*G127</f>
        <v/>
      </c>
      <c r="I127" s="32" t="inlineStr">
        <is>
          <t>Chapa LAC IRAM-IAS U 500-04 e=3,2</t>
        </is>
      </c>
      <c r="J127" s="17" t="inlineStr">
        <is>
          <t>Ø320 × e3,2 × 640 de alto; desarrollo 995,3 × 640</t>
        </is>
      </c>
      <c r="K127" s="32" t="inlineStr">
        <is>
          <t>Fabricación</t>
        </is>
      </c>
      <c r="L127" s="32" t="inlineStr">
        <is>
          <t>No</t>
        </is>
      </c>
      <c r="M127" s="17" t="n"/>
      <c r="N127" s="17" t="n"/>
      <c r="O127"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P127" s="17" t="n"/>
      <c r="Q127" s="32" t="inlineStr">
        <is>
          <t>P</t>
        </is>
      </c>
      <c r="R127" s="32" t="inlineStr">
        <is>
          <t>FL_DES_ABC_50kg</t>
        </is>
      </c>
      <c r="S127" s="17" t="inlineStr">
        <is>
          <t>costura long. MAG</t>
        </is>
      </c>
    </row>
    <row r="128">
      <c r="A128" s="34" t="inlineStr">
        <is>
          <t>FL_REC_ABC_50kg</t>
        </is>
      </c>
      <c r="B128" s="34" t="n">
        <v>3</v>
      </c>
      <c r="C128" s="34" t="inlineStr">
        <is>
          <t>MP-HOJA</t>
        </is>
      </c>
      <c r="D128" s="35" t="inlineStr">
        <is>
          <t xml:space="preserve">            Recorte de hoja LAC 1500 × 3000 e=3,2</t>
        </is>
      </c>
      <c r="E128" s="34" t="n">
        <v>1</v>
      </c>
      <c r="F128" s="34" t="inlineStr">
        <is>
          <t>u</t>
        </is>
      </c>
      <c r="G128" s="36" t="n">
        <v>18.845</v>
      </c>
      <c r="H128" s="36">
        <f>E128*G128</f>
        <v/>
      </c>
      <c r="I128" s="34" t="inlineStr">
        <is>
          <t>Chapa LAC IRAM-IAS U 500-04 LAC</t>
        </is>
      </c>
      <c r="J128" s="35" t="inlineStr">
        <is>
          <t>640 × 994 (aprovech. 84,8 %)</t>
        </is>
      </c>
      <c r="K128" s="34" t="inlineStr">
        <is>
          <t>Compra</t>
        </is>
      </c>
      <c r="L128" s="34" t="inlineStr">
        <is>
          <t>Sí</t>
        </is>
      </c>
      <c r="M128" s="35" t="inlineStr">
        <is>
          <t>Pradecon S.A.</t>
        </is>
      </c>
      <c r="N128" s="35" t="inlineStr">
        <is>
          <t>Pacheco Chapas</t>
        </is>
      </c>
      <c r="O128" s="35" t="inlineStr">
        <is>
          <t>AL-1H paquetes de hojas</t>
        </is>
      </c>
      <c r="P128" s="35" t="n"/>
      <c r="Q128" s="34" t="inlineStr">
        <is>
          <t>L</t>
        </is>
      </c>
      <c r="R128" s="34" t="inlineStr">
        <is>
          <t>FL_PI_04 h2</t>
        </is>
      </c>
      <c r="S128" s="35" t="n"/>
    </row>
    <row r="129">
      <c r="A129" s="32" t="inlineStr">
        <is>
          <t>FL_REC_ABC_50kg</t>
        </is>
      </c>
      <c r="B129" s="32" t="n">
        <v>2</v>
      </c>
      <c r="C129" s="32" t="inlineStr">
        <is>
          <t>ABC50-02</t>
        </is>
      </c>
      <c r="D129" s="17" t="inlineStr">
        <is>
          <t xml:space="preserve">        Cúpula</t>
        </is>
      </c>
      <c r="E129" s="32" t="n">
        <v>1</v>
      </c>
      <c r="F129" s="32" t="inlineStr">
        <is>
          <t>u</t>
        </is>
      </c>
      <c r="G129" s="33" t="n">
        <v>3.1376</v>
      </c>
      <c r="H129" s="33">
        <f>E129*G129</f>
        <v/>
      </c>
      <c r="I129" s="32" t="inlineStr">
        <is>
          <t>Chapa LAC IRAM-IAS U 500-04 e=3,2</t>
        </is>
      </c>
      <c r="J129" s="17" t="inlineStr">
        <is>
          <t>Ø320 × e3,2 × 109,9 de alto; disco Ø410,8</t>
        </is>
      </c>
      <c r="K129" s="32" t="inlineStr">
        <is>
          <t>Compra (tapa embutida tercerizada)</t>
        </is>
      </c>
      <c r="L129" s="32" t="inlineStr">
        <is>
          <t>Sí</t>
        </is>
      </c>
      <c r="M129" s="17" t="inlineStr">
        <is>
          <t>Gockel Ingeniería S.R.L.</t>
        </is>
      </c>
      <c r="N129" s="17" t="inlineStr">
        <is>
          <t>-</t>
        </is>
      </c>
      <c r="O129" s="17" t="inlineStr">
        <is>
          <t>Compra -&gt; 6 soldadura de cupla -&gt; 7 armado y sold. circunferencial -&gt; 11 marcado (estampado en arco junto al cuello)</t>
        </is>
      </c>
      <c r="P129" s="17" t="n"/>
      <c r="Q129" s="32" t="inlineStr">
        <is>
          <t>P</t>
        </is>
      </c>
      <c r="R129" s="32" t="inlineStr">
        <is>
          <t>FL_DES_ABC_50kg</t>
        </is>
      </c>
      <c r="S129" s="17" t="inlineStr">
        <is>
          <t>embutida</t>
        </is>
      </c>
    </row>
    <row r="130">
      <c r="A130" s="32" t="inlineStr">
        <is>
          <t>FL_REC_ABC_50kg</t>
        </is>
      </c>
      <c r="B130" s="32" t="n">
        <v>2</v>
      </c>
      <c r="C130" s="32" t="inlineStr">
        <is>
          <t>ABC50-03</t>
        </is>
      </c>
      <c r="D130" s="17" t="inlineStr">
        <is>
          <t xml:space="preserve">        Fondo</t>
        </is>
      </c>
      <c r="E130" s="32" t="n">
        <v>1</v>
      </c>
      <c r="F130" s="32" t="inlineStr">
        <is>
          <t>u</t>
        </is>
      </c>
      <c r="G130" s="33" t="n">
        <v>3.3358</v>
      </c>
      <c r="H130" s="33">
        <f>E130*G130</f>
        <v/>
      </c>
      <c r="I130" s="32" t="inlineStr">
        <is>
          <t>Chapa LAC IRAM-IAS U 500-04 e=3,2</t>
        </is>
      </c>
      <c r="J130" s="17" t="inlineStr">
        <is>
          <t>Ø320 × e3,2 × 113 de alto; disco Ø423,5</t>
        </is>
      </c>
      <c r="K130" s="32" t="inlineStr">
        <is>
          <t>Compra (tapa embutida tercerizada)</t>
        </is>
      </c>
      <c r="L130" s="32" t="inlineStr">
        <is>
          <t>Sí</t>
        </is>
      </c>
      <c r="M130" s="17" t="inlineStr">
        <is>
          <t>Gockel Ingeniería S.R.L.</t>
        </is>
      </c>
      <c r="N130" s="17" t="inlineStr">
        <is>
          <t>-</t>
        </is>
      </c>
      <c r="O130" s="17" t="inlineStr">
        <is>
          <t>Compra -&gt; 7 armado y sold. circunferencial</t>
        </is>
      </c>
      <c r="P130" s="17" t="n"/>
      <c r="Q130" s="32" t="inlineStr">
        <is>
          <t>P</t>
        </is>
      </c>
      <c r="R130" s="32" t="inlineStr">
        <is>
          <t>FL_DES_ABC_50kg</t>
        </is>
      </c>
      <c r="S130" s="17" t="inlineStr">
        <is>
          <t>embutido</t>
        </is>
      </c>
    </row>
    <row r="131">
      <c r="A131" s="32" t="inlineStr">
        <is>
          <t>FL_REC_ABC_50kg</t>
        </is>
      </c>
      <c r="B131" s="32" t="n">
        <v>2</v>
      </c>
      <c r="C131" s="32" t="inlineStr">
        <is>
          <t>ABC50-04</t>
        </is>
      </c>
      <c r="D131" s="17" t="inlineStr">
        <is>
          <t xml:space="preserve">        Cuello roscado</t>
        </is>
      </c>
      <c r="E131" s="32" t="n">
        <v>1</v>
      </c>
      <c r="F131" s="32" t="inlineStr">
        <is>
          <t>u</t>
        </is>
      </c>
      <c r="G131" s="33" t="n">
        <v>0.6084000000000001</v>
      </c>
      <c r="H131" s="33">
        <f>E131*G131</f>
        <v/>
      </c>
      <c r="I131" s="32" t="inlineStr">
        <is>
          <t>Acero SAE 1010</t>
        </is>
      </c>
      <c r="J131" s="17" t="inlineStr">
        <is>
          <t>Ø88 × 37 de alto, rosca RBSP 2 1/2"-11 h, asiento Ø80</t>
        </is>
      </c>
      <c r="K131" s="32" t="inlineStr">
        <is>
          <t>Compra (mecanizado, Eli-Met)</t>
        </is>
      </c>
      <c r="L131" s="32" t="inlineStr">
        <is>
          <t>Sí</t>
        </is>
      </c>
      <c r="M131" s="17" t="inlineStr">
        <is>
          <t>Eli-Met</t>
        </is>
      </c>
      <c r="N131" s="17" t="inlineStr">
        <is>
          <t>-</t>
        </is>
      </c>
      <c r="O131" s="17" t="inlineStr">
        <is>
          <t>Compra -&gt; 6 soldadura de cupla en la cúpula (tapón plástico hasta la carga)</t>
        </is>
      </c>
      <c r="P131" s="17" t="n"/>
      <c r="Q131" s="32" t="inlineStr">
        <is>
          <t>P</t>
        </is>
      </c>
      <c r="R131" s="32" t="inlineStr">
        <is>
          <t>FL_DES_ABC_50kg</t>
        </is>
      </c>
      <c r="S131" s="17" t="inlineStr">
        <is>
          <t>RBSP 2 1/2"-11 h</t>
        </is>
      </c>
    </row>
    <row r="132">
      <c r="A132" s="37" t="inlineStr">
        <is>
          <t>FL_REC_ABC_50kg</t>
        </is>
      </c>
      <c r="B132" s="37" t="n">
        <v>2</v>
      </c>
      <c r="C132" s="37" t="inlineStr">
        <is>
          <t>ABC50-C1</t>
        </is>
      </c>
      <c r="D132" s="18" t="inlineStr">
        <is>
          <t xml:space="preserve">        Alambre MAG ER70S-6 Ø1,0 (AWS A5.18)</t>
        </is>
      </c>
      <c r="E132" s="37" t="n">
        <v>0.4262</v>
      </c>
      <c r="F132" s="37" t="inlineStr">
        <is>
          <t>kg</t>
        </is>
      </c>
      <c r="G132" s="38" t="n">
        <v>0.95</v>
      </c>
      <c r="H132" s="38">
        <f>E132*G132</f>
        <v/>
      </c>
      <c r="I132" s="37" t="inlineStr">
        <is>
          <t>ER70S-6</t>
        </is>
      </c>
      <c r="J132" s="18" t="inlineStr">
        <is>
          <t>metal depositado de los cordones del plano 405 g / rendimiento 0,95</t>
        </is>
      </c>
      <c r="K132" s="37" t="inlineStr">
        <is>
          <t>Compra</t>
        </is>
      </c>
      <c r="L132" s="37" t="inlineStr">
        <is>
          <t>Sí</t>
        </is>
      </c>
      <c r="M132" s="18" t="inlineStr">
        <is>
          <t>Conarco (ESAB Argentina)</t>
        </is>
      </c>
      <c r="N132" s="18" t="inlineStr">
        <is>
          <t>-</t>
        </is>
      </c>
      <c r="O132" s="18" t="inlineStr">
        <is>
          <t>5 sold. long. / 6 cupla / 7 circunferencial</t>
        </is>
      </c>
      <c r="P132" s="18" t="inlineStr">
        <is>
          <t>IRAM 3523 3.2.4.2 · IRAM 3550 4.1.2</t>
        </is>
      </c>
      <c r="Q132" s="37" t="inlineStr">
        <is>
          <t>C</t>
        </is>
      </c>
      <c r="R132" s="37" t="n"/>
      <c r="S132"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33">
      <c r="A133" s="37" t="inlineStr">
        <is>
          <t>FL_REC_ABC_50kg</t>
        </is>
      </c>
      <c r="B133" s="37" t="n">
        <v>2</v>
      </c>
      <c r="C133" s="37" t="inlineStr">
        <is>
          <t>ABC50-C2</t>
        </is>
      </c>
      <c r="D133" s="18" t="inlineStr">
        <is>
          <t xml:space="preserve">        Gas de protección MAG Arcal 21 / ARCAL Speed (Ar + 8 % CO₂, M20)</t>
        </is>
      </c>
      <c r="E133" s="37" t="n">
        <v>68.3</v>
      </c>
      <c r="F133" s="37" t="inlineStr">
        <is>
          <t>L</t>
        </is>
      </c>
      <c r="G133" s="38" t="n"/>
      <c r="H133" s="38" t="n"/>
      <c r="I133" s="37" t="inlineStr">
        <is>
          <t>EN ISO 14175 M20-ArC-8</t>
        </is>
      </c>
      <c r="J133" s="18" t="inlineStr">
        <is>
          <t>14 L/min × 4,88 min de arco (cordones 2.927 mm: long. 640 + circ. 2.011 + cuello 276, a 600 mm/min)</t>
        </is>
      </c>
      <c r="K133" s="37" t="inlineStr">
        <is>
          <t>Compra</t>
        </is>
      </c>
      <c r="L133" s="37" t="inlineStr">
        <is>
          <t>Sí</t>
        </is>
      </c>
      <c r="M133" s="18" t="inlineStr">
        <is>
          <t>Air Liquide Argentina - sucursal Piñeyro</t>
        </is>
      </c>
      <c r="N133" s="18" t="inlineStr">
        <is>
          <t>Gogniat</t>
        </is>
      </c>
      <c r="O133" s="18" t="inlineStr">
        <is>
          <t>Colector SC</t>
        </is>
      </c>
      <c r="P133" s="18" t="inlineStr">
        <is>
          <t>IRAM 3523 3.2.4.2 · IRAM 3550 3.2.2.2</t>
        </is>
      </c>
      <c r="Q133" s="37" t="inlineStr">
        <is>
          <t>C</t>
        </is>
      </c>
      <c r="R133" s="37" t="n"/>
      <c r="S133"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34">
      <c r="A134" s="32" t="inlineStr">
        <is>
          <t>FL_REC_ABC_50kg</t>
        </is>
      </c>
      <c r="B134" s="32" t="n">
        <v>2</v>
      </c>
      <c r="C134" s="32" t="inlineStr">
        <is>
          <t>ABC50-C4</t>
        </is>
      </c>
      <c r="D134" s="17" t="inlineStr">
        <is>
          <t xml:space="preserve">        Servicio de pintura en polvo al horno, rojo 03-1-050 (con preparación por quemado)</t>
        </is>
      </c>
      <c r="E134" s="32" t="n">
        <v>1</v>
      </c>
      <c r="F134" s="32" t="inlineStr">
        <is>
          <t>u</t>
        </is>
      </c>
      <c r="G134" s="33" t="n"/>
      <c r="H134" s="33" t="n"/>
      <c r="I134" s="32" t="inlineStr">
        <is>
          <t>Servicio tercerizado</t>
        </is>
      </c>
      <c r="J134" s="17" t="inlineStr">
        <is>
          <t>superficie exterior 0,895 m²</t>
        </is>
      </c>
      <c r="K134" s="32" t="inlineStr">
        <is>
          <t>Compra (servicio)</t>
        </is>
      </c>
      <c r="L134" s="32" t="inlineStr">
        <is>
          <t>Sí</t>
        </is>
      </c>
      <c r="M134" s="17" t="inlineStr">
        <is>
          <t>Pintor de carros (cotización por mensaje)</t>
        </is>
      </c>
      <c r="N134" s="17" t="inlineStr">
        <is>
          <t>Prymax</t>
        </is>
      </c>
      <c r="O134" s="17" t="inlineStr">
        <is>
          <t>17 Pintura tercerizada</t>
        </is>
      </c>
      <c r="P134" s="17" t="inlineStr">
        <is>
          <t>IRAM 3523 5.3 / IRAM 3550 3.11 · IRAM 121</t>
        </is>
      </c>
      <c r="Q134" s="32" t="inlineStr">
        <is>
          <t>Q</t>
        </is>
      </c>
      <c r="R134" s="32" t="n"/>
      <c r="S134" s="17" t="inlineStr">
        <is>
          <t>Q-CARROS (precio por carro); exigir informe de niebla salina del sistema de pintura; tercerización aceptada por el Ministerio (Res. 349/07 art. 18)</t>
        </is>
      </c>
    </row>
    <row r="135">
      <c r="A135" s="39" t="inlineStr">
        <is>
          <t>FL_REC_ABC_50kg</t>
        </is>
      </c>
      <c r="B135" s="39" t="n">
        <v>2</v>
      </c>
      <c r="C135" s="39" t="inlineStr">
        <is>
          <t>ABC50-T1</t>
        </is>
      </c>
      <c r="D135" s="19" t="inlineStr">
        <is>
          <t xml:space="preserve">        Tapón protector de rosca del cuello</t>
        </is>
      </c>
      <c r="E135" s="39" t="n">
        <v>1</v>
      </c>
      <c r="F135" s="39" t="inlineStr">
        <is>
          <t>u</t>
        </is>
      </c>
      <c r="G135" s="40" t="n"/>
      <c r="H135" s="40" t="n"/>
      <c r="I135" s="39" t="inlineStr">
        <is>
          <t>Polietileno</t>
        </is>
      </c>
      <c r="J135" s="19" t="inlineStr">
        <is>
          <t>para rosca RBSP 2 1/2"-11 h (plano FL_REC_ABC_50kg hoja 3, R4)</t>
        </is>
      </c>
      <c r="K135" s="39" t="inlineStr">
        <is>
          <t>Compra</t>
        </is>
      </c>
      <c r="L135" s="39" t="inlineStr">
        <is>
          <t>Sí</t>
        </is>
      </c>
      <c r="M135" s="19" t="inlineStr">
        <is>
          <t>-</t>
        </is>
      </c>
      <c r="N135" s="19" t="inlineStr">
        <is>
          <t>-</t>
        </is>
      </c>
      <c r="O135" s="19" t="inlineStr">
        <is>
          <t>Embalaje</t>
        </is>
      </c>
      <c r="P135" s="19" t="n"/>
      <c r="Q135" s="39" t="inlineStr">
        <is>
          <t>P</t>
        </is>
      </c>
      <c r="R135" s="39" t="n"/>
      <c r="S135" s="19" t="n"/>
    </row>
    <row r="136">
      <c r="A136" s="32" t="inlineStr">
        <is>
          <t>FL_REC_ABC_50kg</t>
        </is>
      </c>
      <c r="B136" s="32" t="n">
        <v>2</v>
      </c>
      <c r="C136" s="32" t="inlineStr">
        <is>
          <t>ABC50-T2</t>
        </is>
      </c>
      <c r="D136" s="17" t="inlineStr">
        <is>
          <t xml:space="preserve">        Marcado del recipiente: estampado en la cúpula, en arco junto al cuello (puesto 11, después de la PH y el secado)</t>
        </is>
      </c>
      <c r="E136" s="32" t="n">
        <v>1</v>
      </c>
      <c r="F136" s="32" t="inlineStr">
        <is>
          <t>u</t>
        </is>
      </c>
      <c r="G136" s="33" t="n"/>
      <c r="H136" s="33" t="n"/>
      <c r="I136" s="32" t="inlineStr">
        <is>
          <t>-</t>
        </is>
      </c>
      <c r="J136" s="17" t="inlineStr">
        <is>
          <t>Fabricante, n° de serie, año, presión de ensayo; en arco junto al cuello, letra 5 mm; cuño DPS 15 × 7 junto al n°</t>
        </is>
      </c>
      <c r="K136" s="32" t="inlineStr">
        <is>
          <t>Proceso</t>
        </is>
      </c>
      <c r="L136" s="32" t="inlineStr">
        <is>
          <t>No</t>
        </is>
      </c>
      <c r="M136" s="17" t="n"/>
      <c r="N136" s="17" t="n"/>
      <c r="O136" s="17" t="inlineStr">
        <is>
          <t>Marcado</t>
        </is>
      </c>
      <c r="P136" s="17" t="inlineStr">
        <is>
          <t>IRAM 3550 5.1 · Res. 349/07 anexo IV</t>
        </is>
      </c>
      <c r="Q136" s="32" t="inlineStr">
        <is>
          <t>N</t>
        </is>
      </c>
      <c r="R136" s="32" t="n"/>
      <c r="S136" s="17" t="n"/>
    </row>
    <row r="137">
      <c r="A137" s="32" t="inlineStr">
        <is>
          <t>FL_REC_ABC_50kg</t>
        </is>
      </c>
      <c r="B137" s="32" t="n">
        <v>2</v>
      </c>
      <c r="C137" s="32" t="inlineStr">
        <is>
          <t>ABC50-T3</t>
        </is>
      </c>
      <c r="D137" s="17" t="inlineStr">
        <is>
          <t xml:space="preserve">        Etiqueta de identificación del cilindro suelto</t>
        </is>
      </c>
      <c r="E137" s="32" t="n">
        <v>1</v>
      </c>
      <c r="F137" s="32" t="inlineStr">
        <is>
          <t>u</t>
        </is>
      </c>
      <c r="G137" s="33" t="n"/>
      <c r="H137" s="33" t="n"/>
      <c r="I137" s="32" t="inlineStr">
        <is>
          <t>Poliéster autoadhesivo removible</t>
        </is>
      </c>
      <c r="J137" s="17" t="inlineStr">
        <is>
          <t>100 × 60, impresión térmica, QR GS1</t>
        </is>
      </c>
      <c r="K137" s="32" t="inlineStr">
        <is>
          <t>Compra</t>
        </is>
      </c>
      <c r="L137" s="32" t="inlineStr">
        <is>
          <t>Sí</t>
        </is>
      </c>
      <c r="M137" s="17" t="inlineStr">
        <is>
          <t>Astuprint</t>
        </is>
      </c>
      <c r="N137" s="17" t="inlineStr">
        <is>
          <t>GS1 Argentina</t>
        </is>
      </c>
      <c r="O137" s="17" t="inlineStr">
        <is>
          <t>Etiquetado</t>
        </is>
      </c>
      <c r="P137" s="17" t="n"/>
      <c r="Q137" s="32" t="inlineStr">
        <is>
          <t>P</t>
        </is>
      </c>
      <c r="R137" s="32" t="inlineStr">
        <is>
          <t>FL_REC_ABC_50kg hoja 3</t>
        </is>
      </c>
      <c r="S137" s="17" t="n"/>
    </row>
    <row r="138">
      <c r="A138" s="32" t="inlineStr">
        <is>
          <t>FL_REC_ABC_50kg</t>
        </is>
      </c>
      <c r="B138" s="32" t="n">
        <v>2</v>
      </c>
      <c r="C138" s="32" t="inlineStr">
        <is>
          <t>ABC50-T4</t>
        </is>
      </c>
      <c r="D138" s="17" t="inlineStr">
        <is>
          <t xml:space="preserve">        Protocolo de ensayo hidrostático (certificado que acompaña)</t>
        </is>
      </c>
      <c r="E138" s="32" t="n">
        <v>1</v>
      </c>
      <c r="F138" s="32" t="inlineStr">
        <is>
          <t>u</t>
        </is>
      </c>
      <c r="G138" s="33" t="n">
        <v>0.005</v>
      </c>
      <c r="H138" s="33">
        <f>E138*G138</f>
        <v/>
      </c>
      <c r="I138" s="32" t="inlineStr">
        <is>
          <t>Papel</t>
        </is>
      </c>
      <c r="J138" s="17" t="inlineStr">
        <is>
          <t>A5</t>
        </is>
      </c>
      <c r="K138" s="32" t="inlineStr">
        <is>
          <t>Proceso</t>
        </is>
      </c>
      <c r="L138" s="32" t="inlineStr">
        <is>
          <t>No</t>
        </is>
      </c>
      <c r="M138" s="17" t="n"/>
      <c r="N138" s="17" t="n"/>
      <c r="O138" s="17" t="inlineStr">
        <is>
          <t>Control de calidad</t>
        </is>
      </c>
      <c r="P138" s="17" t="inlineStr">
        <is>
          <t>IRAM 3550 4.1 y cap. 6 · IRAM 2587</t>
        </is>
      </c>
      <c r="Q138" s="32" t="inlineStr">
        <is>
          <t>N</t>
        </is>
      </c>
      <c r="R138" s="32" t="inlineStr">
        <is>
          <t>FL_REC_ABC_50kg hoja 3</t>
        </is>
      </c>
      <c r="S138" s="17" t="n"/>
    </row>
    <row r="139">
      <c r="A139" s="29" t="inlineStr">
        <is>
          <t>FL_REC_ABC_50kg</t>
        </is>
      </c>
      <c r="B139" s="29" t="n">
        <v>1</v>
      </c>
      <c r="C139" s="29" t="inlineStr">
        <is>
          <t>ABC50-S7</t>
        </is>
      </c>
      <c r="D139" s="30" t="inlineStr">
        <is>
          <t xml:space="preserve">    Embalaje</t>
        </is>
      </c>
      <c r="E139" s="29" t="n">
        <v>1</v>
      </c>
      <c r="F139" s="29" t="inlineStr">
        <is>
          <t>u</t>
        </is>
      </c>
      <c r="G139" s="31" t="n"/>
      <c r="H139" s="31">
        <f>H142</f>
        <v/>
      </c>
      <c r="I139" s="29" t="n"/>
      <c r="J139" s="30" t="n"/>
      <c r="K139" s="29" t="inlineStr">
        <is>
          <t>Compra</t>
        </is>
      </c>
      <c r="L139" s="29" t="n"/>
      <c r="M139" s="30" t="n"/>
      <c r="N139" s="30" t="n"/>
      <c r="O139" s="30" t="inlineStr">
        <is>
          <t>23 Embalaje -&gt; 24 envolvedora (T11)</t>
        </is>
      </c>
      <c r="P139" s="30" t="n"/>
      <c r="Q139" s="29" t="n"/>
      <c r="R139" s="29" t="n"/>
      <c r="S139" s="30" t="n"/>
    </row>
    <row r="140">
      <c r="A140" s="32" t="inlineStr">
        <is>
          <t>FL_REC_ABC_50kg</t>
        </is>
      </c>
      <c r="B140" s="32" t="n">
        <v>2</v>
      </c>
      <c r="C140" s="32" t="inlineStr">
        <is>
          <t>ABC50-E1</t>
        </is>
      </c>
      <c r="D140" s="17" t="inlineStr">
        <is>
          <t xml:space="preserve">        Esquineros y funda de polietileno</t>
        </is>
      </c>
      <c r="E140" s="32" t="n">
        <v>1</v>
      </c>
      <c r="F140" s="32" t="inlineStr">
        <is>
          <t>jgo</t>
        </is>
      </c>
      <c r="G140" s="33" t="n"/>
      <c r="H140" s="33" t="n"/>
      <c r="I140" s="32" t="inlineStr">
        <is>
          <t>PE / cartón</t>
        </is>
      </c>
      <c r="J140" s="17" t="inlineStr">
        <is>
          <t>a medida de la envolvente del plano</t>
        </is>
      </c>
      <c r="K140" s="32" t="inlineStr">
        <is>
          <t>Compra</t>
        </is>
      </c>
      <c r="L140" s="32" t="inlineStr">
        <is>
          <t>Sí</t>
        </is>
      </c>
      <c r="M140" s="17" t="inlineStr">
        <is>
          <t>MV Embalajes</t>
        </is>
      </c>
      <c r="N140" s="17" t="inlineStr">
        <is>
          <t>Embalpack</t>
        </is>
      </c>
      <c r="O140" s="17" t="inlineStr">
        <is>
          <t>23 Embalaje</t>
        </is>
      </c>
      <c r="P140" s="17" t="n"/>
      <c r="Q140" s="32" t="inlineStr">
        <is>
          <t>P</t>
        </is>
      </c>
      <c r="R140" s="32" t="n"/>
      <c r="S140" s="17" t="inlineStr">
        <is>
          <t>Medida del plano</t>
        </is>
      </c>
    </row>
    <row r="141">
      <c r="A141" s="32" t="inlineStr">
        <is>
          <t>FL_REC_ABC_50kg</t>
        </is>
      </c>
      <c r="B141" s="32" t="n">
        <v>2</v>
      </c>
      <c r="C141" s="32" t="inlineStr">
        <is>
          <t>ABC50-E3</t>
        </is>
      </c>
      <c r="D141" s="17" t="inlineStr">
        <is>
          <t xml:space="preserve">        Pallet 1200 × 1000 (fracción)</t>
        </is>
      </c>
      <c r="E141" s="32" t="n">
        <v>0.1111</v>
      </c>
      <c r="F141" s="32" t="inlineStr">
        <is>
          <t>u</t>
        </is>
      </c>
      <c r="G141" s="33" t="n"/>
      <c r="H141" s="33" t="n"/>
      <c r="I141" s="32" t="inlineStr">
        <is>
          <t>Madera</t>
        </is>
      </c>
      <c r="J141" s="17" t="inlineStr">
        <is>
          <t>9 u por pallet</t>
        </is>
      </c>
      <c r="K141" s="32" t="inlineStr">
        <is>
          <t>Compra</t>
        </is>
      </c>
      <c r="L141" s="32" t="inlineStr">
        <is>
          <t>Sí</t>
        </is>
      </c>
      <c r="M141" s="17" t="inlineStr">
        <is>
          <t>IndusPallets</t>
        </is>
      </c>
      <c r="N141" s="17" t="inlineStr">
        <is>
          <t>-</t>
        </is>
      </c>
      <c r="O141" s="17" t="inlineStr">
        <is>
          <t>23 Embalaje</t>
        </is>
      </c>
      <c r="P141" s="17" t="n"/>
      <c r="Q141" s="32" t="inlineStr">
        <is>
          <t>C</t>
        </is>
      </c>
      <c r="R141" s="32" t="n"/>
      <c r="S141" s="17" t="inlineStr">
        <is>
          <t>u por pallet = acomodo de la caja (plano) en 1200 × 1000 × 1450 de alto</t>
        </is>
      </c>
    </row>
    <row r="142">
      <c r="A142" s="37" t="inlineStr">
        <is>
          <t>FL_REC_ABC_50kg</t>
        </is>
      </c>
      <c r="B142" s="37" t="n">
        <v>2</v>
      </c>
      <c r="C142" s="37" t="inlineStr">
        <is>
          <t>ABC50-E4</t>
        </is>
      </c>
      <c r="D142" s="18" t="inlineStr">
        <is>
          <t xml:space="preserve">        Film stretch (fracción del pallet)</t>
        </is>
      </c>
      <c r="E142" s="37" t="n">
        <v>0.0133</v>
      </c>
      <c r="F142" s="37" t="inlineStr">
        <is>
          <t>kg</t>
        </is>
      </c>
      <c r="G142" s="38" t="n">
        <v>1</v>
      </c>
      <c r="H142" s="38">
        <f>E142*G142</f>
        <v/>
      </c>
      <c r="I142" s="37" t="inlineStr">
        <is>
          <t>PE lineal 23 µm</t>
        </is>
      </c>
      <c r="J142" s="18" t="inlineStr">
        <is>
          <t>0,12 kg por pallet / 9 u</t>
        </is>
      </c>
      <c r="K142" s="37" t="inlineStr">
        <is>
          <t>Compra</t>
        </is>
      </c>
      <c r="L142" s="37" t="inlineStr">
        <is>
          <t>Sí</t>
        </is>
      </c>
      <c r="M142" s="18" t="inlineStr">
        <is>
          <t>MV Embalajes</t>
        </is>
      </c>
      <c r="N142" s="18" t="inlineStr">
        <is>
          <t>Embalpack</t>
        </is>
      </c>
      <c r="O142" s="18" t="inlineStr">
        <is>
          <t>24 Envolvedora (T11)</t>
        </is>
      </c>
      <c r="P142" s="18" t="n"/>
      <c r="Q142" s="37" t="inlineStr">
        <is>
          <t>C</t>
        </is>
      </c>
      <c r="R142" s="37" t="n"/>
      <c r="S142"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43">
      <c r="A143" s="32" t="inlineStr">
        <is>
          <t>FL_REC_ABC_50kg</t>
        </is>
      </c>
      <c r="B143" s="32" t="n">
        <v>2</v>
      </c>
      <c r="C143" s="32" t="inlineStr">
        <is>
          <t>ABC50-E5</t>
        </is>
      </c>
      <c r="D143" s="17" t="inlineStr">
        <is>
          <t xml:space="preserve">        Etiqueta de pallet (lote y destino, fracción)</t>
        </is>
      </c>
      <c r="E143" s="32" t="n">
        <v>0.1111</v>
      </c>
      <c r="F143" s="32" t="inlineStr">
        <is>
          <t>u</t>
        </is>
      </c>
      <c r="G143" s="33" t="n"/>
      <c r="H143" s="33" t="n"/>
      <c r="I143" s="32" t="inlineStr">
        <is>
          <t>Papel térmico</t>
        </is>
      </c>
      <c r="J143" s="17" t="inlineStr">
        <is>
          <t>100 × 150</t>
        </is>
      </c>
      <c r="K143" s="32" t="inlineStr">
        <is>
          <t>Compra</t>
        </is>
      </c>
      <c r="L143" s="32" t="inlineStr">
        <is>
          <t>Sí</t>
        </is>
      </c>
      <c r="M143" s="17" t="inlineStr">
        <is>
          <t>Astuprint</t>
        </is>
      </c>
      <c r="N143" s="17" t="inlineStr">
        <is>
          <t>Multilabel Argentina S.A.</t>
        </is>
      </c>
      <c r="O143" s="17" t="inlineStr">
        <is>
          <t>24 Envolvedora</t>
        </is>
      </c>
      <c r="P143" s="17" t="n"/>
      <c r="Q143" s="32" t="inlineStr">
        <is>
          <t>C</t>
        </is>
      </c>
      <c r="R143" s="32" t="n"/>
      <c r="S143" s="17" t="n"/>
    </row>
    <row r="144">
      <c r="A144" s="32" t="inlineStr">
        <is>
          <t>FL_REC_ABC_50kg</t>
        </is>
      </c>
      <c r="B144" s="32" t="n">
        <v>2</v>
      </c>
      <c r="C144" s="32" t="inlineStr">
        <is>
          <t>ABC50-E8</t>
        </is>
      </c>
      <c r="D144" s="17" t="inlineStr">
        <is>
          <t xml:space="preserve">        Separador de capa de cartón 1200 × 1000 (fracción del pallet)</t>
        </is>
      </c>
      <c r="E144" s="32" t="n">
        <v>0</v>
      </c>
      <c r="F144" s="32" t="inlineStr">
        <is>
          <t>u</t>
        </is>
      </c>
      <c r="G144" s="33" t="n"/>
      <c r="H144" s="33" t="n"/>
      <c r="I144" s="32" t="inlineStr">
        <is>
          <t>Cartón</t>
        </is>
      </c>
      <c r="J144" s="17" t="inlineStr">
        <is>
          <t>1 capas → 0 separadores por pallet / 9 u</t>
        </is>
      </c>
      <c r="K144" s="32" t="inlineStr">
        <is>
          <t>Compra</t>
        </is>
      </c>
      <c r="L144" s="32" t="inlineStr">
        <is>
          <t>Sí</t>
        </is>
      </c>
      <c r="M144" s="17" t="inlineStr">
        <is>
          <t>Maxipack</t>
        </is>
      </c>
      <c r="N144" s="17" t="inlineStr">
        <is>
          <t>Cartocan</t>
        </is>
      </c>
      <c r="O144" s="17" t="inlineStr">
        <is>
          <t>23 Embalaje</t>
        </is>
      </c>
      <c r="P144" s="17" t="n"/>
      <c r="Q144" s="32" t="inlineStr">
        <is>
          <t>C</t>
        </is>
      </c>
      <c r="R144" s="32" t="n"/>
      <c r="S144" s="17" t="inlineStr">
        <is>
          <t>Planilla MP-61</t>
        </is>
      </c>
    </row>
    <row r="145">
      <c r="A145" s="26" t="inlineStr">
        <is>
          <t>FL_REC_ABC_70kg</t>
        </is>
      </c>
      <c r="B145" s="26" t="n">
        <v>0</v>
      </c>
      <c r="C145" s="26" t="inlineStr">
        <is>
          <t>FL_REC_ABC_70kg</t>
        </is>
      </c>
      <c r="D145" s="27" t="inlineStr">
        <is>
          <t>Cilindro (recipiente) ABC 70 kg rodante - repuesto vacío sin válvula</t>
        </is>
      </c>
      <c r="E145" s="26" t="n">
        <v>1</v>
      </c>
      <c r="F145" s="26" t="inlineStr">
        <is>
          <t>u</t>
        </is>
      </c>
      <c r="G145" s="28" t="n"/>
      <c r="H145" s="28" t="n"/>
      <c r="I145" s="26" t="n"/>
      <c r="J145" s="27" t="n"/>
      <c r="K145" s="26" t="n"/>
      <c r="L145" s="26" t="n"/>
      <c r="M145" s="27" t="n"/>
      <c r="N145" s="27" t="n"/>
      <c r="O145" s="27" t="n"/>
      <c r="P145" s="27" t="inlineStr">
        <is>
          <t>IRAM 3550</t>
        </is>
      </c>
      <c r="Q145" s="26" t="inlineStr">
        <is>
          <t>P</t>
        </is>
      </c>
      <c r="R145" s="26" t="inlineStr">
        <is>
          <t>FL_REC_ABC_70kg</t>
        </is>
      </c>
      <c r="S145" s="27" t="inlineStr">
        <is>
          <t>Fabricación propia</t>
        </is>
      </c>
    </row>
    <row r="146">
      <c r="A146" s="29" t="inlineStr">
        <is>
          <t>FL_REC_ABC_70kg</t>
        </is>
      </c>
      <c r="B146" s="29" t="n">
        <v>1</v>
      </c>
      <c r="C146" s="29" t="inlineStr">
        <is>
          <t>ABC70-S1</t>
        </is>
      </c>
      <c r="D146" s="30" t="inlineStr">
        <is>
          <t xml:space="preserve">    Recipiente (cilindro)</t>
        </is>
      </c>
      <c r="E146" s="29" t="n">
        <v>1</v>
      </c>
      <c r="F146" s="29" t="inlineStr">
        <is>
          <t>u</t>
        </is>
      </c>
      <c r="G146" s="31" t="n"/>
      <c r="H146" s="31">
        <f>H147+H149+H150+H151+H152+H153+H159</f>
        <v/>
      </c>
      <c r="I146" s="29" t="n"/>
      <c r="J146" s="30" t="n"/>
      <c r="K146" s="29" t="inlineStr">
        <is>
          <t>Fabricación</t>
        </is>
      </c>
      <c r="L146" s="29" t="n"/>
      <c r="M146" s="30" t="n"/>
      <c r="N146" s="30" t="n"/>
      <c r="O146" s="30" t="n"/>
      <c r="P146" s="30" t="inlineStr">
        <is>
          <t>IRAM 3523 / 3550 (recipiente)</t>
        </is>
      </c>
      <c r="Q146" s="29" t="inlineStr">
        <is>
          <t>P</t>
        </is>
      </c>
      <c r="R146" s="29" t="inlineStr">
        <is>
          <t>FL_DES_ABC_70kg</t>
        </is>
      </c>
      <c r="S146" s="30" t="n"/>
    </row>
    <row r="147">
      <c r="A147" s="32" t="inlineStr">
        <is>
          <t>FL_REC_ABC_70kg</t>
        </is>
      </c>
      <c r="B147" s="32" t="n">
        <v>2</v>
      </c>
      <c r="C147" s="32" t="inlineStr">
        <is>
          <t>ABC70-01</t>
        </is>
      </c>
      <c r="D147" s="17" t="inlineStr">
        <is>
          <t xml:space="preserve">        Cuerpo (virola)</t>
        </is>
      </c>
      <c r="E147" s="32" t="n">
        <v>1</v>
      </c>
      <c r="F147" s="32" t="inlineStr">
        <is>
          <t>u</t>
        </is>
      </c>
      <c r="G147" s="33" t="n">
        <v>30.6877</v>
      </c>
      <c r="H147" s="33">
        <f>E147*G147</f>
        <v/>
      </c>
      <c r="I147" s="32" t="inlineStr">
        <is>
          <t>Chapa LAC IRAM-IAS U 500-04 e=4,75</t>
        </is>
      </c>
      <c r="J147" s="17" t="inlineStr">
        <is>
          <t>Ø390 × e4,75 × 680 de alto; desarrollo 1.210,3 × 680</t>
        </is>
      </c>
      <c r="K147" s="32" t="inlineStr">
        <is>
          <t>Fabricación</t>
        </is>
      </c>
      <c r="L147" s="32" t="inlineStr">
        <is>
          <t>No</t>
        </is>
      </c>
      <c r="M147" s="17" t="n"/>
      <c r="N147" s="17" t="n"/>
      <c r="O147"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P147" s="17" t="n"/>
      <c r="Q147" s="32" t="inlineStr">
        <is>
          <t>P</t>
        </is>
      </c>
      <c r="R147" s="32" t="inlineStr">
        <is>
          <t>FL_DES_ABC_70kg</t>
        </is>
      </c>
      <c r="S147" s="17" t="inlineStr">
        <is>
          <t>costura long. MAG</t>
        </is>
      </c>
    </row>
    <row r="148">
      <c r="A148" s="34" t="inlineStr">
        <is>
          <t>FL_REC_ABC_70kg</t>
        </is>
      </c>
      <c r="B148" s="34" t="n">
        <v>3</v>
      </c>
      <c r="C148" s="34" t="inlineStr">
        <is>
          <t>MP-HOJA</t>
        </is>
      </c>
      <c r="D148" s="35" t="inlineStr">
        <is>
          <t xml:space="preserve">            Recorte de hoja LAC 1500 × 3000 e=4,75</t>
        </is>
      </c>
      <c r="E148" s="34" t="n">
        <v>1</v>
      </c>
      <c r="F148" s="34" t="inlineStr">
        <is>
          <t>u</t>
        </is>
      </c>
      <c r="G148" s="36" t="n">
        <v>38.802</v>
      </c>
      <c r="H148" s="36">
        <f>E148*G148</f>
        <v/>
      </c>
      <c r="I148" s="34" t="inlineStr">
        <is>
          <t>Chapa LAC IRAM-IAS U 500-04 LAC</t>
        </is>
      </c>
      <c r="J148" s="35" t="inlineStr">
        <is>
          <t>680 × 1.212 (aprovech. 79,2 %)</t>
        </is>
      </c>
      <c r="K148" s="34" t="inlineStr">
        <is>
          <t>Compra</t>
        </is>
      </c>
      <c r="L148" s="34" t="inlineStr">
        <is>
          <t>Sí</t>
        </is>
      </c>
      <c r="M148" s="35" t="inlineStr">
        <is>
          <t>Pradecon S.A.</t>
        </is>
      </c>
      <c r="N148" s="35" t="inlineStr">
        <is>
          <t>Pacheco Chapas</t>
        </is>
      </c>
      <c r="O148" s="35" t="inlineStr">
        <is>
          <t>AL-1H paquetes de hojas</t>
        </is>
      </c>
      <c r="P148" s="35" t="n"/>
      <c r="Q148" s="34" t="inlineStr">
        <is>
          <t>L</t>
        </is>
      </c>
      <c r="R148" s="34" t="inlineStr">
        <is>
          <t>FL_PI_04 h2</t>
        </is>
      </c>
      <c r="S148" s="35" t="n"/>
    </row>
    <row r="149">
      <c r="A149" s="32" t="inlineStr">
        <is>
          <t>FL_REC_ABC_70kg</t>
        </is>
      </c>
      <c r="B149" s="32" t="n">
        <v>2</v>
      </c>
      <c r="C149" s="32" t="inlineStr">
        <is>
          <t>ABC70-02</t>
        </is>
      </c>
      <c r="D149" s="17" t="inlineStr">
        <is>
          <t xml:space="preserve">        Cúpula</t>
        </is>
      </c>
      <c r="E149" s="32" t="n">
        <v>1</v>
      </c>
      <c r="F149" s="32" t="inlineStr">
        <is>
          <t>u</t>
        </is>
      </c>
      <c r="G149" s="33" t="n">
        <v>7.1038</v>
      </c>
      <c r="H149" s="33">
        <f>E149*G149</f>
        <v/>
      </c>
      <c r="I149" s="32" t="inlineStr">
        <is>
          <t>Chapa LAC IRAM-IAS U 500-04 e=4,75</t>
        </is>
      </c>
      <c r="J149" s="17" t="inlineStr">
        <is>
          <t>Ø390 × e4,75 × 137,3 de alto; disco Ø507,3</t>
        </is>
      </c>
      <c r="K149" s="32" t="inlineStr">
        <is>
          <t>Compra (tapa embutida tercerizada)</t>
        </is>
      </c>
      <c r="L149" s="32" t="inlineStr">
        <is>
          <t>Sí</t>
        </is>
      </c>
      <c r="M149" s="17" t="inlineStr">
        <is>
          <t>Gockel Ingeniería S.R.L.</t>
        </is>
      </c>
      <c r="N149" s="17" t="inlineStr">
        <is>
          <t>-</t>
        </is>
      </c>
      <c r="O149" s="17" t="inlineStr">
        <is>
          <t>Compra -&gt; 6 soldadura de cupla -&gt; 7 armado y sold. circunferencial -&gt; 11 marcado (estampado en arco junto al cuello)</t>
        </is>
      </c>
      <c r="P149" s="17" t="n"/>
      <c r="Q149" s="32" t="inlineStr">
        <is>
          <t>P</t>
        </is>
      </c>
      <c r="R149" s="32" t="inlineStr">
        <is>
          <t>FL_DES_ABC_70kg</t>
        </is>
      </c>
      <c r="S149" s="17" t="inlineStr">
        <is>
          <t>embutida</t>
        </is>
      </c>
    </row>
    <row r="150">
      <c r="A150" s="32" t="inlineStr">
        <is>
          <t>FL_REC_ABC_70kg</t>
        </is>
      </c>
      <c r="B150" s="32" t="n">
        <v>2</v>
      </c>
      <c r="C150" s="32" t="inlineStr">
        <is>
          <t>ABC70-03</t>
        </is>
      </c>
      <c r="D150" s="17" t="inlineStr">
        <is>
          <t xml:space="preserve">        Fondo</t>
        </is>
      </c>
      <c r="E150" s="32" t="n">
        <v>1</v>
      </c>
      <c r="F150" s="32" t="inlineStr">
        <is>
          <t>u</t>
        </is>
      </c>
      <c r="G150" s="33" t="n">
        <v>7.4086</v>
      </c>
      <c r="H150" s="33">
        <f>E150*G150</f>
        <v/>
      </c>
      <c r="I150" s="32" t="inlineStr">
        <is>
          <t>Chapa LAC IRAM-IAS U 500-04 e=4,75</t>
        </is>
      </c>
      <c r="J150" s="17" t="inlineStr">
        <is>
          <t>Ø390 × e4,75 × 139,8 de alto; disco Ø518,1</t>
        </is>
      </c>
      <c r="K150" s="32" t="inlineStr">
        <is>
          <t>Compra (tapa embutida tercerizada)</t>
        </is>
      </c>
      <c r="L150" s="32" t="inlineStr">
        <is>
          <t>Sí</t>
        </is>
      </c>
      <c r="M150" s="17" t="inlineStr">
        <is>
          <t>Gockel Ingeniería S.R.L.</t>
        </is>
      </c>
      <c r="N150" s="17" t="inlineStr">
        <is>
          <t>-</t>
        </is>
      </c>
      <c r="O150" s="17" t="inlineStr">
        <is>
          <t>Compra -&gt; 7 armado y sold. circunferencial</t>
        </is>
      </c>
      <c r="P150" s="17" t="n"/>
      <c r="Q150" s="32" t="inlineStr">
        <is>
          <t>P</t>
        </is>
      </c>
      <c r="R150" s="32" t="inlineStr">
        <is>
          <t>FL_DES_ABC_70kg</t>
        </is>
      </c>
      <c r="S150" s="17" t="inlineStr">
        <is>
          <t>embutido</t>
        </is>
      </c>
    </row>
    <row r="151">
      <c r="A151" s="32" t="inlineStr">
        <is>
          <t>FL_REC_ABC_70kg</t>
        </is>
      </c>
      <c r="B151" s="32" t="n">
        <v>2</v>
      </c>
      <c r="C151" s="32" t="inlineStr">
        <is>
          <t>ABC70-04</t>
        </is>
      </c>
      <c r="D151" s="17" t="inlineStr">
        <is>
          <t xml:space="preserve">        Cuello roscado</t>
        </is>
      </c>
      <c r="E151" s="32" t="n">
        <v>1</v>
      </c>
      <c r="F151" s="32" t="inlineStr">
        <is>
          <t>u</t>
        </is>
      </c>
      <c r="G151" s="33" t="n">
        <v>0.6198</v>
      </c>
      <c r="H151" s="33">
        <f>E151*G151</f>
        <v/>
      </c>
      <c r="I151" s="32" t="inlineStr">
        <is>
          <t>Acero SAE 1010</t>
        </is>
      </c>
      <c r="J151" s="17" t="inlineStr">
        <is>
          <t>Ø88 × 37 de alto, rosca RBSP 2 1/2"-11 h, asiento Ø80</t>
        </is>
      </c>
      <c r="K151" s="32" t="inlineStr">
        <is>
          <t>Compra (mecanizado, Eli-Met)</t>
        </is>
      </c>
      <c r="L151" s="32" t="inlineStr">
        <is>
          <t>Sí</t>
        </is>
      </c>
      <c r="M151" s="17" t="inlineStr">
        <is>
          <t>Eli-Met</t>
        </is>
      </c>
      <c r="N151" s="17" t="inlineStr">
        <is>
          <t>-</t>
        </is>
      </c>
      <c r="O151" s="17" t="inlineStr">
        <is>
          <t>Compra -&gt; 6 soldadura de cupla en la cúpula (tapón plástico hasta la carga)</t>
        </is>
      </c>
      <c r="P151" s="17" t="n"/>
      <c r="Q151" s="32" t="inlineStr">
        <is>
          <t>P</t>
        </is>
      </c>
      <c r="R151" s="32" t="inlineStr">
        <is>
          <t>FL_DES_ABC_70kg</t>
        </is>
      </c>
      <c r="S151" s="17" t="inlineStr">
        <is>
          <t>RBSP 2 1/2"-11 h</t>
        </is>
      </c>
    </row>
    <row r="152">
      <c r="A152" s="32" t="inlineStr">
        <is>
          <t>FL_REC_ABC_70kg</t>
        </is>
      </c>
      <c r="B152" s="32" t="n">
        <v>2</v>
      </c>
      <c r="C152" s="32" t="inlineStr">
        <is>
          <t>ABC70-05</t>
        </is>
      </c>
      <c r="D152" s="17" t="inlineStr">
        <is>
          <t xml:space="preserve">        Placas de refuerzo (2)</t>
        </is>
      </c>
      <c r="E152" s="32" t="n">
        <v>1</v>
      </c>
      <c r="F152" s="32" t="inlineStr">
        <is>
          <t>u</t>
        </is>
      </c>
      <c r="G152" s="33" t="n">
        <v>1.5106</v>
      </c>
      <c r="H152" s="33">
        <f>E152*G152</f>
        <v/>
      </c>
      <c r="I152" s="32" t="inlineStr">
        <is>
          <t>Chapa LAC 4,75 curvada a Ø380</t>
        </is>
      </c>
      <c r="J152" s="17" t="inlineStr">
        <is>
          <t>2 × 200 × 100 × 4,75 curvadas a Ø380, a 100 mm de cada boca</t>
        </is>
      </c>
      <c r="K152" s="32" t="inlineStr">
        <is>
          <t>Fabricación</t>
        </is>
      </c>
      <c r="L152" s="32" t="inlineStr">
        <is>
          <t>No</t>
        </is>
      </c>
      <c r="M152" s="17" t="n"/>
      <c r="N152" s="17" t="n"/>
      <c r="O152" s="17" t="inlineStr">
        <is>
          <t>2 Tira de orilla 200 × 900 -&gt; 3 rolado a Ø380 -&gt; corte con amoladora -&gt; 4 punteo interior (4 esquinas)</t>
        </is>
      </c>
      <c r="P152" s="17" t="n"/>
      <c r="Q152" s="32" t="inlineStr">
        <is>
          <t>P</t>
        </is>
      </c>
      <c r="R152" s="32" t="inlineStr">
        <is>
          <t>FL_DES_ABC_70kg</t>
        </is>
      </c>
      <c r="S152" s="17" t="inlineStr">
        <is>
          <t>Proceso FLAMA de carros: por dentro sobre la costura longitudinal, una en cada extremo a 100 mm de la boca; salen de las orillas de 4,75 (sin compra)</t>
        </is>
      </c>
    </row>
    <row r="153">
      <c r="A153" s="37" t="inlineStr">
        <is>
          <t>FL_REC_ABC_70kg</t>
        </is>
      </c>
      <c r="B153" s="37" t="n">
        <v>2</v>
      </c>
      <c r="C153" s="37" t="inlineStr">
        <is>
          <t>ABC70-C1</t>
        </is>
      </c>
      <c r="D153" s="18" t="inlineStr">
        <is>
          <t xml:space="preserve">        Alambre MAG ER70S-6 Ø1,0 (AWS A5.18)</t>
        </is>
      </c>
      <c r="E153" s="37" t="n">
        <v>1.0749</v>
      </c>
      <c r="F153" s="37" t="inlineStr">
        <is>
          <t>kg</t>
        </is>
      </c>
      <c r="G153" s="38" t="n">
        <v>0.95</v>
      </c>
      <c r="H153" s="38">
        <f>E153*G153</f>
        <v/>
      </c>
      <c r="I153" s="37" t="inlineStr">
        <is>
          <t>ER70S-6</t>
        </is>
      </c>
      <c r="J153" s="18" t="inlineStr">
        <is>
          <t>metal depositado de los cordones del plano 1.021 g / rendimiento 0,95</t>
        </is>
      </c>
      <c r="K153" s="37" t="inlineStr">
        <is>
          <t>Compra</t>
        </is>
      </c>
      <c r="L153" s="37" t="inlineStr">
        <is>
          <t>Sí</t>
        </is>
      </c>
      <c r="M153" s="18" t="inlineStr">
        <is>
          <t>Conarco (ESAB Argentina)</t>
        </is>
      </c>
      <c r="N153" s="18" t="inlineStr">
        <is>
          <t>-</t>
        </is>
      </c>
      <c r="O153" s="18" t="inlineStr">
        <is>
          <t>5 sold. long. / 6 cupla / 7 circunferencial</t>
        </is>
      </c>
      <c r="P153" s="18" t="inlineStr">
        <is>
          <t>IRAM 3523 3.2.4.2 · IRAM 3550 4.1.2</t>
        </is>
      </c>
      <c r="Q153" s="37" t="inlineStr">
        <is>
          <t>C</t>
        </is>
      </c>
      <c r="R153" s="37" t="n"/>
      <c r="S153"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54">
      <c r="A154" s="37" t="inlineStr">
        <is>
          <t>FL_REC_ABC_70kg</t>
        </is>
      </c>
      <c r="B154" s="37" t="n">
        <v>2</v>
      </c>
      <c r="C154" s="37" t="inlineStr">
        <is>
          <t>ABC70-C2</t>
        </is>
      </c>
      <c r="D154" s="18" t="inlineStr">
        <is>
          <t xml:space="preserve">        Gas de protección MAG Arcal 21 / ARCAL Speed (Ar + 8 % CO₂, M20)</t>
        </is>
      </c>
      <c r="E154" s="37" t="n">
        <v>79.5</v>
      </c>
      <c r="F154" s="37" t="inlineStr">
        <is>
          <t>L</t>
        </is>
      </c>
      <c r="G154" s="38" t="n"/>
      <c r="H154" s="38" t="n"/>
      <c r="I154" s="37" t="inlineStr">
        <is>
          <t>EN ISO 14175 M20-ArC-8</t>
        </is>
      </c>
      <c r="J154" s="18" t="inlineStr">
        <is>
          <t>14 L/min × 5,68 min de arco (cordones 3.407 mm: long. 680 + circ. 2.450 + cuello 276, a 600 mm/min)</t>
        </is>
      </c>
      <c r="K154" s="37" t="inlineStr">
        <is>
          <t>Compra</t>
        </is>
      </c>
      <c r="L154" s="37" t="inlineStr">
        <is>
          <t>Sí</t>
        </is>
      </c>
      <c r="M154" s="18" t="inlineStr">
        <is>
          <t>Air Liquide Argentina - sucursal Piñeyro</t>
        </is>
      </c>
      <c r="N154" s="18" t="inlineStr">
        <is>
          <t>Gogniat</t>
        </is>
      </c>
      <c r="O154" s="18" t="inlineStr">
        <is>
          <t>Colector SC</t>
        </is>
      </c>
      <c r="P154" s="18" t="inlineStr">
        <is>
          <t>IRAM 3523 3.2.4.2 · IRAM 3550 3.2.2.2</t>
        </is>
      </c>
      <c r="Q154" s="37" t="inlineStr">
        <is>
          <t>C</t>
        </is>
      </c>
      <c r="R154" s="37" t="n"/>
      <c r="S154"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55">
      <c r="A155" s="32" t="inlineStr">
        <is>
          <t>FL_REC_ABC_70kg</t>
        </is>
      </c>
      <c r="B155" s="32" t="n">
        <v>2</v>
      </c>
      <c r="C155" s="32" t="inlineStr">
        <is>
          <t>ABC70-C4</t>
        </is>
      </c>
      <c r="D155" s="17" t="inlineStr">
        <is>
          <t xml:space="preserve">        Servicio de pintura en polvo al horno, rojo 03-1-050 (con preparación por quemado)</t>
        </is>
      </c>
      <c r="E155" s="32" t="n">
        <v>1</v>
      </c>
      <c r="F155" s="32" t="inlineStr">
        <is>
          <t>u</t>
        </is>
      </c>
      <c r="G155" s="33" t="n"/>
      <c r="H155" s="33" t="n"/>
      <c r="I155" s="32" t="inlineStr">
        <is>
          <t>Servicio tercerizado</t>
        </is>
      </c>
      <c r="J155" s="17" t="inlineStr">
        <is>
          <t>superficie exterior 1,212 m²</t>
        </is>
      </c>
      <c r="K155" s="32" t="inlineStr">
        <is>
          <t>Compra (servicio)</t>
        </is>
      </c>
      <c r="L155" s="32" t="inlineStr">
        <is>
          <t>Sí</t>
        </is>
      </c>
      <c r="M155" s="17" t="inlineStr">
        <is>
          <t>Pintor de carros (cotización por mensaje)</t>
        </is>
      </c>
      <c r="N155" s="17" t="inlineStr">
        <is>
          <t>Prymax</t>
        </is>
      </c>
      <c r="O155" s="17" t="inlineStr">
        <is>
          <t>17 Pintura tercerizada</t>
        </is>
      </c>
      <c r="P155" s="17" t="inlineStr">
        <is>
          <t>IRAM 3523 5.3 / IRAM 3550 3.11 · IRAM 121</t>
        </is>
      </c>
      <c r="Q155" s="32" t="inlineStr">
        <is>
          <t>Q</t>
        </is>
      </c>
      <c r="R155" s="32" t="n"/>
      <c r="S155" s="17" t="inlineStr">
        <is>
          <t>Q-CARROS (precio por carro); exigir informe de niebla salina del sistema de pintura; tercerización aceptada por el Ministerio (Res. 349/07 art. 18)</t>
        </is>
      </c>
    </row>
    <row r="156">
      <c r="A156" s="39" t="inlineStr">
        <is>
          <t>FL_REC_ABC_70kg</t>
        </is>
      </c>
      <c r="B156" s="39" t="n">
        <v>2</v>
      </c>
      <c r="C156" s="39" t="inlineStr">
        <is>
          <t>ABC70-T1</t>
        </is>
      </c>
      <c r="D156" s="19" t="inlineStr">
        <is>
          <t xml:space="preserve">        Tapón protector de rosca del cuello</t>
        </is>
      </c>
      <c r="E156" s="39" t="n">
        <v>1</v>
      </c>
      <c r="F156" s="39" t="inlineStr">
        <is>
          <t>u</t>
        </is>
      </c>
      <c r="G156" s="40" t="n"/>
      <c r="H156" s="40" t="n"/>
      <c r="I156" s="39" t="inlineStr">
        <is>
          <t>Polietileno</t>
        </is>
      </c>
      <c r="J156" s="19" t="inlineStr">
        <is>
          <t>para rosca RBSP 2 1/2"-11 h (plano FL_REC_ABC_70kg hoja 3, R4)</t>
        </is>
      </c>
      <c r="K156" s="39" t="inlineStr">
        <is>
          <t>Compra</t>
        </is>
      </c>
      <c r="L156" s="39" t="inlineStr">
        <is>
          <t>Sí</t>
        </is>
      </c>
      <c r="M156" s="19" t="inlineStr">
        <is>
          <t>-</t>
        </is>
      </c>
      <c r="N156" s="19" t="inlineStr">
        <is>
          <t>-</t>
        </is>
      </c>
      <c r="O156" s="19" t="inlineStr">
        <is>
          <t>Embalaje</t>
        </is>
      </c>
      <c r="P156" s="19" t="n"/>
      <c r="Q156" s="39" t="inlineStr">
        <is>
          <t>P</t>
        </is>
      </c>
      <c r="R156" s="39" t="n"/>
      <c r="S156" s="19" t="n"/>
    </row>
    <row r="157">
      <c r="A157" s="32" t="inlineStr">
        <is>
          <t>FL_REC_ABC_70kg</t>
        </is>
      </c>
      <c r="B157" s="32" t="n">
        <v>2</v>
      </c>
      <c r="C157" s="32" t="inlineStr">
        <is>
          <t>ABC70-T2</t>
        </is>
      </c>
      <c r="D157" s="17" t="inlineStr">
        <is>
          <t xml:space="preserve">        Marcado del recipiente: estampado en la cúpula, en arco junto al cuello (puesto 11, después de la PH y el secado)</t>
        </is>
      </c>
      <c r="E157" s="32" t="n">
        <v>1</v>
      </c>
      <c r="F157" s="32" t="inlineStr">
        <is>
          <t>u</t>
        </is>
      </c>
      <c r="G157" s="33" t="n"/>
      <c r="H157" s="33" t="n"/>
      <c r="I157" s="32" t="inlineStr">
        <is>
          <t>-</t>
        </is>
      </c>
      <c r="J157" s="17" t="inlineStr">
        <is>
          <t>Fabricante, n° de serie, año, presión de ensayo; en arco junto al cuello, letra 5 mm; cuño DPS 15 × 7 junto al n°</t>
        </is>
      </c>
      <c r="K157" s="32" t="inlineStr">
        <is>
          <t>Proceso</t>
        </is>
      </c>
      <c r="L157" s="32" t="inlineStr">
        <is>
          <t>No</t>
        </is>
      </c>
      <c r="M157" s="17" t="n"/>
      <c r="N157" s="17" t="n"/>
      <c r="O157" s="17" t="inlineStr">
        <is>
          <t>Marcado</t>
        </is>
      </c>
      <c r="P157" s="17" t="inlineStr">
        <is>
          <t>IRAM 3550 5.1 · Res. 349/07 anexo IV</t>
        </is>
      </c>
      <c r="Q157" s="32" t="inlineStr">
        <is>
          <t>N</t>
        </is>
      </c>
      <c r="R157" s="32" t="n"/>
      <c r="S157" s="17" t="n"/>
    </row>
    <row r="158">
      <c r="A158" s="32" t="inlineStr">
        <is>
          <t>FL_REC_ABC_70kg</t>
        </is>
      </c>
      <c r="B158" s="32" t="n">
        <v>2</v>
      </c>
      <c r="C158" s="32" t="inlineStr">
        <is>
          <t>ABC70-T3</t>
        </is>
      </c>
      <c r="D158" s="17" t="inlineStr">
        <is>
          <t xml:space="preserve">        Etiqueta de identificación del cilindro suelto</t>
        </is>
      </c>
      <c r="E158" s="32" t="n">
        <v>1</v>
      </c>
      <c r="F158" s="32" t="inlineStr">
        <is>
          <t>u</t>
        </is>
      </c>
      <c r="G158" s="33" t="n"/>
      <c r="H158" s="33" t="n"/>
      <c r="I158" s="32" t="inlineStr">
        <is>
          <t>Poliéster autoadhesivo removible</t>
        </is>
      </c>
      <c r="J158" s="17" t="inlineStr">
        <is>
          <t>100 × 60, impresión térmica, QR GS1</t>
        </is>
      </c>
      <c r="K158" s="32" t="inlineStr">
        <is>
          <t>Compra</t>
        </is>
      </c>
      <c r="L158" s="32" t="inlineStr">
        <is>
          <t>Sí</t>
        </is>
      </c>
      <c r="M158" s="17" t="inlineStr">
        <is>
          <t>Astuprint</t>
        </is>
      </c>
      <c r="N158" s="17" t="inlineStr">
        <is>
          <t>GS1 Argentina</t>
        </is>
      </c>
      <c r="O158" s="17" t="inlineStr">
        <is>
          <t>Etiquetado</t>
        </is>
      </c>
      <c r="P158" s="17" t="n"/>
      <c r="Q158" s="32" t="inlineStr">
        <is>
          <t>P</t>
        </is>
      </c>
      <c r="R158" s="32" t="inlineStr">
        <is>
          <t>FL_REC_ABC_70kg hoja 3</t>
        </is>
      </c>
      <c r="S158" s="17" t="n"/>
    </row>
    <row r="159">
      <c r="A159" s="32" t="inlineStr">
        <is>
          <t>FL_REC_ABC_70kg</t>
        </is>
      </c>
      <c r="B159" s="32" t="n">
        <v>2</v>
      </c>
      <c r="C159" s="32" t="inlineStr">
        <is>
          <t>ABC70-T4</t>
        </is>
      </c>
      <c r="D159" s="17" t="inlineStr">
        <is>
          <t xml:space="preserve">        Protocolo de ensayo hidrostático (certificado que acompaña)</t>
        </is>
      </c>
      <c r="E159" s="32" t="n">
        <v>1</v>
      </c>
      <c r="F159" s="32" t="inlineStr">
        <is>
          <t>u</t>
        </is>
      </c>
      <c r="G159" s="33" t="n">
        <v>0.005</v>
      </c>
      <c r="H159" s="33">
        <f>E159*G159</f>
        <v/>
      </c>
      <c r="I159" s="32" t="inlineStr">
        <is>
          <t>Papel</t>
        </is>
      </c>
      <c r="J159" s="17" t="inlineStr">
        <is>
          <t>A5</t>
        </is>
      </c>
      <c r="K159" s="32" t="inlineStr">
        <is>
          <t>Proceso</t>
        </is>
      </c>
      <c r="L159" s="32" t="inlineStr">
        <is>
          <t>No</t>
        </is>
      </c>
      <c r="M159" s="17" t="n"/>
      <c r="N159" s="17" t="n"/>
      <c r="O159" s="17" t="inlineStr">
        <is>
          <t>Control de calidad</t>
        </is>
      </c>
      <c r="P159" s="17" t="inlineStr">
        <is>
          <t>IRAM 3550 4.1 y cap. 6 · IRAM 2587</t>
        </is>
      </c>
      <c r="Q159" s="32" t="inlineStr">
        <is>
          <t>N</t>
        </is>
      </c>
      <c r="R159" s="32" t="inlineStr">
        <is>
          <t>FL_REC_ABC_70kg hoja 3</t>
        </is>
      </c>
      <c r="S159" s="17" t="n"/>
    </row>
    <row r="160">
      <c r="A160" s="29" t="inlineStr">
        <is>
          <t>FL_REC_ABC_70kg</t>
        </is>
      </c>
      <c r="B160" s="29" t="n">
        <v>1</v>
      </c>
      <c r="C160" s="29" t="inlineStr">
        <is>
          <t>ABC70-S7</t>
        </is>
      </c>
      <c r="D160" s="30" t="inlineStr">
        <is>
          <t xml:space="preserve">    Embalaje</t>
        </is>
      </c>
      <c r="E160" s="29" t="n">
        <v>1</v>
      </c>
      <c r="F160" s="29" t="inlineStr">
        <is>
          <t>u</t>
        </is>
      </c>
      <c r="G160" s="31" t="n"/>
      <c r="H160" s="31">
        <f>H163</f>
        <v/>
      </c>
      <c r="I160" s="29" t="n"/>
      <c r="J160" s="30" t="n"/>
      <c r="K160" s="29" t="inlineStr">
        <is>
          <t>Compra</t>
        </is>
      </c>
      <c r="L160" s="29" t="n"/>
      <c r="M160" s="30" t="n"/>
      <c r="N160" s="30" t="n"/>
      <c r="O160" s="30" t="inlineStr">
        <is>
          <t>23 Embalaje -&gt; 24 envolvedora (T11)</t>
        </is>
      </c>
      <c r="P160" s="30" t="n"/>
      <c r="Q160" s="29" t="n"/>
      <c r="R160" s="29" t="n"/>
      <c r="S160" s="30" t="n"/>
    </row>
    <row r="161">
      <c r="A161" s="32" t="inlineStr">
        <is>
          <t>FL_REC_ABC_70kg</t>
        </is>
      </c>
      <c r="B161" s="32" t="n">
        <v>2</v>
      </c>
      <c r="C161" s="32" t="inlineStr">
        <is>
          <t>ABC70-E1</t>
        </is>
      </c>
      <c r="D161" s="17" t="inlineStr">
        <is>
          <t xml:space="preserve">        Esquineros y funda de polietileno</t>
        </is>
      </c>
      <c r="E161" s="32" t="n">
        <v>1</v>
      </c>
      <c r="F161" s="32" t="inlineStr">
        <is>
          <t>jgo</t>
        </is>
      </c>
      <c r="G161" s="33" t="n"/>
      <c r="H161" s="33" t="n"/>
      <c r="I161" s="32" t="inlineStr">
        <is>
          <t>PE / cartón</t>
        </is>
      </c>
      <c r="J161" s="17" t="inlineStr">
        <is>
          <t>a medida de la envolvente del plano</t>
        </is>
      </c>
      <c r="K161" s="32" t="inlineStr">
        <is>
          <t>Compra</t>
        </is>
      </c>
      <c r="L161" s="32" t="inlineStr">
        <is>
          <t>Sí</t>
        </is>
      </c>
      <c r="M161" s="17" t="inlineStr">
        <is>
          <t>MV Embalajes</t>
        </is>
      </c>
      <c r="N161" s="17" t="inlineStr">
        <is>
          <t>Embalpack</t>
        </is>
      </c>
      <c r="O161" s="17" t="inlineStr">
        <is>
          <t>23 Embalaje</t>
        </is>
      </c>
      <c r="P161" s="17" t="n"/>
      <c r="Q161" s="32" t="inlineStr">
        <is>
          <t>P</t>
        </is>
      </c>
      <c r="R161" s="32" t="n"/>
      <c r="S161" s="17" t="inlineStr">
        <is>
          <t>Medida del plano</t>
        </is>
      </c>
    </row>
    <row r="162">
      <c r="A162" s="32" t="inlineStr">
        <is>
          <t>FL_REC_ABC_70kg</t>
        </is>
      </c>
      <c r="B162" s="32" t="n">
        <v>2</v>
      </c>
      <c r="C162" s="32" t="inlineStr">
        <is>
          <t>ABC70-E3</t>
        </is>
      </c>
      <c r="D162" s="17" t="inlineStr">
        <is>
          <t xml:space="preserve">        Pallet 1200 × 1000 (fracción)</t>
        </is>
      </c>
      <c r="E162" s="32" t="n">
        <v>0.1667</v>
      </c>
      <c r="F162" s="32" t="inlineStr">
        <is>
          <t>u</t>
        </is>
      </c>
      <c r="G162" s="33" t="n"/>
      <c r="H162" s="33" t="n"/>
      <c r="I162" s="32" t="inlineStr">
        <is>
          <t>Madera</t>
        </is>
      </c>
      <c r="J162" s="17" t="inlineStr">
        <is>
          <t>6 u por pallet</t>
        </is>
      </c>
      <c r="K162" s="32" t="inlineStr">
        <is>
          <t>Compra</t>
        </is>
      </c>
      <c r="L162" s="32" t="inlineStr">
        <is>
          <t>Sí</t>
        </is>
      </c>
      <c r="M162" s="17" t="inlineStr">
        <is>
          <t>IndusPallets</t>
        </is>
      </c>
      <c r="N162" s="17" t="inlineStr">
        <is>
          <t>-</t>
        </is>
      </c>
      <c r="O162" s="17" t="inlineStr">
        <is>
          <t>23 Embalaje</t>
        </is>
      </c>
      <c r="P162" s="17" t="n"/>
      <c r="Q162" s="32" t="inlineStr">
        <is>
          <t>C</t>
        </is>
      </c>
      <c r="R162" s="32" t="n"/>
      <c r="S162" s="17" t="inlineStr">
        <is>
          <t>u por pallet = acomodo de la caja (plano) en 1200 × 1000 × 1450 de alto</t>
        </is>
      </c>
    </row>
    <row r="163">
      <c r="A163" s="37" t="inlineStr">
        <is>
          <t>FL_REC_ABC_70kg</t>
        </is>
      </c>
      <c r="B163" s="37" t="n">
        <v>2</v>
      </c>
      <c r="C163" s="37" t="inlineStr">
        <is>
          <t>ABC70-E4</t>
        </is>
      </c>
      <c r="D163" s="18" t="inlineStr">
        <is>
          <t xml:space="preserve">        Film stretch (fracción del pallet)</t>
        </is>
      </c>
      <c r="E163" s="37" t="n">
        <v>0.02</v>
      </c>
      <c r="F163" s="37" t="inlineStr">
        <is>
          <t>kg</t>
        </is>
      </c>
      <c r="G163" s="38" t="n">
        <v>1</v>
      </c>
      <c r="H163" s="38">
        <f>E163*G163</f>
        <v/>
      </c>
      <c r="I163" s="37" t="inlineStr">
        <is>
          <t>PE lineal 23 µm</t>
        </is>
      </c>
      <c r="J163" s="18" t="inlineStr">
        <is>
          <t>0,12 kg por pallet / 6 u</t>
        </is>
      </c>
      <c r="K163" s="37" t="inlineStr">
        <is>
          <t>Compra</t>
        </is>
      </c>
      <c r="L163" s="37" t="inlineStr">
        <is>
          <t>Sí</t>
        </is>
      </c>
      <c r="M163" s="18" t="inlineStr">
        <is>
          <t>MV Embalajes</t>
        </is>
      </c>
      <c r="N163" s="18" t="inlineStr">
        <is>
          <t>Embalpack</t>
        </is>
      </c>
      <c r="O163" s="18" t="inlineStr">
        <is>
          <t>24 Envolvedora (T11)</t>
        </is>
      </c>
      <c r="P163" s="18" t="n"/>
      <c r="Q163" s="37" t="inlineStr">
        <is>
          <t>C</t>
        </is>
      </c>
      <c r="R163" s="37" t="n"/>
      <c r="S163"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64">
      <c r="A164" s="32" t="inlineStr">
        <is>
          <t>FL_REC_ABC_70kg</t>
        </is>
      </c>
      <c r="B164" s="32" t="n">
        <v>2</v>
      </c>
      <c r="C164" s="32" t="inlineStr">
        <is>
          <t>ABC70-E5</t>
        </is>
      </c>
      <c r="D164" s="17" t="inlineStr">
        <is>
          <t xml:space="preserve">        Etiqueta de pallet (lote y destino, fracción)</t>
        </is>
      </c>
      <c r="E164" s="32" t="n">
        <v>0.1667</v>
      </c>
      <c r="F164" s="32" t="inlineStr">
        <is>
          <t>u</t>
        </is>
      </c>
      <c r="G164" s="33" t="n"/>
      <c r="H164" s="33" t="n"/>
      <c r="I164" s="32" t="inlineStr">
        <is>
          <t>Papel térmico</t>
        </is>
      </c>
      <c r="J164" s="17" t="inlineStr">
        <is>
          <t>100 × 150</t>
        </is>
      </c>
      <c r="K164" s="32" t="inlineStr">
        <is>
          <t>Compra</t>
        </is>
      </c>
      <c r="L164" s="32" t="inlineStr">
        <is>
          <t>Sí</t>
        </is>
      </c>
      <c r="M164" s="17" t="inlineStr">
        <is>
          <t>Astuprint</t>
        </is>
      </c>
      <c r="N164" s="17" t="inlineStr">
        <is>
          <t>Multilabel Argentina S.A.</t>
        </is>
      </c>
      <c r="O164" s="17" t="inlineStr">
        <is>
          <t>24 Envolvedora</t>
        </is>
      </c>
      <c r="P164" s="17" t="n"/>
      <c r="Q164" s="32" t="inlineStr">
        <is>
          <t>C</t>
        </is>
      </c>
      <c r="R164" s="32" t="n"/>
      <c r="S164" s="17" t="n"/>
    </row>
    <row r="165">
      <c r="A165" s="32" t="inlineStr">
        <is>
          <t>FL_REC_ABC_70kg</t>
        </is>
      </c>
      <c r="B165" s="32" t="n">
        <v>2</v>
      </c>
      <c r="C165" s="32" t="inlineStr">
        <is>
          <t>ABC70-E8</t>
        </is>
      </c>
      <c r="D165" s="17" t="inlineStr">
        <is>
          <t xml:space="preserve">        Separador de capa de cartón 1200 × 1000 (fracción del pallet)</t>
        </is>
      </c>
      <c r="E165" s="32" t="n">
        <v>0</v>
      </c>
      <c r="F165" s="32" t="inlineStr">
        <is>
          <t>u</t>
        </is>
      </c>
      <c r="G165" s="33" t="n"/>
      <c r="H165" s="33" t="n"/>
      <c r="I165" s="32" t="inlineStr">
        <is>
          <t>Cartón</t>
        </is>
      </c>
      <c r="J165" s="17" t="inlineStr">
        <is>
          <t>1 capas → 0 separadores por pallet / 6 u</t>
        </is>
      </c>
      <c r="K165" s="32" t="inlineStr">
        <is>
          <t>Compra</t>
        </is>
      </c>
      <c r="L165" s="32" t="inlineStr">
        <is>
          <t>Sí</t>
        </is>
      </c>
      <c r="M165" s="17" t="inlineStr">
        <is>
          <t>Maxipack</t>
        </is>
      </c>
      <c r="N165" s="17" t="inlineStr">
        <is>
          <t>Cartocan</t>
        </is>
      </c>
      <c r="O165" s="17" t="inlineStr">
        <is>
          <t>23 Embalaje</t>
        </is>
      </c>
      <c r="P165" s="17" t="n"/>
      <c r="Q165" s="32" t="inlineStr">
        <is>
          <t>C</t>
        </is>
      </c>
      <c r="R165" s="32" t="n"/>
      <c r="S165" s="17" t="inlineStr">
        <is>
          <t>Planilla MP-61</t>
        </is>
      </c>
    </row>
    <row r="166">
      <c r="A166" s="26" t="inlineStr">
        <is>
          <t>FL_REC_ABC_100kg</t>
        </is>
      </c>
      <c r="B166" s="26" t="n">
        <v>0</v>
      </c>
      <c r="C166" s="26" t="inlineStr">
        <is>
          <t>FL_REC_ABC_100kg</t>
        </is>
      </c>
      <c r="D166" s="27" t="inlineStr">
        <is>
          <t>Cilindro (recipiente) ABC 100 kg rodante - repuesto vacío sin válvula</t>
        </is>
      </c>
      <c r="E166" s="26" t="n">
        <v>1</v>
      </c>
      <c r="F166" s="26" t="inlineStr">
        <is>
          <t>u</t>
        </is>
      </c>
      <c r="G166" s="28" t="n"/>
      <c r="H166" s="28" t="n"/>
      <c r="I166" s="26" t="n"/>
      <c r="J166" s="27" t="n"/>
      <c r="K166" s="26" t="n"/>
      <c r="L166" s="26" t="n"/>
      <c r="M166" s="27" t="n"/>
      <c r="N166" s="27" t="n"/>
      <c r="O166" s="27" t="n"/>
      <c r="P166" s="27" t="inlineStr">
        <is>
          <t>IRAM 3550</t>
        </is>
      </c>
      <c r="Q166" s="26" t="inlineStr">
        <is>
          <t>P</t>
        </is>
      </c>
      <c r="R166" s="26" t="inlineStr">
        <is>
          <t>FL_REC_ABC_100kg</t>
        </is>
      </c>
      <c r="S166" s="27" t="inlineStr">
        <is>
          <t>Fabricación propia</t>
        </is>
      </c>
    </row>
    <row r="167">
      <c r="A167" s="29" t="inlineStr">
        <is>
          <t>FL_REC_ABC_100kg</t>
        </is>
      </c>
      <c r="B167" s="29" t="n">
        <v>1</v>
      </c>
      <c r="C167" s="29" t="inlineStr">
        <is>
          <t>ABC100-S1</t>
        </is>
      </c>
      <c r="D167" s="30" t="inlineStr">
        <is>
          <t xml:space="preserve">    Recipiente (cilindro)</t>
        </is>
      </c>
      <c r="E167" s="29" t="n">
        <v>1</v>
      </c>
      <c r="F167" s="29" t="inlineStr">
        <is>
          <t>u</t>
        </is>
      </c>
      <c r="G167" s="31" t="n"/>
      <c r="H167" s="31">
        <f>H168+H170+H171+H172+H173+H174+H180</f>
        <v/>
      </c>
      <c r="I167" s="29" t="n"/>
      <c r="J167" s="30" t="n"/>
      <c r="K167" s="29" t="inlineStr">
        <is>
          <t>Fabricación</t>
        </is>
      </c>
      <c r="L167" s="29" t="n"/>
      <c r="M167" s="30" t="n"/>
      <c r="N167" s="30" t="n"/>
      <c r="O167" s="30" t="n"/>
      <c r="P167" s="30" t="inlineStr">
        <is>
          <t>IRAM 3523 / 3550 (recipiente)</t>
        </is>
      </c>
      <c r="Q167" s="29" t="inlineStr">
        <is>
          <t>P</t>
        </is>
      </c>
      <c r="R167" s="29" t="inlineStr">
        <is>
          <t>FL_DES_ABC_100kg</t>
        </is>
      </c>
      <c r="S167" s="30" t="n"/>
    </row>
    <row r="168">
      <c r="A168" s="32" t="inlineStr">
        <is>
          <t>FL_REC_ABC_100kg</t>
        </is>
      </c>
      <c r="B168" s="32" t="n">
        <v>2</v>
      </c>
      <c r="C168" s="32" t="inlineStr">
        <is>
          <t>ABC100-01</t>
        </is>
      </c>
      <c r="D168" s="17" t="inlineStr">
        <is>
          <t xml:space="preserve">        Cuerpo (virola)</t>
        </is>
      </c>
      <c r="E168" s="32" t="n">
        <v>1</v>
      </c>
      <c r="F168" s="32" t="inlineStr">
        <is>
          <t>u</t>
        </is>
      </c>
      <c r="G168" s="33" t="n">
        <v>40.6161</v>
      </c>
      <c r="H168" s="33">
        <f>E168*G168</f>
        <v/>
      </c>
      <c r="I168" s="32" t="inlineStr">
        <is>
          <t>Chapa LAC IRAM-IAS U 500-04 e=4,75</t>
        </is>
      </c>
      <c r="J168" s="17" t="inlineStr">
        <is>
          <t>Ø390 × e4,75 × 900 de alto; desarrollo 1.210,3 × 900</t>
        </is>
      </c>
      <c r="K168" s="32" t="inlineStr">
        <is>
          <t>Fabricación</t>
        </is>
      </c>
      <c r="L168" s="32" t="inlineStr">
        <is>
          <t>No</t>
        </is>
      </c>
      <c r="M168" s="17" t="n"/>
      <c r="N168" s="17" t="n"/>
      <c r="O168"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P168" s="17" t="n"/>
      <c r="Q168" s="32" t="inlineStr">
        <is>
          <t>P</t>
        </is>
      </c>
      <c r="R168" s="32" t="inlineStr">
        <is>
          <t>FL_DES_ABC_100kg</t>
        </is>
      </c>
      <c r="S168" s="17" t="inlineStr">
        <is>
          <t>costura long. MAG</t>
        </is>
      </c>
    </row>
    <row r="169">
      <c r="A169" s="34" t="inlineStr">
        <is>
          <t>FL_REC_ABC_100kg</t>
        </is>
      </c>
      <c r="B169" s="34" t="n">
        <v>3</v>
      </c>
      <c r="C169" s="34" t="inlineStr">
        <is>
          <t>MP-HOJA</t>
        </is>
      </c>
      <c r="D169" s="35" t="inlineStr">
        <is>
          <t xml:space="preserve">            Recorte de hoja LAC 1500 × 3000 e=4,75</t>
        </is>
      </c>
      <c r="E169" s="34" t="n">
        <v>1</v>
      </c>
      <c r="F169" s="34" t="inlineStr">
        <is>
          <t>u</t>
        </is>
      </c>
      <c r="G169" s="36" t="n">
        <v>51.355</v>
      </c>
      <c r="H169" s="36">
        <f>E169*G169</f>
        <v/>
      </c>
      <c r="I169" s="34" t="inlineStr">
        <is>
          <t>Chapa LAC IRAM-IAS U 500-04 LAC</t>
        </is>
      </c>
      <c r="J169" s="35" t="inlineStr">
        <is>
          <t>900 × 1.212 (aprovech. 79,2 %)</t>
        </is>
      </c>
      <c r="K169" s="34" t="inlineStr">
        <is>
          <t>Compra</t>
        </is>
      </c>
      <c r="L169" s="34" t="inlineStr">
        <is>
          <t>Sí</t>
        </is>
      </c>
      <c r="M169" s="35" t="inlineStr">
        <is>
          <t>Pradecon S.A.</t>
        </is>
      </c>
      <c r="N169" s="35" t="inlineStr">
        <is>
          <t>Pacheco Chapas</t>
        </is>
      </c>
      <c r="O169" s="35" t="inlineStr">
        <is>
          <t>AL-1H paquetes de hojas</t>
        </is>
      </c>
      <c r="P169" s="35" t="n"/>
      <c r="Q169" s="34" t="inlineStr">
        <is>
          <t>L</t>
        </is>
      </c>
      <c r="R169" s="34" t="inlineStr">
        <is>
          <t>FL_PI_04 h2</t>
        </is>
      </c>
      <c r="S169" s="35" t="n"/>
    </row>
    <row r="170">
      <c r="A170" s="32" t="inlineStr">
        <is>
          <t>FL_REC_ABC_100kg</t>
        </is>
      </c>
      <c r="B170" s="32" t="n">
        <v>2</v>
      </c>
      <c r="C170" s="32" t="inlineStr">
        <is>
          <t>ABC100-02</t>
        </is>
      </c>
      <c r="D170" s="17" t="inlineStr">
        <is>
          <t xml:space="preserve">        Cúpula</t>
        </is>
      </c>
      <c r="E170" s="32" t="n">
        <v>1</v>
      </c>
      <c r="F170" s="32" t="inlineStr">
        <is>
          <t>u</t>
        </is>
      </c>
      <c r="G170" s="33" t="n">
        <v>7.1038</v>
      </c>
      <c r="H170" s="33">
        <f>E170*G170</f>
        <v/>
      </c>
      <c r="I170" s="32" t="inlineStr">
        <is>
          <t>Chapa LAC IRAM-IAS U 500-04 e=4,75</t>
        </is>
      </c>
      <c r="J170" s="17" t="inlineStr">
        <is>
          <t>Ø390 × e4,75 × 137,3 de alto; disco Ø507,3</t>
        </is>
      </c>
      <c r="K170" s="32" t="inlineStr">
        <is>
          <t>Compra (tapa embutida tercerizada)</t>
        </is>
      </c>
      <c r="L170" s="32" t="inlineStr">
        <is>
          <t>Sí</t>
        </is>
      </c>
      <c r="M170" s="17" t="inlineStr">
        <is>
          <t>Gockel Ingeniería S.R.L.</t>
        </is>
      </c>
      <c r="N170" s="17" t="inlineStr">
        <is>
          <t>-</t>
        </is>
      </c>
      <c r="O170" s="17" t="inlineStr">
        <is>
          <t>Compra -&gt; 6 soldadura de cupla -&gt; 7 armado y sold. circunferencial -&gt; 11 marcado (estampado en arco junto al cuello)</t>
        </is>
      </c>
      <c r="P170" s="17" t="n"/>
      <c r="Q170" s="32" t="inlineStr">
        <is>
          <t>P</t>
        </is>
      </c>
      <c r="R170" s="32" t="inlineStr">
        <is>
          <t>FL_DES_ABC_100kg</t>
        </is>
      </c>
      <c r="S170" s="17" t="inlineStr">
        <is>
          <t>embutida</t>
        </is>
      </c>
    </row>
    <row r="171">
      <c r="A171" s="32" t="inlineStr">
        <is>
          <t>FL_REC_ABC_100kg</t>
        </is>
      </c>
      <c r="B171" s="32" t="n">
        <v>2</v>
      </c>
      <c r="C171" s="32" t="inlineStr">
        <is>
          <t>ABC100-03</t>
        </is>
      </c>
      <c r="D171" s="17" t="inlineStr">
        <is>
          <t xml:space="preserve">        Fondo</t>
        </is>
      </c>
      <c r="E171" s="32" t="n">
        <v>1</v>
      </c>
      <c r="F171" s="32" t="inlineStr">
        <is>
          <t>u</t>
        </is>
      </c>
      <c r="G171" s="33" t="n">
        <v>7.4086</v>
      </c>
      <c r="H171" s="33">
        <f>E171*G171</f>
        <v/>
      </c>
      <c r="I171" s="32" t="inlineStr">
        <is>
          <t>Chapa LAC IRAM-IAS U 500-04 e=4,75</t>
        </is>
      </c>
      <c r="J171" s="17" t="inlineStr">
        <is>
          <t>Ø390 × e4,75 × 139,8 de alto; disco Ø518,1</t>
        </is>
      </c>
      <c r="K171" s="32" t="inlineStr">
        <is>
          <t>Compra (tapa embutida tercerizada)</t>
        </is>
      </c>
      <c r="L171" s="32" t="inlineStr">
        <is>
          <t>Sí</t>
        </is>
      </c>
      <c r="M171" s="17" t="inlineStr">
        <is>
          <t>Gockel Ingeniería S.R.L.</t>
        </is>
      </c>
      <c r="N171" s="17" t="inlineStr">
        <is>
          <t>-</t>
        </is>
      </c>
      <c r="O171" s="17" t="inlineStr">
        <is>
          <t>Compra -&gt; 7 armado y sold. circunferencial</t>
        </is>
      </c>
      <c r="P171" s="17" t="n"/>
      <c r="Q171" s="32" t="inlineStr">
        <is>
          <t>P</t>
        </is>
      </c>
      <c r="R171" s="32" t="inlineStr">
        <is>
          <t>FL_DES_ABC_100kg</t>
        </is>
      </c>
      <c r="S171" s="17" t="inlineStr">
        <is>
          <t>embutido</t>
        </is>
      </c>
    </row>
    <row r="172">
      <c r="A172" s="32" t="inlineStr">
        <is>
          <t>FL_REC_ABC_100kg</t>
        </is>
      </c>
      <c r="B172" s="32" t="n">
        <v>2</v>
      </c>
      <c r="C172" s="32" t="inlineStr">
        <is>
          <t>ABC100-04</t>
        </is>
      </c>
      <c r="D172" s="17" t="inlineStr">
        <is>
          <t xml:space="preserve">        Cuello roscado</t>
        </is>
      </c>
      <c r="E172" s="32" t="n">
        <v>1</v>
      </c>
      <c r="F172" s="32" t="inlineStr">
        <is>
          <t>u</t>
        </is>
      </c>
      <c r="G172" s="33" t="n">
        <v>0.6198</v>
      </c>
      <c r="H172" s="33">
        <f>E172*G172</f>
        <v/>
      </c>
      <c r="I172" s="32" t="inlineStr">
        <is>
          <t>Acero SAE 1010</t>
        </is>
      </c>
      <c r="J172" s="17" t="inlineStr">
        <is>
          <t>Ø88 × 37 de alto, rosca RBSP 2 1/2"-11 h, asiento Ø80</t>
        </is>
      </c>
      <c r="K172" s="32" t="inlineStr">
        <is>
          <t>Compra (mecanizado, Eli-Met)</t>
        </is>
      </c>
      <c r="L172" s="32" t="inlineStr">
        <is>
          <t>Sí</t>
        </is>
      </c>
      <c r="M172" s="17" t="inlineStr">
        <is>
          <t>Eli-Met</t>
        </is>
      </c>
      <c r="N172" s="17" t="inlineStr">
        <is>
          <t>-</t>
        </is>
      </c>
      <c r="O172" s="17" t="inlineStr">
        <is>
          <t>Compra -&gt; 6 soldadura de cupla en la cúpula (tapón plástico hasta la carga)</t>
        </is>
      </c>
      <c r="P172" s="17" t="n"/>
      <c r="Q172" s="32" t="inlineStr">
        <is>
          <t>P</t>
        </is>
      </c>
      <c r="R172" s="32" t="inlineStr">
        <is>
          <t>FL_DES_ABC_100kg</t>
        </is>
      </c>
      <c r="S172" s="17" t="inlineStr">
        <is>
          <t>RBSP 2 1/2"-11 h</t>
        </is>
      </c>
    </row>
    <row r="173">
      <c r="A173" s="32" t="inlineStr">
        <is>
          <t>FL_REC_ABC_100kg</t>
        </is>
      </c>
      <c r="B173" s="32" t="n">
        <v>2</v>
      </c>
      <c r="C173" s="32" t="inlineStr">
        <is>
          <t>ABC100-05</t>
        </is>
      </c>
      <c r="D173" s="17" t="inlineStr">
        <is>
          <t xml:space="preserve">        Placas de refuerzo (2)</t>
        </is>
      </c>
      <c r="E173" s="32" t="n">
        <v>1</v>
      </c>
      <c r="F173" s="32" t="inlineStr">
        <is>
          <t>u</t>
        </is>
      </c>
      <c r="G173" s="33" t="n">
        <v>1.5106</v>
      </c>
      <c r="H173" s="33">
        <f>E173*G173</f>
        <v/>
      </c>
      <c r="I173" s="32" t="inlineStr">
        <is>
          <t>Chapa LAC 4,75 curvada a Ø380</t>
        </is>
      </c>
      <c r="J173" s="17" t="inlineStr">
        <is>
          <t>2 × 200 × 100 × 4,75 curvadas a Ø380, a 100 mm de cada boca</t>
        </is>
      </c>
      <c r="K173" s="32" t="inlineStr">
        <is>
          <t>Fabricación</t>
        </is>
      </c>
      <c r="L173" s="32" t="inlineStr">
        <is>
          <t>No</t>
        </is>
      </c>
      <c r="M173" s="17" t="n"/>
      <c r="N173" s="17" t="n"/>
      <c r="O173" s="17" t="inlineStr">
        <is>
          <t>2 Tira de orilla 200 × 900 -&gt; 3 rolado a Ø380 -&gt; corte con amoladora -&gt; 4 punteo interior (4 esquinas)</t>
        </is>
      </c>
      <c r="P173" s="17" t="n"/>
      <c r="Q173" s="32" t="inlineStr">
        <is>
          <t>P</t>
        </is>
      </c>
      <c r="R173" s="32" t="inlineStr">
        <is>
          <t>FL_DES_ABC_100kg</t>
        </is>
      </c>
      <c r="S173" s="17" t="inlineStr">
        <is>
          <t>Proceso FLAMA de carros: por dentro sobre la costura longitudinal, una en cada extremo a 100 mm de la boca; salen de las orillas de 4,75 (sin compra)</t>
        </is>
      </c>
    </row>
    <row r="174">
      <c r="A174" s="37" t="inlineStr">
        <is>
          <t>FL_REC_ABC_100kg</t>
        </is>
      </c>
      <c r="B174" s="37" t="n">
        <v>2</v>
      </c>
      <c r="C174" s="37" t="inlineStr">
        <is>
          <t>ABC100-C1</t>
        </is>
      </c>
      <c r="D174" s="18" t="inlineStr">
        <is>
          <t xml:space="preserve">        Alambre MAG ER70S-6 Ø1,0 (AWS A5.18)</t>
        </is>
      </c>
      <c r="E174" s="37" t="n">
        <v>1.0956</v>
      </c>
      <c r="F174" s="37" t="inlineStr">
        <is>
          <t>kg</t>
        </is>
      </c>
      <c r="G174" s="38" t="n">
        <v>0.95</v>
      </c>
      <c r="H174" s="38">
        <f>E174*G174</f>
        <v/>
      </c>
      <c r="I174" s="37" t="inlineStr">
        <is>
          <t>ER70S-6</t>
        </is>
      </c>
      <c r="J174" s="18" t="inlineStr">
        <is>
          <t>metal depositado de los cordones del plano 1.041 g / rendimiento 0,95</t>
        </is>
      </c>
      <c r="K174" s="37" t="inlineStr">
        <is>
          <t>Compra</t>
        </is>
      </c>
      <c r="L174" s="37" t="inlineStr">
        <is>
          <t>Sí</t>
        </is>
      </c>
      <c r="M174" s="18" t="inlineStr">
        <is>
          <t>Conarco (ESAB Argentina)</t>
        </is>
      </c>
      <c r="N174" s="18" t="inlineStr">
        <is>
          <t>-</t>
        </is>
      </c>
      <c r="O174" s="18" t="inlineStr">
        <is>
          <t>5 sold. long. / 6 cupla / 7 circunferencial</t>
        </is>
      </c>
      <c r="P174" s="18" t="inlineStr">
        <is>
          <t>IRAM 3523 3.2.4.2 · IRAM 3550 4.1.2</t>
        </is>
      </c>
      <c r="Q174" s="37" t="inlineStr">
        <is>
          <t>C</t>
        </is>
      </c>
      <c r="R174" s="37" t="n"/>
      <c r="S174"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75">
      <c r="A175" s="37" t="inlineStr">
        <is>
          <t>FL_REC_ABC_100kg</t>
        </is>
      </c>
      <c r="B175" s="37" t="n">
        <v>2</v>
      </c>
      <c r="C175" s="37" t="inlineStr">
        <is>
          <t>ABC100-C2</t>
        </is>
      </c>
      <c r="D175" s="18" t="inlineStr">
        <is>
          <t xml:space="preserve">        Gas de protección MAG Arcal 21 / ARCAL Speed (Ar + 8 % CO₂, M20)</t>
        </is>
      </c>
      <c r="E175" s="37" t="n">
        <v>84.59999999999999</v>
      </c>
      <c r="F175" s="37" t="inlineStr">
        <is>
          <t>L</t>
        </is>
      </c>
      <c r="G175" s="38" t="n"/>
      <c r="H175" s="38" t="n"/>
      <c r="I175" s="37" t="inlineStr">
        <is>
          <t>EN ISO 14175 M20-ArC-8</t>
        </is>
      </c>
      <c r="J175" s="18" t="inlineStr">
        <is>
          <t>14 L/min × 6,04 min de arco (cordones 3.627 mm: long. 900 + circ. 2.450 + cuello 276, a 600 mm/min)</t>
        </is>
      </c>
      <c r="K175" s="37" t="inlineStr">
        <is>
          <t>Compra</t>
        </is>
      </c>
      <c r="L175" s="37" t="inlineStr">
        <is>
          <t>Sí</t>
        </is>
      </c>
      <c r="M175" s="18" t="inlineStr">
        <is>
          <t>Air Liquide Argentina - sucursal Piñeyro</t>
        </is>
      </c>
      <c r="N175" s="18" t="inlineStr">
        <is>
          <t>Gogniat</t>
        </is>
      </c>
      <c r="O175" s="18" t="inlineStr">
        <is>
          <t>Colector SC</t>
        </is>
      </c>
      <c r="P175" s="18" t="inlineStr">
        <is>
          <t>IRAM 3523 3.2.4.2 · IRAM 3550 3.2.2.2</t>
        </is>
      </c>
      <c r="Q175" s="37" t="inlineStr">
        <is>
          <t>C</t>
        </is>
      </c>
      <c r="R175" s="37" t="n"/>
      <c r="S175"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176">
      <c r="A176" s="32" t="inlineStr">
        <is>
          <t>FL_REC_ABC_100kg</t>
        </is>
      </c>
      <c r="B176" s="32" t="n">
        <v>2</v>
      </c>
      <c r="C176" s="32" t="inlineStr">
        <is>
          <t>ABC100-C4</t>
        </is>
      </c>
      <c r="D176" s="17" t="inlineStr">
        <is>
          <t xml:space="preserve">        Servicio de pintura en polvo al horno, rojo 03-1-050 (con preparación por quemado)</t>
        </is>
      </c>
      <c r="E176" s="32" t="n">
        <v>1</v>
      </c>
      <c r="F176" s="32" t="inlineStr">
        <is>
          <t>u</t>
        </is>
      </c>
      <c r="G176" s="33" t="n"/>
      <c r="H176" s="33" t="n"/>
      <c r="I176" s="32" t="inlineStr">
        <is>
          <t>Servicio tercerizado</t>
        </is>
      </c>
      <c r="J176" s="17" t="inlineStr">
        <is>
          <t>superficie exterior 1,478 m²</t>
        </is>
      </c>
      <c r="K176" s="32" t="inlineStr">
        <is>
          <t>Compra (servicio)</t>
        </is>
      </c>
      <c r="L176" s="32" t="inlineStr">
        <is>
          <t>Sí</t>
        </is>
      </c>
      <c r="M176" s="17" t="inlineStr">
        <is>
          <t>Pintor de carros (cotización por mensaje)</t>
        </is>
      </c>
      <c r="N176" s="17" t="inlineStr">
        <is>
          <t>Prymax</t>
        </is>
      </c>
      <c r="O176" s="17" t="inlineStr">
        <is>
          <t>17 Pintura tercerizada</t>
        </is>
      </c>
      <c r="P176" s="17" t="inlineStr">
        <is>
          <t>IRAM 3523 5.3 / IRAM 3550 3.11 · IRAM 121</t>
        </is>
      </c>
      <c r="Q176" s="32" t="inlineStr">
        <is>
          <t>Q</t>
        </is>
      </c>
      <c r="R176" s="32" t="n"/>
      <c r="S176" s="17" t="inlineStr">
        <is>
          <t>Q-CARROS (precio por carro); exigir informe de niebla salina del sistema de pintura; tercerización aceptada por el Ministerio (Res. 349/07 art. 18)</t>
        </is>
      </c>
    </row>
    <row r="177">
      <c r="A177" s="39" t="inlineStr">
        <is>
          <t>FL_REC_ABC_100kg</t>
        </is>
      </c>
      <c r="B177" s="39" t="n">
        <v>2</v>
      </c>
      <c r="C177" s="39" t="inlineStr">
        <is>
          <t>ABC100-T1</t>
        </is>
      </c>
      <c r="D177" s="19" t="inlineStr">
        <is>
          <t xml:space="preserve">        Tapón protector de rosca del cuello</t>
        </is>
      </c>
      <c r="E177" s="39" t="n">
        <v>1</v>
      </c>
      <c r="F177" s="39" t="inlineStr">
        <is>
          <t>u</t>
        </is>
      </c>
      <c r="G177" s="40" t="n"/>
      <c r="H177" s="40" t="n"/>
      <c r="I177" s="39" t="inlineStr">
        <is>
          <t>Polietileno</t>
        </is>
      </c>
      <c r="J177" s="19" t="inlineStr">
        <is>
          <t>para rosca RBSP 2 1/2"-11 h (plano FL_REC_ABC_100kg hoja 3, R4)</t>
        </is>
      </c>
      <c r="K177" s="39" t="inlineStr">
        <is>
          <t>Compra</t>
        </is>
      </c>
      <c r="L177" s="39" t="inlineStr">
        <is>
          <t>Sí</t>
        </is>
      </c>
      <c r="M177" s="19" t="inlineStr">
        <is>
          <t>-</t>
        </is>
      </c>
      <c r="N177" s="19" t="inlineStr">
        <is>
          <t>-</t>
        </is>
      </c>
      <c r="O177" s="19" t="inlineStr">
        <is>
          <t>Embalaje</t>
        </is>
      </c>
      <c r="P177" s="19" t="n"/>
      <c r="Q177" s="39" t="inlineStr">
        <is>
          <t>P</t>
        </is>
      </c>
      <c r="R177" s="39" t="n"/>
      <c r="S177" s="19" t="n"/>
    </row>
    <row r="178">
      <c r="A178" s="32" t="inlineStr">
        <is>
          <t>FL_REC_ABC_100kg</t>
        </is>
      </c>
      <c r="B178" s="32" t="n">
        <v>2</v>
      </c>
      <c r="C178" s="32" t="inlineStr">
        <is>
          <t>ABC100-T2</t>
        </is>
      </c>
      <c r="D178" s="17" t="inlineStr">
        <is>
          <t xml:space="preserve">        Marcado del recipiente: estampado en la cúpula, en arco junto al cuello (puesto 11, después de la PH y el secado)</t>
        </is>
      </c>
      <c r="E178" s="32" t="n">
        <v>1</v>
      </c>
      <c r="F178" s="32" t="inlineStr">
        <is>
          <t>u</t>
        </is>
      </c>
      <c r="G178" s="33" t="n"/>
      <c r="H178" s="33" t="n"/>
      <c r="I178" s="32" t="inlineStr">
        <is>
          <t>-</t>
        </is>
      </c>
      <c r="J178" s="17" t="inlineStr">
        <is>
          <t>Fabricante, n° de serie, año, presión de ensayo; en arco junto al cuello, letra 5 mm; cuño DPS 15 × 7 junto al n°</t>
        </is>
      </c>
      <c r="K178" s="32" t="inlineStr">
        <is>
          <t>Proceso</t>
        </is>
      </c>
      <c r="L178" s="32" t="inlineStr">
        <is>
          <t>No</t>
        </is>
      </c>
      <c r="M178" s="17" t="n"/>
      <c r="N178" s="17" t="n"/>
      <c r="O178" s="17" t="inlineStr">
        <is>
          <t>Marcado</t>
        </is>
      </c>
      <c r="P178" s="17" t="inlineStr">
        <is>
          <t>IRAM 3550 5.1 · Res. 349/07 anexo IV</t>
        </is>
      </c>
      <c r="Q178" s="32" t="inlineStr">
        <is>
          <t>N</t>
        </is>
      </c>
      <c r="R178" s="32" t="n"/>
      <c r="S178" s="17" t="n"/>
    </row>
    <row r="179">
      <c r="A179" s="32" t="inlineStr">
        <is>
          <t>FL_REC_ABC_100kg</t>
        </is>
      </c>
      <c r="B179" s="32" t="n">
        <v>2</v>
      </c>
      <c r="C179" s="32" t="inlineStr">
        <is>
          <t>ABC100-T3</t>
        </is>
      </c>
      <c r="D179" s="17" t="inlineStr">
        <is>
          <t xml:space="preserve">        Etiqueta de identificación del cilindro suelto</t>
        </is>
      </c>
      <c r="E179" s="32" t="n">
        <v>1</v>
      </c>
      <c r="F179" s="32" t="inlineStr">
        <is>
          <t>u</t>
        </is>
      </c>
      <c r="G179" s="33" t="n"/>
      <c r="H179" s="33" t="n"/>
      <c r="I179" s="32" t="inlineStr">
        <is>
          <t>Poliéster autoadhesivo removible</t>
        </is>
      </c>
      <c r="J179" s="17" t="inlineStr">
        <is>
          <t>100 × 60, impresión térmica, QR GS1</t>
        </is>
      </c>
      <c r="K179" s="32" t="inlineStr">
        <is>
          <t>Compra</t>
        </is>
      </c>
      <c r="L179" s="32" t="inlineStr">
        <is>
          <t>Sí</t>
        </is>
      </c>
      <c r="M179" s="17" t="inlineStr">
        <is>
          <t>Astuprint</t>
        </is>
      </c>
      <c r="N179" s="17" t="inlineStr">
        <is>
          <t>GS1 Argentina</t>
        </is>
      </c>
      <c r="O179" s="17" t="inlineStr">
        <is>
          <t>Etiquetado</t>
        </is>
      </c>
      <c r="P179" s="17" t="n"/>
      <c r="Q179" s="32" t="inlineStr">
        <is>
          <t>P</t>
        </is>
      </c>
      <c r="R179" s="32" t="inlineStr">
        <is>
          <t>FL_REC_ABC_100kg hoja 3</t>
        </is>
      </c>
      <c r="S179" s="17" t="n"/>
    </row>
    <row r="180">
      <c r="A180" s="32" t="inlineStr">
        <is>
          <t>FL_REC_ABC_100kg</t>
        </is>
      </c>
      <c r="B180" s="32" t="n">
        <v>2</v>
      </c>
      <c r="C180" s="32" t="inlineStr">
        <is>
          <t>ABC100-T4</t>
        </is>
      </c>
      <c r="D180" s="17" t="inlineStr">
        <is>
          <t xml:space="preserve">        Protocolo de ensayo hidrostático (certificado que acompaña)</t>
        </is>
      </c>
      <c r="E180" s="32" t="n">
        <v>1</v>
      </c>
      <c r="F180" s="32" t="inlineStr">
        <is>
          <t>u</t>
        </is>
      </c>
      <c r="G180" s="33" t="n">
        <v>0.005</v>
      </c>
      <c r="H180" s="33">
        <f>E180*G180</f>
        <v/>
      </c>
      <c r="I180" s="32" t="inlineStr">
        <is>
          <t>Papel</t>
        </is>
      </c>
      <c r="J180" s="17" t="inlineStr">
        <is>
          <t>A5</t>
        </is>
      </c>
      <c r="K180" s="32" t="inlineStr">
        <is>
          <t>Proceso</t>
        </is>
      </c>
      <c r="L180" s="32" t="inlineStr">
        <is>
          <t>No</t>
        </is>
      </c>
      <c r="M180" s="17" t="n"/>
      <c r="N180" s="17" t="n"/>
      <c r="O180" s="17" t="inlineStr">
        <is>
          <t>Control de calidad</t>
        </is>
      </c>
      <c r="P180" s="17" t="inlineStr">
        <is>
          <t>IRAM 3550 4.1 y cap. 6 · IRAM 2587</t>
        </is>
      </c>
      <c r="Q180" s="32" t="inlineStr">
        <is>
          <t>N</t>
        </is>
      </c>
      <c r="R180" s="32" t="inlineStr">
        <is>
          <t>FL_REC_ABC_100kg hoja 3</t>
        </is>
      </c>
      <c r="S180" s="17" t="n"/>
    </row>
    <row r="181">
      <c r="A181" s="29" t="inlineStr">
        <is>
          <t>FL_REC_ABC_100kg</t>
        </is>
      </c>
      <c r="B181" s="29" t="n">
        <v>1</v>
      </c>
      <c r="C181" s="29" t="inlineStr">
        <is>
          <t>ABC100-S7</t>
        </is>
      </c>
      <c r="D181" s="30" t="inlineStr">
        <is>
          <t xml:space="preserve">    Embalaje</t>
        </is>
      </c>
      <c r="E181" s="29" t="n">
        <v>1</v>
      </c>
      <c r="F181" s="29" t="inlineStr">
        <is>
          <t>u</t>
        </is>
      </c>
      <c r="G181" s="31" t="n"/>
      <c r="H181" s="31">
        <f>H184</f>
        <v/>
      </c>
      <c r="I181" s="29" t="n"/>
      <c r="J181" s="30" t="n"/>
      <c r="K181" s="29" t="inlineStr">
        <is>
          <t>Compra</t>
        </is>
      </c>
      <c r="L181" s="29" t="n"/>
      <c r="M181" s="30" t="n"/>
      <c r="N181" s="30" t="n"/>
      <c r="O181" s="30" t="inlineStr">
        <is>
          <t>23 Embalaje -&gt; 24 envolvedora (T11)</t>
        </is>
      </c>
      <c r="P181" s="30" t="n"/>
      <c r="Q181" s="29" t="n"/>
      <c r="R181" s="29" t="n"/>
      <c r="S181" s="30" t="n"/>
    </row>
    <row r="182">
      <c r="A182" s="32" t="inlineStr">
        <is>
          <t>FL_REC_ABC_100kg</t>
        </is>
      </c>
      <c r="B182" s="32" t="n">
        <v>2</v>
      </c>
      <c r="C182" s="32" t="inlineStr">
        <is>
          <t>ABC100-E1</t>
        </is>
      </c>
      <c r="D182" s="17" t="inlineStr">
        <is>
          <t xml:space="preserve">        Esquineros y funda de polietileno</t>
        </is>
      </c>
      <c r="E182" s="32" t="n">
        <v>1</v>
      </c>
      <c r="F182" s="32" t="inlineStr">
        <is>
          <t>jgo</t>
        </is>
      </c>
      <c r="G182" s="33" t="n"/>
      <c r="H182" s="33" t="n"/>
      <c r="I182" s="32" t="inlineStr">
        <is>
          <t>PE / cartón</t>
        </is>
      </c>
      <c r="J182" s="17" t="inlineStr">
        <is>
          <t>a medida de la envolvente del plano</t>
        </is>
      </c>
      <c r="K182" s="32" t="inlineStr">
        <is>
          <t>Compra</t>
        </is>
      </c>
      <c r="L182" s="32" t="inlineStr">
        <is>
          <t>Sí</t>
        </is>
      </c>
      <c r="M182" s="17" t="inlineStr">
        <is>
          <t>MV Embalajes</t>
        </is>
      </c>
      <c r="N182" s="17" t="inlineStr">
        <is>
          <t>Embalpack</t>
        </is>
      </c>
      <c r="O182" s="17" t="inlineStr">
        <is>
          <t>23 Embalaje</t>
        </is>
      </c>
      <c r="P182" s="17" t="n"/>
      <c r="Q182" s="32" t="inlineStr">
        <is>
          <t>P</t>
        </is>
      </c>
      <c r="R182" s="32" t="n"/>
      <c r="S182" s="17" t="inlineStr">
        <is>
          <t>Medida del plano</t>
        </is>
      </c>
    </row>
    <row r="183">
      <c r="A183" s="32" t="inlineStr">
        <is>
          <t>FL_REC_ABC_100kg</t>
        </is>
      </c>
      <c r="B183" s="32" t="n">
        <v>2</v>
      </c>
      <c r="C183" s="32" t="inlineStr">
        <is>
          <t>ABC100-E3</t>
        </is>
      </c>
      <c r="D183" s="17" t="inlineStr">
        <is>
          <t xml:space="preserve">        Pallet 1200 × 1000 (fracción)</t>
        </is>
      </c>
      <c r="E183" s="32" t="n">
        <v>0.1667</v>
      </c>
      <c r="F183" s="32" t="inlineStr">
        <is>
          <t>u</t>
        </is>
      </c>
      <c r="G183" s="33" t="n"/>
      <c r="H183" s="33" t="n"/>
      <c r="I183" s="32" t="inlineStr">
        <is>
          <t>Madera</t>
        </is>
      </c>
      <c r="J183" s="17" t="inlineStr">
        <is>
          <t>6 u por pallet</t>
        </is>
      </c>
      <c r="K183" s="32" t="inlineStr">
        <is>
          <t>Compra</t>
        </is>
      </c>
      <c r="L183" s="32" t="inlineStr">
        <is>
          <t>Sí</t>
        </is>
      </c>
      <c r="M183" s="17" t="inlineStr">
        <is>
          <t>IndusPallets</t>
        </is>
      </c>
      <c r="N183" s="17" t="inlineStr">
        <is>
          <t>-</t>
        </is>
      </c>
      <c r="O183" s="17" t="inlineStr">
        <is>
          <t>23 Embalaje</t>
        </is>
      </c>
      <c r="P183" s="17" t="n"/>
      <c r="Q183" s="32" t="inlineStr">
        <is>
          <t>C</t>
        </is>
      </c>
      <c r="R183" s="32" t="n"/>
      <c r="S183" s="17" t="inlineStr">
        <is>
          <t>u por pallet = acomodo de la caja (plano) en 1200 × 1000 × 1450 de alto</t>
        </is>
      </c>
    </row>
    <row r="184">
      <c r="A184" s="37" t="inlineStr">
        <is>
          <t>FL_REC_ABC_100kg</t>
        </is>
      </c>
      <c r="B184" s="37" t="n">
        <v>2</v>
      </c>
      <c r="C184" s="37" t="inlineStr">
        <is>
          <t>ABC100-E4</t>
        </is>
      </c>
      <c r="D184" s="18" t="inlineStr">
        <is>
          <t xml:space="preserve">        Film stretch (fracción del pallet)</t>
        </is>
      </c>
      <c r="E184" s="37" t="n">
        <v>0.02</v>
      </c>
      <c r="F184" s="37" t="inlineStr">
        <is>
          <t>kg</t>
        </is>
      </c>
      <c r="G184" s="38" t="n">
        <v>1</v>
      </c>
      <c r="H184" s="38">
        <f>E184*G184</f>
        <v/>
      </c>
      <c r="I184" s="37" t="inlineStr">
        <is>
          <t>PE lineal 23 µm</t>
        </is>
      </c>
      <c r="J184" s="18" t="inlineStr">
        <is>
          <t>0,12 kg por pallet / 6 u</t>
        </is>
      </c>
      <c r="K184" s="37" t="inlineStr">
        <is>
          <t>Compra</t>
        </is>
      </c>
      <c r="L184" s="37" t="inlineStr">
        <is>
          <t>Sí</t>
        </is>
      </c>
      <c r="M184" s="18" t="inlineStr">
        <is>
          <t>MV Embalajes</t>
        </is>
      </c>
      <c r="N184" s="18" t="inlineStr">
        <is>
          <t>Embalpack</t>
        </is>
      </c>
      <c r="O184" s="18" t="inlineStr">
        <is>
          <t>24 Envolvedora (T11)</t>
        </is>
      </c>
      <c r="P184" s="18" t="n"/>
      <c r="Q184" s="37" t="inlineStr">
        <is>
          <t>C</t>
        </is>
      </c>
      <c r="R184" s="37" t="n"/>
      <c r="S184"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185">
      <c r="A185" s="32" t="inlineStr">
        <is>
          <t>FL_REC_ABC_100kg</t>
        </is>
      </c>
      <c r="B185" s="32" t="n">
        <v>2</v>
      </c>
      <c r="C185" s="32" t="inlineStr">
        <is>
          <t>ABC100-E5</t>
        </is>
      </c>
      <c r="D185" s="17" t="inlineStr">
        <is>
          <t xml:space="preserve">        Etiqueta de pallet (lote y destino, fracción)</t>
        </is>
      </c>
      <c r="E185" s="32" t="n">
        <v>0.1667</v>
      </c>
      <c r="F185" s="32" t="inlineStr">
        <is>
          <t>u</t>
        </is>
      </c>
      <c r="G185" s="33" t="n"/>
      <c r="H185" s="33" t="n"/>
      <c r="I185" s="32" t="inlineStr">
        <is>
          <t>Papel térmico</t>
        </is>
      </c>
      <c r="J185" s="17" t="inlineStr">
        <is>
          <t>100 × 150</t>
        </is>
      </c>
      <c r="K185" s="32" t="inlineStr">
        <is>
          <t>Compra</t>
        </is>
      </c>
      <c r="L185" s="32" t="inlineStr">
        <is>
          <t>Sí</t>
        </is>
      </c>
      <c r="M185" s="17" t="inlineStr">
        <is>
          <t>Astuprint</t>
        </is>
      </c>
      <c r="N185" s="17" t="inlineStr">
        <is>
          <t>Multilabel Argentina S.A.</t>
        </is>
      </c>
      <c r="O185" s="17" t="inlineStr">
        <is>
          <t>24 Envolvedora</t>
        </is>
      </c>
      <c r="P185" s="17" t="n"/>
      <c r="Q185" s="32" t="inlineStr">
        <is>
          <t>C</t>
        </is>
      </c>
      <c r="R185" s="32" t="n"/>
      <c r="S185" s="17" t="n"/>
    </row>
    <row r="186">
      <c r="A186" s="32" t="inlineStr">
        <is>
          <t>FL_REC_ABC_100kg</t>
        </is>
      </c>
      <c r="B186" s="32" t="n">
        <v>2</v>
      </c>
      <c r="C186" s="32" t="inlineStr">
        <is>
          <t>ABC100-E8</t>
        </is>
      </c>
      <c r="D186" s="17" t="inlineStr">
        <is>
          <t xml:space="preserve">        Separador de capa de cartón 1200 × 1000 (fracción del pallet)</t>
        </is>
      </c>
      <c r="E186" s="32" t="n">
        <v>0</v>
      </c>
      <c r="F186" s="32" t="inlineStr">
        <is>
          <t>u</t>
        </is>
      </c>
      <c r="G186" s="33" t="n"/>
      <c r="H186" s="33" t="n"/>
      <c r="I186" s="32" t="inlineStr">
        <is>
          <t>Cartón</t>
        </is>
      </c>
      <c r="J186" s="17" t="inlineStr">
        <is>
          <t>1 capas → 0 separadores por pallet / 6 u</t>
        </is>
      </c>
      <c r="K186" s="32" t="inlineStr">
        <is>
          <t>Compra</t>
        </is>
      </c>
      <c r="L186" s="32" t="inlineStr">
        <is>
          <t>Sí</t>
        </is>
      </c>
      <c r="M186" s="17" t="inlineStr">
        <is>
          <t>Maxipack</t>
        </is>
      </c>
      <c r="N186" s="17" t="inlineStr">
        <is>
          <t>Cartocan</t>
        </is>
      </c>
      <c r="O186" s="17" t="inlineStr">
        <is>
          <t>23 Embalaje</t>
        </is>
      </c>
      <c r="P186" s="17" t="n"/>
      <c r="Q186" s="32" t="inlineStr">
        <is>
          <t>C</t>
        </is>
      </c>
      <c r="R186" s="32" t="n"/>
      <c r="S186" s="17" t="inlineStr">
        <is>
          <t>Planilla MP-61</t>
        </is>
      </c>
    </row>
  </sheetData>
  <autoFilter ref="A4:S186"/>
  <pageMargins left="0.75" right="0.75" top="1" bottom="1" header="0.5" footer="0.5"/>
</worksheet>
</file>

<file path=xl/worksheets/sheet6.xml><?xml version="1.0" encoding="utf-8"?>
<worksheet xmlns="http://schemas.openxmlformats.org/spreadsheetml/2006/main">
  <sheetPr>
    <outlinePr summaryBelow="0" summaryRight="1"/>
    <pageSetUpPr/>
  </sheetPr>
  <dimension ref="A1:S12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2" customWidth="1" min="1" max="1"/>
    <col width="6" customWidth="1" min="2" max="2"/>
    <col width="17" customWidth="1" min="3" max="3"/>
    <col width="52" customWidth="1" min="4" max="4"/>
    <col width="9" customWidth="1" min="5" max="5"/>
    <col width="6" customWidth="1" min="6" max="6"/>
    <col width="11" customWidth="1" min="7" max="7"/>
    <col width="11" customWidth="1" min="8" max="8"/>
    <col width="30" customWidth="1" min="9" max="9"/>
    <col width="52" customWidth="1" min="10" max="10"/>
    <col width="20" customWidth="1" min="11" max="11"/>
    <col width="8" customWidth="1" min="12" max="12"/>
    <col width="26" customWidth="1" min="13" max="13"/>
    <col width="24" customWidth="1" min="14" max="14"/>
    <col width="40" customWidth="1" min="15" max="15"/>
    <col width="32" customWidth="1" min="16" max="16"/>
    <col width="5" customWidth="1" min="17" max="17"/>
    <col width="20" customWidth="1" min="18" max="18"/>
    <col width="60" customWidth="1" min="19" max="19"/>
  </cols>
  <sheetData>
    <row r="1">
      <c r="A1" s="4" t="inlineStr">
        <is>
          <t>BOM unitario de extintores sustitutos FL_SUS (IRAM 3517-2:2020 9.4.5)</t>
        </is>
      </c>
    </row>
    <row r="2">
      <c r="A2" s="11" t="inlineStr">
        <is>
          <t>Colores:</t>
        </is>
      </c>
      <c r="B2" s="12" t="inlineStr">
        <is>
          <t>Validado</t>
        </is>
      </c>
      <c r="D2" s="13" t="inlineStr">
        <is>
          <t>Estimado</t>
        </is>
      </c>
      <c r="F2" s="14" t="inlineStr">
        <is>
          <t>A validar</t>
        </is>
      </c>
      <c r="H2" s="15" t="inlineStr">
        <is>
          <t>No cumple o decisión pendiente</t>
        </is>
      </c>
    </row>
    <row r="4" ht="30" customHeight="1">
      <c r="A4" s="25" t="inlineStr">
        <is>
          <t>Producto</t>
        </is>
      </c>
      <c r="B4" s="25" t="inlineStr">
        <is>
          <t>Nivel</t>
        </is>
      </c>
      <c r="C4" s="25" t="inlineStr">
        <is>
          <t>Código</t>
        </is>
      </c>
      <c r="D4" s="25" t="inlineStr">
        <is>
          <t>Descripción</t>
        </is>
      </c>
      <c r="E4" s="25" t="inlineStr">
        <is>
          <t>Cant.</t>
        </is>
      </c>
      <c r="F4" s="25" t="inlineStr">
        <is>
          <t>UM</t>
        </is>
      </c>
      <c r="G4" s="25" t="inlineStr">
        <is>
          <t>Peso unit. (kg/UM)</t>
        </is>
      </c>
      <c r="H4" s="25" t="inlineStr">
        <is>
          <t>Peso total (kg)</t>
        </is>
      </c>
      <c r="I4" s="25" t="inlineStr">
        <is>
          <t>Material</t>
        </is>
      </c>
      <c r="J4" s="25" t="inlineStr">
        <is>
          <t>Medida (mm)</t>
        </is>
      </c>
      <c r="K4" s="25" t="inlineStr">
        <is>
          <t>Origen</t>
        </is>
      </c>
      <c r="L4" s="25" t="inlineStr">
        <is>
          <t>Entra MRP</t>
        </is>
      </c>
      <c r="M4" s="25" t="inlineStr">
        <is>
          <t>Proveedor principal</t>
        </is>
      </c>
      <c r="N4" s="25" t="inlineStr">
        <is>
          <t>Alternativa</t>
        </is>
      </c>
      <c r="O4" s="25" t="inlineStr">
        <is>
          <t>Operación / puesto (layout FLAMA)</t>
        </is>
      </c>
      <c r="P4" s="25" t="inlineStr">
        <is>
          <t>Norma / referencia</t>
        </is>
      </c>
      <c r="Q4" s="25" t="inlineStr">
        <is>
          <t>Fte.</t>
        </is>
      </c>
      <c r="R4" s="25" t="inlineStr">
        <is>
          <t>Plano</t>
        </is>
      </c>
      <c r="S4" s="25" t="inlineStr">
        <is>
          <t>Observaciones</t>
        </is>
      </c>
    </row>
    <row r="5">
      <c r="A5" s="26" t="inlineStr">
        <is>
          <t>FL_SUS_ABC_1kg</t>
        </is>
      </c>
      <c r="B5" s="26" t="n">
        <v>0</v>
      </c>
      <c r="C5" s="26" t="inlineStr">
        <is>
          <t>FL_SUS_ABC_1kg</t>
        </is>
      </c>
      <c r="D5" s="27" t="inlineStr">
        <is>
          <t>Extintor sustituto para Extintor ABC 1 kg</t>
        </is>
      </c>
      <c r="E5" s="26" t="n">
        <v>1</v>
      </c>
      <c r="F5" s="26" t="inlineStr">
        <is>
          <t>u</t>
        </is>
      </c>
      <c r="G5" s="28" t="n"/>
      <c r="H5" s="28" t="n"/>
      <c r="I5" s="26" t="n"/>
      <c r="J5" s="27" t="n"/>
      <c r="K5" s="26" t="n"/>
      <c r="L5" s="26" t="n"/>
      <c r="M5" s="27" t="n"/>
      <c r="N5" s="27" t="n"/>
      <c r="O5" s="27" t="n"/>
      <c r="P5" s="27" t="inlineStr">
        <is>
          <t>IRAM 3517-2:2020 9.4.5</t>
        </is>
      </c>
      <c r="Q5" s="26" t="inlineStr">
        <is>
          <t>N</t>
        </is>
      </c>
      <c r="R5" s="26" t="inlineStr">
        <is>
          <t>FL_SUS_ABC_1kg</t>
        </is>
      </c>
      <c r="S5" s="27" t="inlineStr">
        <is>
          <t>Unitario: el tamaño del parque de sustitutos se dimensiona aparte</t>
        </is>
      </c>
    </row>
    <row r="6">
      <c r="A6" s="29" t="inlineStr">
        <is>
          <t>FL_SUS_ABC_1kg</t>
        </is>
      </c>
      <c r="B6" s="29" t="n">
        <v>1</v>
      </c>
      <c r="C6" s="29" t="inlineStr">
        <is>
          <t>FL_MAT_ABC_1kg</t>
        </is>
      </c>
      <c r="D6" s="30" t="inlineStr">
        <is>
          <t xml:space="preserve">    Extintor base: Extintor ABC 1 kg (mismo modelo)</t>
        </is>
      </c>
      <c r="E6" s="29" t="n">
        <v>1</v>
      </c>
      <c r="F6" s="29" t="inlineStr">
        <is>
          <t>u</t>
        </is>
      </c>
      <c r="G6" s="31" t="n"/>
      <c r="H6" s="31" t="n"/>
      <c r="I6" s="29" t="n"/>
      <c r="J6" s="30" t="n"/>
      <c r="K6" s="29" t="inlineStr">
        <is>
          <t>Stock FLAMA (fabricación propia)</t>
        </is>
      </c>
      <c r="L6" s="29" t="inlineStr">
        <is>
          <t>No</t>
        </is>
      </c>
      <c r="M6" s="30" t="n"/>
      <c r="N6" s="30" t="n"/>
      <c r="O6" s="30" t="n"/>
      <c r="P6" s="30" t="inlineStr">
        <is>
          <t>IRAM 3517-2:2020 9.4.5</t>
        </is>
      </c>
      <c r="Q6" s="29" t="inlineStr">
        <is>
          <t>N</t>
        </is>
      </c>
      <c r="R6" s="29" t="inlineStr">
        <is>
          <t>FL_SUS_ABC_1kg</t>
        </is>
      </c>
      <c r="S6" s="30" t="inlineStr">
        <is>
          <t>Igual clasificación y capacidad; mantenimiento vigente. BOM: hoja FL_MAT_ABC_1kg · No entra en MRP del kit: es demanda del producto FL_MAT (stock)</t>
        </is>
      </c>
    </row>
    <row r="7">
      <c r="A7" s="29" t="inlineStr">
        <is>
          <t>FL_SUS_ABC_1kg</t>
        </is>
      </c>
      <c r="B7" s="29" t="n">
        <v>1</v>
      </c>
      <c r="C7" s="29" t="inlineStr">
        <is>
          <t>SUS-ABC_1kg-K</t>
        </is>
      </c>
      <c r="D7" s="30" t="inlineStr">
        <is>
          <t xml:space="preserve">    Identificación de extintor sustituto</t>
        </is>
      </c>
      <c r="E7" s="29" t="n">
        <v>1</v>
      </c>
      <c r="F7" s="29" t="inlineStr">
        <is>
          <t>u</t>
        </is>
      </c>
      <c r="G7" s="31" t="n"/>
      <c r="H7" s="31" t="n"/>
      <c r="I7" s="29" t="n"/>
      <c r="J7" s="30" t="n"/>
      <c r="K7" s="29" t="inlineStr">
        <is>
          <t>Compra</t>
        </is>
      </c>
      <c r="L7" s="29" t="n"/>
      <c r="M7" s="30" t="n"/>
      <c r="N7" s="30" t="n"/>
      <c r="O7" s="30" t="n"/>
      <c r="P7" s="30" t="n"/>
      <c r="Q7" s="29" t="inlineStr">
        <is>
          <t>N</t>
        </is>
      </c>
      <c r="R7" s="29" t="inlineStr">
        <is>
          <t>FL_SUS_ABC_1kg</t>
        </is>
      </c>
      <c r="S7" s="30" t="n"/>
    </row>
    <row r="8">
      <c r="A8" s="32" t="inlineStr">
        <is>
          <t>FL_SUS_ABC_1kg</t>
        </is>
      </c>
      <c r="B8" s="32" t="n">
        <v>2</v>
      </c>
      <c r="C8" s="32" t="inlineStr">
        <is>
          <t>SUS-ABC_1kg-01</t>
        </is>
      </c>
      <c r="D8" s="17" t="inlineStr">
        <is>
          <t xml:space="preserve">        Faja amarilla de sustituto en la pollera (3 leyendas)</t>
        </is>
      </c>
      <c r="E8" s="32" t="n">
        <v>1</v>
      </c>
      <c r="F8" s="32" t="inlineStr">
        <is>
          <t>u</t>
        </is>
      </c>
      <c r="G8" s="33" t="n"/>
      <c r="H8" s="33" t="n"/>
      <c r="I8" s="32" t="inlineStr">
        <is>
          <t>Cinta vinílica autoadhesiva amarilla</t>
        </is>
      </c>
      <c r="J8" s="17" t="inlineStr">
        <is>
          <t>36 × 259 (alto ≤ 40; perímetro + 20 de solape)</t>
        </is>
      </c>
      <c r="K8" s="32" t="inlineStr">
        <is>
          <t>Compra</t>
        </is>
      </c>
      <c r="L8" s="32" t="inlineStr">
        <is>
          <t>Sí</t>
        </is>
      </c>
      <c r="M8" s="17" t="inlineStr">
        <is>
          <t>Astuprint</t>
        </is>
      </c>
      <c r="N8" s="17" t="inlineStr">
        <is>
          <t>Multilabel Argentina S.A.</t>
        </is>
      </c>
      <c r="O8" s="17" t="n"/>
      <c r="P8" s="17" t="inlineStr">
        <is>
          <t>IRAM 3517-2:2020 9.4.5 b)</t>
        </is>
      </c>
      <c r="Q8" s="32" t="inlineStr">
        <is>
          <t>N</t>
        </is>
      </c>
      <c r="R8" s="32" t="inlineStr">
        <is>
          <t>FL_SUS_ABC_1kg</t>
        </is>
      </c>
      <c r="S8" s="17" t="inlineStr">
        <is>
          <t>Leyendas: extintor sustituto / reemplaza al equipo de este puesto en mantenimiento o recarga / FLAMA S.A. (datos y logo). Proveedor a cotizar</t>
        </is>
      </c>
    </row>
    <row r="9">
      <c r="A9" s="32" t="inlineStr">
        <is>
          <t>FL_SUS_ABC_1kg</t>
        </is>
      </c>
      <c r="B9" s="32" t="n">
        <v>2</v>
      </c>
      <c r="C9" s="32" t="inlineStr">
        <is>
          <t>SUS-ABC_1kg-02</t>
        </is>
      </c>
      <c r="D9" s="17" t="inlineStr">
        <is>
          <t xml:space="preserve">        Tarjeta de identificación DPS con sello «SUSTITUTO HABILITADO»</t>
        </is>
      </c>
      <c r="E9" s="32" t="n">
        <v>1</v>
      </c>
      <c r="F9" s="32" t="inlineStr">
        <is>
          <t>u</t>
        </is>
      </c>
      <c r="G9" s="33" t="n"/>
      <c r="H9" s="33" t="n"/>
      <c r="I9" s="32" t="inlineStr">
        <is>
          <t>Tarjeta oficial DPS (PBA)</t>
        </is>
      </c>
      <c r="J9" s="17" t="inlineStr">
        <is>
          <t>formato oficial</t>
        </is>
      </c>
      <c r="K9" s="32" t="inlineStr">
        <is>
          <t>Compra (organismo)</t>
        </is>
      </c>
      <c r="L9" s="32" t="inlineStr">
        <is>
          <t>Sí</t>
        </is>
      </c>
      <c r="M9" s="17" t="inlineStr">
        <is>
          <t>Ministerio de Ambiente PBA (ex OPDS)</t>
        </is>
      </c>
      <c r="N9" s="17" t="inlineStr">
        <is>
          <t>-</t>
        </is>
      </c>
      <c r="O9" s="17" t="n"/>
      <c r="P9" s="17" t="inlineStr">
        <is>
          <t>Res. 349/07 art. 32</t>
        </is>
      </c>
      <c r="Q9" s="32" t="inlineStr">
        <is>
          <t>N</t>
        </is>
      </c>
      <c r="R9" s="32" t="inlineStr">
        <is>
          <t>FL_SUS_ABC_1kg</t>
        </is>
      </c>
      <c r="S9" s="17" t="inlineStr">
        <is>
          <t>Sólo PBA; reutilizable en cada revisión de carga; n° del extintor asentado en el libro de actas</t>
        </is>
      </c>
    </row>
    <row r="10">
      <c r="A10" s="32" t="inlineStr">
        <is>
          <t>FL_SUS_ABC_1kg</t>
        </is>
      </c>
      <c r="B10" s="32" t="n">
        <v>2</v>
      </c>
      <c r="C10" s="32" t="inlineStr">
        <is>
          <t>SUS-ABC_1kg-03</t>
        </is>
      </c>
      <c r="D10" s="17" t="inlineStr">
        <is>
          <t xml:space="preserve">        Tarjeta AGC con «Es sustituto» (sin domicilio de instalación)</t>
        </is>
      </c>
      <c r="E10" s="32" t="n">
        <v>1</v>
      </c>
      <c r="F10" s="32" t="inlineStr">
        <is>
          <t>u</t>
        </is>
      </c>
      <c r="G10" s="33" t="n"/>
      <c r="H10" s="33" t="n"/>
      <c r="I10" s="32" t="inlineStr">
        <is>
          <t>Etiqueta autoadhesiva AGC</t>
        </is>
      </c>
      <c r="J10" s="17" t="inlineStr">
        <is>
          <t>formato oficial</t>
        </is>
      </c>
      <c r="K10" s="32" t="inlineStr">
        <is>
          <t>Compra (organismo)</t>
        </is>
      </c>
      <c r="L10" s="32" t="inlineStr">
        <is>
          <t>Sí</t>
        </is>
      </c>
      <c r="M10" s="17" t="inlineStr">
        <is>
          <t>Agencia Gubernamental de Control (CABA)</t>
        </is>
      </c>
      <c r="N10" s="17" t="inlineStr">
        <is>
          <t>-</t>
        </is>
      </c>
      <c r="O10" s="17" t="n"/>
      <c r="P10" s="17" t="inlineStr">
        <is>
          <t>Res. AGC 32/15 anexo II</t>
        </is>
      </c>
      <c r="Q10" s="32" t="inlineStr">
        <is>
          <t>N</t>
        </is>
      </c>
      <c r="R10" s="32" t="inlineStr">
        <is>
          <t>FL_SUS_ABC_1kg</t>
        </is>
      </c>
      <c r="S10" s="17" t="inlineStr">
        <is>
          <t>Sólo CABA</t>
        </is>
      </c>
    </row>
    <row r="11">
      <c r="A11" s="32" t="inlineStr">
        <is>
          <t>FL_SUS_ABC_1kg</t>
        </is>
      </c>
      <c r="B11" s="32" t="n">
        <v>2</v>
      </c>
      <c r="C11" s="32" t="inlineStr">
        <is>
          <t>SUS-ABC_1kg-04</t>
        </is>
      </c>
      <c r="D11" s="17" t="inlineStr">
        <is>
          <t xml:space="preserve">        Remito de préstamo con membrete (n° de extintor, puesto, equipo retirado, fechas)</t>
        </is>
      </c>
      <c r="E11" s="32" t="n">
        <v>1</v>
      </c>
      <c r="F11" s="32" t="inlineStr">
        <is>
          <t>u/préstamo</t>
        </is>
      </c>
      <c r="G11" s="33" t="n"/>
      <c r="H11" s="33" t="n"/>
      <c r="I11" s="32" t="inlineStr">
        <is>
          <t>Papel</t>
        </is>
      </c>
      <c r="J11" s="17" t="inlineStr">
        <is>
          <t>A5 duplicado</t>
        </is>
      </c>
      <c r="K11" s="32" t="inlineStr">
        <is>
          <t>Compra</t>
        </is>
      </c>
      <c r="L11" s="32" t="inlineStr">
        <is>
          <t>Sí</t>
        </is>
      </c>
      <c r="M11" s="17" t="inlineStr">
        <is>
          <t>Astuprint</t>
        </is>
      </c>
      <c r="N11" s="17" t="inlineStr">
        <is>
          <t>-</t>
        </is>
      </c>
      <c r="O11" s="17" t="n"/>
      <c r="P11" s="17" t="n"/>
      <c r="Q11" s="32" t="inlineStr">
        <is>
          <t>I</t>
        </is>
      </c>
      <c r="R11" s="32" t="inlineStr">
        <is>
          <t>FL_SUS_ABC_1kg</t>
        </is>
      </c>
      <c r="S11" s="17" t="inlineStr">
        <is>
          <t>Práctica de mercado relevada (Fullmat, Rodo, Eversafe)</t>
        </is>
      </c>
    </row>
    <row r="12">
      <c r="A12" s="26" t="inlineStr">
        <is>
          <t>FL_SUS_ABC_2.5kg</t>
        </is>
      </c>
      <c r="B12" s="26" t="n">
        <v>0</v>
      </c>
      <c r="C12" s="26" t="inlineStr">
        <is>
          <t>FL_SUS_ABC_2.5kg</t>
        </is>
      </c>
      <c r="D12" s="27" t="inlineStr">
        <is>
          <t>Extintor sustituto para Extintor ABC 2,5 kg</t>
        </is>
      </c>
      <c r="E12" s="26" t="n">
        <v>1</v>
      </c>
      <c r="F12" s="26" t="inlineStr">
        <is>
          <t>u</t>
        </is>
      </c>
      <c r="G12" s="28" t="n"/>
      <c r="H12" s="28" t="n"/>
      <c r="I12" s="26" t="n"/>
      <c r="J12" s="27" t="n"/>
      <c r="K12" s="26" t="n"/>
      <c r="L12" s="26" t="n"/>
      <c r="M12" s="27" t="n"/>
      <c r="N12" s="27" t="n"/>
      <c r="O12" s="27" t="n"/>
      <c r="P12" s="27" t="inlineStr">
        <is>
          <t>IRAM 3517-2:2020 9.4.5</t>
        </is>
      </c>
      <c r="Q12" s="26" t="inlineStr">
        <is>
          <t>N</t>
        </is>
      </c>
      <c r="R12" s="26" t="inlineStr">
        <is>
          <t>FL_SUS_ABC_2.5kg</t>
        </is>
      </c>
      <c r="S12" s="27" t="inlineStr">
        <is>
          <t>Unitario: el tamaño del parque de sustitutos se dimensiona aparte</t>
        </is>
      </c>
    </row>
    <row r="13">
      <c r="A13" s="29" t="inlineStr">
        <is>
          <t>FL_SUS_ABC_2.5kg</t>
        </is>
      </c>
      <c r="B13" s="29" t="n">
        <v>1</v>
      </c>
      <c r="C13" s="29" t="inlineStr">
        <is>
          <t>FL_MAT_ABC_2.5kg</t>
        </is>
      </c>
      <c r="D13" s="30" t="inlineStr">
        <is>
          <t xml:space="preserve">    Extintor base: Extintor ABC 2,5 kg (mismo modelo)</t>
        </is>
      </c>
      <c r="E13" s="29" t="n">
        <v>1</v>
      </c>
      <c r="F13" s="29" t="inlineStr">
        <is>
          <t>u</t>
        </is>
      </c>
      <c r="G13" s="31" t="n"/>
      <c r="H13" s="31" t="n"/>
      <c r="I13" s="29" t="n"/>
      <c r="J13" s="30" t="n"/>
      <c r="K13" s="29" t="inlineStr">
        <is>
          <t>Stock FLAMA (fabricación propia)</t>
        </is>
      </c>
      <c r="L13" s="29" t="inlineStr">
        <is>
          <t>No</t>
        </is>
      </c>
      <c r="M13" s="30" t="n"/>
      <c r="N13" s="30" t="n"/>
      <c r="O13" s="30" t="n"/>
      <c r="P13" s="30" t="inlineStr">
        <is>
          <t>IRAM 3517-2:2020 9.4.5</t>
        </is>
      </c>
      <c r="Q13" s="29" t="inlineStr">
        <is>
          <t>N</t>
        </is>
      </c>
      <c r="R13" s="29" t="inlineStr">
        <is>
          <t>FL_SUS_ABC_2.5kg</t>
        </is>
      </c>
      <c r="S13" s="30" t="inlineStr">
        <is>
          <t>Igual clasificación y capacidad; mantenimiento vigente. BOM: hoja FL_MAT_ABC_2.5kg · No entra en MRP del kit: es demanda del producto FL_MAT (stock)</t>
        </is>
      </c>
    </row>
    <row r="14">
      <c r="A14" s="29" t="inlineStr">
        <is>
          <t>FL_SUS_ABC_2.5kg</t>
        </is>
      </c>
      <c r="B14" s="29" t="n">
        <v>1</v>
      </c>
      <c r="C14" s="29" t="inlineStr">
        <is>
          <t>SUS-ABC_2.5kg-K</t>
        </is>
      </c>
      <c r="D14" s="30" t="inlineStr">
        <is>
          <t xml:space="preserve">    Identificación de extintor sustituto</t>
        </is>
      </c>
      <c r="E14" s="29" t="n">
        <v>1</v>
      </c>
      <c r="F14" s="29" t="inlineStr">
        <is>
          <t>u</t>
        </is>
      </c>
      <c r="G14" s="31" t="n"/>
      <c r="H14" s="31" t="n"/>
      <c r="I14" s="29" t="n"/>
      <c r="J14" s="30" t="n"/>
      <c r="K14" s="29" t="inlineStr">
        <is>
          <t>Compra</t>
        </is>
      </c>
      <c r="L14" s="29" t="n"/>
      <c r="M14" s="30" t="n"/>
      <c r="N14" s="30" t="n"/>
      <c r="O14" s="30" t="n"/>
      <c r="P14" s="30" t="n"/>
      <c r="Q14" s="29" t="inlineStr">
        <is>
          <t>N</t>
        </is>
      </c>
      <c r="R14" s="29" t="inlineStr">
        <is>
          <t>FL_SUS_ABC_2.5kg</t>
        </is>
      </c>
      <c r="S14" s="30" t="n"/>
    </row>
    <row r="15">
      <c r="A15" s="32" t="inlineStr">
        <is>
          <t>FL_SUS_ABC_2.5kg</t>
        </is>
      </c>
      <c r="B15" s="32" t="n">
        <v>2</v>
      </c>
      <c r="C15" s="32" t="inlineStr">
        <is>
          <t>SUS-ABC_2.5kg-01</t>
        </is>
      </c>
      <c r="D15" s="17" t="inlineStr">
        <is>
          <t xml:space="preserve">        Faja amarilla de sustituto en la pollera (3 leyendas)</t>
        </is>
      </c>
      <c r="E15" s="32" t="n">
        <v>1</v>
      </c>
      <c r="F15" s="32" t="inlineStr">
        <is>
          <t>u</t>
        </is>
      </c>
      <c r="G15" s="33" t="n"/>
      <c r="H15" s="33" t="n"/>
      <c r="I15" s="32" t="inlineStr">
        <is>
          <t>Cinta vinílica autoadhesiva amarilla</t>
        </is>
      </c>
      <c r="J15" s="17" t="inlineStr">
        <is>
          <t>30 × 410 (alto ≤ 40; perímetro + 20 de solape)</t>
        </is>
      </c>
      <c r="K15" s="32" t="inlineStr">
        <is>
          <t>Compra</t>
        </is>
      </c>
      <c r="L15" s="32" t="inlineStr">
        <is>
          <t>Sí</t>
        </is>
      </c>
      <c r="M15" s="17" t="inlineStr">
        <is>
          <t>Astuprint</t>
        </is>
      </c>
      <c r="N15" s="17" t="inlineStr">
        <is>
          <t>Multilabel Argentina S.A.</t>
        </is>
      </c>
      <c r="O15" s="17" t="n"/>
      <c r="P15" s="17" t="inlineStr">
        <is>
          <t>IRAM 3517-2:2020 9.4.5 b)</t>
        </is>
      </c>
      <c r="Q15" s="32" t="inlineStr">
        <is>
          <t>N</t>
        </is>
      </c>
      <c r="R15" s="32" t="inlineStr">
        <is>
          <t>FL_SUS_ABC_2.5kg</t>
        </is>
      </c>
      <c r="S15" s="17" t="inlineStr">
        <is>
          <t>Leyendas: extintor sustituto / reemplaza al equipo de este puesto en mantenimiento o recarga / FLAMA S.A. (datos y logo). Proveedor a cotizar</t>
        </is>
      </c>
    </row>
    <row r="16">
      <c r="A16" s="32" t="inlineStr">
        <is>
          <t>FL_SUS_ABC_2.5kg</t>
        </is>
      </c>
      <c r="B16" s="32" t="n">
        <v>2</v>
      </c>
      <c r="C16" s="32" t="inlineStr">
        <is>
          <t>SUS-ABC_2.5kg-02</t>
        </is>
      </c>
      <c r="D16" s="17" t="inlineStr">
        <is>
          <t xml:space="preserve">        Tarjeta de identificación DPS con sello «SUSTITUTO HABILITADO»</t>
        </is>
      </c>
      <c r="E16" s="32" t="n">
        <v>1</v>
      </c>
      <c r="F16" s="32" t="inlineStr">
        <is>
          <t>u</t>
        </is>
      </c>
      <c r="G16" s="33" t="n"/>
      <c r="H16" s="33" t="n"/>
      <c r="I16" s="32" t="inlineStr">
        <is>
          <t>Tarjeta oficial DPS (PBA)</t>
        </is>
      </c>
      <c r="J16" s="17" t="inlineStr">
        <is>
          <t>formato oficial</t>
        </is>
      </c>
      <c r="K16" s="32" t="inlineStr">
        <is>
          <t>Compra (organismo)</t>
        </is>
      </c>
      <c r="L16" s="32" t="inlineStr">
        <is>
          <t>Sí</t>
        </is>
      </c>
      <c r="M16" s="17" t="inlineStr">
        <is>
          <t>Ministerio de Ambiente PBA (ex OPDS)</t>
        </is>
      </c>
      <c r="N16" s="17" t="inlineStr">
        <is>
          <t>-</t>
        </is>
      </c>
      <c r="O16" s="17" t="n"/>
      <c r="P16" s="17" t="inlineStr">
        <is>
          <t>Res. 349/07 art. 32</t>
        </is>
      </c>
      <c r="Q16" s="32" t="inlineStr">
        <is>
          <t>N</t>
        </is>
      </c>
      <c r="R16" s="32" t="inlineStr">
        <is>
          <t>FL_SUS_ABC_2.5kg</t>
        </is>
      </c>
      <c r="S16" s="17" t="inlineStr">
        <is>
          <t>Sólo PBA; reutilizable en cada revisión de carga; n° del extintor asentado en el libro de actas</t>
        </is>
      </c>
    </row>
    <row r="17">
      <c r="A17" s="32" t="inlineStr">
        <is>
          <t>FL_SUS_ABC_2.5kg</t>
        </is>
      </c>
      <c r="B17" s="32" t="n">
        <v>2</v>
      </c>
      <c r="C17" s="32" t="inlineStr">
        <is>
          <t>SUS-ABC_2.5kg-03</t>
        </is>
      </c>
      <c r="D17" s="17" t="inlineStr">
        <is>
          <t xml:space="preserve">        Tarjeta AGC con «Es sustituto» (sin domicilio de instalación)</t>
        </is>
      </c>
      <c r="E17" s="32" t="n">
        <v>1</v>
      </c>
      <c r="F17" s="32" t="inlineStr">
        <is>
          <t>u</t>
        </is>
      </c>
      <c r="G17" s="33" t="n"/>
      <c r="H17" s="33" t="n"/>
      <c r="I17" s="32" t="inlineStr">
        <is>
          <t>Etiqueta autoadhesiva AGC</t>
        </is>
      </c>
      <c r="J17" s="17" t="inlineStr">
        <is>
          <t>formato oficial</t>
        </is>
      </c>
      <c r="K17" s="32" t="inlineStr">
        <is>
          <t>Compra (organismo)</t>
        </is>
      </c>
      <c r="L17" s="32" t="inlineStr">
        <is>
          <t>Sí</t>
        </is>
      </c>
      <c r="M17" s="17" t="inlineStr">
        <is>
          <t>Agencia Gubernamental de Control (CABA)</t>
        </is>
      </c>
      <c r="N17" s="17" t="inlineStr">
        <is>
          <t>-</t>
        </is>
      </c>
      <c r="O17" s="17" t="n"/>
      <c r="P17" s="17" t="inlineStr">
        <is>
          <t>Res. AGC 32/15 anexo II</t>
        </is>
      </c>
      <c r="Q17" s="32" t="inlineStr">
        <is>
          <t>N</t>
        </is>
      </c>
      <c r="R17" s="32" t="inlineStr">
        <is>
          <t>FL_SUS_ABC_2.5kg</t>
        </is>
      </c>
      <c r="S17" s="17" t="inlineStr">
        <is>
          <t>Sólo CABA</t>
        </is>
      </c>
    </row>
    <row r="18">
      <c r="A18" s="32" t="inlineStr">
        <is>
          <t>FL_SUS_ABC_2.5kg</t>
        </is>
      </c>
      <c r="B18" s="32" t="n">
        <v>2</v>
      </c>
      <c r="C18" s="32" t="inlineStr">
        <is>
          <t>SUS-ABC_2.5kg-04</t>
        </is>
      </c>
      <c r="D18" s="17" t="inlineStr">
        <is>
          <t xml:space="preserve">        Remito de préstamo con membrete (n° de extintor, puesto, equipo retirado, fechas)</t>
        </is>
      </c>
      <c r="E18" s="32" t="n">
        <v>1</v>
      </c>
      <c r="F18" s="32" t="inlineStr">
        <is>
          <t>u/préstamo</t>
        </is>
      </c>
      <c r="G18" s="33" t="n"/>
      <c r="H18" s="33" t="n"/>
      <c r="I18" s="32" t="inlineStr">
        <is>
          <t>Papel</t>
        </is>
      </c>
      <c r="J18" s="17" t="inlineStr">
        <is>
          <t>A5 duplicado</t>
        </is>
      </c>
      <c r="K18" s="32" t="inlineStr">
        <is>
          <t>Compra</t>
        </is>
      </c>
      <c r="L18" s="32" t="inlineStr">
        <is>
          <t>Sí</t>
        </is>
      </c>
      <c r="M18" s="17" t="inlineStr">
        <is>
          <t>Astuprint</t>
        </is>
      </c>
      <c r="N18" s="17" t="inlineStr">
        <is>
          <t>-</t>
        </is>
      </c>
      <c r="O18" s="17" t="n"/>
      <c r="P18" s="17" t="n"/>
      <c r="Q18" s="32" t="inlineStr">
        <is>
          <t>I</t>
        </is>
      </c>
      <c r="R18" s="32" t="inlineStr">
        <is>
          <t>FL_SUS_ABC_2.5kg</t>
        </is>
      </c>
      <c r="S18" s="17" t="inlineStr">
        <is>
          <t>Práctica de mercado relevada (Fullmat, Rodo, Eversafe)</t>
        </is>
      </c>
    </row>
    <row r="19">
      <c r="A19" s="26" t="inlineStr">
        <is>
          <t>FL_SUS_ABC_5kg</t>
        </is>
      </c>
      <c r="B19" s="26" t="n">
        <v>0</v>
      </c>
      <c r="C19" s="26" t="inlineStr">
        <is>
          <t>FL_SUS_ABC_5kg</t>
        </is>
      </c>
      <c r="D19" s="27" t="inlineStr">
        <is>
          <t>Extintor sustituto para Extintor ABC 5 kg</t>
        </is>
      </c>
      <c r="E19" s="26" t="n">
        <v>1</v>
      </c>
      <c r="F19" s="26" t="inlineStr">
        <is>
          <t>u</t>
        </is>
      </c>
      <c r="G19" s="28" t="n"/>
      <c r="H19" s="28" t="n"/>
      <c r="I19" s="26" t="n"/>
      <c r="J19" s="27" t="n"/>
      <c r="K19" s="26" t="n"/>
      <c r="L19" s="26" t="n"/>
      <c r="M19" s="27" t="n"/>
      <c r="N19" s="27" t="n"/>
      <c r="O19" s="27" t="n"/>
      <c r="P19" s="27" t="inlineStr">
        <is>
          <t>IRAM 3517-2:2020 9.4.5</t>
        </is>
      </c>
      <c r="Q19" s="26" t="inlineStr">
        <is>
          <t>N</t>
        </is>
      </c>
      <c r="R19" s="26" t="inlineStr">
        <is>
          <t>FL_SUS_ABC_5kg</t>
        </is>
      </c>
      <c r="S19" s="27" t="inlineStr">
        <is>
          <t>Unitario: el tamaño del parque de sustitutos se dimensiona aparte</t>
        </is>
      </c>
    </row>
    <row r="20">
      <c r="A20" s="29" t="inlineStr">
        <is>
          <t>FL_SUS_ABC_5kg</t>
        </is>
      </c>
      <c r="B20" s="29" t="n">
        <v>1</v>
      </c>
      <c r="C20" s="29" t="inlineStr">
        <is>
          <t>FL_MAT_ABC_5kg</t>
        </is>
      </c>
      <c r="D20" s="30" t="inlineStr">
        <is>
          <t xml:space="preserve">    Extintor base: Extintor ABC 5 kg (mismo modelo)</t>
        </is>
      </c>
      <c r="E20" s="29" t="n">
        <v>1</v>
      </c>
      <c r="F20" s="29" t="inlineStr">
        <is>
          <t>u</t>
        </is>
      </c>
      <c r="G20" s="31" t="n"/>
      <c r="H20" s="31" t="n"/>
      <c r="I20" s="29" t="n"/>
      <c r="J20" s="30" t="n"/>
      <c r="K20" s="29" t="inlineStr">
        <is>
          <t>Stock FLAMA (fabricación propia)</t>
        </is>
      </c>
      <c r="L20" s="29" t="inlineStr">
        <is>
          <t>No</t>
        </is>
      </c>
      <c r="M20" s="30" t="n"/>
      <c r="N20" s="30" t="n"/>
      <c r="O20" s="30" t="n"/>
      <c r="P20" s="30" t="inlineStr">
        <is>
          <t>IRAM 3517-2:2020 9.4.5</t>
        </is>
      </c>
      <c r="Q20" s="29" t="inlineStr">
        <is>
          <t>N</t>
        </is>
      </c>
      <c r="R20" s="29" t="inlineStr">
        <is>
          <t>FL_SUS_ABC_5kg</t>
        </is>
      </c>
      <c r="S20" s="30" t="inlineStr">
        <is>
          <t>Igual clasificación y capacidad; mantenimiento vigente. BOM: hoja FL_MAT_ABC_5kg · No entra en MRP del kit: es demanda del producto FL_MAT (stock)</t>
        </is>
      </c>
    </row>
    <row r="21">
      <c r="A21" s="29" t="inlineStr">
        <is>
          <t>FL_SUS_ABC_5kg</t>
        </is>
      </c>
      <c r="B21" s="29" t="n">
        <v>1</v>
      </c>
      <c r="C21" s="29" t="inlineStr">
        <is>
          <t>SUS-ABC_5kg-K</t>
        </is>
      </c>
      <c r="D21" s="30" t="inlineStr">
        <is>
          <t xml:space="preserve">    Identificación de extintor sustituto</t>
        </is>
      </c>
      <c r="E21" s="29" t="n">
        <v>1</v>
      </c>
      <c r="F21" s="29" t="inlineStr">
        <is>
          <t>u</t>
        </is>
      </c>
      <c r="G21" s="31" t="n"/>
      <c r="H21" s="31" t="n"/>
      <c r="I21" s="29" t="n"/>
      <c r="J21" s="30" t="n"/>
      <c r="K21" s="29" t="inlineStr">
        <is>
          <t>Compra</t>
        </is>
      </c>
      <c r="L21" s="29" t="n"/>
      <c r="M21" s="30" t="n"/>
      <c r="N21" s="30" t="n"/>
      <c r="O21" s="30" t="n"/>
      <c r="P21" s="30" t="n"/>
      <c r="Q21" s="29" t="inlineStr">
        <is>
          <t>N</t>
        </is>
      </c>
      <c r="R21" s="29" t="inlineStr">
        <is>
          <t>FL_SUS_ABC_5kg</t>
        </is>
      </c>
      <c r="S21" s="30" t="n"/>
    </row>
    <row r="22">
      <c r="A22" s="32" t="inlineStr">
        <is>
          <t>FL_SUS_ABC_5kg</t>
        </is>
      </c>
      <c r="B22" s="32" t="n">
        <v>2</v>
      </c>
      <c r="C22" s="32" t="inlineStr">
        <is>
          <t>SUS-ABC_5kg-01</t>
        </is>
      </c>
      <c r="D22" s="17" t="inlineStr">
        <is>
          <t xml:space="preserve">        Faja amarilla de sustituto en la pollera (3 leyendas)</t>
        </is>
      </c>
      <c r="E22" s="32" t="n">
        <v>1</v>
      </c>
      <c r="F22" s="32" t="inlineStr">
        <is>
          <t>u</t>
        </is>
      </c>
      <c r="G22" s="33" t="n"/>
      <c r="H22" s="33" t="n"/>
      <c r="I22" s="32" t="inlineStr">
        <is>
          <t>Cinta vinílica autoadhesiva amarilla</t>
        </is>
      </c>
      <c r="J22" s="17" t="inlineStr">
        <is>
          <t>40 × 501 (alto ≤ 40; perímetro + 20 de solape)</t>
        </is>
      </c>
      <c r="K22" s="32" t="inlineStr">
        <is>
          <t>Compra</t>
        </is>
      </c>
      <c r="L22" s="32" t="inlineStr">
        <is>
          <t>Sí</t>
        </is>
      </c>
      <c r="M22" s="17" t="inlineStr">
        <is>
          <t>Astuprint</t>
        </is>
      </c>
      <c r="N22" s="17" t="inlineStr">
        <is>
          <t>Multilabel Argentina S.A.</t>
        </is>
      </c>
      <c r="O22" s="17" t="n"/>
      <c r="P22" s="17" t="inlineStr">
        <is>
          <t>IRAM 3517-2:2020 9.4.5 b)</t>
        </is>
      </c>
      <c r="Q22" s="32" t="inlineStr">
        <is>
          <t>N</t>
        </is>
      </c>
      <c r="R22" s="32" t="inlineStr">
        <is>
          <t>FL_SUS_ABC_5kg</t>
        </is>
      </c>
      <c r="S22" s="17" t="inlineStr">
        <is>
          <t>Leyendas: extintor sustituto / reemplaza al equipo de este puesto en mantenimiento o recarga / FLAMA S.A. (datos y logo). Proveedor a cotizar</t>
        </is>
      </c>
    </row>
    <row r="23">
      <c r="A23" s="32" t="inlineStr">
        <is>
          <t>FL_SUS_ABC_5kg</t>
        </is>
      </c>
      <c r="B23" s="32" t="n">
        <v>2</v>
      </c>
      <c r="C23" s="32" t="inlineStr">
        <is>
          <t>SUS-ABC_5kg-02</t>
        </is>
      </c>
      <c r="D23" s="17" t="inlineStr">
        <is>
          <t xml:space="preserve">        Tarjeta de identificación DPS con sello «SUSTITUTO HABILITADO»</t>
        </is>
      </c>
      <c r="E23" s="32" t="n">
        <v>1</v>
      </c>
      <c r="F23" s="32" t="inlineStr">
        <is>
          <t>u</t>
        </is>
      </c>
      <c r="G23" s="33" t="n"/>
      <c r="H23" s="33" t="n"/>
      <c r="I23" s="32" t="inlineStr">
        <is>
          <t>Tarjeta oficial DPS (PBA)</t>
        </is>
      </c>
      <c r="J23" s="17" t="inlineStr">
        <is>
          <t>formato oficial</t>
        </is>
      </c>
      <c r="K23" s="32" t="inlineStr">
        <is>
          <t>Compra (organismo)</t>
        </is>
      </c>
      <c r="L23" s="32" t="inlineStr">
        <is>
          <t>Sí</t>
        </is>
      </c>
      <c r="M23" s="17" t="inlineStr">
        <is>
          <t>Ministerio de Ambiente PBA (ex OPDS)</t>
        </is>
      </c>
      <c r="N23" s="17" t="inlineStr">
        <is>
          <t>-</t>
        </is>
      </c>
      <c r="O23" s="17" t="n"/>
      <c r="P23" s="17" t="inlineStr">
        <is>
          <t>Res. 349/07 art. 32</t>
        </is>
      </c>
      <c r="Q23" s="32" t="inlineStr">
        <is>
          <t>N</t>
        </is>
      </c>
      <c r="R23" s="32" t="inlineStr">
        <is>
          <t>FL_SUS_ABC_5kg</t>
        </is>
      </c>
      <c r="S23" s="17" t="inlineStr">
        <is>
          <t>Sólo PBA; reutilizable en cada revisión de carga; n° del extintor asentado en el libro de actas</t>
        </is>
      </c>
    </row>
    <row r="24">
      <c r="A24" s="32" t="inlineStr">
        <is>
          <t>FL_SUS_ABC_5kg</t>
        </is>
      </c>
      <c r="B24" s="32" t="n">
        <v>2</v>
      </c>
      <c r="C24" s="32" t="inlineStr">
        <is>
          <t>SUS-ABC_5kg-03</t>
        </is>
      </c>
      <c r="D24" s="17" t="inlineStr">
        <is>
          <t xml:space="preserve">        Tarjeta AGC con «Es sustituto» (sin domicilio de instalación)</t>
        </is>
      </c>
      <c r="E24" s="32" t="n">
        <v>1</v>
      </c>
      <c r="F24" s="32" t="inlineStr">
        <is>
          <t>u</t>
        </is>
      </c>
      <c r="G24" s="33" t="n"/>
      <c r="H24" s="33" t="n"/>
      <c r="I24" s="32" t="inlineStr">
        <is>
          <t>Etiqueta autoadhesiva AGC</t>
        </is>
      </c>
      <c r="J24" s="17" t="inlineStr">
        <is>
          <t>formato oficial</t>
        </is>
      </c>
      <c r="K24" s="32" t="inlineStr">
        <is>
          <t>Compra (organismo)</t>
        </is>
      </c>
      <c r="L24" s="32" t="inlineStr">
        <is>
          <t>Sí</t>
        </is>
      </c>
      <c r="M24" s="17" t="inlineStr">
        <is>
          <t>Agencia Gubernamental de Control (CABA)</t>
        </is>
      </c>
      <c r="N24" s="17" t="inlineStr">
        <is>
          <t>-</t>
        </is>
      </c>
      <c r="O24" s="17" t="n"/>
      <c r="P24" s="17" t="inlineStr">
        <is>
          <t>Res. AGC 32/15 anexo II</t>
        </is>
      </c>
      <c r="Q24" s="32" t="inlineStr">
        <is>
          <t>N</t>
        </is>
      </c>
      <c r="R24" s="32" t="inlineStr">
        <is>
          <t>FL_SUS_ABC_5kg</t>
        </is>
      </c>
      <c r="S24" s="17" t="inlineStr">
        <is>
          <t>Sólo CABA</t>
        </is>
      </c>
    </row>
    <row r="25">
      <c r="A25" s="32" t="inlineStr">
        <is>
          <t>FL_SUS_ABC_5kg</t>
        </is>
      </c>
      <c r="B25" s="32" t="n">
        <v>2</v>
      </c>
      <c r="C25" s="32" t="inlineStr">
        <is>
          <t>SUS-ABC_5kg-04</t>
        </is>
      </c>
      <c r="D25" s="17" t="inlineStr">
        <is>
          <t xml:space="preserve">        Remito de préstamo con membrete (n° de extintor, puesto, equipo retirado, fechas)</t>
        </is>
      </c>
      <c r="E25" s="32" t="n">
        <v>1</v>
      </c>
      <c r="F25" s="32" t="inlineStr">
        <is>
          <t>u/préstamo</t>
        </is>
      </c>
      <c r="G25" s="33" t="n"/>
      <c r="H25" s="33" t="n"/>
      <c r="I25" s="32" t="inlineStr">
        <is>
          <t>Papel</t>
        </is>
      </c>
      <c r="J25" s="17" t="inlineStr">
        <is>
          <t>A5 duplicado</t>
        </is>
      </c>
      <c r="K25" s="32" t="inlineStr">
        <is>
          <t>Compra</t>
        </is>
      </c>
      <c r="L25" s="32" t="inlineStr">
        <is>
          <t>Sí</t>
        </is>
      </c>
      <c r="M25" s="17" t="inlineStr">
        <is>
          <t>Astuprint</t>
        </is>
      </c>
      <c r="N25" s="17" t="inlineStr">
        <is>
          <t>-</t>
        </is>
      </c>
      <c r="O25" s="17" t="n"/>
      <c r="P25" s="17" t="n"/>
      <c r="Q25" s="32" t="inlineStr">
        <is>
          <t>I</t>
        </is>
      </c>
      <c r="R25" s="32" t="inlineStr">
        <is>
          <t>FL_SUS_ABC_5kg</t>
        </is>
      </c>
      <c r="S25" s="17" t="inlineStr">
        <is>
          <t>Práctica de mercado relevada (Fullmat, Rodo, Eversafe)</t>
        </is>
      </c>
    </row>
    <row r="26">
      <c r="A26" s="26" t="inlineStr">
        <is>
          <t>FL_SUS_ABC_10kg</t>
        </is>
      </c>
      <c r="B26" s="26" t="n">
        <v>0</v>
      </c>
      <c r="C26" s="26" t="inlineStr">
        <is>
          <t>FL_SUS_ABC_10kg</t>
        </is>
      </c>
      <c r="D26" s="27" t="inlineStr">
        <is>
          <t>Extintor sustituto para Extintor ABC 10 kg</t>
        </is>
      </c>
      <c r="E26" s="26" t="n">
        <v>1</v>
      </c>
      <c r="F26" s="26" t="inlineStr">
        <is>
          <t>u</t>
        </is>
      </c>
      <c r="G26" s="28" t="n"/>
      <c r="H26" s="28" t="n"/>
      <c r="I26" s="26" t="n"/>
      <c r="J26" s="27" t="n"/>
      <c r="K26" s="26" t="n"/>
      <c r="L26" s="26" t="n"/>
      <c r="M26" s="27" t="n"/>
      <c r="N26" s="27" t="n"/>
      <c r="O26" s="27" t="n"/>
      <c r="P26" s="27" t="inlineStr">
        <is>
          <t>IRAM 3517-2:2020 9.4.5</t>
        </is>
      </c>
      <c r="Q26" s="26" t="inlineStr">
        <is>
          <t>N</t>
        </is>
      </c>
      <c r="R26" s="26" t="inlineStr">
        <is>
          <t>FL_SUS_ABC_10kg</t>
        </is>
      </c>
      <c r="S26" s="27" t="inlineStr">
        <is>
          <t>Unitario: el tamaño del parque de sustitutos se dimensiona aparte</t>
        </is>
      </c>
    </row>
    <row r="27">
      <c r="A27" s="29" t="inlineStr">
        <is>
          <t>FL_SUS_ABC_10kg</t>
        </is>
      </c>
      <c r="B27" s="29" t="n">
        <v>1</v>
      </c>
      <c r="C27" s="29" t="inlineStr">
        <is>
          <t>FL_MAT_ABC_10kg</t>
        </is>
      </c>
      <c r="D27" s="30" t="inlineStr">
        <is>
          <t xml:space="preserve">    Extintor base: Extintor ABC 10 kg (mismo modelo)</t>
        </is>
      </c>
      <c r="E27" s="29" t="n">
        <v>1</v>
      </c>
      <c r="F27" s="29" t="inlineStr">
        <is>
          <t>u</t>
        </is>
      </c>
      <c r="G27" s="31" t="n"/>
      <c r="H27" s="31" t="n"/>
      <c r="I27" s="29" t="n"/>
      <c r="J27" s="30" t="n"/>
      <c r="K27" s="29" t="inlineStr">
        <is>
          <t>Stock FLAMA (fabricación propia)</t>
        </is>
      </c>
      <c r="L27" s="29" t="inlineStr">
        <is>
          <t>No</t>
        </is>
      </c>
      <c r="M27" s="30" t="n"/>
      <c r="N27" s="30" t="n"/>
      <c r="O27" s="30" t="n"/>
      <c r="P27" s="30" t="inlineStr">
        <is>
          <t>IRAM 3517-2:2020 9.4.5</t>
        </is>
      </c>
      <c r="Q27" s="29" t="inlineStr">
        <is>
          <t>N</t>
        </is>
      </c>
      <c r="R27" s="29" t="inlineStr">
        <is>
          <t>FL_SUS_ABC_10kg</t>
        </is>
      </c>
      <c r="S27" s="30" t="inlineStr">
        <is>
          <t>Igual clasificación y capacidad; mantenimiento vigente. BOM: hoja FL_MAT_ABC_10kg · No entra en MRP del kit: es demanda del producto FL_MAT (stock)</t>
        </is>
      </c>
    </row>
    <row r="28">
      <c r="A28" s="29" t="inlineStr">
        <is>
          <t>FL_SUS_ABC_10kg</t>
        </is>
      </c>
      <c r="B28" s="29" t="n">
        <v>1</v>
      </c>
      <c r="C28" s="29" t="inlineStr">
        <is>
          <t>SUS-ABC_10kg-K</t>
        </is>
      </c>
      <c r="D28" s="30" t="inlineStr">
        <is>
          <t xml:space="preserve">    Identificación de extintor sustituto</t>
        </is>
      </c>
      <c r="E28" s="29" t="n">
        <v>1</v>
      </c>
      <c r="F28" s="29" t="inlineStr">
        <is>
          <t>u</t>
        </is>
      </c>
      <c r="G28" s="31" t="n"/>
      <c r="H28" s="31" t="n"/>
      <c r="I28" s="29" t="n"/>
      <c r="J28" s="30" t="n"/>
      <c r="K28" s="29" t="inlineStr">
        <is>
          <t>Compra</t>
        </is>
      </c>
      <c r="L28" s="29" t="n"/>
      <c r="M28" s="30" t="n"/>
      <c r="N28" s="30" t="n"/>
      <c r="O28" s="30" t="n"/>
      <c r="P28" s="30" t="n"/>
      <c r="Q28" s="29" t="inlineStr">
        <is>
          <t>N</t>
        </is>
      </c>
      <c r="R28" s="29" t="inlineStr">
        <is>
          <t>FL_SUS_ABC_10kg</t>
        </is>
      </c>
      <c r="S28" s="30" t="n"/>
    </row>
    <row r="29">
      <c r="A29" s="32" t="inlineStr">
        <is>
          <t>FL_SUS_ABC_10kg</t>
        </is>
      </c>
      <c r="B29" s="32" t="n">
        <v>2</v>
      </c>
      <c r="C29" s="32" t="inlineStr">
        <is>
          <t>SUS-ABC_10kg-01</t>
        </is>
      </c>
      <c r="D29" s="17" t="inlineStr">
        <is>
          <t xml:space="preserve">        Faja amarilla de sustituto en la pollera (3 leyendas)</t>
        </is>
      </c>
      <c r="E29" s="32" t="n">
        <v>1</v>
      </c>
      <c r="F29" s="32" t="inlineStr">
        <is>
          <t>u</t>
        </is>
      </c>
      <c r="G29" s="33" t="n"/>
      <c r="H29" s="33" t="n"/>
      <c r="I29" s="32" t="inlineStr">
        <is>
          <t>Cinta vinílica autoadhesiva amarilla</t>
        </is>
      </c>
      <c r="J29" s="17" t="inlineStr">
        <is>
          <t>40 × 590 (alto ≤ 40; perímetro + 20 de solape)</t>
        </is>
      </c>
      <c r="K29" s="32" t="inlineStr">
        <is>
          <t>Compra</t>
        </is>
      </c>
      <c r="L29" s="32" t="inlineStr">
        <is>
          <t>Sí</t>
        </is>
      </c>
      <c r="M29" s="17" t="inlineStr">
        <is>
          <t>Astuprint</t>
        </is>
      </c>
      <c r="N29" s="17" t="inlineStr">
        <is>
          <t>Multilabel Argentina S.A.</t>
        </is>
      </c>
      <c r="O29" s="17" t="n"/>
      <c r="P29" s="17" t="inlineStr">
        <is>
          <t>IRAM 3517-2:2020 9.4.5 b)</t>
        </is>
      </c>
      <c r="Q29" s="32" t="inlineStr">
        <is>
          <t>N</t>
        </is>
      </c>
      <c r="R29" s="32" t="inlineStr">
        <is>
          <t>FL_SUS_ABC_10kg</t>
        </is>
      </c>
      <c r="S29" s="17" t="inlineStr">
        <is>
          <t>Leyendas: extintor sustituto / reemplaza al equipo de este puesto en mantenimiento o recarga / FLAMA S.A. (datos y logo). Proveedor a cotizar</t>
        </is>
      </c>
    </row>
    <row r="30">
      <c r="A30" s="32" t="inlineStr">
        <is>
          <t>FL_SUS_ABC_10kg</t>
        </is>
      </c>
      <c r="B30" s="32" t="n">
        <v>2</v>
      </c>
      <c r="C30" s="32" t="inlineStr">
        <is>
          <t>SUS-ABC_10kg-02</t>
        </is>
      </c>
      <c r="D30" s="17" t="inlineStr">
        <is>
          <t xml:space="preserve">        Tarjeta de identificación DPS con sello «SUSTITUTO HABILITADO»</t>
        </is>
      </c>
      <c r="E30" s="32" t="n">
        <v>1</v>
      </c>
      <c r="F30" s="32" t="inlineStr">
        <is>
          <t>u</t>
        </is>
      </c>
      <c r="G30" s="33" t="n"/>
      <c r="H30" s="33" t="n"/>
      <c r="I30" s="32" t="inlineStr">
        <is>
          <t>Tarjeta oficial DPS (PBA)</t>
        </is>
      </c>
      <c r="J30" s="17" t="inlineStr">
        <is>
          <t>formato oficial</t>
        </is>
      </c>
      <c r="K30" s="32" t="inlineStr">
        <is>
          <t>Compra (organismo)</t>
        </is>
      </c>
      <c r="L30" s="32" t="inlineStr">
        <is>
          <t>Sí</t>
        </is>
      </c>
      <c r="M30" s="17" t="inlineStr">
        <is>
          <t>Ministerio de Ambiente PBA (ex OPDS)</t>
        </is>
      </c>
      <c r="N30" s="17" t="inlineStr">
        <is>
          <t>-</t>
        </is>
      </c>
      <c r="O30" s="17" t="n"/>
      <c r="P30" s="17" t="inlineStr">
        <is>
          <t>Res. 349/07 art. 32</t>
        </is>
      </c>
      <c r="Q30" s="32" t="inlineStr">
        <is>
          <t>N</t>
        </is>
      </c>
      <c r="R30" s="32" t="inlineStr">
        <is>
          <t>FL_SUS_ABC_10kg</t>
        </is>
      </c>
      <c r="S30" s="17" t="inlineStr">
        <is>
          <t>Sólo PBA; reutilizable en cada revisión de carga; n° del extintor asentado en el libro de actas</t>
        </is>
      </c>
    </row>
    <row r="31">
      <c r="A31" s="32" t="inlineStr">
        <is>
          <t>FL_SUS_ABC_10kg</t>
        </is>
      </c>
      <c r="B31" s="32" t="n">
        <v>2</v>
      </c>
      <c r="C31" s="32" t="inlineStr">
        <is>
          <t>SUS-ABC_10kg-03</t>
        </is>
      </c>
      <c r="D31" s="17" t="inlineStr">
        <is>
          <t xml:space="preserve">        Tarjeta AGC con «Es sustituto» (sin domicilio de instalación)</t>
        </is>
      </c>
      <c r="E31" s="32" t="n">
        <v>1</v>
      </c>
      <c r="F31" s="32" t="inlineStr">
        <is>
          <t>u</t>
        </is>
      </c>
      <c r="G31" s="33" t="n"/>
      <c r="H31" s="33" t="n"/>
      <c r="I31" s="32" t="inlineStr">
        <is>
          <t>Etiqueta autoadhesiva AGC</t>
        </is>
      </c>
      <c r="J31" s="17" t="inlineStr">
        <is>
          <t>formato oficial</t>
        </is>
      </c>
      <c r="K31" s="32" t="inlineStr">
        <is>
          <t>Compra (organismo)</t>
        </is>
      </c>
      <c r="L31" s="32" t="inlineStr">
        <is>
          <t>Sí</t>
        </is>
      </c>
      <c r="M31" s="17" t="inlineStr">
        <is>
          <t>Agencia Gubernamental de Control (CABA)</t>
        </is>
      </c>
      <c r="N31" s="17" t="inlineStr">
        <is>
          <t>-</t>
        </is>
      </c>
      <c r="O31" s="17" t="n"/>
      <c r="P31" s="17" t="inlineStr">
        <is>
          <t>Res. AGC 32/15 anexo II</t>
        </is>
      </c>
      <c r="Q31" s="32" t="inlineStr">
        <is>
          <t>N</t>
        </is>
      </c>
      <c r="R31" s="32" t="inlineStr">
        <is>
          <t>FL_SUS_ABC_10kg</t>
        </is>
      </c>
      <c r="S31" s="17" t="inlineStr">
        <is>
          <t>Sólo CABA</t>
        </is>
      </c>
    </row>
    <row r="32">
      <c r="A32" s="32" t="inlineStr">
        <is>
          <t>FL_SUS_ABC_10kg</t>
        </is>
      </c>
      <c r="B32" s="32" t="n">
        <v>2</v>
      </c>
      <c r="C32" s="32" t="inlineStr">
        <is>
          <t>SUS-ABC_10kg-04</t>
        </is>
      </c>
      <c r="D32" s="17" t="inlineStr">
        <is>
          <t xml:space="preserve">        Remito de préstamo con membrete (n° de extintor, puesto, equipo retirado, fechas)</t>
        </is>
      </c>
      <c r="E32" s="32" t="n">
        <v>1</v>
      </c>
      <c r="F32" s="32" t="inlineStr">
        <is>
          <t>u/préstamo</t>
        </is>
      </c>
      <c r="G32" s="33" t="n"/>
      <c r="H32" s="33" t="n"/>
      <c r="I32" s="32" t="inlineStr">
        <is>
          <t>Papel</t>
        </is>
      </c>
      <c r="J32" s="17" t="inlineStr">
        <is>
          <t>A5 duplicado</t>
        </is>
      </c>
      <c r="K32" s="32" t="inlineStr">
        <is>
          <t>Compra</t>
        </is>
      </c>
      <c r="L32" s="32" t="inlineStr">
        <is>
          <t>Sí</t>
        </is>
      </c>
      <c r="M32" s="17" t="inlineStr">
        <is>
          <t>Astuprint</t>
        </is>
      </c>
      <c r="N32" s="17" t="inlineStr">
        <is>
          <t>-</t>
        </is>
      </c>
      <c r="O32" s="17" t="n"/>
      <c r="P32" s="17" t="n"/>
      <c r="Q32" s="32" t="inlineStr">
        <is>
          <t>I</t>
        </is>
      </c>
      <c r="R32" s="32" t="inlineStr">
        <is>
          <t>FL_SUS_ABC_10kg</t>
        </is>
      </c>
      <c r="S32" s="17" t="inlineStr">
        <is>
          <t>Práctica de mercado relevada (Fullmat, Rodo, Eversafe)</t>
        </is>
      </c>
    </row>
    <row r="33">
      <c r="A33" s="26" t="inlineStr">
        <is>
          <t>FL_SUS_AGUA_10l</t>
        </is>
      </c>
      <c r="B33" s="26" t="n">
        <v>0</v>
      </c>
      <c r="C33" s="26" t="inlineStr">
        <is>
          <t>FL_SUS_AGUA_10l</t>
        </is>
      </c>
      <c r="D33" s="27" t="inlineStr">
        <is>
          <t>Extintor sustituto para Extintor Agua 10 l</t>
        </is>
      </c>
      <c r="E33" s="26" t="n">
        <v>1</v>
      </c>
      <c r="F33" s="26" t="inlineStr">
        <is>
          <t>u</t>
        </is>
      </c>
      <c r="G33" s="28" t="n"/>
      <c r="H33" s="28" t="n"/>
      <c r="I33" s="26" t="n"/>
      <c r="J33" s="27" t="n"/>
      <c r="K33" s="26" t="n"/>
      <c r="L33" s="26" t="n"/>
      <c r="M33" s="27" t="n"/>
      <c r="N33" s="27" t="n"/>
      <c r="O33" s="27" t="n"/>
      <c r="P33" s="27" t="inlineStr">
        <is>
          <t>IRAM 3517-2:2020 9.4.5</t>
        </is>
      </c>
      <c r="Q33" s="26" t="inlineStr">
        <is>
          <t>N</t>
        </is>
      </c>
      <c r="R33" s="26" t="inlineStr">
        <is>
          <t>FL_SUS_AGUA_10l</t>
        </is>
      </c>
      <c r="S33" s="27" t="inlineStr">
        <is>
          <t>Unitario: el tamaño del parque de sustitutos se dimensiona aparte</t>
        </is>
      </c>
    </row>
    <row r="34">
      <c r="A34" s="29" t="inlineStr">
        <is>
          <t>FL_SUS_AGUA_10l</t>
        </is>
      </c>
      <c r="B34" s="29" t="n">
        <v>1</v>
      </c>
      <c r="C34" s="29" t="inlineStr">
        <is>
          <t>FL_MAT_AGUA_10l</t>
        </is>
      </c>
      <c r="D34" s="30" t="inlineStr">
        <is>
          <t xml:space="preserve">    Extintor base: Extintor Agua 10 l (mismo modelo)</t>
        </is>
      </c>
      <c r="E34" s="29" t="n">
        <v>1</v>
      </c>
      <c r="F34" s="29" t="inlineStr">
        <is>
          <t>u</t>
        </is>
      </c>
      <c r="G34" s="31" t="n"/>
      <c r="H34" s="31" t="n"/>
      <c r="I34" s="29" t="n"/>
      <c r="J34" s="30" t="n"/>
      <c r="K34" s="29" t="inlineStr">
        <is>
          <t>Stock FLAMA (comprado terminado)</t>
        </is>
      </c>
      <c r="L34" s="29" t="inlineStr">
        <is>
          <t>No</t>
        </is>
      </c>
      <c r="M34" s="30" t="n"/>
      <c r="N34" s="30" t="n"/>
      <c r="O34" s="30" t="n"/>
      <c r="P34" s="30" t="inlineStr">
        <is>
          <t>IRAM 3517-2:2020 9.4.5</t>
        </is>
      </c>
      <c r="Q34" s="29" t="inlineStr">
        <is>
          <t>N</t>
        </is>
      </c>
      <c r="R34" s="29" t="inlineStr">
        <is>
          <t>FL_SUS_AGUA_10l</t>
        </is>
      </c>
      <c r="S34" s="30" t="inlineStr">
        <is>
          <t>Igual clasificación y capacidad; mantenimiento vigente. BOM: hoja FL_MAT_AGUA_10l · No entra en MRP del kit: es demanda del producto FL_MAT (stock)</t>
        </is>
      </c>
    </row>
    <row r="35">
      <c r="A35" s="29" t="inlineStr">
        <is>
          <t>FL_SUS_AGUA_10l</t>
        </is>
      </c>
      <c r="B35" s="29" t="n">
        <v>1</v>
      </c>
      <c r="C35" s="29" t="inlineStr">
        <is>
          <t>SUS-AGUA_10l-K</t>
        </is>
      </c>
      <c r="D35" s="30" t="inlineStr">
        <is>
          <t xml:space="preserve">    Identificación de extintor sustituto</t>
        </is>
      </c>
      <c r="E35" s="29" t="n">
        <v>1</v>
      </c>
      <c r="F35" s="29" t="inlineStr">
        <is>
          <t>u</t>
        </is>
      </c>
      <c r="G35" s="31" t="n"/>
      <c r="H35" s="31" t="n"/>
      <c r="I35" s="29" t="n"/>
      <c r="J35" s="30" t="n"/>
      <c r="K35" s="29" t="inlineStr">
        <is>
          <t>Compra</t>
        </is>
      </c>
      <c r="L35" s="29" t="n"/>
      <c r="M35" s="30" t="n"/>
      <c r="N35" s="30" t="n"/>
      <c r="O35" s="30" t="n"/>
      <c r="P35" s="30" t="n"/>
      <c r="Q35" s="29" t="inlineStr">
        <is>
          <t>N</t>
        </is>
      </c>
      <c r="R35" s="29" t="inlineStr">
        <is>
          <t>FL_SUS_AGUA_10l</t>
        </is>
      </c>
      <c r="S35" s="30" t="n"/>
    </row>
    <row r="36">
      <c r="A36" s="32" t="inlineStr">
        <is>
          <t>FL_SUS_AGUA_10l</t>
        </is>
      </c>
      <c r="B36" s="32" t="n">
        <v>2</v>
      </c>
      <c r="C36" s="32" t="inlineStr">
        <is>
          <t>SUS-AGUA_10l-01</t>
        </is>
      </c>
      <c r="D36" s="17" t="inlineStr">
        <is>
          <t xml:space="preserve">        Faja amarilla de sustituto en la pollera (3 leyendas)</t>
        </is>
      </c>
      <c r="E36" s="32" t="n">
        <v>1</v>
      </c>
      <c r="F36" s="32" t="inlineStr">
        <is>
          <t>u</t>
        </is>
      </c>
      <c r="G36" s="33" t="n"/>
      <c r="H36" s="33" t="n"/>
      <c r="I36" s="32" t="inlineStr">
        <is>
          <t>Cinta vinílica autoadhesiva amarilla</t>
        </is>
      </c>
      <c r="J36" s="17" t="inlineStr">
        <is>
          <t>40 × 617 (alto ≤ 40; perímetro + 20 de solape)</t>
        </is>
      </c>
      <c r="K36" s="32" t="inlineStr">
        <is>
          <t>Compra</t>
        </is>
      </c>
      <c r="L36" s="32" t="inlineStr">
        <is>
          <t>Sí</t>
        </is>
      </c>
      <c r="M36" s="17" t="inlineStr">
        <is>
          <t>Astuprint</t>
        </is>
      </c>
      <c r="N36" s="17" t="inlineStr">
        <is>
          <t>Multilabel Argentina S.A.</t>
        </is>
      </c>
      <c r="O36" s="17" t="n"/>
      <c r="P36" s="17" t="inlineStr">
        <is>
          <t>IRAM 3517-2:2020 9.4.5 b)</t>
        </is>
      </c>
      <c r="Q36" s="32" t="inlineStr">
        <is>
          <t>N</t>
        </is>
      </c>
      <c r="R36" s="32" t="inlineStr">
        <is>
          <t>FL_SUS_AGUA_10l</t>
        </is>
      </c>
      <c r="S36" s="17" t="inlineStr">
        <is>
          <t>Leyendas: extintor sustituto / reemplaza al equipo de este puesto en mantenimiento o recarga / FLAMA S.A. (datos y logo). Proveedor a cotizar</t>
        </is>
      </c>
    </row>
    <row r="37">
      <c r="A37" s="32" t="inlineStr">
        <is>
          <t>FL_SUS_AGUA_10l</t>
        </is>
      </c>
      <c r="B37" s="32" t="n">
        <v>2</v>
      </c>
      <c r="C37" s="32" t="inlineStr">
        <is>
          <t>SUS-AGUA_10l-02</t>
        </is>
      </c>
      <c r="D37" s="17" t="inlineStr">
        <is>
          <t xml:space="preserve">        Tarjeta de identificación DPS con sello «SUSTITUTO HABILITADO»</t>
        </is>
      </c>
      <c r="E37" s="32" t="n">
        <v>1</v>
      </c>
      <c r="F37" s="32" t="inlineStr">
        <is>
          <t>u</t>
        </is>
      </c>
      <c r="G37" s="33" t="n"/>
      <c r="H37" s="33" t="n"/>
      <c r="I37" s="32" t="inlineStr">
        <is>
          <t>Tarjeta oficial DPS (PBA)</t>
        </is>
      </c>
      <c r="J37" s="17" t="inlineStr">
        <is>
          <t>formato oficial</t>
        </is>
      </c>
      <c r="K37" s="32" t="inlineStr">
        <is>
          <t>Compra (organismo)</t>
        </is>
      </c>
      <c r="L37" s="32" t="inlineStr">
        <is>
          <t>Sí</t>
        </is>
      </c>
      <c r="M37" s="17" t="inlineStr">
        <is>
          <t>Ministerio de Ambiente PBA (ex OPDS)</t>
        </is>
      </c>
      <c r="N37" s="17" t="inlineStr">
        <is>
          <t>-</t>
        </is>
      </c>
      <c r="O37" s="17" t="n"/>
      <c r="P37" s="17" t="inlineStr">
        <is>
          <t>Res. 349/07 art. 32</t>
        </is>
      </c>
      <c r="Q37" s="32" t="inlineStr">
        <is>
          <t>N</t>
        </is>
      </c>
      <c r="R37" s="32" t="inlineStr">
        <is>
          <t>FL_SUS_AGUA_10l</t>
        </is>
      </c>
      <c r="S37" s="17" t="inlineStr">
        <is>
          <t>Sólo PBA; reutilizable en cada revisión de carga; n° del extintor asentado en el libro de actas</t>
        </is>
      </c>
    </row>
    <row r="38">
      <c r="A38" s="32" t="inlineStr">
        <is>
          <t>FL_SUS_AGUA_10l</t>
        </is>
      </c>
      <c r="B38" s="32" t="n">
        <v>2</v>
      </c>
      <c r="C38" s="32" t="inlineStr">
        <is>
          <t>SUS-AGUA_10l-03</t>
        </is>
      </c>
      <c r="D38" s="17" t="inlineStr">
        <is>
          <t xml:space="preserve">        Tarjeta AGC con «Es sustituto» (sin domicilio de instalación)</t>
        </is>
      </c>
      <c r="E38" s="32" t="n">
        <v>1</v>
      </c>
      <c r="F38" s="32" t="inlineStr">
        <is>
          <t>u</t>
        </is>
      </c>
      <c r="G38" s="33" t="n"/>
      <c r="H38" s="33" t="n"/>
      <c r="I38" s="32" t="inlineStr">
        <is>
          <t>Etiqueta autoadhesiva AGC</t>
        </is>
      </c>
      <c r="J38" s="17" t="inlineStr">
        <is>
          <t>formato oficial</t>
        </is>
      </c>
      <c r="K38" s="32" t="inlineStr">
        <is>
          <t>Compra (organismo)</t>
        </is>
      </c>
      <c r="L38" s="32" t="inlineStr">
        <is>
          <t>Sí</t>
        </is>
      </c>
      <c r="M38" s="17" t="inlineStr">
        <is>
          <t>Agencia Gubernamental de Control (CABA)</t>
        </is>
      </c>
      <c r="N38" s="17" t="inlineStr">
        <is>
          <t>-</t>
        </is>
      </c>
      <c r="O38" s="17" t="n"/>
      <c r="P38" s="17" t="inlineStr">
        <is>
          <t>Res. AGC 32/15 anexo II</t>
        </is>
      </c>
      <c r="Q38" s="32" t="inlineStr">
        <is>
          <t>N</t>
        </is>
      </c>
      <c r="R38" s="32" t="inlineStr">
        <is>
          <t>FL_SUS_AGUA_10l</t>
        </is>
      </c>
      <c r="S38" s="17" t="inlineStr">
        <is>
          <t>Sólo CABA</t>
        </is>
      </c>
    </row>
    <row r="39">
      <c r="A39" s="32" t="inlineStr">
        <is>
          <t>FL_SUS_AGUA_10l</t>
        </is>
      </c>
      <c r="B39" s="32" t="n">
        <v>2</v>
      </c>
      <c r="C39" s="32" t="inlineStr">
        <is>
          <t>SUS-AGUA_10l-04</t>
        </is>
      </c>
      <c r="D39" s="17" t="inlineStr">
        <is>
          <t xml:space="preserve">        Remito de préstamo con membrete (n° de extintor, puesto, equipo retirado, fechas)</t>
        </is>
      </c>
      <c r="E39" s="32" t="n">
        <v>1</v>
      </c>
      <c r="F39" s="32" t="inlineStr">
        <is>
          <t>u/préstamo</t>
        </is>
      </c>
      <c r="G39" s="33" t="n"/>
      <c r="H39" s="33" t="n"/>
      <c r="I39" s="32" t="inlineStr">
        <is>
          <t>Papel</t>
        </is>
      </c>
      <c r="J39" s="17" t="inlineStr">
        <is>
          <t>A5 duplicado</t>
        </is>
      </c>
      <c r="K39" s="32" t="inlineStr">
        <is>
          <t>Compra</t>
        </is>
      </c>
      <c r="L39" s="32" t="inlineStr">
        <is>
          <t>Sí</t>
        </is>
      </c>
      <c r="M39" s="17" t="inlineStr">
        <is>
          <t>Astuprint</t>
        </is>
      </c>
      <c r="N39" s="17" t="inlineStr">
        <is>
          <t>-</t>
        </is>
      </c>
      <c r="O39" s="17" t="n"/>
      <c r="P39" s="17" t="n"/>
      <c r="Q39" s="32" t="inlineStr">
        <is>
          <t>I</t>
        </is>
      </c>
      <c r="R39" s="32" t="inlineStr">
        <is>
          <t>FL_SUS_AGUA_10l</t>
        </is>
      </c>
      <c r="S39" s="17" t="inlineStr">
        <is>
          <t>Práctica de mercado relevada (Fullmat, Rodo, Eversafe)</t>
        </is>
      </c>
    </row>
    <row r="40">
      <c r="A40" s="26" t="inlineStr">
        <is>
          <t>FL_SUS_AFFF_10l</t>
        </is>
      </c>
      <c r="B40" s="26" t="n">
        <v>0</v>
      </c>
      <c r="C40" s="26" t="inlineStr">
        <is>
          <t>FL_SUS_AFFF_10l</t>
        </is>
      </c>
      <c r="D40" s="27" t="inlineStr">
        <is>
          <t>Extintor sustituto para Extintor AFFF 10 l</t>
        </is>
      </c>
      <c r="E40" s="26" t="n">
        <v>1</v>
      </c>
      <c r="F40" s="26" t="inlineStr">
        <is>
          <t>u</t>
        </is>
      </c>
      <c r="G40" s="28" t="n"/>
      <c r="H40" s="28" t="n"/>
      <c r="I40" s="26" t="n"/>
      <c r="J40" s="27" t="n"/>
      <c r="K40" s="26" t="n"/>
      <c r="L40" s="26" t="n"/>
      <c r="M40" s="27" t="n"/>
      <c r="N40" s="27" t="n"/>
      <c r="O40" s="27" t="n"/>
      <c r="P40" s="27" t="inlineStr">
        <is>
          <t>IRAM 3517-2:2020 9.4.5</t>
        </is>
      </c>
      <c r="Q40" s="26" t="inlineStr">
        <is>
          <t>N</t>
        </is>
      </c>
      <c r="R40" s="26" t="inlineStr">
        <is>
          <t>FL_SUS_AFFF_10l</t>
        </is>
      </c>
      <c r="S40" s="27" t="inlineStr">
        <is>
          <t>Unitario: el tamaño del parque de sustitutos se dimensiona aparte</t>
        </is>
      </c>
    </row>
    <row r="41">
      <c r="A41" s="29" t="inlineStr">
        <is>
          <t>FL_SUS_AFFF_10l</t>
        </is>
      </c>
      <c r="B41" s="29" t="n">
        <v>1</v>
      </c>
      <c r="C41" s="29" t="inlineStr">
        <is>
          <t>FL_MAT_AFFF_10l</t>
        </is>
      </c>
      <c r="D41" s="30" t="inlineStr">
        <is>
          <t xml:space="preserve">    Extintor base: Extintor AFFF 10 l (mismo modelo)</t>
        </is>
      </c>
      <c r="E41" s="29" t="n">
        <v>1</v>
      </c>
      <c r="F41" s="29" t="inlineStr">
        <is>
          <t>u</t>
        </is>
      </c>
      <c r="G41" s="31" t="n"/>
      <c r="H41" s="31" t="n"/>
      <c r="I41" s="29" t="n"/>
      <c r="J41" s="30" t="n"/>
      <c r="K41" s="29" t="inlineStr">
        <is>
          <t>Stock FLAMA (comprado terminado)</t>
        </is>
      </c>
      <c r="L41" s="29" t="inlineStr">
        <is>
          <t>No</t>
        </is>
      </c>
      <c r="M41" s="30" t="n"/>
      <c r="N41" s="30" t="n"/>
      <c r="O41" s="30" t="n"/>
      <c r="P41" s="30" t="inlineStr">
        <is>
          <t>IRAM 3517-2:2020 9.4.5</t>
        </is>
      </c>
      <c r="Q41" s="29" t="inlineStr">
        <is>
          <t>N</t>
        </is>
      </c>
      <c r="R41" s="29" t="inlineStr">
        <is>
          <t>FL_SUS_AFFF_10l</t>
        </is>
      </c>
      <c r="S41" s="30" t="inlineStr">
        <is>
          <t>Igual clasificación y capacidad; mantenimiento vigente. BOM: hoja FL_MAT_AFFF_10l · No entra en MRP del kit: es demanda del producto FL_MAT (stock)</t>
        </is>
      </c>
    </row>
    <row r="42">
      <c r="A42" s="29" t="inlineStr">
        <is>
          <t>FL_SUS_AFFF_10l</t>
        </is>
      </c>
      <c r="B42" s="29" t="n">
        <v>1</v>
      </c>
      <c r="C42" s="29" t="inlineStr">
        <is>
          <t>SUS-AFFF_10l-K</t>
        </is>
      </c>
      <c r="D42" s="30" t="inlineStr">
        <is>
          <t xml:space="preserve">    Identificación de extintor sustituto</t>
        </is>
      </c>
      <c r="E42" s="29" t="n">
        <v>1</v>
      </c>
      <c r="F42" s="29" t="inlineStr">
        <is>
          <t>u</t>
        </is>
      </c>
      <c r="G42" s="31" t="n"/>
      <c r="H42" s="31" t="n"/>
      <c r="I42" s="29" t="n"/>
      <c r="J42" s="30" t="n"/>
      <c r="K42" s="29" t="inlineStr">
        <is>
          <t>Compra</t>
        </is>
      </c>
      <c r="L42" s="29" t="n"/>
      <c r="M42" s="30" t="n"/>
      <c r="N42" s="30" t="n"/>
      <c r="O42" s="30" t="n"/>
      <c r="P42" s="30" t="n"/>
      <c r="Q42" s="29" t="inlineStr">
        <is>
          <t>N</t>
        </is>
      </c>
      <c r="R42" s="29" t="inlineStr">
        <is>
          <t>FL_SUS_AFFF_10l</t>
        </is>
      </c>
      <c r="S42" s="30" t="n"/>
    </row>
    <row r="43">
      <c r="A43" s="32" t="inlineStr">
        <is>
          <t>FL_SUS_AFFF_10l</t>
        </is>
      </c>
      <c r="B43" s="32" t="n">
        <v>2</v>
      </c>
      <c r="C43" s="32" t="inlineStr">
        <is>
          <t>SUS-AFFF_10l-01</t>
        </is>
      </c>
      <c r="D43" s="17" t="inlineStr">
        <is>
          <t xml:space="preserve">        Faja amarilla de sustituto en la pollera (3 leyendas)</t>
        </is>
      </c>
      <c r="E43" s="32" t="n">
        <v>1</v>
      </c>
      <c r="F43" s="32" t="inlineStr">
        <is>
          <t>u</t>
        </is>
      </c>
      <c r="G43" s="33" t="n"/>
      <c r="H43" s="33" t="n"/>
      <c r="I43" s="32" t="inlineStr">
        <is>
          <t>Cinta vinílica autoadhesiva amarilla</t>
        </is>
      </c>
      <c r="J43" s="17" t="inlineStr">
        <is>
          <t>40 × 617 (alto ≤ 40; perímetro + 20 de solape)</t>
        </is>
      </c>
      <c r="K43" s="32" t="inlineStr">
        <is>
          <t>Compra</t>
        </is>
      </c>
      <c r="L43" s="32" t="inlineStr">
        <is>
          <t>Sí</t>
        </is>
      </c>
      <c r="M43" s="17" t="inlineStr">
        <is>
          <t>Astuprint</t>
        </is>
      </c>
      <c r="N43" s="17" t="inlineStr">
        <is>
          <t>Multilabel Argentina S.A.</t>
        </is>
      </c>
      <c r="O43" s="17" t="n"/>
      <c r="P43" s="17" t="inlineStr">
        <is>
          <t>IRAM 3517-2:2020 9.4.5 b)</t>
        </is>
      </c>
      <c r="Q43" s="32" t="inlineStr">
        <is>
          <t>N</t>
        </is>
      </c>
      <c r="R43" s="32" t="inlineStr">
        <is>
          <t>FL_SUS_AFFF_10l</t>
        </is>
      </c>
      <c r="S43" s="17" t="inlineStr">
        <is>
          <t>Leyendas: extintor sustituto / reemplaza al equipo de este puesto en mantenimiento o recarga / FLAMA S.A. (datos y logo). Proveedor a cotizar</t>
        </is>
      </c>
    </row>
    <row r="44">
      <c r="A44" s="32" t="inlineStr">
        <is>
          <t>FL_SUS_AFFF_10l</t>
        </is>
      </c>
      <c r="B44" s="32" t="n">
        <v>2</v>
      </c>
      <c r="C44" s="32" t="inlineStr">
        <is>
          <t>SUS-AFFF_10l-02</t>
        </is>
      </c>
      <c r="D44" s="17" t="inlineStr">
        <is>
          <t xml:space="preserve">        Tarjeta de identificación DPS con sello «SUSTITUTO HABILITADO»</t>
        </is>
      </c>
      <c r="E44" s="32" t="n">
        <v>1</v>
      </c>
      <c r="F44" s="32" t="inlineStr">
        <is>
          <t>u</t>
        </is>
      </c>
      <c r="G44" s="33" t="n"/>
      <c r="H44" s="33" t="n"/>
      <c r="I44" s="32" t="inlineStr">
        <is>
          <t>Tarjeta oficial DPS (PBA)</t>
        </is>
      </c>
      <c r="J44" s="17" t="inlineStr">
        <is>
          <t>formato oficial</t>
        </is>
      </c>
      <c r="K44" s="32" t="inlineStr">
        <is>
          <t>Compra (organismo)</t>
        </is>
      </c>
      <c r="L44" s="32" t="inlineStr">
        <is>
          <t>Sí</t>
        </is>
      </c>
      <c r="M44" s="17" t="inlineStr">
        <is>
          <t>Ministerio de Ambiente PBA (ex OPDS)</t>
        </is>
      </c>
      <c r="N44" s="17" t="inlineStr">
        <is>
          <t>-</t>
        </is>
      </c>
      <c r="O44" s="17" t="n"/>
      <c r="P44" s="17" t="inlineStr">
        <is>
          <t>Res. 349/07 art. 32</t>
        </is>
      </c>
      <c r="Q44" s="32" t="inlineStr">
        <is>
          <t>N</t>
        </is>
      </c>
      <c r="R44" s="32" t="inlineStr">
        <is>
          <t>FL_SUS_AFFF_10l</t>
        </is>
      </c>
      <c r="S44" s="17" t="inlineStr">
        <is>
          <t>Sólo PBA; reutilizable en cada revisión de carga; n° del extintor asentado en el libro de actas</t>
        </is>
      </c>
    </row>
    <row r="45">
      <c r="A45" s="32" t="inlineStr">
        <is>
          <t>FL_SUS_AFFF_10l</t>
        </is>
      </c>
      <c r="B45" s="32" t="n">
        <v>2</v>
      </c>
      <c r="C45" s="32" t="inlineStr">
        <is>
          <t>SUS-AFFF_10l-03</t>
        </is>
      </c>
      <c r="D45" s="17" t="inlineStr">
        <is>
          <t xml:space="preserve">        Tarjeta AGC con «Es sustituto» (sin domicilio de instalación)</t>
        </is>
      </c>
      <c r="E45" s="32" t="n">
        <v>1</v>
      </c>
      <c r="F45" s="32" t="inlineStr">
        <is>
          <t>u</t>
        </is>
      </c>
      <c r="G45" s="33" t="n"/>
      <c r="H45" s="33" t="n"/>
      <c r="I45" s="32" t="inlineStr">
        <is>
          <t>Etiqueta autoadhesiva AGC</t>
        </is>
      </c>
      <c r="J45" s="17" t="inlineStr">
        <is>
          <t>formato oficial</t>
        </is>
      </c>
      <c r="K45" s="32" t="inlineStr">
        <is>
          <t>Compra (organismo)</t>
        </is>
      </c>
      <c r="L45" s="32" t="inlineStr">
        <is>
          <t>Sí</t>
        </is>
      </c>
      <c r="M45" s="17" t="inlineStr">
        <is>
          <t>Agencia Gubernamental de Control (CABA)</t>
        </is>
      </c>
      <c r="N45" s="17" t="inlineStr">
        <is>
          <t>-</t>
        </is>
      </c>
      <c r="O45" s="17" t="n"/>
      <c r="P45" s="17" t="inlineStr">
        <is>
          <t>Res. AGC 32/15 anexo II</t>
        </is>
      </c>
      <c r="Q45" s="32" t="inlineStr">
        <is>
          <t>N</t>
        </is>
      </c>
      <c r="R45" s="32" t="inlineStr">
        <is>
          <t>FL_SUS_AFFF_10l</t>
        </is>
      </c>
      <c r="S45" s="17" t="inlineStr">
        <is>
          <t>Sólo CABA</t>
        </is>
      </c>
    </row>
    <row r="46">
      <c r="A46" s="32" t="inlineStr">
        <is>
          <t>FL_SUS_AFFF_10l</t>
        </is>
      </c>
      <c r="B46" s="32" t="n">
        <v>2</v>
      </c>
      <c r="C46" s="32" t="inlineStr">
        <is>
          <t>SUS-AFFF_10l-04</t>
        </is>
      </c>
      <c r="D46" s="17" t="inlineStr">
        <is>
          <t xml:space="preserve">        Remito de préstamo con membrete (n° de extintor, puesto, equipo retirado, fechas)</t>
        </is>
      </c>
      <c r="E46" s="32" t="n">
        <v>1</v>
      </c>
      <c r="F46" s="32" t="inlineStr">
        <is>
          <t>u/préstamo</t>
        </is>
      </c>
      <c r="G46" s="33" t="n"/>
      <c r="H46" s="33" t="n"/>
      <c r="I46" s="32" t="inlineStr">
        <is>
          <t>Papel</t>
        </is>
      </c>
      <c r="J46" s="17" t="inlineStr">
        <is>
          <t>A5 duplicado</t>
        </is>
      </c>
      <c r="K46" s="32" t="inlineStr">
        <is>
          <t>Compra</t>
        </is>
      </c>
      <c r="L46" s="32" t="inlineStr">
        <is>
          <t>Sí</t>
        </is>
      </c>
      <c r="M46" s="17" t="inlineStr">
        <is>
          <t>Astuprint</t>
        </is>
      </c>
      <c r="N46" s="17" t="inlineStr">
        <is>
          <t>-</t>
        </is>
      </c>
      <c r="O46" s="17" t="n"/>
      <c r="P46" s="17" t="n"/>
      <c r="Q46" s="32" t="inlineStr">
        <is>
          <t>I</t>
        </is>
      </c>
      <c r="R46" s="32" t="inlineStr">
        <is>
          <t>FL_SUS_AFFF_10l</t>
        </is>
      </c>
      <c r="S46" s="17" t="inlineStr">
        <is>
          <t>Práctica de mercado relevada (Fullmat, Rodo, Eversafe)</t>
        </is>
      </c>
    </row>
    <row r="47">
      <c r="A47" s="26" t="inlineStr">
        <is>
          <t>FL_SUS_AFFF_50l</t>
        </is>
      </c>
      <c r="B47" s="26" t="n">
        <v>0</v>
      </c>
      <c r="C47" s="26" t="inlineStr">
        <is>
          <t>FL_SUS_AFFF_50l</t>
        </is>
      </c>
      <c r="D47" s="27" t="inlineStr">
        <is>
          <t>Extintor sustituto para Extintor AFFF 50 l sobre ruedas</t>
        </is>
      </c>
      <c r="E47" s="26" t="n">
        <v>1</v>
      </c>
      <c r="F47" s="26" t="inlineStr">
        <is>
          <t>u</t>
        </is>
      </c>
      <c r="G47" s="28" t="n"/>
      <c r="H47" s="28" t="n"/>
      <c r="I47" s="26" t="n"/>
      <c r="J47" s="27" t="n"/>
      <c r="K47" s="26" t="n"/>
      <c r="L47" s="26" t="n"/>
      <c r="M47" s="27" t="n"/>
      <c r="N47" s="27" t="n"/>
      <c r="O47" s="27" t="n"/>
      <c r="P47" s="27" t="inlineStr">
        <is>
          <t>IRAM 3517-2:2020 9.4.5</t>
        </is>
      </c>
      <c r="Q47" s="26" t="inlineStr">
        <is>
          <t>N</t>
        </is>
      </c>
      <c r="R47" s="26" t="inlineStr">
        <is>
          <t>FL_SUS_AFFF_50l</t>
        </is>
      </c>
      <c r="S47" s="27" t="inlineStr">
        <is>
          <t>Unitario: el tamaño del parque de sustitutos se dimensiona aparte</t>
        </is>
      </c>
    </row>
    <row r="48">
      <c r="A48" s="29" t="inlineStr">
        <is>
          <t>FL_SUS_AFFF_50l</t>
        </is>
      </c>
      <c r="B48" s="29" t="n">
        <v>1</v>
      </c>
      <c r="C48" s="29" t="inlineStr">
        <is>
          <t>FL_MAT_AFFF_50l</t>
        </is>
      </c>
      <c r="D48" s="30" t="inlineStr">
        <is>
          <t xml:space="preserve">    Extintor base: Extintor AFFF 50 l sobre ruedas (mismo modelo)</t>
        </is>
      </c>
      <c r="E48" s="29" t="n">
        <v>1</v>
      </c>
      <c r="F48" s="29" t="inlineStr">
        <is>
          <t>u</t>
        </is>
      </c>
      <c r="G48" s="31" t="n"/>
      <c r="H48" s="31" t="n"/>
      <c r="I48" s="29" t="n"/>
      <c r="J48" s="30" t="n"/>
      <c r="K48" s="29" t="inlineStr">
        <is>
          <t>Stock FLAMA (comprado terminado)</t>
        </is>
      </c>
      <c r="L48" s="29" t="inlineStr">
        <is>
          <t>No</t>
        </is>
      </c>
      <c r="M48" s="30" t="n"/>
      <c r="N48" s="30" t="n"/>
      <c r="O48" s="30" t="n"/>
      <c r="P48" s="30" t="inlineStr">
        <is>
          <t>IRAM 3517-2:2020 9.4.5</t>
        </is>
      </c>
      <c r="Q48" s="29" t="inlineStr">
        <is>
          <t>N</t>
        </is>
      </c>
      <c r="R48" s="29" t="inlineStr">
        <is>
          <t>FL_SUS_AFFF_50l</t>
        </is>
      </c>
      <c r="S48" s="30" t="inlineStr">
        <is>
          <t>Igual clasificación y capacidad; mantenimiento vigente. BOM: hoja FL_MAT_AFFF_50l · No entra en MRP del kit: es demanda del producto FL_MAT (stock)</t>
        </is>
      </c>
    </row>
    <row r="49">
      <c r="A49" s="29" t="inlineStr">
        <is>
          <t>FL_SUS_AFFF_50l</t>
        </is>
      </c>
      <c r="B49" s="29" t="n">
        <v>1</v>
      </c>
      <c r="C49" s="29" t="inlineStr">
        <is>
          <t>SUS-AFFF_50l-K</t>
        </is>
      </c>
      <c r="D49" s="30" t="inlineStr">
        <is>
          <t xml:space="preserve">    Identificación de extintor sustituto</t>
        </is>
      </c>
      <c r="E49" s="29" t="n">
        <v>1</v>
      </c>
      <c r="F49" s="29" t="inlineStr">
        <is>
          <t>u</t>
        </is>
      </c>
      <c r="G49" s="31" t="n"/>
      <c r="H49" s="31" t="n"/>
      <c r="I49" s="29" t="n"/>
      <c r="J49" s="30" t="n"/>
      <c r="K49" s="29" t="inlineStr">
        <is>
          <t>Compra</t>
        </is>
      </c>
      <c r="L49" s="29" t="n"/>
      <c r="M49" s="30" t="n"/>
      <c r="N49" s="30" t="n"/>
      <c r="O49" s="30" t="n"/>
      <c r="P49" s="30" t="n"/>
      <c r="Q49" s="29" t="inlineStr">
        <is>
          <t>N</t>
        </is>
      </c>
      <c r="R49" s="29" t="inlineStr">
        <is>
          <t>FL_SUS_AFFF_50l</t>
        </is>
      </c>
      <c r="S49" s="30" t="n"/>
    </row>
    <row r="50">
      <c r="A50" s="32" t="inlineStr">
        <is>
          <t>FL_SUS_AFFF_50l</t>
        </is>
      </c>
      <c r="B50" s="32" t="n">
        <v>2</v>
      </c>
      <c r="C50" s="32" t="inlineStr">
        <is>
          <t>SUS-AFFF_50l-01</t>
        </is>
      </c>
      <c r="D50" s="17" t="inlineStr">
        <is>
          <t xml:space="preserve">        Faja amarilla de sustituto en la pollera (3 leyendas)</t>
        </is>
      </c>
      <c r="E50" s="32" t="n">
        <v>1</v>
      </c>
      <c r="F50" s="32" t="inlineStr">
        <is>
          <t>u</t>
        </is>
      </c>
      <c r="G50" s="33" t="n"/>
      <c r="H50" s="33" t="n"/>
      <c r="I50" s="32" t="inlineStr">
        <is>
          <t>Cinta vinílica autoadhesiva amarilla</t>
        </is>
      </c>
      <c r="J50" s="17" t="inlineStr">
        <is>
          <t>40 × 1025 (alto ≤ 40; perímetro + 20 de solape)</t>
        </is>
      </c>
      <c r="K50" s="32" t="inlineStr">
        <is>
          <t>Compra</t>
        </is>
      </c>
      <c r="L50" s="32" t="inlineStr">
        <is>
          <t>Sí</t>
        </is>
      </c>
      <c r="M50" s="17" t="inlineStr">
        <is>
          <t>Astuprint</t>
        </is>
      </c>
      <c r="N50" s="17" t="inlineStr">
        <is>
          <t>Multilabel Argentina S.A.</t>
        </is>
      </c>
      <c r="O50" s="17" t="n"/>
      <c r="P50" s="17" t="inlineStr">
        <is>
          <t>IRAM 3517-2:2020 9.4.5 b)</t>
        </is>
      </c>
      <c r="Q50" s="32" t="inlineStr">
        <is>
          <t>N</t>
        </is>
      </c>
      <c r="R50" s="32" t="inlineStr">
        <is>
          <t>FL_SUS_AFFF_50l</t>
        </is>
      </c>
      <c r="S50" s="17" t="inlineStr">
        <is>
          <t>Leyendas: extintor sustituto / reemplaza al equipo de este puesto en mantenimiento o recarga / FLAMA S.A. (datos y logo). Proveedor a cotizar</t>
        </is>
      </c>
    </row>
    <row r="51">
      <c r="A51" s="32" t="inlineStr">
        <is>
          <t>FL_SUS_AFFF_50l</t>
        </is>
      </c>
      <c r="B51" s="32" t="n">
        <v>2</v>
      </c>
      <c r="C51" s="32" t="inlineStr">
        <is>
          <t>SUS-AFFF_50l-02</t>
        </is>
      </c>
      <c r="D51" s="17" t="inlineStr">
        <is>
          <t xml:space="preserve">        Tarjeta de identificación DPS con sello «SUSTITUTO HABILITADO»</t>
        </is>
      </c>
      <c r="E51" s="32" t="n">
        <v>1</v>
      </c>
      <c r="F51" s="32" t="inlineStr">
        <is>
          <t>u</t>
        </is>
      </c>
      <c r="G51" s="33" t="n"/>
      <c r="H51" s="33" t="n"/>
      <c r="I51" s="32" t="inlineStr">
        <is>
          <t>Tarjeta oficial DPS (PBA)</t>
        </is>
      </c>
      <c r="J51" s="17" t="inlineStr">
        <is>
          <t>formato oficial</t>
        </is>
      </c>
      <c r="K51" s="32" t="inlineStr">
        <is>
          <t>Compra (organismo)</t>
        </is>
      </c>
      <c r="L51" s="32" t="inlineStr">
        <is>
          <t>Sí</t>
        </is>
      </c>
      <c r="M51" s="17" t="inlineStr">
        <is>
          <t>Ministerio de Ambiente PBA (ex OPDS)</t>
        </is>
      </c>
      <c r="N51" s="17" t="inlineStr">
        <is>
          <t>-</t>
        </is>
      </c>
      <c r="O51" s="17" t="n"/>
      <c r="P51" s="17" t="inlineStr">
        <is>
          <t>Res. 349/07 art. 32</t>
        </is>
      </c>
      <c r="Q51" s="32" t="inlineStr">
        <is>
          <t>N</t>
        </is>
      </c>
      <c r="R51" s="32" t="inlineStr">
        <is>
          <t>FL_SUS_AFFF_50l</t>
        </is>
      </c>
      <c r="S51" s="17" t="inlineStr">
        <is>
          <t>Sólo PBA; reutilizable en cada revisión de carga; n° del extintor asentado en el libro de actas</t>
        </is>
      </c>
    </row>
    <row r="52">
      <c r="A52" s="32" t="inlineStr">
        <is>
          <t>FL_SUS_AFFF_50l</t>
        </is>
      </c>
      <c r="B52" s="32" t="n">
        <v>2</v>
      </c>
      <c r="C52" s="32" t="inlineStr">
        <is>
          <t>SUS-AFFF_50l-03</t>
        </is>
      </c>
      <c r="D52" s="17" t="inlineStr">
        <is>
          <t xml:space="preserve">        Tarjeta AGC con «Es sustituto» (sin domicilio de instalación)</t>
        </is>
      </c>
      <c r="E52" s="32" t="n">
        <v>1</v>
      </c>
      <c r="F52" s="32" t="inlineStr">
        <is>
          <t>u</t>
        </is>
      </c>
      <c r="G52" s="33" t="n"/>
      <c r="H52" s="33" t="n"/>
      <c r="I52" s="32" t="inlineStr">
        <is>
          <t>Etiqueta autoadhesiva AGC</t>
        </is>
      </c>
      <c r="J52" s="17" t="inlineStr">
        <is>
          <t>formato oficial</t>
        </is>
      </c>
      <c r="K52" s="32" t="inlineStr">
        <is>
          <t>Compra (organismo)</t>
        </is>
      </c>
      <c r="L52" s="32" t="inlineStr">
        <is>
          <t>Sí</t>
        </is>
      </c>
      <c r="M52" s="17" t="inlineStr">
        <is>
          <t>Agencia Gubernamental de Control (CABA)</t>
        </is>
      </c>
      <c r="N52" s="17" t="inlineStr">
        <is>
          <t>-</t>
        </is>
      </c>
      <c r="O52" s="17" t="n"/>
      <c r="P52" s="17" t="inlineStr">
        <is>
          <t>Res. AGC 32/15 anexo II</t>
        </is>
      </c>
      <c r="Q52" s="32" t="inlineStr">
        <is>
          <t>N</t>
        </is>
      </c>
      <c r="R52" s="32" t="inlineStr">
        <is>
          <t>FL_SUS_AFFF_50l</t>
        </is>
      </c>
      <c r="S52" s="17" t="inlineStr">
        <is>
          <t>Sólo CABA</t>
        </is>
      </c>
    </row>
    <row r="53">
      <c r="A53" s="32" t="inlineStr">
        <is>
          <t>FL_SUS_AFFF_50l</t>
        </is>
      </c>
      <c r="B53" s="32" t="n">
        <v>2</v>
      </c>
      <c r="C53" s="32" t="inlineStr">
        <is>
          <t>SUS-AFFF_50l-04</t>
        </is>
      </c>
      <c r="D53" s="17" t="inlineStr">
        <is>
          <t xml:space="preserve">        Remito de préstamo con membrete (n° de extintor, puesto, equipo retirado, fechas)</t>
        </is>
      </c>
      <c r="E53" s="32" t="n">
        <v>1</v>
      </c>
      <c r="F53" s="32" t="inlineStr">
        <is>
          <t>u/préstamo</t>
        </is>
      </c>
      <c r="G53" s="33" t="n"/>
      <c r="H53" s="33" t="n"/>
      <c r="I53" s="32" t="inlineStr">
        <is>
          <t>Papel</t>
        </is>
      </c>
      <c r="J53" s="17" t="inlineStr">
        <is>
          <t>A5 duplicado</t>
        </is>
      </c>
      <c r="K53" s="32" t="inlineStr">
        <is>
          <t>Compra</t>
        </is>
      </c>
      <c r="L53" s="32" t="inlineStr">
        <is>
          <t>Sí</t>
        </is>
      </c>
      <c r="M53" s="17" t="inlineStr">
        <is>
          <t>Astuprint</t>
        </is>
      </c>
      <c r="N53" s="17" t="inlineStr">
        <is>
          <t>-</t>
        </is>
      </c>
      <c r="O53" s="17" t="n"/>
      <c r="P53" s="17" t="n"/>
      <c r="Q53" s="32" t="inlineStr">
        <is>
          <t>I</t>
        </is>
      </c>
      <c r="R53" s="32" t="inlineStr">
        <is>
          <t>FL_SUS_AFFF_50l</t>
        </is>
      </c>
      <c r="S53" s="17" t="inlineStr">
        <is>
          <t>Práctica de mercado relevada (Fullmat, Rodo, Eversafe)</t>
        </is>
      </c>
    </row>
    <row r="54">
      <c r="A54" s="26" t="inlineStr">
        <is>
          <t>FL_SUS_BC_5kg</t>
        </is>
      </c>
      <c r="B54" s="26" t="n">
        <v>0</v>
      </c>
      <c r="C54" s="26" t="inlineStr">
        <is>
          <t>FL_SUS_BC_5kg</t>
        </is>
      </c>
      <c r="D54" s="27" t="inlineStr">
        <is>
          <t>Extintor sustituto para Extintor BC 5 kg</t>
        </is>
      </c>
      <c r="E54" s="26" t="n">
        <v>1</v>
      </c>
      <c r="F54" s="26" t="inlineStr">
        <is>
          <t>u</t>
        </is>
      </c>
      <c r="G54" s="28" t="n"/>
      <c r="H54" s="28" t="n"/>
      <c r="I54" s="26" t="n"/>
      <c r="J54" s="27" t="n"/>
      <c r="K54" s="26" t="n"/>
      <c r="L54" s="26" t="n"/>
      <c r="M54" s="27" t="n"/>
      <c r="N54" s="27" t="n"/>
      <c r="O54" s="27" t="n"/>
      <c r="P54" s="27" t="inlineStr">
        <is>
          <t>IRAM 3517-2:2020 9.4.5</t>
        </is>
      </c>
      <c r="Q54" s="26" t="inlineStr">
        <is>
          <t>N</t>
        </is>
      </c>
      <c r="R54" s="26" t="inlineStr">
        <is>
          <t>FL_SUS_BC_5kg</t>
        </is>
      </c>
      <c r="S54" s="27" t="inlineStr">
        <is>
          <t>Unitario: el tamaño del parque de sustitutos se dimensiona aparte</t>
        </is>
      </c>
    </row>
    <row r="55">
      <c r="A55" s="29" t="inlineStr">
        <is>
          <t>FL_SUS_BC_5kg</t>
        </is>
      </c>
      <c r="B55" s="29" t="n">
        <v>1</v>
      </c>
      <c r="C55" s="29" t="inlineStr">
        <is>
          <t>FL_MAT_BC_5kg</t>
        </is>
      </c>
      <c r="D55" s="30" t="inlineStr">
        <is>
          <t xml:space="preserve">    Extintor base: Extintor BC 5 kg (mismo modelo)</t>
        </is>
      </c>
      <c r="E55" s="29" t="n">
        <v>1</v>
      </c>
      <c r="F55" s="29" t="inlineStr">
        <is>
          <t>u</t>
        </is>
      </c>
      <c r="G55" s="31" t="n"/>
      <c r="H55" s="31" t="n"/>
      <c r="I55" s="29" t="n"/>
      <c r="J55" s="30" t="n"/>
      <c r="K55" s="29" t="inlineStr">
        <is>
          <t>Stock FLAMA (comprado terminado)</t>
        </is>
      </c>
      <c r="L55" s="29" t="inlineStr">
        <is>
          <t>No</t>
        </is>
      </c>
      <c r="M55" s="30" t="n"/>
      <c r="N55" s="30" t="n"/>
      <c r="O55" s="30" t="n"/>
      <c r="P55" s="30" t="inlineStr">
        <is>
          <t>IRAM 3517-2:2020 9.4.5</t>
        </is>
      </c>
      <c r="Q55" s="29" t="inlineStr">
        <is>
          <t>N</t>
        </is>
      </c>
      <c r="R55" s="29" t="inlineStr">
        <is>
          <t>FL_SUS_BC_5kg</t>
        </is>
      </c>
      <c r="S55" s="30" t="inlineStr">
        <is>
          <t>Igual clasificación y capacidad; mantenimiento vigente. BOM: hoja FL_MAT_BC_5kg · No entra en MRP del kit: es demanda del producto FL_MAT (stock)</t>
        </is>
      </c>
    </row>
    <row r="56">
      <c r="A56" s="29" t="inlineStr">
        <is>
          <t>FL_SUS_BC_5kg</t>
        </is>
      </c>
      <c r="B56" s="29" t="n">
        <v>1</v>
      </c>
      <c r="C56" s="29" t="inlineStr">
        <is>
          <t>SUS-BC_5kg-K</t>
        </is>
      </c>
      <c r="D56" s="30" t="inlineStr">
        <is>
          <t xml:space="preserve">    Identificación de extintor sustituto</t>
        </is>
      </c>
      <c r="E56" s="29" t="n">
        <v>1</v>
      </c>
      <c r="F56" s="29" t="inlineStr">
        <is>
          <t>u</t>
        </is>
      </c>
      <c r="G56" s="31" t="n"/>
      <c r="H56" s="31" t="n"/>
      <c r="I56" s="29" t="n"/>
      <c r="J56" s="30" t="n"/>
      <c r="K56" s="29" t="inlineStr">
        <is>
          <t>Compra</t>
        </is>
      </c>
      <c r="L56" s="29" t="n"/>
      <c r="M56" s="30" t="n"/>
      <c r="N56" s="30" t="n"/>
      <c r="O56" s="30" t="n"/>
      <c r="P56" s="30" t="n"/>
      <c r="Q56" s="29" t="inlineStr">
        <is>
          <t>N</t>
        </is>
      </c>
      <c r="R56" s="29" t="inlineStr">
        <is>
          <t>FL_SUS_BC_5kg</t>
        </is>
      </c>
      <c r="S56" s="30" t="n"/>
    </row>
    <row r="57">
      <c r="A57" s="32" t="inlineStr">
        <is>
          <t>FL_SUS_BC_5kg</t>
        </is>
      </c>
      <c r="B57" s="32" t="n">
        <v>2</v>
      </c>
      <c r="C57" s="32" t="inlineStr">
        <is>
          <t>SUS-BC_5kg-01</t>
        </is>
      </c>
      <c r="D57" s="17" t="inlineStr">
        <is>
          <t xml:space="preserve">        Faja amarilla de sustituto en la pollera (3 leyendas)</t>
        </is>
      </c>
      <c r="E57" s="32" t="n">
        <v>1</v>
      </c>
      <c r="F57" s="32" t="inlineStr">
        <is>
          <t>u</t>
        </is>
      </c>
      <c r="G57" s="33" t="n"/>
      <c r="H57" s="33" t="n"/>
      <c r="I57" s="32" t="inlineStr">
        <is>
          <t>Cinta vinílica autoadhesiva amarilla</t>
        </is>
      </c>
      <c r="J57" s="17" t="inlineStr">
        <is>
          <t>40 × 501 (alto ≤ 40; perímetro + 20 de solape)</t>
        </is>
      </c>
      <c r="K57" s="32" t="inlineStr">
        <is>
          <t>Compra</t>
        </is>
      </c>
      <c r="L57" s="32" t="inlineStr">
        <is>
          <t>Sí</t>
        </is>
      </c>
      <c r="M57" s="17" t="inlineStr">
        <is>
          <t>Astuprint</t>
        </is>
      </c>
      <c r="N57" s="17" t="inlineStr">
        <is>
          <t>Multilabel Argentina S.A.</t>
        </is>
      </c>
      <c r="O57" s="17" t="n"/>
      <c r="P57" s="17" t="inlineStr">
        <is>
          <t>IRAM 3517-2:2020 9.4.5 b)</t>
        </is>
      </c>
      <c r="Q57" s="32" t="inlineStr">
        <is>
          <t>N</t>
        </is>
      </c>
      <c r="R57" s="32" t="inlineStr">
        <is>
          <t>FL_SUS_BC_5kg</t>
        </is>
      </c>
      <c r="S57" s="17" t="inlineStr">
        <is>
          <t>Leyendas: extintor sustituto / reemplaza al equipo de este puesto en mantenimiento o recarga / FLAMA S.A. (datos y logo). Proveedor a cotizar</t>
        </is>
      </c>
    </row>
    <row r="58">
      <c r="A58" s="32" t="inlineStr">
        <is>
          <t>FL_SUS_BC_5kg</t>
        </is>
      </c>
      <c r="B58" s="32" t="n">
        <v>2</v>
      </c>
      <c r="C58" s="32" t="inlineStr">
        <is>
          <t>SUS-BC_5kg-02</t>
        </is>
      </c>
      <c r="D58" s="17" t="inlineStr">
        <is>
          <t xml:space="preserve">        Tarjeta de identificación DPS con sello «SUSTITUTO HABILITADO»</t>
        </is>
      </c>
      <c r="E58" s="32" t="n">
        <v>1</v>
      </c>
      <c r="F58" s="32" t="inlineStr">
        <is>
          <t>u</t>
        </is>
      </c>
      <c r="G58" s="33" t="n"/>
      <c r="H58" s="33" t="n"/>
      <c r="I58" s="32" t="inlineStr">
        <is>
          <t>Tarjeta oficial DPS (PBA)</t>
        </is>
      </c>
      <c r="J58" s="17" t="inlineStr">
        <is>
          <t>formato oficial</t>
        </is>
      </c>
      <c r="K58" s="32" t="inlineStr">
        <is>
          <t>Compra (organismo)</t>
        </is>
      </c>
      <c r="L58" s="32" t="inlineStr">
        <is>
          <t>Sí</t>
        </is>
      </c>
      <c r="M58" s="17" t="inlineStr">
        <is>
          <t>Ministerio de Ambiente PBA (ex OPDS)</t>
        </is>
      </c>
      <c r="N58" s="17" t="inlineStr">
        <is>
          <t>-</t>
        </is>
      </c>
      <c r="O58" s="17" t="n"/>
      <c r="P58" s="17" t="inlineStr">
        <is>
          <t>Res. 349/07 art. 32</t>
        </is>
      </c>
      <c r="Q58" s="32" t="inlineStr">
        <is>
          <t>N</t>
        </is>
      </c>
      <c r="R58" s="32" t="inlineStr">
        <is>
          <t>FL_SUS_BC_5kg</t>
        </is>
      </c>
      <c r="S58" s="17" t="inlineStr">
        <is>
          <t>Sólo PBA; reutilizable en cada revisión de carga; n° del extintor asentado en el libro de actas</t>
        </is>
      </c>
    </row>
    <row r="59">
      <c r="A59" s="32" t="inlineStr">
        <is>
          <t>FL_SUS_BC_5kg</t>
        </is>
      </c>
      <c r="B59" s="32" t="n">
        <v>2</v>
      </c>
      <c r="C59" s="32" t="inlineStr">
        <is>
          <t>SUS-BC_5kg-03</t>
        </is>
      </c>
      <c r="D59" s="17" t="inlineStr">
        <is>
          <t xml:space="preserve">        Tarjeta AGC con «Es sustituto» (sin domicilio de instalación)</t>
        </is>
      </c>
      <c r="E59" s="32" t="n">
        <v>1</v>
      </c>
      <c r="F59" s="32" t="inlineStr">
        <is>
          <t>u</t>
        </is>
      </c>
      <c r="G59" s="33" t="n"/>
      <c r="H59" s="33" t="n"/>
      <c r="I59" s="32" t="inlineStr">
        <is>
          <t>Etiqueta autoadhesiva AGC</t>
        </is>
      </c>
      <c r="J59" s="17" t="inlineStr">
        <is>
          <t>formato oficial</t>
        </is>
      </c>
      <c r="K59" s="32" t="inlineStr">
        <is>
          <t>Compra (organismo)</t>
        </is>
      </c>
      <c r="L59" s="32" t="inlineStr">
        <is>
          <t>Sí</t>
        </is>
      </c>
      <c r="M59" s="17" t="inlineStr">
        <is>
          <t>Agencia Gubernamental de Control (CABA)</t>
        </is>
      </c>
      <c r="N59" s="17" t="inlineStr">
        <is>
          <t>-</t>
        </is>
      </c>
      <c r="O59" s="17" t="n"/>
      <c r="P59" s="17" t="inlineStr">
        <is>
          <t>Res. AGC 32/15 anexo II</t>
        </is>
      </c>
      <c r="Q59" s="32" t="inlineStr">
        <is>
          <t>N</t>
        </is>
      </c>
      <c r="R59" s="32" t="inlineStr">
        <is>
          <t>FL_SUS_BC_5kg</t>
        </is>
      </c>
      <c r="S59" s="17" t="inlineStr">
        <is>
          <t>Sólo CABA</t>
        </is>
      </c>
    </row>
    <row r="60">
      <c r="A60" s="32" t="inlineStr">
        <is>
          <t>FL_SUS_BC_5kg</t>
        </is>
      </c>
      <c r="B60" s="32" t="n">
        <v>2</v>
      </c>
      <c r="C60" s="32" t="inlineStr">
        <is>
          <t>SUS-BC_5kg-04</t>
        </is>
      </c>
      <c r="D60" s="17" t="inlineStr">
        <is>
          <t xml:space="preserve">        Remito de préstamo con membrete (n° de extintor, puesto, equipo retirado, fechas)</t>
        </is>
      </c>
      <c r="E60" s="32" t="n">
        <v>1</v>
      </c>
      <c r="F60" s="32" t="inlineStr">
        <is>
          <t>u/préstamo</t>
        </is>
      </c>
      <c r="G60" s="33" t="n"/>
      <c r="H60" s="33" t="n"/>
      <c r="I60" s="32" t="inlineStr">
        <is>
          <t>Papel</t>
        </is>
      </c>
      <c r="J60" s="17" t="inlineStr">
        <is>
          <t>A5 duplicado</t>
        </is>
      </c>
      <c r="K60" s="32" t="inlineStr">
        <is>
          <t>Compra</t>
        </is>
      </c>
      <c r="L60" s="32" t="inlineStr">
        <is>
          <t>Sí</t>
        </is>
      </c>
      <c r="M60" s="17" t="inlineStr">
        <is>
          <t>Astuprint</t>
        </is>
      </c>
      <c r="N60" s="17" t="inlineStr">
        <is>
          <t>-</t>
        </is>
      </c>
      <c r="O60" s="17" t="n"/>
      <c r="P60" s="17" t="n"/>
      <c r="Q60" s="32" t="inlineStr">
        <is>
          <t>I</t>
        </is>
      </c>
      <c r="R60" s="32" t="inlineStr">
        <is>
          <t>FL_SUS_BC_5kg</t>
        </is>
      </c>
      <c r="S60" s="17" t="inlineStr">
        <is>
          <t>Práctica de mercado relevada (Fullmat, Rodo, Eversafe)</t>
        </is>
      </c>
    </row>
    <row r="61">
      <c r="A61" s="26" t="inlineStr">
        <is>
          <t>FL_SUS_SALESK_6l</t>
        </is>
      </c>
      <c r="B61" s="26" t="n">
        <v>0</v>
      </c>
      <c r="C61" s="26" t="inlineStr">
        <is>
          <t>FL_SUS_SALESK_6l</t>
        </is>
      </c>
      <c r="D61" s="27" t="inlineStr">
        <is>
          <t>Extintor sustituto para Extintor Sales K 6 l</t>
        </is>
      </c>
      <c r="E61" s="26" t="n">
        <v>1</v>
      </c>
      <c r="F61" s="26" t="inlineStr">
        <is>
          <t>u</t>
        </is>
      </c>
      <c r="G61" s="28" t="n"/>
      <c r="H61" s="28" t="n"/>
      <c r="I61" s="26" t="n"/>
      <c r="J61" s="27" t="n"/>
      <c r="K61" s="26" t="n"/>
      <c r="L61" s="26" t="n"/>
      <c r="M61" s="27" t="n"/>
      <c r="N61" s="27" t="n"/>
      <c r="O61" s="27" t="n"/>
      <c r="P61" s="27" t="inlineStr">
        <is>
          <t>IRAM 3517-2:2020 9.4.5</t>
        </is>
      </c>
      <c r="Q61" s="26" t="inlineStr">
        <is>
          <t>N</t>
        </is>
      </c>
      <c r="R61" s="26" t="inlineStr">
        <is>
          <t>FL_SUS_SALESK_6l</t>
        </is>
      </c>
      <c r="S61" s="27" t="inlineStr">
        <is>
          <t>Unitario: el tamaño del parque de sustitutos se dimensiona aparte</t>
        </is>
      </c>
    </row>
    <row r="62">
      <c r="A62" s="29" t="inlineStr">
        <is>
          <t>FL_SUS_SALESK_6l</t>
        </is>
      </c>
      <c r="B62" s="29" t="n">
        <v>1</v>
      </c>
      <c r="C62" s="29" t="inlineStr">
        <is>
          <t>FL_MAT_SALESK_6l</t>
        </is>
      </c>
      <c r="D62" s="30" t="inlineStr">
        <is>
          <t xml:space="preserve">    Extintor base: Extintor Sales K 6 l (mismo modelo)</t>
        </is>
      </c>
      <c r="E62" s="29" t="n">
        <v>1</v>
      </c>
      <c r="F62" s="29" t="inlineStr">
        <is>
          <t>u</t>
        </is>
      </c>
      <c r="G62" s="31" t="n"/>
      <c r="H62" s="31" t="n"/>
      <c r="I62" s="29" t="n"/>
      <c r="J62" s="30" t="n"/>
      <c r="K62" s="29" t="inlineStr">
        <is>
          <t>Stock FLAMA (comprado terminado)</t>
        </is>
      </c>
      <c r="L62" s="29" t="inlineStr">
        <is>
          <t>No</t>
        </is>
      </c>
      <c r="M62" s="30" t="n"/>
      <c r="N62" s="30" t="n"/>
      <c r="O62" s="30" t="n"/>
      <c r="P62" s="30" t="inlineStr">
        <is>
          <t>IRAM 3517-2:2020 9.4.5</t>
        </is>
      </c>
      <c r="Q62" s="29" t="inlineStr">
        <is>
          <t>N</t>
        </is>
      </c>
      <c r="R62" s="29" t="inlineStr">
        <is>
          <t>FL_SUS_SALESK_6l</t>
        </is>
      </c>
      <c r="S62" s="30" t="inlineStr">
        <is>
          <t>Igual clasificación y capacidad; mantenimiento vigente. BOM: hoja FL_MAT_SALESK_6l · No entra en MRP del kit: es demanda del producto FL_MAT (stock)</t>
        </is>
      </c>
    </row>
    <row r="63">
      <c r="A63" s="29" t="inlineStr">
        <is>
          <t>FL_SUS_SALESK_6l</t>
        </is>
      </c>
      <c r="B63" s="29" t="n">
        <v>1</v>
      </c>
      <c r="C63" s="29" t="inlineStr">
        <is>
          <t>SUS-SALESK_6l-K</t>
        </is>
      </c>
      <c r="D63" s="30" t="inlineStr">
        <is>
          <t xml:space="preserve">    Identificación de extintor sustituto</t>
        </is>
      </c>
      <c r="E63" s="29" t="n">
        <v>1</v>
      </c>
      <c r="F63" s="29" t="inlineStr">
        <is>
          <t>u</t>
        </is>
      </c>
      <c r="G63" s="31" t="n"/>
      <c r="H63" s="31" t="n"/>
      <c r="I63" s="29" t="n"/>
      <c r="J63" s="30" t="n"/>
      <c r="K63" s="29" t="inlineStr">
        <is>
          <t>Compra</t>
        </is>
      </c>
      <c r="L63" s="29" t="n"/>
      <c r="M63" s="30" t="n"/>
      <c r="N63" s="30" t="n"/>
      <c r="O63" s="30" t="n"/>
      <c r="P63" s="30" t="n"/>
      <c r="Q63" s="29" t="inlineStr">
        <is>
          <t>N</t>
        </is>
      </c>
      <c r="R63" s="29" t="inlineStr">
        <is>
          <t>FL_SUS_SALESK_6l</t>
        </is>
      </c>
      <c r="S63" s="30" t="n"/>
    </row>
    <row r="64">
      <c r="A64" s="32" t="inlineStr">
        <is>
          <t>FL_SUS_SALESK_6l</t>
        </is>
      </c>
      <c r="B64" s="32" t="n">
        <v>2</v>
      </c>
      <c r="C64" s="32" t="inlineStr">
        <is>
          <t>SUS-SALESK_6l-01</t>
        </is>
      </c>
      <c r="D64" s="17" t="inlineStr">
        <is>
          <t xml:space="preserve">        Faja amarilla de sustituto en la pollera (3 leyendas)</t>
        </is>
      </c>
      <c r="E64" s="32" t="n">
        <v>1</v>
      </c>
      <c r="F64" s="32" t="inlineStr">
        <is>
          <t>u</t>
        </is>
      </c>
      <c r="G64" s="33" t="n"/>
      <c r="H64" s="33" t="n"/>
      <c r="I64" s="32" t="inlineStr">
        <is>
          <t>Cinta vinílica autoadhesiva amarilla</t>
        </is>
      </c>
      <c r="J64" s="17" t="inlineStr">
        <is>
          <t>40 × 617 (alto ≤ 40; perímetro + 20 de solape)</t>
        </is>
      </c>
      <c r="K64" s="32" t="inlineStr">
        <is>
          <t>Compra</t>
        </is>
      </c>
      <c r="L64" s="32" t="inlineStr">
        <is>
          <t>Sí</t>
        </is>
      </c>
      <c r="M64" s="17" t="inlineStr">
        <is>
          <t>Astuprint</t>
        </is>
      </c>
      <c r="N64" s="17" t="inlineStr">
        <is>
          <t>Multilabel Argentina S.A.</t>
        </is>
      </c>
      <c r="O64" s="17" t="n"/>
      <c r="P64" s="17" t="inlineStr">
        <is>
          <t>IRAM 3517-2:2020 9.4.5 b)</t>
        </is>
      </c>
      <c r="Q64" s="32" t="inlineStr">
        <is>
          <t>N</t>
        </is>
      </c>
      <c r="R64" s="32" t="inlineStr">
        <is>
          <t>FL_SUS_SALESK_6l</t>
        </is>
      </c>
      <c r="S64" s="17" t="inlineStr">
        <is>
          <t>Leyendas: extintor sustituto / reemplaza al equipo de este puesto en mantenimiento o recarga / FLAMA S.A. (datos y logo). Proveedor a cotizar</t>
        </is>
      </c>
    </row>
    <row r="65">
      <c r="A65" s="32" t="inlineStr">
        <is>
          <t>FL_SUS_SALESK_6l</t>
        </is>
      </c>
      <c r="B65" s="32" t="n">
        <v>2</v>
      </c>
      <c r="C65" s="32" t="inlineStr">
        <is>
          <t>SUS-SALESK_6l-02</t>
        </is>
      </c>
      <c r="D65" s="17" t="inlineStr">
        <is>
          <t xml:space="preserve">        Tarjeta de identificación DPS con sello «SUSTITUTO HABILITADO»</t>
        </is>
      </c>
      <c r="E65" s="32" t="n">
        <v>1</v>
      </c>
      <c r="F65" s="32" t="inlineStr">
        <is>
          <t>u</t>
        </is>
      </c>
      <c r="G65" s="33" t="n"/>
      <c r="H65" s="33" t="n"/>
      <c r="I65" s="32" t="inlineStr">
        <is>
          <t>Tarjeta oficial DPS (PBA)</t>
        </is>
      </c>
      <c r="J65" s="17" t="inlineStr">
        <is>
          <t>formato oficial</t>
        </is>
      </c>
      <c r="K65" s="32" t="inlineStr">
        <is>
          <t>Compra (organismo)</t>
        </is>
      </c>
      <c r="L65" s="32" t="inlineStr">
        <is>
          <t>Sí</t>
        </is>
      </c>
      <c r="M65" s="17" t="inlineStr">
        <is>
          <t>Ministerio de Ambiente PBA (ex OPDS)</t>
        </is>
      </c>
      <c r="N65" s="17" t="inlineStr">
        <is>
          <t>-</t>
        </is>
      </c>
      <c r="O65" s="17" t="n"/>
      <c r="P65" s="17" t="inlineStr">
        <is>
          <t>Res. 349/07 art. 32</t>
        </is>
      </c>
      <c r="Q65" s="32" t="inlineStr">
        <is>
          <t>N</t>
        </is>
      </c>
      <c r="R65" s="32" t="inlineStr">
        <is>
          <t>FL_SUS_SALESK_6l</t>
        </is>
      </c>
      <c r="S65" s="17" t="inlineStr">
        <is>
          <t>Sólo PBA; reutilizable en cada revisión de carga; n° del extintor asentado en el libro de actas</t>
        </is>
      </c>
    </row>
    <row r="66">
      <c r="A66" s="32" t="inlineStr">
        <is>
          <t>FL_SUS_SALESK_6l</t>
        </is>
      </c>
      <c r="B66" s="32" t="n">
        <v>2</v>
      </c>
      <c r="C66" s="32" t="inlineStr">
        <is>
          <t>SUS-SALESK_6l-03</t>
        </is>
      </c>
      <c r="D66" s="17" t="inlineStr">
        <is>
          <t xml:space="preserve">        Tarjeta AGC con «Es sustituto» (sin domicilio de instalación)</t>
        </is>
      </c>
      <c r="E66" s="32" t="n">
        <v>1</v>
      </c>
      <c r="F66" s="32" t="inlineStr">
        <is>
          <t>u</t>
        </is>
      </c>
      <c r="G66" s="33" t="n"/>
      <c r="H66" s="33" t="n"/>
      <c r="I66" s="32" t="inlineStr">
        <is>
          <t>Etiqueta autoadhesiva AGC</t>
        </is>
      </c>
      <c r="J66" s="17" t="inlineStr">
        <is>
          <t>formato oficial</t>
        </is>
      </c>
      <c r="K66" s="32" t="inlineStr">
        <is>
          <t>Compra (organismo)</t>
        </is>
      </c>
      <c r="L66" s="32" t="inlineStr">
        <is>
          <t>Sí</t>
        </is>
      </c>
      <c r="M66" s="17" t="inlineStr">
        <is>
          <t>Agencia Gubernamental de Control (CABA)</t>
        </is>
      </c>
      <c r="N66" s="17" t="inlineStr">
        <is>
          <t>-</t>
        </is>
      </c>
      <c r="O66" s="17" t="n"/>
      <c r="P66" s="17" t="inlineStr">
        <is>
          <t>Res. AGC 32/15 anexo II</t>
        </is>
      </c>
      <c r="Q66" s="32" t="inlineStr">
        <is>
          <t>N</t>
        </is>
      </c>
      <c r="R66" s="32" t="inlineStr">
        <is>
          <t>FL_SUS_SALESK_6l</t>
        </is>
      </c>
      <c r="S66" s="17" t="inlineStr">
        <is>
          <t>Sólo CABA</t>
        </is>
      </c>
    </row>
    <row r="67">
      <c r="A67" s="32" t="inlineStr">
        <is>
          <t>FL_SUS_SALESK_6l</t>
        </is>
      </c>
      <c r="B67" s="32" t="n">
        <v>2</v>
      </c>
      <c r="C67" s="32" t="inlineStr">
        <is>
          <t>SUS-SALESK_6l-04</t>
        </is>
      </c>
      <c r="D67" s="17" t="inlineStr">
        <is>
          <t xml:space="preserve">        Remito de préstamo con membrete (n° de extintor, puesto, equipo retirado, fechas)</t>
        </is>
      </c>
      <c r="E67" s="32" t="n">
        <v>1</v>
      </c>
      <c r="F67" s="32" t="inlineStr">
        <is>
          <t>u/préstamo</t>
        </is>
      </c>
      <c r="G67" s="33" t="n"/>
      <c r="H67" s="33" t="n"/>
      <c r="I67" s="32" t="inlineStr">
        <is>
          <t>Papel</t>
        </is>
      </c>
      <c r="J67" s="17" t="inlineStr">
        <is>
          <t>A5 duplicado</t>
        </is>
      </c>
      <c r="K67" s="32" t="inlineStr">
        <is>
          <t>Compra</t>
        </is>
      </c>
      <c r="L67" s="32" t="inlineStr">
        <is>
          <t>Sí</t>
        </is>
      </c>
      <c r="M67" s="17" t="inlineStr">
        <is>
          <t>Astuprint</t>
        </is>
      </c>
      <c r="N67" s="17" t="inlineStr">
        <is>
          <t>-</t>
        </is>
      </c>
      <c r="O67" s="17" t="n"/>
      <c r="P67" s="17" t="n"/>
      <c r="Q67" s="32" t="inlineStr">
        <is>
          <t>I</t>
        </is>
      </c>
      <c r="R67" s="32" t="inlineStr">
        <is>
          <t>FL_SUS_SALESK_6l</t>
        </is>
      </c>
      <c r="S67" s="17" t="inlineStr">
        <is>
          <t>Práctica de mercado relevada (Fullmat, Rodo, Eversafe)</t>
        </is>
      </c>
    </row>
    <row r="68">
      <c r="A68" s="26" t="inlineStr">
        <is>
          <t>FL_SUS_CO2_2kg</t>
        </is>
      </c>
      <c r="B68" s="26" t="n">
        <v>0</v>
      </c>
      <c r="C68" s="26" t="inlineStr">
        <is>
          <t>FL_SUS_CO2_2kg</t>
        </is>
      </c>
      <c r="D68" s="27" t="inlineStr">
        <is>
          <t>Extintor sustituto para Extintor CO₂ 2 kg</t>
        </is>
      </c>
      <c r="E68" s="26" t="n">
        <v>1</v>
      </c>
      <c r="F68" s="26" t="inlineStr">
        <is>
          <t>u</t>
        </is>
      </c>
      <c r="G68" s="28" t="n"/>
      <c r="H68" s="28" t="n"/>
      <c r="I68" s="26" t="n"/>
      <c r="J68" s="27" t="n"/>
      <c r="K68" s="26" t="n"/>
      <c r="L68" s="26" t="n"/>
      <c r="M68" s="27" t="n"/>
      <c r="N68" s="27" t="n"/>
      <c r="O68" s="27" t="n"/>
      <c r="P68" s="27" t="inlineStr">
        <is>
          <t>IRAM 3517-2:2020 9.4.5</t>
        </is>
      </c>
      <c r="Q68" s="26" t="inlineStr">
        <is>
          <t>N</t>
        </is>
      </c>
      <c r="R68" s="26" t="inlineStr">
        <is>
          <t>FL_SUS_CO2_2kg</t>
        </is>
      </c>
      <c r="S68" s="27" t="inlineStr">
        <is>
          <t>Unitario: el tamaño del parque de sustitutos se dimensiona aparte</t>
        </is>
      </c>
    </row>
    <row r="69">
      <c r="A69" s="29" t="inlineStr">
        <is>
          <t>FL_SUS_CO2_2kg</t>
        </is>
      </c>
      <c r="B69" s="29" t="n">
        <v>1</v>
      </c>
      <c r="C69" s="29" t="inlineStr">
        <is>
          <t>FL_MAT_CO2_2kg</t>
        </is>
      </c>
      <c r="D69" s="30" t="inlineStr">
        <is>
          <t xml:space="preserve">    Extintor base: Extintor CO₂ 2 kg (mismo modelo)</t>
        </is>
      </c>
      <c r="E69" s="29" t="n">
        <v>1</v>
      </c>
      <c r="F69" s="29" t="inlineStr">
        <is>
          <t>u</t>
        </is>
      </c>
      <c r="G69" s="31" t="n"/>
      <c r="H69" s="31" t="n"/>
      <c r="I69" s="29" t="n"/>
      <c r="J69" s="30" t="n"/>
      <c r="K69" s="29" t="inlineStr">
        <is>
          <t>Stock FLAMA (comprado terminado)</t>
        </is>
      </c>
      <c r="L69" s="29" t="inlineStr">
        <is>
          <t>No</t>
        </is>
      </c>
      <c r="M69" s="30" t="n"/>
      <c r="N69" s="30" t="n"/>
      <c r="O69" s="30" t="n"/>
      <c r="P69" s="30" t="inlineStr">
        <is>
          <t>IRAM 3517-2:2020 9.4.5</t>
        </is>
      </c>
      <c r="Q69" s="29" t="inlineStr">
        <is>
          <t>N</t>
        </is>
      </c>
      <c r="R69" s="29" t="inlineStr">
        <is>
          <t>FL_SUS_CO2_2kg</t>
        </is>
      </c>
      <c r="S69" s="30" t="inlineStr">
        <is>
          <t>Igual clasificación y capacidad; mantenimiento vigente. BOM: hoja FL_MAT_CO2_2kg · No entra en MRP del kit: es demanda del producto FL_MAT (stock)</t>
        </is>
      </c>
    </row>
    <row r="70">
      <c r="A70" s="29" t="inlineStr">
        <is>
          <t>FL_SUS_CO2_2kg</t>
        </is>
      </c>
      <c r="B70" s="29" t="n">
        <v>1</v>
      </c>
      <c r="C70" s="29" t="inlineStr">
        <is>
          <t>SUS-CO2_2kg-K</t>
        </is>
      </c>
      <c r="D70" s="30" t="inlineStr">
        <is>
          <t xml:space="preserve">    Identificación de extintor sustituto</t>
        </is>
      </c>
      <c r="E70" s="29" t="n">
        <v>1</v>
      </c>
      <c r="F70" s="29" t="inlineStr">
        <is>
          <t>u</t>
        </is>
      </c>
      <c r="G70" s="31" t="n"/>
      <c r="H70" s="31" t="n"/>
      <c r="I70" s="29" t="n"/>
      <c r="J70" s="30" t="n"/>
      <c r="K70" s="29" t="inlineStr">
        <is>
          <t>Compra</t>
        </is>
      </c>
      <c r="L70" s="29" t="n"/>
      <c r="M70" s="30" t="n"/>
      <c r="N70" s="30" t="n"/>
      <c r="O70" s="30" t="n"/>
      <c r="P70" s="30" t="n"/>
      <c r="Q70" s="29" t="inlineStr">
        <is>
          <t>N</t>
        </is>
      </c>
      <c r="R70" s="29" t="inlineStr">
        <is>
          <t>FL_SUS_CO2_2kg</t>
        </is>
      </c>
      <c r="S70" s="30" t="n"/>
    </row>
    <row r="71">
      <c r="A71" s="32" t="inlineStr">
        <is>
          <t>FL_SUS_CO2_2kg</t>
        </is>
      </c>
      <c r="B71" s="32" t="n">
        <v>2</v>
      </c>
      <c r="C71" s="32" t="inlineStr">
        <is>
          <t>SUS-CO2_2kg-01</t>
        </is>
      </c>
      <c r="D71" s="17" t="inlineStr">
        <is>
          <t xml:space="preserve">        Faja amarilla de sustituto en la pollera (3 leyendas)</t>
        </is>
      </c>
      <c r="E71" s="32" t="n">
        <v>1</v>
      </c>
      <c r="F71" s="32" t="inlineStr">
        <is>
          <t>u</t>
        </is>
      </c>
      <c r="G71" s="33" t="n"/>
      <c r="H71" s="33" t="n"/>
      <c r="I71" s="32" t="inlineStr">
        <is>
          <t>Cinta vinílica autoadhesiva amarilla</t>
        </is>
      </c>
      <c r="J71" s="17" t="inlineStr">
        <is>
          <t>33 × 378 (alto ≤ 40; perímetro + 20 de solape)</t>
        </is>
      </c>
      <c r="K71" s="32" t="inlineStr">
        <is>
          <t>Compra</t>
        </is>
      </c>
      <c r="L71" s="32" t="inlineStr">
        <is>
          <t>Sí</t>
        </is>
      </c>
      <c r="M71" s="17" t="inlineStr">
        <is>
          <t>Astuprint</t>
        </is>
      </c>
      <c r="N71" s="17" t="inlineStr">
        <is>
          <t>Multilabel Argentina S.A.</t>
        </is>
      </c>
      <c r="O71" s="17" t="n"/>
      <c r="P71" s="17" t="inlineStr">
        <is>
          <t>IRAM 3517-2:2020 9.4.5 b)</t>
        </is>
      </c>
      <c r="Q71" s="32" t="inlineStr">
        <is>
          <t>N</t>
        </is>
      </c>
      <c r="R71" s="32" t="inlineStr">
        <is>
          <t>FL_SUS_CO2_2kg</t>
        </is>
      </c>
      <c r="S71" s="17" t="inlineStr">
        <is>
          <t>Leyendas: extintor sustituto / reemplaza al equipo de este puesto en mantenimiento o recarga / FLAMA S.A. (datos y logo). Proveedor a cotizar</t>
        </is>
      </c>
    </row>
    <row r="72">
      <c r="A72" s="32" t="inlineStr">
        <is>
          <t>FL_SUS_CO2_2kg</t>
        </is>
      </c>
      <c r="B72" s="32" t="n">
        <v>2</v>
      </c>
      <c r="C72" s="32" t="inlineStr">
        <is>
          <t>SUS-CO2_2kg-02</t>
        </is>
      </c>
      <c r="D72" s="17" t="inlineStr">
        <is>
          <t xml:space="preserve">        Tarjeta de identificación DPS con sello «SUSTITUTO HABILITADO»</t>
        </is>
      </c>
      <c r="E72" s="32" t="n">
        <v>1</v>
      </c>
      <c r="F72" s="32" t="inlineStr">
        <is>
          <t>u</t>
        </is>
      </c>
      <c r="G72" s="33" t="n"/>
      <c r="H72" s="33" t="n"/>
      <c r="I72" s="32" t="inlineStr">
        <is>
          <t>Tarjeta oficial DPS (PBA)</t>
        </is>
      </c>
      <c r="J72" s="17" t="inlineStr">
        <is>
          <t>formato oficial</t>
        </is>
      </c>
      <c r="K72" s="32" t="inlineStr">
        <is>
          <t>Compra (organismo)</t>
        </is>
      </c>
      <c r="L72" s="32" t="inlineStr">
        <is>
          <t>Sí</t>
        </is>
      </c>
      <c r="M72" s="17" t="inlineStr">
        <is>
          <t>Ministerio de Ambiente PBA (ex OPDS)</t>
        </is>
      </c>
      <c r="N72" s="17" t="inlineStr">
        <is>
          <t>-</t>
        </is>
      </c>
      <c r="O72" s="17" t="n"/>
      <c r="P72" s="17" t="inlineStr">
        <is>
          <t>Res. 349/07 art. 32</t>
        </is>
      </c>
      <c r="Q72" s="32" t="inlineStr">
        <is>
          <t>N</t>
        </is>
      </c>
      <c r="R72" s="32" t="inlineStr">
        <is>
          <t>FL_SUS_CO2_2kg</t>
        </is>
      </c>
      <c r="S72" s="17" t="inlineStr">
        <is>
          <t>Sólo PBA; reutilizable en cada revisión de carga; n° del extintor asentado en el libro de actas</t>
        </is>
      </c>
    </row>
    <row r="73">
      <c r="A73" s="32" t="inlineStr">
        <is>
          <t>FL_SUS_CO2_2kg</t>
        </is>
      </c>
      <c r="B73" s="32" t="n">
        <v>2</v>
      </c>
      <c r="C73" s="32" t="inlineStr">
        <is>
          <t>SUS-CO2_2kg-03</t>
        </is>
      </c>
      <c r="D73" s="17" t="inlineStr">
        <is>
          <t xml:space="preserve">        Tarjeta AGC con «Es sustituto» (sin domicilio de instalación)</t>
        </is>
      </c>
      <c r="E73" s="32" t="n">
        <v>1</v>
      </c>
      <c r="F73" s="32" t="inlineStr">
        <is>
          <t>u</t>
        </is>
      </c>
      <c r="G73" s="33" t="n"/>
      <c r="H73" s="33" t="n"/>
      <c r="I73" s="32" t="inlineStr">
        <is>
          <t>Etiqueta autoadhesiva AGC</t>
        </is>
      </c>
      <c r="J73" s="17" t="inlineStr">
        <is>
          <t>formato oficial</t>
        </is>
      </c>
      <c r="K73" s="32" t="inlineStr">
        <is>
          <t>Compra (organismo)</t>
        </is>
      </c>
      <c r="L73" s="32" t="inlineStr">
        <is>
          <t>Sí</t>
        </is>
      </c>
      <c r="M73" s="17" t="inlineStr">
        <is>
          <t>Agencia Gubernamental de Control (CABA)</t>
        </is>
      </c>
      <c r="N73" s="17" t="inlineStr">
        <is>
          <t>-</t>
        </is>
      </c>
      <c r="O73" s="17" t="n"/>
      <c r="P73" s="17" t="inlineStr">
        <is>
          <t>Res. AGC 32/15 anexo II</t>
        </is>
      </c>
      <c r="Q73" s="32" t="inlineStr">
        <is>
          <t>N</t>
        </is>
      </c>
      <c r="R73" s="32" t="inlineStr">
        <is>
          <t>FL_SUS_CO2_2kg</t>
        </is>
      </c>
      <c r="S73" s="17" t="inlineStr">
        <is>
          <t>Sólo CABA</t>
        </is>
      </c>
    </row>
    <row r="74">
      <c r="A74" s="32" t="inlineStr">
        <is>
          <t>FL_SUS_CO2_2kg</t>
        </is>
      </c>
      <c r="B74" s="32" t="n">
        <v>2</v>
      </c>
      <c r="C74" s="32" t="inlineStr">
        <is>
          <t>SUS-CO2_2kg-04</t>
        </is>
      </c>
      <c r="D74" s="17" t="inlineStr">
        <is>
          <t xml:space="preserve">        Remito de préstamo con membrete (n° de extintor, puesto, equipo retirado, fechas)</t>
        </is>
      </c>
      <c r="E74" s="32" t="n">
        <v>1</v>
      </c>
      <c r="F74" s="32" t="inlineStr">
        <is>
          <t>u/préstamo</t>
        </is>
      </c>
      <c r="G74" s="33" t="n"/>
      <c r="H74" s="33" t="n"/>
      <c r="I74" s="32" t="inlineStr">
        <is>
          <t>Papel</t>
        </is>
      </c>
      <c r="J74" s="17" t="inlineStr">
        <is>
          <t>A5 duplicado</t>
        </is>
      </c>
      <c r="K74" s="32" t="inlineStr">
        <is>
          <t>Compra</t>
        </is>
      </c>
      <c r="L74" s="32" t="inlineStr">
        <is>
          <t>Sí</t>
        </is>
      </c>
      <c r="M74" s="17" t="inlineStr">
        <is>
          <t>Astuprint</t>
        </is>
      </c>
      <c r="N74" s="17" t="inlineStr">
        <is>
          <t>-</t>
        </is>
      </c>
      <c r="O74" s="17" t="n"/>
      <c r="P74" s="17" t="n"/>
      <c r="Q74" s="32" t="inlineStr">
        <is>
          <t>I</t>
        </is>
      </c>
      <c r="R74" s="32" t="inlineStr">
        <is>
          <t>FL_SUS_CO2_2kg</t>
        </is>
      </c>
      <c r="S74" s="17" t="inlineStr">
        <is>
          <t>Práctica de mercado relevada (Fullmat, Rodo, Eversafe)</t>
        </is>
      </c>
    </row>
    <row r="75">
      <c r="A75" s="26" t="inlineStr">
        <is>
          <t>FL_SUS_CO2_5kg</t>
        </is>
      </c>
      <c r="B75" s="26" t="n">
        <v>0</v>
      </c>
      <c r="C75" s="26" t="inlineStr">
        <is>
          <t>FL_SUS_CO2_5kg</t>
        </is>
      </c>
      <c r="D75" s="27" t="inlineStr">
        <is>
          <t>Extintor sustituto para Extintor CO₂ 5 kg</t>
        </is>
      </c>
      <c r="E75" s="26" t="n">
        <v>1</v>
      </c>
      <c r="F75" s="26" t="inlineStr">
        <is>
          <t>u</t>
        </is>
      </c>
      <c r="G75" s="28" t="n"/>
      <c r="H75" s="28" t="n"/>
      <c r="I75" s="26" t="n"/>
      <c r="J75" s="27" t="n"/>
      <c r="K75" s="26" t="n"/>
      <c r="L75" s="26" t="n"/>
      <c r="M75" s="27" t="n"/>
      <c r="N75" s="27" t="n"/>
      <c r="O75" s="27" t="n"/>
      <c r="P75" s="27" t="inlineStr">
        <is>
          <t>IRAM 3517-2:2020 9.4.5</t>
        </is>
      </c>
      <c r="Q75" s="26" t="inlineStr">
        <is>
          <t>N</t>
        </is>
      </c>
      <c r="R75" s="26" t="inlineStr">
        <is>
          <t>FL_SUS_CO2_5kg</t>
        </is>
      </c>
      <c r="S75" s="27" t="inlineStr">
        <is>
          <t>Unitario: el tamaño del parque de sustitutos se dimensiona aparte</t>
        </is>
      </c>
    </row>
    <row r="76">
      <c r="A76" s="29" t="inlineStr">
        <is>
          <t>FL_SUS_CO2_5kg</t>
        </is>
      </c>
      <c r="B76" s="29" t="n">
        <v>1</v>
      </c>
      <c r="C76" s="29" t="inlineStr">
        <is>
          <t>FL_MAT_CO2_5kg</t>
        </is>
      </c>
      <c r="D76" s="30" t="inlineStr">
        <is>
          <t xml:space="preserve">    Extintor base: Extintor CO₂ 5 kg (mismo modelo)</t>
        </is>
      </c>
      <c r="E76" s="29" t="n">
        <v>1</v>
      </c>
      <c r="F76" s="29" t="inlineStr">
        <is>
          <t>u</t>
        </is>
      </c>
      <c r="G76" s="31" t="n"/>
      <c r="H76" s="31" t="n"/>
      <c r="I76" s="29" t="n"/>
      <c r="J76" s="30" t="n"/>
      <c r="K76" s="29" t="inlineStr">
        <is>
          <t>Stock FLAMA (comprado terminado)</t>
        </is>
      </c>
      <c r="L76" s="29" t="inlineStr">
        <is>
          <t>No</t>
        </is>
      </c>
      <c r="M76" s="30" t="n"/>
      <c r="N76" s="30" t="n"/>
      <c r="O76" s="30" t="n"/>
      <c r="P76" s="30" t="inlineStr">
        <is>
          <t>IRAM 3517-2:2020 9.4.5</t>
        </is>
      </c>
      <c r="Q76" s="29" t="inlineStr">
        <is>
          <t>N</t>
        </is>
      </c>
      <c r="R76" s="29" t="inlineStr">
        <is>
          <t>FL_SUS_CO2_5kg</t>
        </is>
      </c>
      <c r="S76" s="30" t="inlineStr">
        <is>
          <t>Igual clasificación y capacidad; mantenimiento vigente. BOM: hoja FL_MAT_CO2_5kg · No entra en MRP del kit: es demanda del producto FL_MAT (stock)</t>
        </is>
      </c>
    </row>
    <row r="77">
      <c r="A77" s="29" t="inlineStr">
        <is>
          <t>FL_SUS_CO2_5kg</t>
        </is>
      </c>
      <c r="B77" s="29" t="n">
        <v>1</v>
      </c>
      <c r="C77" s="29" t="inlineStr">
        <is>
          <t>SUS-CO2_5kg-K</t>
        </is>
      </c>
      <c r="D77" s="30" t="inlineStr">
        <is>
          <t xml:space="preserve">    Identificación de extintor sustituto</t>
        </is>
      </c>
      <c r="E77" s="29" t="n">
        <v>1</v>
      </c>
      <c r="F77" s="29" t="inlineStr">
        <is>
          <t>u</t>
        </is>
      </c>
      <c r="G77" s="31" t="n"/>
      <c r="H77" s="31" t="n"/>
      <c r="I77" s="29" t="n"/>
      <c r="J77" s="30" t="n"/>
      <c r="K77" s="29" t="inlineStr">
        <is>
          <t>Compra</t>
        </is>
      </c>
      <c r="L77" s="29" t="n"/>
      <c r="M77" s="30" t="n"/>
      <c r="N77" s="30" t="n"/>
      <c r="O77" s="30" t="n"/>
      <c r="P77" s="30" t="n"/>
      <c r="Q77" s="29" t="inlineStr">
        <is>
          <t>N</t>
        </is>
      </c>
      <c r="R77" s="29" t="inlineStr">
        <is>
          <t>FL_SUS_CO2_5kg</t>
        </is>
      </c>
      <c r="S77" s="30" t="n"/>
    </row>
    <row r="78">
      <c r="A78" s="32" t="inlineStr">
        <is>
          <t>FL_SUS_CO2_5kg</t>
        </is>
      </c>
      <c r="B78" s="32" t="n">
        <v>2</v>
      </c>
      <c r="C78" s="32" t="inlineStr">
        <is>
          <t>SUS-CO2_5kg-01</t>
        </is>
      </c>
      <c r="D78" s="17" t="inlineStr">
        <is>
          <t xml:space="preserve">        Faja amarilla de sustituto en la pollera (3 leyendas)</t>
        </is>
      </c>
      <c r="E78" s="32" t="n">
        <v>1</v>
      </c>
      <c r="F78" s="32" t="inlineStr">
        <is>
          <t>u</t>
        </is>
      </c>
      <c r="G78" s="33" t="n"/>
      <c r="H78" s="33" t="n"/>
      <c r="I78" s="32" t="inlineStr">
        <is>
          <t>Cinta vinílica autoadhesiva amarilla</t>
        </is>
      </c>
      <c r="J78" s="17" t="inlineStr">
        <is>
          <t>40 × 460 (alto ≤ 40; perímetro + 20 de solape)</t>
        </is>
      </c>
      <c r="K78" s="32" t="inlineStr">
        <is>
          <t>Compra</t>
        </is>
      </c>
      <c r="L78" s="32" t="inlineStr">
        <is>
          <t>Sí</t>
        </is>
      </c>
      <c r="M78" s="17" t="inlineStr">
        <is>
          <t>Astuprint</t>
        </is>
      </c>
      <c r="N78" s="17" t="inlineStr">
        <is>
          <t>Multilabel Argentina S.A.</t>
        </is>
      </c>
      <c r="O78" s="17" t="n"/>
      <c r="P78" s="17" t="inlineStr">
        <is>
          <t>IRAM 3517-2:2020 9.4.5 b)</t>
        </is>
      </c>
      <c r="Q78" s="32" t="inlineStr">
        <is>
          <t>N</t>
        </is>
      </c>
      <c r="R78" s="32" t="inlineStr">
        <is>
          <t>FL_SUS_CO2_5kg</t>
        </is>
      </c>
      <c r="S78" s="17" t="inlineStr">
        <is>
          <t>Leyendas: extintor sustituto / reemplaza al equipo de este puesto en mantenimiento o recarga / FLAMA S.A. (datos y logo). Proveedor a cotizar</t>
        </is>
      </c>
    </row>
    <row r="79">
      <c r="A79" s="32" t="inlineStr">
        <is>
          <t>FL_SUS_CO2_5kg</t>
        </is>
      </c>
      <c r="B79" s="32" t="n">
        <v>2</v>
      </c>
      <c r="C79" s="32" t="inlineStr">
        <is>
          <t>SUS-CO2_5kg-02</t>
        </is>
      </c>
      <c r="D79" s="17" t="inlineStr">
        <is>
          <t xml:space="preserve">        Tarjeta de identificación DPS con sello «SUSTITUTO HABILITADO»</t>
        </is>
      </c>
      <c r="E79" s="32" t="n">
        <v>1</v>
      </c>
      <c r="F79" s="32" t="inlineStr">
        <is>
          <t>u</t>
        </is>
      </c>
      <c r="G79" s="33" t="n"/>
      <c r="H79" s="33" t="n"/>
      <c r="I79" s="32" t="inlineStr">
        <is>
          <t>Tarjeta oficial DPS (PBA)</t>
        </is>
      </c>
      <c r="J79" s="17" t="inlineStr">
        <is>
          <t>formato oficial</t>
        </is>
      </c>
      <c r="K79" s="32" t="inlineStr">
        <is>
          <t>Compra (organismo)</t>
        </is>
      </c>
      <c r="L79" s="32" t="inlineStr">
        <is>
          <t>Sí</t>
        </is>
      </c>
      <c r="M79" s="17" t="inlineStr">
        <is>
          <t>Ministerio de Ambiente PBA (ex OPDS)</t>
        </is>
      </c>
      <c r="N79" s="17" t="inlineStr">
        <is>
          <t>-</t>
        </is>
      </c>
      <c r="O79" s="17" t="n"/>
      <c r="P79" s="17" t="inlineStr">
        <is>
          <t>Res. 349/07 art. 32</t>
        </is>
      </c>
      <c r="Q79" s="32" t="inlineStr">
        <is>
          <t>N</t>
        </is>
      </c>
      <c r="R79" s="32" t="inlineStr">
        <is>
          <t>FL_SUS_CO2_5kg</t>
        </is>
      </c>
      <c r="S79" s="17" t="inlineStr">
        <is>
          <t>Sólo PBA; reutilizable en cada revisión de carga; n° del extintor asentado en el libro de actas</t>
        </is>
      </c>
    </row>
    <row r="80">
      <c r="A80" s="32" t="inlineStr">
        <is>
          <t>FL_SUS_CO2_5kg</t>
        </is>
      </c>
      <c r="B80" s="32" t="n">
        <v>2</v>
      </c>
      <c r="C80" s="32" t="inlineStr">
        <is>
          <t>SUS-CO2_5kg-03</t>
        </is>
      </c>
      <c r="D80" s="17" t="inlineStr">
        <is>
          <t xml:space="preserve">        Tarjeta AGC con «Es sustituto» (sin domicilio de instalación)</t>
        </is>
      </c>
      <c r="E80" s="32" t="n">
        <v>1</v>
      </c>
      <c r="F80" s="32" t="inlineStr">
        <is>
          <t>u</t>
        </is>
      </c>
      <c r="G80" s="33" t="n"/>
      <c r="H80" s="33" t="n"/>
      <c r="I80" s="32" t="inlineStr">
        <is>
          <t>Etiqueta autoadhesiva AGC</t>
        </is>
      </c>
      <c r="J80" s="17" t="inlineStr">
        <is>
          <t>formato oficial</t>
        </is>
      </c>
      <c r="K80" s="32" t="inlineStr">
        <is>
          <t>Compra (organismo)</t>
        </is>
      </c>
      <c r="L80" s="32" t="inlineStr">
        <is>
          <t>Sí</t>
        </is>
      </c>
      <c r="M80" s="17" t="inlineStr">
        <is>
          <t>Agencia Gubernamental de Control (CABA)</t>
        </is>
      </c>
      <c r="N80" s="17" t="inlineStr">
        <is>
          <t>-</t>
        </is>
      </c>
      <c r="O80" s="17" t="n"/>
      <c r="P80" s="17" t="inlineStr">
        <is>
          <t>Res. AGC 32/15 anexo II</t>
        </is>
      </c>
      <c r="Q80" s="32" t="inlineStr">
        <is>
          <t>N</t>
        </is>
      </c>
      <c r="R80" s="32" t="inlineStr">
        <is>
          <t>FL_SUS_CO2_5kg</t>
        </is>
      </c>
      <c r="S80" s="17" t="inlineStr">
        <is>
          <t>Sólo CABA</t>
        </is>
      </c>
    </row>
    <row r="81">
      <c r="A81" s="32" t="inlineStr">
        <is>
          <t>FL_SUS_CO2_5kg</t>
        </is>
      </c>
      <c r="B81" s="32" t="n">
        <v>2</v>
      </c>
      <c r="C81" s="32" t="inlineStr">
        <is>
          <t>SUS-CO2_5kg-04</t>
        </is>
      </c>
      <c r="D81" s="17" t="inlineStr">
        <is>
          <t xml:space="preserve">        Remito de préstamo con membrete (n° de extintor, puesto, equipo retirado, fechas)</t>
        </is>
      </c>
      <c r="E81" s="32" t="n">
        <v>1</v>
      </c>
      <c r="F81" s="32" t="inlineStr">
        <is>
          <t>u/préstamo</t>
        </is>
      </c>
      <c r="G81" s="33" t="n"/>
      <c r="H81" s="33" t="n"/>
      <c r="I81" s="32" t="inlineStr">
        <is>
          <t>Papel</t>
        </is>
      </c>
      <c r="J81" s="17" t="inlineStr">
        <is>
          <t>A5 duplicado</t>
        </is>
      </c>
      <c r="K81" s="32" t="inlineStr">
        <is>
          <t>Compra</t>
        </is>
      </c>
      <c r="L81" s="32" t="inlineStr">
        <is>
          <t>Sí</t>
        </is>
      </c>
      <c r="M81" s="17" t="inlineStr">
        <is>
          <t>Astuprint</t>
        </is>
      </c>
      <c r="N81" s="17" t="inlineStr">
        <is>
          <t>-</t>
        </is>
      </c>
      <c r="O81" s="17" t="n"/>
      <c r="P81" s="17" t="n"/>
      <c r="Q81" s="32" t="inlineStr">
        <is>
          <t>I</t>
        </is>
      </c>
      <c r="R81" s="32" t="inlineStr">
        <is>
          <t>FL_SUS_CO2_5kg</t>
        </is>
      </c>
      <c r="S81" s="17" t="inlineStr">
        <is>
          <t>Práctica de mercado relevada (Fullmat, Rodo, Eversafe)</t>
        </is>
      </c>
    </row>
    <row r="82">
      <c r="A82" s="26" t="inlineStr">
        <is>
          <t>FL_SUS_HCFC-HFC_5kg</t>
        </is>
      </c>
      <c r="B82" s="26" t="n">
        <v>0</v>
      </c>
      <c r="C82" s="26" t="inlineStr">
        <is>
          <t>FL_SUS_HCFC-HFC_5kg</t>
        </is>
      </c>
      <c r="D82" s="27" t="inlineStr">
        <is>
          <t>Extintor sustituto para Extintor HCFC/HFC 5 kg</t>
        </is>
      </c>
      <c r="E82" s="26" t="n">
        <v>1</v>
      </c>
      <c r="F82" s="26" t="inlineStr">
        <is>
          <t>u</t>
        </is>
      </c>
      <c r="G82" s="28" t="n"/>
      <c r="H82" s="28" t="n"/>
      <c r="I82" s="26" t="n"/>
      <c r="J82" s="27" t="n"/>
      <c r="K82" s="26" t="n"/>
      <c r="L82" s="26" t="n"/>
      <c r="M82" s="27" t="n"/>
      <c r="N82" s="27" t="n"/>
      <c r="O82" s="27" t="n"/>
      <c r="P82" s="27" t="inlineStr">
        <is>
          <t>IRAM 3517-2:2020 9.4.5</t>
        </is>
      </c>
      <c r="Q82" s="26" t="inlineStr">
        <is>
          <t>N</t>
        </is>
      </c>
      <c r="R82" s="26" t="inlineStr">
        <is>
          <t>FL_SUS_HCFC-HFC_5kg</t>
        </is>
      </c>
      <c r="S82" s="27" t="inlineStr">
        <is>
          <t>Unitario: el tamaño del parque de sustitutos se dimensiona aparte</t>
        </is>
      </c>
    </row>
    <row r="83">
      <c r="A83" s="29" t="inlineStr">
        <is>
          <t>FL_SUS_HCFC-HFC_5kg</t>
        </is>
      </c>
      <c r="B83" s="29" t="n">
        <v>1</v>
      </c>
      <c r="C83" s="29" t="inlineStr">
        <is>
          <t>FL_MAT_HCFC-HFC_5kg</t>
        </is>
      </c>
      <c r="D83" s="30" t="inlineStr">
        <is>
          <t xml:space="preserve">    Extintor base: Extintor HCFC/HFC 5 kg (mismo modelo)</t>
        </is>
      </c>
      <c r="E83" s="29" t="n">
        <v>1</v>
      </c>
      <c r="F83" s="29" t="inlineStr">
        <is>
          <t>u</t>
        </is>
      </c>
      <c r="G83" s="31" t="n"/>
      <c r="H83" s="31" t="n"/>
      <c r="I83" s="29" t="n"/>
      <c r="J83" s="30" t="n"/>
      <c r="K83" s="29" t="inlineStr">
        <is>
          <t>Stock FLAMA (comprado terminado)</t>
        </is>
      </c>
      <c r="L83" s="29" t="inlineStr">
        <is>
          <t>No</t>
        </is>
      </c>
      <c r="M83" s="30" t="n"/>
      <c r="N83" s="30" t="n"/>
      <c r="O83" s="30" t="n"/>
      <c r="P83" s="30" t="inlineStr">
        <is>
          <t>IRAM 3517-2:2020 9.4.5</t>
        </is>
      </c>
      <c r="Q83" s="29" t="inlineStr">
        <is>
          <t>N</t>
        </is>
      </c>
      <c r="R83" s="29" t="inlineStr">
        <is>
          <t>FL_SUS_HCFC-HFC_5kg</t>
        </is>
      </c>
      <c r="S83" s="30" t="inlineStr">
        <is>
          <t>Igual clasificación y capacidad; mantenimiento vigente. BOM: hoja FL_MAT_HCFC-HFC_5kg · No entra en MRP del kit: es demanda del producto FL_MAT (stock)</t>
        </is>
      </c>
    </row>
    <row r="84">
      <c r="A84" s="29" t="inlineStr">
        <is>
          <t>FL_SUS_HCFC-HFC_5kg</t>
        </is>
      </c>
      <c r="B84" s="29" t="n">
        <v>1</v>
      </c>
      <c r="C84" s="29" t="inlineStr">
        <is>
          <t>SUS-HCFC-HFC_5kg-K</t>
        </is>
      </c>
      <c r="D84" s="30" t="inlineStr">
        <is>
          <t xml:space="preserve">    Identificación de extintor sustituto</t>
        </is>
      </c>
      <c r="E84" s="29" t="n">
        <v>1</v>
      </c>
      <c r="F84" s="29" t="inlineStr">
        <is>
          <t>u</t>
        </is>
      </c>
      <c r="G84" s="31" t="n"/>
      <c r="H84" s="31" t="n"/>
      <c r="I84" s="29" t="n"/>
      <c r="J84" s="30" t="n"/>
      <c r="K84" s="29" t="inlineStr">
        <is>
          <t>Compra</t>
        </is>
      </c>
      <c r="L84" s="29" t="n"/>
      <c r="M84" s="30" t="n"/>
      <c r="N84" s="30" t="n"/>
      <c r="O84" s="30" t="n"/>
      <c r="P84" s="30" t="n"/>
      <c r="Q84" s="29" t="inlineStr">
        <is>
          <t>N</t>
        </is>
      </c>
      <c r="R84" s="29" t="inlineStr">
        <is>
          <t>FL_SUS_HCFC-HFC_5kg</t>
        </is>
      </c>
      <c r="S84" s="30" t="n"/>
    </row>
    <row r="85">
      <c r="A85" s="32" t="inlineStr">
        <is>
          <t>FL_SUS_HCFC-HFC_5kg</t>
        </is>
      </c>
      <c r="B85" s="32" t="n">
        <v>2</v>
      </c>
      <c r="C85" s="32" t="inlineStr">
        <is>
          <t>SUS-HCFC-HFC_5kg-01</t>
        </is>
      </c>
      <c r="D85" s="17" t="inlineStr">
        <is>
          <t xml:space="preserve">        Faja amarilla de sustituto en la pollera (3 leyendas)</t>
        </is>
      </c>
      <c r="E85" s="32" t="n">
        <v>1</v>
      </c>
      <c r="F85" s="32" t="inlineStr">
        <is>
          <t>u</t>
        </is>
      </c>
      <c r="G85" s="33" t="n"/>
      <c r="H85" s="33" t="n"/>
      <c r="I85" s="32" t="inlineStr">
        <is>
          <t>Cinta vinílica autoadhesiva amarilla</t>
        </is>
      </c>
      <c r="J85" s="17" t="inlineStr">
        <is>
          <t>40 × 501 (alto ≤ 40; perímetro + 20 de solape)</t>
        </is>
      </c>
      <c r="K85" s="32" t="inlineStr">
        <is>
          <t>Compra</t>
        </is>
      </c>
      <c r="L85" s="32" t="inlineStr">
        <is>
          <t>Sí</t>
        </is>
      </c>
      <c r="M85" s="17" t="inlineStr">
        <is>
          <t>Astuprint</t>
        </is>
      </c>
      <c r="N85" s="17" t="inlineStr">
        <is>
          <t>Multilabel Argentina S.A.</t>
        </is>
      </c>
      <c r="O85" s="17" t="n"/>
      <c r="P85" s="17" t="inlineStr">
        <is>
          <t>IRAM 3517-2:2020 9.4.5 b)</t>
        </is>
      </c>
      <c r="Q85" s="32" t="inlineStr">
        <is>
          <t>N</t>
        </is>
      </c>
      <c r="R85" s="32" t="inlineStr">
        <is>
          <t>FL_SUS_HCFC-HFC_5kg</t>
        </is>
      </c>
      <c r="S85" s="17" t="inlineStr">
        <is>
          <t>Leyendas: extintor sustituto / reemplaza al equipo de este puesto en mantenimiento o recarga / FLAMA S.A. (datos y logo). Proveedor a cotizar</t>
        </is>
      </c>
    </row>
    <row r="86">
      <c r="A86" s="32" t="inlineStr">
        <is>
          <t>FL_SUS_HCFC-HFC_5kg</t>
        </is>
      </c>
      <c r="B86" s="32" t="n">
        <v>2</v>
      </c>
      <c r="C86" s="32" t="inlineStr">
        <is>
          <t>SUS-HCFC-HFC_5kg-02</t>
        </is>
      </c>
      <c r="D86" s="17" t="inlineStr">
        <is>
          <t xml:space="preserve">        Tarjeta de identificación DPS con sello «SUSTITUTO HABILITADO»</t>
        </is>
      </c>
      <c r="E86" s="32" t="n">
        <v>1</v>
      </c>
      <c r="F86" s="32" t="inlineStr">
        <is>
          <t>u</t>
        </is>
      </c>
      <c r="G86" s="33" t="n"/>
      <c r="H86" s="33" t="n"/>
      <c r="I86" s="32" t="inlineStr">
        <is>
          <t>Tarjeta oficial DPS (PBA)</t>
        </is>
      </c>
      <c r="J86" s="17" t="inlineStr">
        <is>
          <t>formato oficial</t>
        </is>
      </c>
      <c r="K86" s="32" t="inlineStr">
        <is>
          <t>Compra (organismo)</t>
        </is>
      </c>
      <c r="L86" s="32" t="inlineStr">
        <is>
          <t>Sí</t>
        </is>
      </c>
      <c r="M86" s="17" t="inlineStr">
        <is>
          <t>Ministerio de Ambiente PBA (ex OPDS)</t>
        </is>
      </c>
      <c r="N86" s="17" t="inlineStr">
        <is>
          <t>-</t>
        </is>
      </c>
      <c r="O86" s="17" t="n"/>
      <c r="P86" s="17" t="inlineStr">
        <is>
          <t>Res. 349/07 art. 32</t>
        </is>
      </c>
      <c r="Q86" s="32" t="inlineStr">
        <is>
          <t>N</t>
        </is>
      </c>
      <c r="R86" s="32" t="inlineStr">
        <is>
          <t>FL_SUS_HCFC-HFC_5kg</t>
        </is>
      </c>
      <c r="S86" s="17" t="inlineStr">
        <is>
          <t>Sólo PBA; reutilizable en cada revisión de carga; n° del extintor asentado en el libro de actas</t>
        </is>
      </c>
    </row>
    <row r="87">
      <c r="A87" s="32" t="inlineStr">
        <is>
          <t>FL_SUS_HCFC-HFC_5kg</t>
        </is>
      </c>
      <c r="B87" s="32" t="n">
        <v>2</v>
      </c>
      <c r="C87" s="32" t="inlineStr">
        <is>
          <t>SUS-HCFC-HFC_5kg-03</t>
        </is>
      </c>
      <c r="D87" s="17" t="inlineStr">
        <is>
          <t xml:space="preserve">        Tarjeta AGC con «Es sustituto» (sin domicilio de instalación)</t>
        </is>
      </c>
      <c r="E87" s="32" t="n">
        <v>1</v>
      </c>
      <c r="F87" s="32" t="inlineStr">
        <is>
          <t>u</t>
        </is>
      </c>
      <c r="G87" s="33" t="n"/>
      <c r="H87" s="33" t="n"/>
      <c r="I87" s="32" t="inlineStr">
        <is>
          <t>Etiqueta autoadhesiva AGC</t>
        </is>
      </c>
      <c r="J87" s="17" t="inlineStr">
        <is>
          <t>formato oficial</t>
        </is>
      </c>
      <c r="K87" s="32" t="inlineStr">
        <is>
          <t>Compra (organismo)</t>
        </is>
      </c>
      <c r="L87" s="32" t="inlineStr">
        <is>
          <t>Sí</t>
        </is>
      </c>
      <c r="M87" s="17" t="inlineStr">
        <is>
          <t>Agencia Gubernamental de Control (CABA)</t>
        </is>
      </c>
      <c r="N87" s="17" t="inlineStr">
        <is>
          <t>-</t>
        </is>
      </c>
      <c r="O87" s="17" t="n"/>
      <c r="P87" s="17" t="inlineStr">
        <is>
          <t>Res. AGC 32/15 anexo II</t>
        </is>
      </c>
      <c r="Q87" s="32" t="inlineStr">
        <is>
          <t>N</t>
        </is>
      </c>
      <c r="R87" s="32" t="inlineStr">
        <is>
          <t>FL_SUS_HCFC-HFC_5kg</t>
        </is>
      </c>
      <c r="S87" s="17" t="inlineStr">
        <is>
          <t>Sólo CABA</t>
        </is>
      </c>
    </row>
    <row r="88">
      <c r="A88" s="32" t="inlineStr">
        <is>
          <t>FL_SUS_HCFC-HFC_5kg</t>
        </is>
      </c>
      <c r="B88" s="32" t="n">
        <v>2</v>
      </c>
      <c r="C88" s="32" t="inlineStr">
        <is>
          <t>SUS-HCFC-HFC_5kg-04</t>
        </is>
      </c>
      <c r="D88" s="17" t="inlineStr">
        <is>
          <t xml:space="preserve">        Remito de préstamo con membrete (n° de extintor, puesto, equipo retirado, fechas)</t>
        </is>
      </c>
      <c r="E88" s="32" t="n">
        <v>1</v>
      </c>
      <c r="F88" s="32" t="inlineStr">
        <is>
          <t>u/préstamo</t>
        </is>
      </c>
      <c r="G88" s="33" t="n"/>
      <c r="H88" s="33" t="n"/>
      <c r="I88" s="32" t="inlineStr">
        <is>
          <t>Papel</t>
        </is>
      </c>
      <c r="J88" s="17" t="inlineStr">
        <is>
          <t>A5 duplicado</t>
        </is>
      </c>
      <c r="K88" s="32" t="inlineStr">
        <is>
          <t>Compra</t>
        </is>
      </c>
      <c r="L88" s="32" t="inlineStr">
        <is>
          <t>Sí</t>
        </is>
      </c>
      <c r="M88" s="17" t="inlineStr">
        <is>
          <t>Astuprint</t>
        </is>
      </c>
      <c r="N88" s="17" t="inlineStr">
        <is>
          <t>-</t>
        </is>
      </c>
      <c r="O88" s="17" t="n"/>
      <c r="P88" s="17" t="n"/>
      <c r="Q88" s="32" t="inlineStr">
        <is>
          <t>I</t>
        </is>
      </c>
      <c r="R88" s="32" t="inlineStr">
        <is>
          <t>FL_SUS_HCFC-HFC_5kg</t>
        </is>
      </c>
      <c r="S88" s="17" t="inlineStr">
        <is>
          <t>Práctica de mercado relevada (Fullmat, Rodo, Eversafe)</t>
        </is>
      </c>
    </row>
    <row r="89">
      <c r="A89" s="26" t="inlineStr">
        <is>
          <t>FL_SUS_CLASED_9l</t>
        </is>
      </c>
      <c r="B89" s="26" t="n">
        <v>0</v>
      </c>
      <c r="C89" s="26" t="inlineStr">
        <is>
          <t>FL_SUS_CLASED_9l</t>
        </is>
      </c>
      <c r="D89" s="27" t="inlineStr">
        <is>
          <t>Extintor sustituto para Extintor Clase D 9 l</t>
        </is>
      </c>
      <c r="E89" s="26" t="n">
        <v>1</v>
      </c>
      <c r="F89" s="26" t="inlineStr">
        <is>
          <t>u</t>
        </is>
      </c>
      <c r="G89" s="28" t="n"/>
      <c r="H89" s="28" t="n"/>
      <c r="I89" s="26" t="n"/>
      <c r="J89" s="27" t="n"/>
      <c r="K89" s="26" t="n"/>
      <c r="L89" s="26" t="n"/>
      <c r="M89" s="27" t="n"/>
      <c r="N89" s="27" t="n"/>
      <c r="O89" s="27" t="n"/>
      <c r="P89" s="27" t="inlineStr">
        <is>
          <t>IRAM 3517-2:2020 9.4.5</t>
        </is>
      </c>
      <c r="Q89" s="26" t="inlineStr">
        <is>
          <t>N</t>
        </is>
      </c>
      <c r="R89" s="26" t="inlineStr">
        <is>
          <t>FL_SUS_CLASED_9l</t>
        </is>
      </c>
      <c r="S89" s="27" t="inlineStr">
        <is>
          <t>Unitario: el tamaño del parque de sustitutos se dimensiona aparte</t>
        </is>
      </c>
    </row>
    <row r="90">
      <c r="A90" s="29" t="inlineStr">
        <is>
          <t>FL_SUS_CLASED_9l</t>
        </is>
      </c>
      <c r="B90" s="29" t="n">
        <v>1</v>
      </c>
      <c r="C90" s="29" t="inlineStr">
        <is>
          <t>FL_MAT_CLASED_9l</t>
        </is>
      </c>
      <c r="D90" s="30" t="inlineStr">
        <is>
          <t xml:space="preserve">    Extintor base: Extintor Clase D 9 l (mismo modelo)</t>
        </is>
      </c>
      <c r="E90" s="29" t="n">
        <v>1</v>
      </c>
      <c r="F90" s="29" t="inlineStr">
        <is>
          <t>u</t>
        </is>
      </c>
      <c r="G90" s="31" t="n"/>
      <c r="H90" s="31" t="n"/>
      <c r="I90" s="29" t="n"/>
      <c r="J90" s="30" t="n"/>
      <c r="K90" s="29" t="inlineStr">
        <is>
          <t>Stock FLAMA (comprado terminado)</t>
        </is>
      </c>
      <c r="L90" s="29" t="inlineStr">
        <is>
          <t>No</t>
        </is>
      </c>
      <c r="M90" s="30" t="n"/>
      <c r="N90" s="30" t="n"/>
      <c r="O90" s="30" t="n"/>
      <c r="P90" s="30" t="inlineStr">
        <is>
          <t>IRAM 3517-2:2020 9.4.5</t>
        </is>
      </c>
      <c r="Q90" s="29" t="inlineStr">
        <is>
          <t>N</t>
        </is>
      </c>
      <c r="R90" s="29" t="inlineStr">
        <is>
          <t>FL_SUS_CLASED_9l</t>
        </is>
      </c>
      <c r="S90" s="30" t="inlineStr">
        <is>
          <t>Igual clasificación y capacidad; mantenimiento vigente. BOM: hoja FL_MAT_CLASED_9l · No entra en MRP del kit: es demanda del producto FL_MAT (stock)</t>
        </is>
      </c>
    </row>
    <row r="91">
      <c r="A91" s="29" t="inlineStr">
        <is>
          <t>FL_SUS_CLASED_9l</t>
        </is>
      </c>
      <c r="B91" s="29" t="n">
        <v>1</v>
      </c>
      <c r="C91" s="29" t="inlineStr">
        <is>
          <t>SUS-CLASED_9l-K</t>
        </is>
      </c>
      <c r="D91" s="30" t="inlineStr">
        <is>
          <t xml:space="preserve">    Identificación de extintor sustituto</t>
        </is>
      </c>
      <c r="E91" s="29" t="n">
        <v>1</v>
      </c>
      <c r="F91" s="29" t="inlineStr">
        <is>
          <t>u</t>
        </is>
      </c>
      <c r="G91" s="31" t="n"/>
      <c r="H91" s="31" t="n"/>
      <c r="I91" s="29" t="n"/>
      <c r="J91" s="30" t="n"/>
      <c r="K91" s="29" t="inlineStr">
        <is>
          <t>Compra</t>
        </is>
      </c>
      <c r="L91" s="29" t="n"/>
      <c r="M91" s="30" t="n"/>
      <c r="N91" s="30" t="n"/>
      <c r="O91" s="30" t="n"/>
      <c r="P91" s="30" t="n"/>
      <c r="Q91" s="29" t="inlineStr">
        <is>
          <t>N</t>
        </is>
      </c>
      <c r="R91" s="29" t="inlineStr">
        <is>
          <t>FL_SUS_CLASED_9l</t>
        </is>
      </c>
      <c r="S91" s="30" t="n"/>
    </row>
    <row r="92">
      <c r="A92" s="32" t="inlineStr">
        <is>
          <t>FL_SUS_CLASED_9l</t>
        </is>
      </c>
      <c r="B92" s="32" t="n">
        <v>2</v>
      </c>
      <c r="C92" s="32" t="inlineStr">
        <is>
          <t>SUS-CLASED_9l-01</t>
        </is>
      </c>
      <c r="D92" s="17" t="inlineStr">
        <is>
          <t xml:space="preserve">        Faja amarilla de sustituto en la pollera (3 leyendas)</t>
        </is>
      </c>
      <c r="E92" s="32" t="n">
        <v>1</v>
      </c>
      <c r="F92" s="32" t="inlineStr">
        <is>
          <t>u</t>
        </is>
      </c>
      <c r="G92" s="33" t="n"/>
      <c r="H92" s="33" t="n"/>
      <c r="I92" s="32" t="inlineStr">
        <is>
          <t>Cinta vinílica autoadhesiva amarilla</t>
        </is>
      </c>
      <c r="J92" s="17" t="inlineStr">
        <is>
          <t>40 × 590 (alto ≤ 40; perímetro + 20 de solape)</t>
        </is>
      </c>
      <c r="K92" s="32" t="inlineStr">
        <is>
          <t>Compra</t>
        </is>
      </c>
      <c r="L92" s="32" t="inlineStr">
        <is>
          <t>Sí</t>
        </is>
      </c>
      <c r="M92" s="17" t="inlineStr">
        <is>
          <t>Astuprint</t>
        </is>
      </c>
      <c r="N92" s="17" t="inlineStr">
        <is>
          <t>Multilabel Argentina S.A.</t>
        </is>
      </c>
      <c r="O92" s="17" t="n"/>
      <c r="P92" s="17" t="inlineStr">
        <is>
          <t>IRAM 3517-2:2020 9.4.5 b)</t>
        </is>
      </c>
      <c r="Q92" s="32" t="inlineStr">
        <is>
          <t>N</t>
        </is>
      </c>
      <c r="R92" s="32" t="inlineStr">
        <is>
          <t>FL_SUS_CLASED_9l</t>
        </is>
      </c>
      <c r="S92" s="17" t="inlineStr">
        <is>
          <t>Leyendas: extintor sustituto / reemplaza al equipo de este puesto en mantenimiento o recarga / FLAMA S.A. (datos y logo). Proveedor a cotizar</t>
        </is>
      </c>
    </row>
    <row r="93">
      <c r="A93" s="32" t="inlineStr">
        <is>
          <t>FL_SUS_CLASED_9l</t>
        </is>
      </c>
      <c r="B93" s="32" t="n">
        <v>2</v>
      </c>
      <c r="C93" s="32" t="inlineStr">
        <is>
          <t>SUS-CLASED_9l-02</t>
        </is>
      </c>
      <c r="D93" s="17" t="inlineStr">
        <is>
          <t xml:space="preserve">        Tarjeta de identificación DPS con sello «SUSTITUTO HABILITADO»</t>
        </is>
      </c>
      <c r="E93" s="32" t="n">
        <v>1</v>
      </c>
      <c r="F93" s="32" t="inlineStr">
        <is>
          <t>u</t>
        </is>
      </c>
      <c r="G93" s="33" t="n"/>
      <c r="H93" s="33" t="n"/>
      <c r="I93" s="32" t="inlineStr">
        <is>
          <t>Tarjeta oficial DPS (PBA)</t>
        </is>
      </c>
      <c r="J93" s="17" t="inlineStr">
        <is>
          <t>formato oficial</t>
        </is>
      </c>
      <c r="K93" s="32" t="inlineStr">
        <is>
          <t>Compra (organismo)</t>
        </is>
      </c>
      <c r="L93" s="32" t="inlineStr">
        <is>
          <t>Sí</t>
        </is>
      </c>
      <c r="M93" s="17" t="inlineStr">
        <is>
          <t>Ministerio de Ambiente PBA (ex OPDS)</t>
        </is>
      </c>
      <c r="N93" s="17" t="inlineStr">
        <is>
          <t>-</t>
        </is>
      </c>
      <c r="O93" s="17" t="n"/>
      <c r="P93" s="17" t="inlineStr">
        <is>
          <t>Res. 349/07 art. 32</t>
        </is>
      </c>
      <c r="Q93" s="32" t="inlineStr">
        <is>
          <t>N</t>
        </is>
      </c>
      <c r="R93" s="32" t="inlineStr">
        <is>
          <t>FL_SUS_CLASED_9l</t>
        </is>
      </c>
      <c r="S93" s="17" t="inlineStr">
        <is>
          <t>Sólo PBA; reutilizable en cada revisión de carga; n° del extintor asentado en el libro de actas</t>
        </is>
      </c>
    </row>
    <row r="94">
      <c r="A94" s="32" t="inlineStr">
        <is>
          <t>FL_SUS_CLASED_9l</t>
        </is>
      </c>
      <c r="B94" s="32" t="n">
        <v>2</v>
      </c>
      <c r="C94" s="32" t="inlineStr">
        <is>
          <t>SUS-CLASED_9l-03</t>
        </is>
      </c>
      <c r="D94" s="17" t="inlineStr">
        <is>
          <t xml:space="preserve">        Tarjeta AGC con «Es sustituto» (sin domicilio de instalación)</t>
        </is>
      </c>
      <c r="E94" s="32" t="n">
        <v>1</v>
      </c>
      <c r="F94" s="32" t="inlineStr">
        <is>
          <t>u</t>
        </is>
      </c>
      <c r="G94" s="33" t="n"/>
      <c r="H94" s="33" t="n"/>
      <c r="I94" s="32" t="inlineStr">
        <is>
          <t>Etiqueta autoadhesiva AGC</t>
        </is>
      </c>
      <c r="J94" s="17" t="inlineStr">
        <is>
          <t>formato oficial</t>
        </is>
      </c>
      <c r="K94" s="32" t="inlineStr">
        <is>
          <t>Compra (organismo)</t>
        </is>
      </c>
      <c r="L94" s="32" t="inlineStr">
        <is>
          <t>Sí</t>
        </is>
      </c>
      <c r="M94" s="17" t="inlineStr">
        <is>
          <t>Agencia Gubernamental de Control (CABA)</t>
        </is>
      </c>
      <c r="N94" s="17" t="inlineStr">
        <is>
          <t>-</t>
        </is>
      </c>
      <c r="O94" s="17" t="n"/>
      <c r="P94" s="17" t="inlineStr">
        <is>
          <t>Res. AGC 32/15 anexo II</t>
        </is>
      </c>
      <c r="Q94" s="32" t="inlineStr">
        <is>
          <t>N</t>
        </is>
      </c>
      <c r="R94" s="32" t="inlineStr">
        <is>
          <t>FL_SUS_CLASED_9l</t>
        </is>
      </c>
      <c r="S94" s="17" t="inlineStr">
        <is>
          <t>Sólo CABA</t>
        </is>
      </c>
    </row>
    <row r="95">
      <c r="A95" s="32" t="inlineStr">
        <is>
          <t>FL_SUS_CLASED_9l</t>
        </is>
      </c>
      <c r="B95" s="32" t="n">
        <v>2</v>
      </c>
      <c r="C95" s="32" t="inlineStr">
        <is>
          <t>SUS-CLASED_9l-04</t>
        </is>
      </c>
      <c r="D95" s="17" t="inlineStr">
        <is>
          <t xml:space="preserve">        Remito de préstamo con membrete (n° de extintor, puesto, equipo retirado, fechas)</t>
        </is>
      </c>
      <c r="E95" s="32" t="n">
        <v>1</v>
      </c>
      <c r="F95" s="32" t="inlineStr">
        <is>
          <t>u/préstamo</t>
        </is>
      </c>
      <c r="G95" s="33" t="n"/>
      <c r="H95" s="33" t="n"/>
      <c r="I95" s="32" t="inlineStr">
        <is>
          <t>Papel</t>
        </is>
      </c>
      <c r="J95" s="17" t="inlineStr">
        <is>
          <t>A5 duplicado</t>
        </is>
      </c>
      <c r="K95" s="32" t="inlineStr">
        <is>
          <t>Compra</t>
        </is>
      </c>
      <c r="L95" s="32" t="inlineStr">
        <is>
          <t>Sí</t>
        </is>
      </c>
      <c r="M95" s="17" t="inlineStr">
        <is>
          <t>Astuprint</t>
        </is>
      </c>
      <c r="N95" s="17" t="inlineStr">
        <is>
          <t>-</t>
        </is>
      </c>
      <c r="O95" s="17" t="n"/>
      <c r="P95" s="17" t="n"/>
      <c r="Q95" s="32" t="inlineStr">
        <is>
          <t>I</t>
        </is>
      </c>
      <c r="R95" s="32" t="inlineStr">
        <is>
          <t>FL_SUS_CLASED_9l</t>
        </is>
      </c>
      <c r="S95" s="17" t="inlineStr">
        <is>
          <t>Práctica de mercado relevada (Fullmat, Rodo, Eversafe)</t>
        </is>
      </c>
    </row>
    <row r="96">
      <c r="A96" s="26" t="inlineStr">
        <is>
          <t>FL_SUS_ABC_25kg</t>
        </is>
      </c>
      <c r="B96" s="26" t="n">
        <v>0</v>
      </c>
      <c r="C96" s="26" t="inlineStr">
        <is>
          <t>FL_SUS_ABC_25kg</t>
        </is>
      </c>
      <c r="D96" s="27" t="inlineStr">
        <is>
          <t>Extintor sustituto para Extintor ABC 25 kg sobre ruedas</t>
        </is>
      </c>
      <c r="E96" s="26" t="n">
        <v>1</v>
      </c>
      <c r="F96" s="26" t="inlineStr">
        <is>
          <t>u</t>
        </is>
      </c>
      <c r="G96" s="28" t="n"/>
      <c r="H96" s="28" t="n"/>
      <c r="I96" s="26" t="n"/>
      <c r="J96" s="27" t="n"/>
      <c r="K96" s="26" t="n"/>
      <c r="L96" s="26" t="n"/>
      <c r="M96" s="27" t="n"/>
      <c r="N96" s="27" t="n"/>
      <c r="O96" s="27" t="n"/>
      <c r="P96" s="27" t="inlineStr">
        <is>
          <t>IRAM 3517-2:2020 9.4.5</t>
        </is>
      </c>
      <c r="Q96" s="26" t="inlineStr">
        <is>
          <t>N</t>
        </is>
      </c>
      <c r="R96" s="26" t="inlineStr">
        <is>
          <t>FL_SUS_ABC_25kg</t>
        </is>
      </c>
      <c r="S96" s="27" t="inlineStr">
        <is>
          <t>Unitario: el tamaño del parque de sustitutos se dimensiona aparte</t>
        </is>
      </c>
    </row>
    <row r="97">
      <c r="A97" s="29" t="inlineStr">
        <is>
          <t>FL_SUS_ABC_25kg</t>
        </is>
      </c>
      <c r="B97" s="29" t="n">
        <v>1</v>
      </c>
      <c r="C97" s="29" t="inlineStr">
        <is>
          <t>FL_MAT_ABC_25kg</t>
        </is>
      </c>
      <c r="D97" s="30" t="inlineStr">
        <is>
          <t xml:space="preserve">    Extintor base: Extintor ABC 25 kg sobre ruedas (mismo modelo)</t>
        </is>
      </c>
      <c r="E97" s="29" t="n">
        <v>1</v>
      </c>
      <c r="F97" s="29" t="inlineStr">
        <is>
          <t>u</t>
        </is>
      </c>
      <c r="G97" s="31" t="n"/>
      <c r="H97" s="31" t="n"/>
      <c r="I97" s="29" t="n"/>
      <c r="J97" s="30" t="n"/>
      <c r="K97" s="29" t="inlineStr">
        <is>
          <t>Stock FLAMA (fabricación propia)</t>
        </is>
      </c>
      <c r="L97" s="29" t="inlineStr">
        <is>
          <t>No</t>
        </is>
      </c>
      <c r="M97" s="30" t="n"/>
      <c r="N97" s="30" t="n"/>
      <c r="O97" s="30" t="n"/>
      <c r="P97" s="30" t="inlineStr">
        <is>
          <t>IRAM 3517-2:2020 9.4.5</t>
        </is>
      </c>
      <c r="Q97" s="29" t="inlineStr">
        <is>
          <t>N</t>
        </is>
      </c>
      <c r="R97" s="29" t="inlineStr">
        <is>
          <t>FL_SUS_ABC_25kg</t>
        </is>
      </c>
      <c r="S97" s="30" t="inlineStr">
        <is>
          <t>Igual clasificación y capacidad; mantenimiento vigente. BOM: hoja FL_MAT_ABC_25kg · No entra en MRP del kit: es demanda del producto FL_MAT (stock)</t>
        </is>
      </c>
    </row>
    <row r="98">
      <c r="A98" s="29" t="inlineStr">
        <is>
          <t>FL_SUS_ABC_25kg</t>
        </is>
      </c>
      <c r="B98" s="29" t="n">
        <v>1</v>
      </c>
      <c r="C98" s="29" t="inlineStr">
        <is>
          <t>SUS-ABC_25kg-K</t>
        </is>
      </c>
      <c r="D98" s="30" t="inlineStr">
        <is>
          <t xml:space="preserve">    Identificación de extintor sustituto</t>
        </is>
      </c>
      <c r="E98" s="29" t="n">
        <v>1</v>
      </c>
      <c r="F98" s="29" t="inlineStr">
        <is>
          <t>u</t>
        </is>
      </c>
      <c r="G98" s="31" t="n"/>
      <c r="H98" s="31" t="n"/>
      <c r="I98" s="29" t="n"/>
      <c r="J98" s="30" t="n"/>
      <c r="K98" s="29" t="inlineStr">
        <is>
          <t>Compra</t>
        </is>
      </c>
      <c r="L98" s="29" t="n"/>
      <c r="M98" s="30" t="n"/>
      <c r="N98" s="30" t="n"/>
      <c r="O98" s="30" t="n"/>
      <c r="P98" s="30" t="n"/>
      <c r="Q98" s="29" t="inlineStr">
        <is>
          <t>N</t>
        </is>
      </c>
      <c r="R98" s="29" t="inlineStr">
        <is>
          <t>FL_SUS_ABC_25kg</t>
        </is>
      </c>
      <c r="S98" s="30" t="n"/>
    </row>
    <row r="99">
      <c r="A99" s="32" t="inlineStr">
        <is>
          <t>FL_SUS_ABC_25kg</t>
        </is>
      </c>
      <c r="B99" s="32" t="n">
        <v>2</v>
      </c>
      <c r="C99" s="32" t="inlineStr">
        <is>
          <t>SUS-ABC_25kg-01</t>
        </is>
      </c>
      <c r="D99" s="17" t="inlineStr">
        <is>
          <t xml:space="preserve">        Faja amarilla de sustituto en la pollera (3 leyendas)</t>
        </is>
      </c>
      <c r="E99" s="32" t="n">
        <v>1</v>
      </c>
      <c r="F99" s="32" t="inlineStr">
        <is>
          <t>u</t>
        </is>
      </c>
      <c r="G99" s="33" t="n"/>
      <c r="H99" s="33" t="n"/>
      <c r="I99" s="32" t="inlineStr">
        <is>
          <t>Cinta vinílica autoadhesiva amarilla</t>
        </is>
      </c>
      <c r="J99" s="17" t="inlineStr">
        <is>
          <t>40 × 889 (alto ≤ 40; perímetro + 20 de solape)</t>
        </is>
      </c>
      <c r="K99" s="32" t="inlineStr">
        <is>
          <t>Compra</t>
        </is>
      </c>
      <c r="L99" s="32" t="inlineStr">
        <is>
          <t>Sí</t>
        </is>
      </c>
      <c r="M99" s="17" t="inlineStr">
        <is>
          <t>Astuprint</t>
        </is>
      </c>
      <c r="N99" s="17" t="inlineStr">
        <is>
          <t>Multilabel Argentina S.A.</t>
        </is>
      </c>
      <c r="O99" s="17" t="n"/>
      <c r="P99" s="17" t="inlineStr">
        <is>
          <t>IRAM 3517-2:2020 9.4.5 b)</t>
        </is>
      </c>
      <c r="Q99" s="32" t="inlineStr">
        <is>
          <t>N</t>
        </is>
      </c>
      <c r="R99" s="32" t="inlineStr">
        <is>
          <t>FL_SUS_ABC_25kg</t>
        </is>
      </c>
      <c r="S99" s="17" t="inlineStr">
        <is>
          <t>Leyendas: extintor sustituto / reemplaza al equipo de este puesto en mantenimiento o recarga / FLAMA S.A. (datos y logo). Proveedor a cotizar</t>
        </is>
      </c>
    </row>
    <row r="100">
      <c r="A100" s="32" t="inlineStr">
        <is>
          <t>FL_SUS_ABC_25kg</t>
        </is>
      </c>
      <c r="B100" s="32" t="n">
        <v>2</v>
      </c>
      <c r="C100" s="32" t="inlineStr">
        <is>
          <t>SUS-ABC_25kg-02</t>
        </is>
      </c>
      <c r="D100" s="17" t="inlineStr">
        <is>
          <t xml:space="preserve">        Tarjeta de identificación DPS con sello «SUSTITUTO HABILITADO»</t>
        </is>
      </c>
      <c r="E100" s="32" t="n">
        <v>1</v>
      </c>
      <c r="F100" s="32" t="inlineStr">
        <is>
          <t>u</t>
        </is>
      </c>
      <c r="G100" s="33" t="n"/>
      <c r="H100" s="33" t="n"/>
      <c r="I100" s="32" t="inlineStr">
        <is>
          <t>Tarjeta oficial DPS (PBA)</t>
        </is>
      </c>
      <c r="J100" s="17" t="inlineStr">
        <is>
          <t>formato oficial</t>
        </is>
      </c>
      <c r="K100" s="32" t="inlineStr">
        <is>
          <t>Compra (organismo)</t>
        </is>
      </c>
      <c r="L100" s="32" t="inlineStr">
        <is>
          <t>Sí</t>
        </is>
      </c>
      <c r="M100" s="17" t="inlineStr">
        <is>
          <t>Ministerio de Ambiente PBA (ex OPDS)</t>
        </is>
      </c>
      <c r="N100" s="17" t="inlineStr">
        <is>
          <t>-</t>
        </is>
      </c>
      <c r="O100" s="17" t="n"/>
      <c r="P100" s="17" t="inlineStr">
        <is>
          <t>Res. 349/07 art. 32</t>
        </is>
      </c>
      <c r="Q100" s="32" t="inlineStr">
        <is>
          <t>N</t>
        </is>
      </c>
      <c r="R100" s="32" t="inlineStr">
        <is>
          <t>FL_SUS_ABC_25kg</t>
        </is>
      </c>
      <c r="S100" s="17" t="inlineStr">
        <is>
          <t>Sólo PBA; reutilizable en cada revisión de carga; n° del extintor asentado en el libro de actas</t>
        </is>
      </c>
    </row>
    <row r="101">
      <c r="A101" s="32" t="inlineStr">
        <is>
          <t>FL_SUS_ABC_25kg</t>
        </is>
      </c>
      <c r="B101" s="32" t="n">
        <v>2</v>
      </c>
      <c r="C101" s="32" t="inlineStr">
        <is>
          <t>SUS-ABC_25kg-03</t>
        </is>
      </c>
      <c r="D101" s="17" t="inlineStr">
        <is>
          <t xml:space="preserve">        Tarjeta AGC con «Es sustituto» (sin domicilio de instalación)</t>
        </is>
      </c>
      <c r="E101" s="32" t="n">
        <v>1</v>
      </c>
      <c r="F101" s="32" t="inlineStr">
        <is>
          <t>u</t>
        </is>
      </c>
      <c r="G101" s="33" t="n"/>
      <c r="H101" s="33" t="n"/>
      <c r="I101" s="32" t="inlineStr">
        <is>
          <t>Etiqueta autoadhesiva AGC</t>
        </is>
      </c>
      <c r="J101" s="17" t="inlineStr">
        <is>
          <t>formato oficial</t>
        </is>
      </c>
      <c r="K101" s="32" t="inlineStr">
        <is>
          <t>Compra (organismo)</t>
        </is>
      </c>
      <c r="L101" s="32" t="inlineStr">
        <is>
          <t>Sí</t>
        </is>
      </c>
      <c r="M101" s="17" t="inlineStr">
        <is>
          <t>Agencia Gubernamental de Control (CABA)</t>
        </is>
      </c>
      <c r="N101" s="17" t="inlineStr">
        <is>
          <t>-</t>
        </is>
      </c>
      <c r="O101" s="17" t="n"/>
      <c r="P101" s="17" t="inlineStr">
        <is>
          <t>Res. AGC 32/15 anexo II</t>
        </is>
      </c>
      <c r="Q101" s="32" t="inlineStr">
        <is>
          <t>N</t>
        </is>
      </c>
      <c r="R101" s="32" t="inlineStr">
        <is>
          <t>FL_SUS_ABC_25kg</t>
        </is>
      </c>
      <c r="S101" s="17" t="inlineStr">
        <is>
          <t>Sólo CABA</t>
        </is>
      </c>
    </row>
    <row r="102">
      <c r="A102" s="32" t="inlineStr">
        <is>
          <t>FL_SUS_ABC_25kg</t>
        </is>
      </c>
      <c r="B102" s="32" t="n">
        <v>2</v>
      </c>
      <c r="C102" s="32" t="inlineStr">
        <is>
          <t>SUS-ABC_25kg-04</t>
        </is>
      </c>
      <c r="D102" s="17" t="inlineStr">
        <is>
          <t xml:space="preserve">        Remito de préstamo con membrete (n° de extintor, puesto, equipo retirado, fechas)</t>
        </is>
      </c>
      <c r="E102" s="32" t="n">
        <v>1</v>
      </c>
      <c r="F102" s="32" t="inlineStr">
        <is>
          <t>u/préstamo</t>
        </is>
      </c>
      <c r="G102" s="33" t="n"/>
      <c r="H102" s="33" t="n"/>
      <c r="I102" s="32" t="inlineStr">
        <is>
          <t>Papel</t>
        </is>
      </c>
      <c r="J102" s="17" t="inlineStr">
        <is>
          <t>A5 duplicado</t>
        </is>
      </c>
      <c r="K102" s="32" t="inlineStr">
        <is>
          <t>Compra</t>
        </is>
      </c>
      <c r="L102" s="32" t="inlineStr">
        <is>
          <t>Sí</t>
        </is>
      </c>
      <c r="M102" s="17" t="inlineStr">
        <is>
          <t>Astuprint</t>
        </is>
      </c>
      <c r="N102" s="17" t="inlineStr">
        <is>
          <t>-</t>
        </is>
      </c>
      <c r="O102" s="17" t="n"/>
      <c r="P102" s="17" t="n"/>
      <c r="Q102" s="32" t="inlineStr">
        <is>
          <t>I</t>
        </is>
      </c>
      <c r="R102" s="32" t="inlineStr">
        <is>
          <t>FL_SUS_ABC_25kg</t>
        </is>
      </c>
      <c r="S102" s="17" t="inlineStr">
        <is>
          <t>Práctica de mercado relevada (Fullmat, Rodo, Eversafe)</t>
        </is>
      </c>
    </row>
    <row r="103">
      <c r="A103" s="26" t="inlineStr">
        <is>
          <t>FL_SUS_ABC_50kg</t>
        </is>
      </c>
      <c r="B103" s="26" t="n">
        <v>0</v>
      </c>
      <c r="C103" s="26" t="inlineStr">
        <is>
          <t>FL_SUS_ABC_50kg</t>
        </is>
      </c>
      <c r="D103" s="27" t="inlineStr">
        <is>
          <t>Extintor sustituto para Extintor ABC 50 kg sobre ruedas</t>
        </is>
      </c>
      <c r="E103" s="26" t="n">
        <v>1</v>
      </c>
      <c r="F103" s="26" t="inlineStr">
        <is>
          <t>u</t>
        </is>
      </c>
      <c r="G103" s="28" t="n"/>
      <c r="H103" s="28" t="n"/>
      <c r="I103" s="26" t="n"/>
      <c r="J103" s="27" t="n"/>
      <c r="K103" s="26" t="n"/>
      <c r="L103" s="26" t="n"/>
      <c r="M103" s="27" t="n"/>
      <c r="N103" s="27" t="n"/>
      <c r="O103" s="27" t="n"/>
      <c r="P103" s="27" t="inlineStr">
        <is>
          <t>IRAM 3517-2:2020 9.4.5</t>
        </is>
      </c>
      <c r="Q103" s="26" t="inlineStr">
        <is>
          <t>N</t>
        </is>
      </c>
      <c r="R103" s="26" t="inlineStr">
        <is>
          <t>FL_SUS_ABC_50kg</t>
        </is>
      </c>
      <c r="S103" s="27" t="inlineStr">
        <is>
          <t>Unitario: el tamaño del parque de sustitutos se dimensiona aparte</t>
        </is>
      </c>
    </row>
    <row r="104">
      <c r="A104" s="29" t="inlineStr">
        <is>
          <t>FL_SUS_ABC_50kg</t>
        </is>
      </c>
      <c r="B104" s="29" t="n">
        <v>1</v>
      </c>
      <c r="C104" s="29" t="inlineStr">
        <is>
          <t>FL_MAT_ABC_50kg</t>
        </is>
      </c>
      <c r="D104" s="30" t="inlineStr">
        <is>
          <t xml:space="preserve">    Extintor base: Extintor ABC 50 kg sobre ruedas (mismo modelo)</t>
        </is>
      </c>
      <c r="E104" s="29" t="n">
        <v>1</v>
      </c>
      <c r="F104" s="29" t="inlineStr">
        <is>
          <t>u</t>
        </is>
      </c>
      <c r="G104" s="31" t="n"/>
      <c r="H104" s="31" t="n"/>
      <c r="I104" s="29" t="n"/>
      <c r="J104" s="30" t="n"/>
      <c r="K104" s="29" t="inlineStr">
        <is>
          <t>Stock FLAMA (fabricación propia)</t>
        </is>
      </c>
      <c r="L104" s="29" t="inlineStr">
        <is>
          <t>No</t>
        </is>
      </c>
      <c r="M104" s="30" t="n"/>
      <c r="N104" s="30" t="n"/>
      <c r="O104" s="30" t="n"/>
      <c r="P104" s="30" t="inlineStr">
        <is>
          <t>IRAM 3517-2:2020 9.4.5</t>
        </is>
      </c>
      <c r="Q104" s="29" t="inlineStr">
        <is>
          <t>N</t>
        </is>
      </c>
      <c r="R104" s="29" t="inlineStr">
        <is>
          <t>FL_SUS_ABC_50kg</t>
        </is>
      </c>
      <c r="S104" s="30" t="inlineStr">
        <is>
          <t>Igual clasificación y capacidad; mantenimiento vigente. BOM: hoja FL_MAT_ABC_50kg · No entra en MRP del kit: es demanda del producto FL_MAT (stock)</t>
        </is>
      </c>
    </row>
    <row r="105">
      <c r="A105" s="29" t="inlineStr">
        <is>
          <t>FL_SUS_ABC_50kg</t>
        </is>
      </c>
      <c r="B105" s="29" t="n">
        <v>1</v>
      </c>
      <c r="C105" s="29" t="inlineStr">
        <is>
          <t>SUS-ABC_50kg-K</t>
        </is>
      </c>
      <c r="D105" s="30" t="inlineStr">
        <is>
          <t xml:space="preserve">    Identificación de extintor sustituto</t>
        </is>
      </c>
      <c r="E105" s="29" t="n">
        <v>1</v>
      </c>
      <c r="F105" s="29" t="inlineStr">
        <is>
          <t>u</t>
        </is>
      </c>
      <c r="G105" s="31" t="n"/>
      <c r="H105" s="31" t="n"/>
      <c r="I105" s="29" t="n"/>
      <c r="J105" s="30" t="n"/>
      <c r="K105" s="29" t="inlineStr">
        <is>
          <t>Compra</t>
        </is>
      </c>
      <c r="L105" s="29" t="n"/>
      <c r="M105" s="30" t="n"/>
      <c r="N105" s="30" t="n"/>
      <c r="O105" s="30" t="n"/>
      <c r="P105" s="30" t="n"/>
      <c r="Q105" s="29" t="inlineStr">
        <is>
          <t>N</t>
        </is>
      </c>
      <c r="R105" s="29" t="inlineStr">
        <is>
          <t>FL_SUS_ABC_50kg</t>
        </is>
      </c>
      <c r="S105" s="30" t="n"/>
    </row>
    <row r="106">
      <c r="A106" s="32" t="inlineStr">
        <is>
          <t>FL_SUS_ABC_50kg</t>
        </is>
      </c>
      <c r="B106" s="32" t="n">
        <v>2</v>
      </c>
      <c r="C106" s="32" t="inlineStr">
        <is>
          <t>SUS-ABC_50kg-01</t>
        </is>
      </c>
      <c r="D106" s="17" t="inlineStr">
        <is>
          <t xml:space="preserve">        Faja amarilla de sustituto en la pollera (3 leyendas)</t>
        </is>
      </c>
      <c r="E106" s="32" t="n">
        <v>1</v>
      </c>
      <c r="F106" s="32" t="inlineStr">
        <is>
          <t>u</t>
        </is>
      </c>
      <c r="G106" s="33" t="n"/>
      <c r="H106" s="33" t="n"/>
      <c r="I106" s="32" t="inlineStr">
        <is>
          <t>Cinta vinílica autoadhesiva amarilla</t>
        </is>
      </c>
      <c r="J106" s="17" t="inlineStr">
        <is>
          <t>40 × 1025 (alto ≤ 40; perímetro + 20 de solape)</t>
        </is>
      </c>
      <c r="K106" s="32" t="inlineStr">
        <is>
          <t>Compra</t>
        </is>
      </c>
      <c r="L106" s="32" t="inlineStr">
        <is>
          <t>Sí</t>
        </is>
      </c>
      <c r="M106" s="17" t="inlineStr">
        <is>
          <t>Astuprint</t>
        </is>
      </c>
      <c r="N106" s="17" t="inlineStr">
        <is>
          <t>Multilabel Argentina S.A.</t>
        </is>
      </c>
      <c r="O106" s="17" t="n"/>
      <c r="P106" s="17" t="inlineStr">
        <is>
          <t>IRAM 3517-2:2020 9.4.5 b)</t>
        </is>
      </c>
      <c r="Q106" s="32" t="inlineStr">
        <is>
          <t>N</t>
        </is>
      </c>
      <c r="R106" s="32" t="inlineStr">
        <is>
          <t>FL_SUS_ABC_50kg</t>
        </is>
      </c>
      <c r="S106" s="17" t="inlineStr">
        <is>
          <t>Leyendas: extintor sustituto / reemplaza al equipo de este puesto en mantenimiento o recarga / FLAMA S.A. (datos y logo). Proveedor a cotizar</t>
        </is>
      </c>
    </row>
    <row r="107">
      <c r="A107" s="32" t="inlineStr">
        <is>
          <t>FL_SUS_ABC_50kg</t>
        </is>
      </c>
      <c r="B107" s="32" t="n">
        <v>2</v>
      </c>
      <c r="C107" s="32" t="inlineStr">
        <is>
          <t>SUS-ABC_50kg-02</t>
        </is>
      </c>
      <c r="D107" s="17" t="inlineStr">
        <is>
          <t xml:space="preserve">        Tarjeta de identificación DPS con sello «SUSTITUTO HABILITADO»</t>
        </is>
      </c>
      <c r="E107" s="32" t="n">
        <v>1</v>
      </c>
      <c r="F107" s="32" t="inlineStr">
        <is>
          <t>u</t>
        </is>
      </c>
      <c r="G107" s="33" t="n"/>
      <c r="H107" s="33" t="n"/>
      <c r="I107" s="32" t="inlineStr">
        <is>
          <t>Tarjeta oficial DPS (PBA)</t>
        </is>
      </c>
      <c r="J107" s="17" t="inlineStr">
        <is>
          <t>formato oficial</t>
        </is>
      </c>
      <c r="K107" s="32" t="inlineStr">
        <is>
          <t>Compra (organismo)</t>
        </is>
      </c>
      <c r="L107" s="32" t="inlineStr">
        <is>
          <t>Sí</t>
        </is>
      </c>
      <c r="M107" s="17" t="inlineStr">
        <is>
          <t>Ministerio de Ambiente PBA (ex OPDS)</t>
        </is>
      </c>
      <c r="N107" s="17" t="inlineStr">
        <is>
          <t>-</t>
        </is>
      </c>
      <c r="O107" s="17" t="n"/>
      <c r="P107" s="17" t="inlineStr">
        <is>
          <t>Res. 349/07 art. 32</t>
        </is>
      </c>
      <c r="Q107" s="32" t="inlineStr">
        <is>
          <t>N</t>
        </is>
      </c>
      <c r="R107" s="32" t="inlineStr">
        <is>
          <t>FL_SUS_ABC_50kg</t>
        </is>
      </c>
      <c r="S107" s="17" t="inlineStr">
        <is>
          <t>Sólo PBA; reutilizable en cada revisión de carga; n° del extintor asentado en el libro de actas</t>
        </is>
      </c>
    </row>
    <row r="108">
      <c r="A108" s="32" t="inlineStr">
        <is>
          <t>FL_SUS_ABC_50kg</t>
        </is>
      </c>
      <c r="B108" s="32" t="n">
        <v>2</v>
      </c>
      <c r="C108" s="32" t="inlineStr">
        <is>
          <t>SUS-ABC_50kg-03</t>
        </is>
      </c>
      <c r="D108" s="17" t="inlineStr">
        <is>
          <t xml:space="preserve">        Tarjeta AGC con «Es sustituto» (sin domicilio de instalación)</t>
        </is>
      </c>
      <c r="E108" s="32" t="n">
        <v>1</v>
      </c>
      <c r="F108" s="32" t="inlineStr">
        <is>
          <t>u</t>
        </is>
      </c>
      <c r="G108" s="33" t="n"/>
      <c r="H108" s="33" t="n"/>
      <c r="I108" s="32" t="inlineStr">
        <is>
          <t>Etiqueta autoadhesiva AGC</t>
        </is>
      </c>
      <c r="J108" s="17" t="inlineStr">
        <is>
          <t>formato oficial</t>
        </is>
      </c>
      <c r="K108" s="32" t="inlineStr">
        <is>
          <t>Compra (organismo)</t>
        </is>
      </c>
      <c r="L108" s="32" t="inlineStr">
        <is>
          <t>Sí</t>
        </is>
      </c>
      <c r="M108" s="17" t="inlineStr">
        <is>
          <t>Agencia Gubernamental de Control (CABA)</t>
        </is>
      </c>
      <c r="N108" s="17" t="inlineStr">
        <is>
          <t>-</t>
        </is>
      </c>
      <c r="O108" s="17" t="n"/>
      <c r="P108" s="17" t="inlineStr">
        <is>
          <t>Res. AGC 32/15 anexo II</t>
        </is>
      </c>
      <c r="Q108" s="32" t="inlineStr">
        <is>
          <t>N</t>
        </is>
      </c>
      <c r="R108" s="32" t="inlineStr">
        <is>
          <t>FL_SUS_ABC_50kg</t>
        </is>
      </c>
      <c r="S108" s="17" t="inlineStr">
        <is>
          <t>Sólo CABA</t>
        </is>
      </c>
    </row>
    <row r="109">
      <c r="A109" s="32" t="inlineStr">
        <is>
          <t>FL_SUS_ABC_50kg</t>
        </is>
      </c>
      <c r="B109" s="32" t="n">
        <v>2</v>
      </c>
      <c r="C109" s="32" t="inlineStr">
        <is>
          <t>SUS-ABC_50kg-04</t>
        </is>
      </c>
      <c r="D109" s="17" t="inlineStr">
        <is>
          <t xml:space="preserve">        Remito de préstamo con membrete (n° de extintor, puesto, equipo retirado, fechas)</t>
        </is>
      </c>
      <c r="E109" s="32" t="n">
        <v>1</v>
      </c>
      <c r="F109" s="32" t="inlineStr">
        <is>
          <t>u/préstamo</t>
        </is>
      </c>
      <c r="G109" s="33" t="n"/>
      <c r="H109" s="33" t="n"/>
      <c r="I109" s="32" t="inlineStr">
        <is>
          <t>Papel</t>
        </is>
      </c>
      <c r="J109" s="17" t="inlineStr">
        <is>
          <t>A5 duplicado</t>
        </is>
      </c>
      <c r="K109" s="32" t="inlineStr">
        <is>
          <t>Compra</t>
        </is>
      </c>
      <c r="L109" s="32" t="inlineStr">
        <is>
          <t>Sí</t>
        </is>
      </c>
      <c r="M109" s="17" t="inlineStr">
        <is>
          <t>Astuprint</t>
        </is>
      </c>
      <c r="N109" s="17" t="inlineStr">
        <is>
          <t>-</t>
        </is>
      </c>
      <c r="O109" s="17" t="n"/>
      <c r="P109" s="17" t="n"/>
      <c r="Q109" s="32" t="inlineStr">
        <is>
          <t>I</t>
        </is>
      </c>
      <c r="R109" s="32" t="inlineStr">
        <is>
          <t>FL_SUS_ABC_50kg</t>
        </is>
      </c>
      <c r="S109" s="17" t="inlineStr">
        <is>
          <t>Práctica de mercado relevada (Fullmat, Rodo, Eversafe)</t>
        </is>
      </c>
    </row>
    <row r="110">
      <c r="A110" s="26" t="inlineStr">
        <is>
          <t>FL_SUS_ABC_70kg</t>
        </is>
      </c>
      <c r="B110" s="26" t="n">
        <v>0</v>
      </c>
      <c r="C110" s="26" t="inlineStr">
        <is>
          <t>FL_SUS_ABC_70kg</t>
        </is>
      </c>
      <c r="D110" s="27" t="inlineStr">
        <is>
          <t>Extintor sustituto para Extintor ABC 70 kg sobre ruedas</t>
        </is>
      </c>
      <c r="E110" s="26" t="n">
        <v>1</v>
      </c>
      <c r="F110" s="26" t="inlineStr">
        <is>
          <t>u</t>
        </is>
      </c>
      <c r="G110" s="28" t="n"/>
      <c r="H110" s="28" t="n"/>
      <c r="I110" s="26" t="n"/>
      <c r="J110" s="27" t="n"/>
      <c r="K110" s="26" t="n"/>
      <c r="L110" s="26" t="n"/>
      <c r="M110" s="27" t="n"/>
      <c r="N110" s="27" t="n"/>
      <c r="O110" s="27" t="n"/>
      <c r="P110" s="27" t="inlineStr">
        <is>
          <t>IRAM 3517-2:2020 9.4.5</t>
        </is>
      </c>
      <c r="Q110" s="26" t="inlineStr">
        <is>
          <t>N</t>
        </is>
      </c>
      <c r="R110" s="26" t="inlineStr">
        <is>
          <t>FL_SUS_ABC_70kg</t>
        </is>
      </c>
      <c r="S110" s="27" t="inlineStr">
        <is>
          <t>Unitario: el tamaño del parque de sustitutos se dimensiona aparte</t>
        </is>
      </c>
    </row>
    <row r="111">
      <c r="A111" s="29" t="inlineStr">
        <is>
          <t>FL_SUS_ABC_70kg</t>
        </is>
      </c>
      <c r="B111" s="29" t="n">
        <v>1</v>
      </c>
      <c r="C111" s="29" t="inlineStr">
        <is>
          <t>FL_MAT_ABC_70kg</t>
        </is>
      </c>
      <c r="D111" s="30" t="inlineStr">
        <is>
          <t xml:space="preserve">    Extintor base: Extintor ABC 70 kg sobre ruedas (mismo modelo)</t>
        </is>
      </c>
      <c r="E111" s="29" t="n">
        <v>1</v>
      </c>
      <c r="F111" s="29" t="inlineStr">
        <is>
          <t>u</t>
        </is>
      </c>
      <c r="G111" s="31" t="n"/>
      <c r="H111" s="31" t="n"/>
      <c r="I111" s="29" t="n"/>
      <c r="J111" s="30" t="n"/>
      <c r="K111" s="29" t="inlineStr">
        <is>
          <t>Stock FLAMA (fabricación propia)</t>
        </is>
      </c>
      <c r="L111" s="29" t="inlineStr">
        <is>
          <t>No</t>
        </is>
      </c>
      <c r="M111" s="30" t="n"/>
      <c r="N111" s="30" t="n"/>
      <c r="O111" s="30" t="n"/>
      <c r="P111" s="30" t="inlineStr">
        <is>
          <t>IRAM 3517-2:2020 9.4.5</t>
        </is>
      </c>
      <c r="Q111" s="29" t="inlineStr">
        <is>
          <t>N</t>
        </is>
      </c>
      <c r="R111" s="29" t="inlineStr">
        <is>
          <t>FL_SUS_ABC_70kg</t>
        </is>
      </c>
      <c r="S111" s="30" t="inlineStr">
        <is>
          <t>Igual clasificación y capacidad; mantenimiento vigente. BOM: hoja FL_MAT_ABC_70kg · No entra en MRP del kit: es demanda del producto FL_MAT (stock)</t>
        </is>
      </c>
    </row>
    <row r="112">
      <c r="A112" s="29" t="inlineStr">
        <is>
          <t>FL_SUS_ABC_70kg</t>
        </is>
      </c>
      <c r="B112" s="29" t="n">
        <v>1</v>
      </c>
      <c r="C112" s="29" t="inlineStr">
        <is>
          <t>SUS-ABC_70kg-K</t>
        </is>
      </c>
      <c r="D112" s="30" t="inlineStr">
        <is>
          <t xml:space="preserve">    Identificación de extintor sustituto</t>
        </is>
      </c>
      <c r="E112" s="29" t="n">
        <v>1</v>
      </c>
      <c r="F112" s="29" t="inlineStr">
        <is>
          <t>u</t>
        </is>
      </c>
      <c r="G112" s="31" t="n"/>
      <c r="H112" s="31" t="n"/>
      <c r="I112" s="29" t="n"/>
      <c r="J112" s="30" t="n"/>
      <c r="K112" s="29" t="inlineStr">
        <is>
          <t>Compra</t>
        </is>
      </c>
      <c r="L112" s="29" t="n"/>
      <c r="M112" s="30" t="n"/>
      <c r="N112" s="30" t="n"/>
      <c r="O112" s="30" t="n"/>
      <c r="P112" s="30" t="n"/>
      <c r="Q112" s="29" t="inlineStr">
        <is>
          <t>N</t>
        </is>
      </c>
      <c r="R112" s="29" t="inlineStr">
        <is>
          <t>FL_SUS_ABC_70kg</t>
        </is>
      </c>
      <c r="S112" s="30" t="n"/>
    </row>
    <row r="113">
      <c r="A113" s="32" t="inlineStr">
        <is>
          <t>FL_SUS_ABC_70kg</t>
        </is>
      </c>
      <c r="B113" s="32" t="n">
        <v>2</v>
      </c>
      <c r="C113" s="32" t="inlineStr">
        <is>
          <t>SUS-ABC_70kg-01</t>
        </is>
      </c>
      <c r="D113" s="17" t="inlineStr">
        <is>
          <t xml:space="preserve">        Faja amarilla de sustituto en la pollera (3 leyendas)</t>
        </is>
      </c>
      <c r="E113" s="32" t="n">
        <v>1</v>
      </c>
      <c r="F113" s="32" t="inlineStr">
        <is>
          <t>u</t>
        </is>
      </c>
      <c r="G113" s="33" t="n"/>
      <c r="H113" s="33" t="n"/>
      <c r="I113" s="32" t="inlineStr">
        <is>
          <t>Cinta vinílica autoadhesiva amarilla</t>
        </is>
      </c>
      <c r="J113" s="17" t="inlineStr">
        <is>
          <t>40 × 1245 (alto ≤ 40; perímetro + 20 de solape)</t>
        </is>
      </c>
      <c r="K113" s="32" t="inlineStr">
        <is>
          <t>Compra</t>
        </is>
      </c>
      <c r="L113" s="32" t="inlineStr">
        <is>
          <t>Sí</t>
        </is>
      </c>
      <c r="M113" s="17" t="inlineStr">
        <is>
          <t>Astuprint</t>
        </is>
      </c>
      <c r="N113" s="17" t="inlineStr">
        <is>
          <t>Multilabel Argentina S.A.</t>
        </is>
      </c>
      <c r="O113" s="17" t="n"/>
      <c r="P113" s="17" t="inlineStr">
        <is>
          <t>IRAM 3517-2:2020 9.4.5 b)</t>
        </is>
      </c>
      <c r="Q113" s="32" t="inlineStr">
        <is>
          <t>N</t>
        </is>
      </c>
      <c r="R113" s="32" t="inlineStr">
        <is>
          <t>FL_SUS_ABC_70kg</t>
        </is>
      </c>
      <c r="S113" s="17" t="inlineStr">
        <is>
          <t>Leyendas: extintor sustituto / reemplaza al equipo de este puesto en mantenimiento o recarga / FLAMA S.A. (datos y logo). Proveedor a cotizar</t>
        </is>
      </c>
    </row>
    <row r="114">
      <c r="A114" s="32" t="inlineStr">
        <is>
          <t>FL_SUS_ABC_70kg</t>
        </is>
      </c>
      <c r="B114" s="32" t="n">
        <v>2</v>
      </c>
      <c r="C114" s="32" t="inlineStr">
        <is>
          <t>SUS-ABC_70kg-02</t>
        </is>
      </c>
      <c r="D114" s="17" t="inlineStr">
        <is>
          <t xml:space="preserve">        Tarjeta de identificación DPS con sello «SUSTITUTO HABILITADO»</t>
        </is>
      </c>
      <c r="E114" s="32" t="n">
        <v>1</v>
      </c>
      <c r="F114" s="32" t="inlineStr">
        <is>
          <t>u</t>
        </is>
      </c>
      <c r="G114" s="33" t="n"/>
      <c r="H114" s="33" t="n"/>
      <c r="I114" s="32" t="inlineStr">
        <is>
          <t>Tarjeta oficial DPS (PBA)</t>
        </is>
      </c>
      <c r="J114" s="17" t="inlineStr">
        <is>
          <t>formato oficial</t>
        </is>
      </c>
      <c r="K114" s="32" t="inlineStr">
        <is>
          <t>Compra (organismo)</t>
        </is>
      </c>
      <c r="L114" s="32" t="inlineStr">
        <is>
          <t>Sí</t>
        </is>
      </c>
      <c r="M114" s="17" t="inlineStr">
        <is>
          <t>Ministerio de Ambiente PBA (ex OPDS)</t>
        </is>
      </c>
      <c r="N114" s="17" t="inlineStr">
        <is>
          <t>-</t>
        </is>
      </c>
      <c r="O114" s="17" t="n"/>
      <c r="P114" s="17" t="inlineStr">
        <is>
          <t>Res. 349/07 art. 32</t>
        </is>
      </c>
      <c r="Q114" s="32" t="inlineStr">
        <is>
          <t>N</t>
        </is>
      </c>
      <c r="R114" s="32" t="inlineStr">
        <is>
          <t>FL_SUS_ABC_70kg</t>
        </is>
      </c>
      <c r="S114" s="17" t="inlineStr">
        <is>
          <t>Sólo PBA; reutilizable en cada revisión de carga; n° del extintor asentado en el libro de actas</t>
        </is>
      </c>
    </row>
    <row r="115">
      <c r="A115" s="32" t="inlineStr">
        <is>
          <t>FL_SUS_ABC_70kg</t>
        </is>
      </c>
      <c r="B115" s="32" t="n">
        <v>2</v>
      </c>
      <c r="C115" s="32" t="inlineStr">
        <is>
          <t>SUS-ABC_70kg-03</t>
        </is>
      </c>
      <c r="D115" s="17" t="inlineStr">
        <is>
          <t xml:space="preserve">        Tarjeta AGC con «Es sustituto» (sin domicilio de instalación)</t>
        </is>
      </c>
      <c r="E115" s="32" t="n">
        <v>1</v>
      </c>
      <c r="F115" s="32" t="inlineStr">
        <is>
          <t>u</t>
        </is>
      </c>
      <c r="G115" s="33" t="n"/>
      <c r="H115" s="33" t="n"/>
      <c r="I115" s="32" t="inlineStr">
        <is>
          <t>Etiqueta autoadhesiva AGC</t>
        </is>
      </c>
      <c r="J115" s="17" t="inlineStr">
        <is>
          <t>formato oficial</t>
        </is>
      </c>
      <c r="K115" s="32" t="inlineStr">
        <is>
          <t>Compra (organismo)</t>
        </is>
      </c>
      <c r="L115" s="32" t="inlineStr">
        <is>
          <t>Sí</t>
        </is>
      </c>
      <c r="M115" s="17" t="inlineStr">
        <is>
          <t>Agencia Gubernamental de Control (CABA)</t>
        </is>
      </c>
      <c r="N115" s="17" t="inlineStr">
        <is>
          <t>-</t>
        </is>
      </c>
      <c r="O115" s="17" t="n"/>
      <c r="P115" s="17" t="inlineStr">
        <is>
          <t>Res. AGC 32/15 anexo II</t>
        </is>
      </c>
      <c r="Q115" s="32" t="inlineStr">
        <is>
          <t>N</t>
        </is>
      </c>
      <c r="R115" s="32" t="inlineStr">
        <is>
          <t>FL_SUS_ABC_70kg</t>
        </is>
      </c>
      <c r="S115" s="17" t="inlineStr">
        <is>
          <t>Sólo CABA</t>
        </is>
      </c>
    </row>
    <row r="116">
      <c r="A116" s="32" t="inlineStr">
        <is>
          <t>FL_SUS_ABC_70kg</t>
        </is>
      </c>
      <c r="B116" s="32" t="n">
        <v>2</v>
      </c>
      <c r="C116" s="32" t="inlineStr">
        <is>
          <t>SUS-ABC_70kg-04</t>
        </is>
      </c>
      <c r="D116" s="17" t="inlineStr">
        <is>
          <t xml:space="preserve">        Remito de préstamo con membrete (n° de extintor, puesto, equipo retirado, fechas)</t>
        </is>
      </c>
      <c r="E116" s="32" t="n">
        <v>1</v>
      </c>
      <c r="F116" s="32" t="inlineStr">
        <is>
          <t>u/préstamo</t>
        </is>
      </c>
      <c r="G116" s="33" t="n"/>
      <c r="H116" s="33" t="n"/>
      <c r="I116" s="32" t="inlineStr">
        <is>
          <t>Papel</t>
        </is>
      </c>
      <c r="J116" s="17" t="inlineStr">
        <is>
          <t>A5 duplicado</t>
        </is>
      </c>
      <c r="K116" s="32" t="inlineStr">
        <is>
          <t>Compra</t>
        </is>
      </c>
      <c r="L116" s="32" t="inlineStr">
        <is>
          <t>Sí</t>
        </is>
      </c>
      <c r="M116" s="17" t="inlineStr">
        <is>
          <t>Astuprint</t>
        </is>
      </c>
      <c r="N116" s="17" t="inlineStr">
        <is>
          <t>-</t>
        </is>
      </c>
      <c r="O116" s="17" t="n"/>
      <c r="P116" s="17" t="n"/>
      <c r="Q116" s="32" t="inlineStr">
        <is>
          <t>I</t>
        </is>
      </c>
      <c r="R116" s="32" t="inlineStr">
        <is>
          <t>FL_SUS_ABC_70kg</t>
        </is>
      </c>
      <c r="S116" s="17" t="inlineStr">
        <is>
          <t>Práctica de mercado relevada (Fullmat, Rodo, Eversafe)</t>
        </is>
      </c>
    </row>
    <row r="117">
      <c r="A117" s="26" t="inlineStr">
        <is>
          <t>FL_SUS_ABC_100kg</t>
        </is>
      </c>
      <c r="B117" s="26" t="n">
        <v>0</v>
      </c>
      <c r="C117" s="26" t="inlineStr">
        <is>
          <t>FL_SUS_ABC_100kg</t>
        </is>
      </c>
      <c r="D117" s="27" t="inlineStr">
        <is>
          <t>Extintor sustituto para Extintor ABC 100 kg sobre ruedas</t>
        </is>
      </c>
      <c r="E117" s="26" t="n">
        <v>1</v>
      </c>
      <c r="F117" s="26" t="inlineStr">
        <is>
          <t>u</t>
        </is>
      </c>
      <c r="G117" s="28" t="n"/>
      <c r="H117" s="28" t="n"/>
      <c r="I117" s="26" t="n"/>
      <c r="J117" s="27" t="n"/>
      <c r="K117" s="26" t="n"/>
      <c r="L117" s="26" t="n"/>
      <c r="M117" s="27" t="n"/>
      <c r="N117" s="27" t="n"/>
      <c r="O117" s="27" t="n"/>
      <c r="P117" s="27" t="inlineStr">
        <is>
          <t>IRAM 3517-2:2020 9.4.5</t>
        </is>
      </c>
      <c r="Q117" s="26" t="inlineStr">
        <is>
          <t>N</t>
        </is>
      </c>
      <c r="R117" s="26" t="inlineStr">
        <is>
          <t>FL_SUS_ABC_100kg</t>
        </is>
      </c>
      <c r="S117" s="27" t="inlineStr">
        <is>
          <t>Unitario: el tamaño del parque de sustitutos se dimensiona aparte</t>
        </is>
      </c>
    </row>
    <row r="118">
      <c r="A118" s="29" t="inlineStr">
        <is>
          <t>FL_SUS_ABC_100kg</t>
        </is>
      </c>
      <c r="B118" s="29" t="n">
        <v>1</v>
      </c>
      <c r="C118" s="29" t="inlineStr">
        <is>
          <t>FL_MAT_ABC_100kg</t>
        </is>
      </c>
      <c r="D118" s="30" t="inlineStr">
        <is>
          <t xml:space="preserve">    Extintor base: Extintor ABC 100 kg sobre ruedas (mismo modelo)</t>
        </is>
      </c>
      <c r="E118" s="29" t="n">
        <v>1</v>
      </c>
      <c r="F118" s="29" t="inlineStr">
        <is>
          <t>u</t>
        </is>
      </c>
      <c r="G118" s="31" t="n"/>
      <c r="H118" s="31" t="n"/>
      <c r="I118" s="29" t="n"/>
      <c r="J118" s="30" t="n"/>
      <c r="K118" s="29" t="inlineStr">
        <is>
          <t>Stock FLAMA (fabricación propia)</t>
        </is>
      </c>
      <c r="L118" s="29" t="inlineStr">
        <is>
          <t>No</t>
        </is>
      </c>
      <c r="M118" s="30" t="n"/>
      <c r="N118" s="30" t="n"/>
      <c r="O118" s="30" t="n"/>
      <c r="P118" s="30" t="inlineStr">
        <is>
          <t>IRAM 3517-2:2020 9.4.5</t>
        </is>
      </c>
      <c r="Q118" s="29" t="inlineStr">
        <is>
          <t>N</t>
        </is>
      </c>
      <c r="R118" s="29" t="inlineStr">
        <is>
          <t>FL_SUS_ABC_100kg</t>
        </is>
      </c>
      <c r="S118" s="30" t="inlineStr">
        <is>
          <t>Igual clasificación y capacidad; mantenimiento vigente. BOM: hoja FL_MAT_ABC_100kg · No entra en MRP del kit: es demanda del producto FL_MAT (stock)</t>
        </is>
      </c>
    </row>
    <row r="119">
      <c r="A119" s="29" t="inlineStr">
        <is>
          <t>FL_SUS_ABC_100kg</t>
        </is>
      </c>
      <c r="B119" s="29" t="n">
        <v>1</v>
      </c>
      <c r="C119" s="29" t="inlineStr">
        <is>
          <t>SUS-ABC_100kg-K</t>
        </is>
      </c>
      <c r="D119" s="30" t="inlineStr">
        <is>
          <t xml:space="preserve">    Identificación de extintor sustituto</t>
        </is>
      </c>
      <c r="E119" s="29" t="n">
        <v>1</v>
      </c>
      <c r="F119" s="29" t="inlineStr">
        <is>
          <t>u</t>
        </is>
      </c>
      <c r="G119" s="31" t="n"/>
      <c r="H119" s="31" t="n"/>
      <c r="I119" s="29" t="n"/>
      <c r="J119" s="30" t="n"/>
      <c r="K119" s="29" t="inlineStr">
        <is>
          <t>Compra</t>
        </is>
      </c>
      <c r="L119" s="29" t="n"/>
      <c r="M119" s="30" t="n"/>
      <c r="N119" s="30" t="n"/>
      <c r="O119" s="30" t="n"/>
      <c r="P119" s="30" t="n"/>
      <c r="Q119" s="29" t="inlineStr">
        <is>
          <t>N</t>
        </is>
      </c>
      <c r="R119" s="29" t="inlineStr">
        <is>
          <t>FL_SUS_ABC_100kg</t>
        </is>
      </c>
      <c r="S119" s="30" t="n"/>
    </row>
    <row r="120">
      <c r="A120" s="32" t="inlineStr">
        <is>
          <t>FL_SUS_ABC_100kg</t>
        </is>
      </c>
      <c r="B120" s="32" t="n">
        <v>2</v>
      </c>
      <c r="C120" s="32" t="inlineStr">
        <is>
          <t>SUS-ABC_100kg-01</t>
        </is>
      </c>
      <c r="D120" s="17" t="inlineStr">
        <is>
          <t xml:space="preserve">        Faja amarilla de sustituto en la pollera (3 leyendas)</t>
        </is>
      </c>
      <c r="E120" s="32" t="n">
        <v>1</v>
      </c>
      <c r="F120" s="32" t="inlineStr">
        <is>
          <t>u</t>
        </is>
      </c>
      <c r="G120" s="33" t="n"/>
      <c r="H120" s="33" t="n"/>
      <c r="I120" s="32" t="inlineStr">
        <is>
          <t>Cinta vinílica autoadhesiva amarilla</t>
        </is>
      </c>
      <c r="J120" s="17" t="inlineStr">
        <is>
          <t>40 × 1245 (alto ≤ 40; perímetro + 20 de solape)</t>
        </is>
      </c>
      <c r="K120" s="32" t="inlineStr">
        <is>
          <t>Compra</t>
        </is>
      </c>
      <c r="L120" s="32" t="inlineStr">
        <is>
          <t>Sí</t>
        </is>
      </c>
      <c r="M120" s="17" t="inlineStr">
        <is>
          <t>Astuprint</t>
        </is>
      </c>
      <c r="N120" s="17" t="inlineStr">
        <is>
          <t>Multilabel Argentina S.A.</t>
        </is>
      </c>
      <c r="O120" s="17" t="n"/>
      <c r="P120" s="17" t="inlineStr">
        <is>
          <t>IRAM 3517-2:2020 9.4.5 b)</t>
        </is>
      </c>
      <c r="Q120" s="32" t="inlineStr">
        <is>
          <t>N</t>
        </is>
      </c>
      <c r="R120" s="32" t="inlineStr">
        <is>
          <t>FL_SUS_ABC_100kg</t>
        </is>
      </c>
      <c r="S120" s="17" t="inlineStr">
        <is>
          <t>Leyendas: extintor sustituto / reemplaza al equipo de este puesto en mantenimiento o recarga / FLAMA S.A. (datos y logo). Proveedor a cotizar</t>
        </is>
      </c>
    </row>
    <row r="121">
      <c r="A121" s="32" t="inlineStr">
        <is>
          <t>FL_SUS_ABC_100kg</t>
        </is>
      </c>
      <c r="B121" s="32" t="n">
        <v>2</v>
      </c>
      <c r="C121" s="32" t="inlineStr">
        <is>
          <t>SUS-ABC_100kg-02</t>
        </is>
      </c>
      <c r="D121" s="17" t="inlineStr">
        <is>
          <t xml:space="preserve">        Tarjeta de identificación DPS con sello «SUSTITUTO HABILITADO»</t>
        </is>
      </c>
      <c r="E121" s="32" t="n">
        <v>1</v>
      </c>
      <c r="F121" s="32" t="inlineStr">
        <is>
          <t>u</t>
        </is>
      </c>
      <c r="G121" s="33" t="n"/>
      <c r="H121" s="33" t="n"/>
      <c r="I121" s="32" t="inlineStr">
        <is>
          <t>Tarjeta oficial DPS (PBA)</t>
        </is>
      </c>
      <c r="J121" s="17" t="inlineStr">
        <is>
          <t>formato oficial</t>
        </is>
      </c>
      <c r="K121" s="32" t="inlineStr">
        <is>
          <t>Compra (organismo)</t>
        </is>
      </c>
      <c r="L121" s="32" t="inlineStr">
        <is>
          <t>Sí</t>
        </is>
      </c>
      <c r="M121" s="17" t="inlineStr">
        <is>
          <t>Ministerio de Ambiente PBA (ex OPDS)</t>
        </is>
      </c>
      <c r="N121" s="17" t="inlineStr">
        <is>
          <t>-</t>
        </is>
      </c>
      <c r="O121" s="17" t="n"/>
      <c r="P121" s="17" t="inlineStr">
        <is>
          <t>Res. 349/07 art. 32</t>
        </is>
      </c>
      <c r="Q121" s="32" t="inlineStr">
        <is>
          <t>N</t>
        </is>
      </c>
      <c r="R121" s="32" t="inlineStr">
        <is>
          <t>FL_SUS_ABC_100kg</t>
        </is>
      </c>
      <c r="S121" s="17" t="inlineStr">
        <is>
          <t>Sólo PBA; reutilizable en cada revisión de carga; n° del extintor asentado en el libro de actas</t>
        </is>
      </c>
    </row>
    <row r="122">
      <c r="A122" s="32" t="inlineStr">
        <is>
          <t>FL_SUS_ABC_100kg</t>
        </is>
      </c>
      <c r="B122" s="32" t="n">
        <v>2</v>
      </c>
      <c r="C122" s="32" t="inlineStr">
        <is>
          <t>SUS-ABC_100kg-03</t>
        </is>
      </c>
      <c r="D122" s="17" t="inlineStr">
        <is>
          <t xml:space="preserve">        Tarjeta AGC con «Es sustituto» (sin domicilio de instalación)</t>
        </is>
      </c>
      <c r="E122" s="32" t="n">
        <v>1</v>
      </c>
      <c r="F122" s="32" t="inlineStr">
        <is>
          <t>u</t>
        </is>
      </c>
      <c r="G122" s="33" t="n"/>
      <c r="H122" s="33" t="n"/>
      <c r="I122" s="32" t="inlineStr">
        <is>
          <t>Etiqueta autoadhesiva AGC</t>
        </is>
      </c>
      <c r="J122" s="17" t="inlineStr">
        <is>
          <t>formato oficial</t>
        </is>
      </c>
      <c r="K122" s="32" t="inlineStr">
        <is>
          <t>Compra (organismo)</t>
        </is>
      </c>
      <c r="L122" s="32" t="inlineStr">
        <is>
          <t>Sí</t>
        </is>
      </c>
      <c r="M122" s="17" t="inlineStr">
        <is>
          <t>Agencia Gubernamental de Control (CABA)</t>
        </is>
      </c>
      <c r="N122" s="17" t="inlineStr">
        <is>
          <t>-</t>
        </is>
      </c>
      <c r="O122" s="17" t="n"/>
      <c r="P122" s="17" t="inlineStr">
        <is>
          <t>Res. AGC 32/15 anexo II</t>
        </is>
      </c>
      <c r="Q122" s="32" t="inlineStr">
        <is>
          <t>N</t>
        </is>
      </c>
      <c r="R122" s="32" t="inlineStr">
        <is>
          <t>FL_SUS_ABC_100kg</t>
        </is>
      </c>
      <c r="S122" s="17" t="inlineStr">
        <is>
          <t>Sólo CABA</t>
        </is>
      </c>
    </row>
    <row r="123">
      <c r="A123" s="32" t="inlineStr">
        <is>
          <t>FL_SUS_ABC_100kg</t>
        </is>
      </c>
      <c r="B123" s="32" t="n">
        <v>2</v>
      </c>
      <c r="C123" s="32" t="inlineStr">
        <is>
          <t>SUS-ABC_100kg-04</t>
        </is>
      </c>
      <c r="D123" s="17" t="inlineStr">
        <is>
          <t xml:space="preserve">        Remito de préstamo con membrete (n° de extintor, puesto, equipo retirado, fechas)</t>
        </is>
      </c>
      <c r="E123" s="32" t="n">
        <v>1</v>
      </c>
      <c r="F123" s="32" t="inlineStr">
        <is>
          <t>u/préstamo</t>
        </is>
      </c>
      <c r="G123" s="33" t="n"/>
      <c r="H123" s="33" t="n"/>
      <c r="I123" s="32" t="inlineStr">
        <is>
          <t>Papel</t>
        </is>
      </c>
      <c r="J123" s="17" t="inlineStr">
        <is>
          <t>A5 duplicado</t>
        </is>
      </c>
      <c r="K123" s="32" t="inlineStr">
        <is>
          <t>Compra</t>
        </is>
      </c>
      <c r="L123" s="32" t="inlineStr">
        <is>
          <t>Sí</t>
        </is>
      </c>
      <c r="M123" s="17" t="inlineStr">
        <is>
          <t>Astuprint</t>
        </is>
      </c>
      <c r="N123" s="17" t="inlineStr">
        <is>
          <t>-</t>
        </is>
      </c>
      <c r="O123" s="17" t="n"/>
      <c r="P123" s="17" t="n"/>
      <c r="Q123" s="32" t="inlineStr">
        <is>
          <t>I</t>
        </is>
      </c>
      <c r="R123" s="32" t="inlineStr">
        <is>
          <t>FL_SUS_ABC_100kg</t>
        </is>
      </c>
      <c r="S123" s="17" t="inlineStr">
        <is>
          <t>Práctica de mercado relevada (Fullmat, Rodo, Eversafe)</t>
        </is>
      </c>
    </row>
  </sheetData>
  <autoFilter ref="A4:S1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23"/>
  <sheetViews>
    <sheetView workbookViewId="0">
      <pane xSplit="3" ySplit="9" topLeftCell="D10"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36" customWidth="1" min="3" max="3"/>
    <col width="44" customWidth="1" min="4" max="4"/>
    <col width="48" customWidth="1" min="5" max="5"/>
    <col width="9" customWidth="1" min="6" max="6"/>
    <col width="6" customWidth="1" min="7" max="7"/>
    <col width="48" customWidth="1" min="8" max="8"/>
    <col width="52" customWidth="1" min="9" max="9"/>
    <col width="8" customWidth="1" min="10" max="10"/>
    <col width="26" customWidth="1" min="11" max="11"/>
    <col width="24" customWidth="1" min="12" max="12"/>
  </cols>
  <sheetData>
    <row r="1">
      <c r="A1" s="4" t="inlineStr">
        <is>
          <t>BOM de servicio de recarga y mantenimiento por extintor y por caso (IRAM 3517-2:2020)</t>
        </is>
      </c>
    </row>
    <row r="2" ht="44" customHeight="1">
      <c r="A2" s="3" t="inlineStr">
        <is>
          <t>• Polvo: un extintor ACCIONADO (aunque sea parcialmente) se recarga con polvo NUEVO; el polvo de ese extintor no se reutiliza (9.9.1.4). El polvo de un extintor que se abre SIN haber sido accionado (control interior, prueba hidráulica) puede volver al mismo equipo si se trata en el sistema cerrado de recuperación del recinto y pasa el control de 9.9.3 (4.4.1 y). Nunca se mezcla ABC con BC (9.9.1.6).</t>
        </is>
      </c>
    </row>
    <row r="3" ht="44" customHeight="1">
      <c r="A3" s="3" t="inlineStr">
        <is>
          <t>• Polvo de la versión anterior de la IRAM 3569 → reemplazo total obligatorio (9.9.4); el retirado es residuo.</t>
        </is>
      </c>
    </row>
    <row r="4" ht="44" customHeight="1">
      <c r="A4" s="3" t="inlineStr">
        <is>
          <t>• HCFC / gases limpios: el agente se trasvasa y RECUPERA en circuito cerrado, nunca se ventea (4.4.1 z). Se repone sólo la pérdida. El recuperado fuera de especificación va a regeneración por gestor habilitado.</t>
        </is>
      </c>
    </row>
    <row r="5" ht="44" customHeight="1">
      <c r="A5" s="3" t="inlineStr">
        <is>
          <t>• CO₂: carga por trasvase (4.4.1 l); recuperación recomendada en vaciados (9.4.18).</t>
        </is>
      </c>
    </row>
    <row r="6" ht="44" customHeight="1">
      <c r="A6" s="3" t="inlineStr">
        <is>
          <t>• Mermas de 3 % (polvo) y 2 % (HCFC): valores estimados (amarillo) a medir en planta con la balanza de RC-CQ.</t>
        </is>
      </c>
    </row>
    <row r="7" ht="44" customHeight="1">
      <c r="A7" s="3" t="inlineStr">
        <is>
          <t>• Entra MRP: todo lo que se repone; lo recuperado, los grabados y el aire comprimido de planta no se compran.</t>
        </is>
      </c>
    </row>
    <row r="8">
      <c r="A8" s="11" t="inlineStr">
        <is>
          <t>Colores:</t>
        </is>
      </c>
      <c r="B8" s="12" t="inlineStr">
        <is>
          <t>Validado</t>
        </is>
      </c>
      <c r="D8" s="13" t="inlineStr">
        <is>
          <t>Estimado</t>
        </is>
      </c>
      <c r="F8" s="14" t="inlineStr">
        <is>
          <t>A validar</t>
        </is>
      </c>
      <c r="H8" s="15" t="inlineStr">
        <is>
          <t>No cumple o decisión pendiente</t>
        </is>
      </c>
    </row>
    <row r="9" ht="30" customHeight="1">
      <c r="A9" s="16" t="inlineStr">
        <is>
          <t>Código kit</t>
        </is>
      </c>
      <c r="B9" s="16" t="inlineStr">
        <is>
          <t>Plano</t>
        </is>
      </c>
      <c r="C9" s="16" t="inlineStr">
        <is>
          <t>Extintor</t>
        </is>
      </c>
      <c r="D9" s="16" t="inlineStr">
        <is>
          <t>Caso</t>
        </is>
      </c>
      <c r="E9" s="16" t="inlineStr">
        <is>
          <t>Ítem</t>
        </is>
      </c>
      <c r="F9" s="16" t="inlineStr">
        <is>
          <t>Cant.</t>
        </is>
      </c>
      <c r="G9" s="16" t="inlineStr">
        <is>
          <t>UM</t>
        </is>
      </c>
      <c r="H9" s="16" t="inlineStr">
        <is>
          <t>Estado / origen</t>
        </is>
      </c>
      <c r="I9" s="16" t="inlineStr">
        <is>
          <t>Referencia</t>
        </is>
      </c>
      <c r="J9" s="16" t="inlineStr">
        <is>
          <t>Entra MRP</t>
        </is>
      </c>
      <c r="K9" s="16" t="inlineStr">
        <is>
          <t>Proveedor principal</t>
        </is>
      </c>
      <c r="L9" s="16" t="inlineStr">
        <is>
          <t>Alternativa</t>
        </is>
      </c>
    </row>
    <row r="10">
      <c r="A10" s="32" t="inlineStr">
        <is>
          <t>RK-ABC1-A</t>
        </is>
      </c>
      <c r="B10" s="32" t="inlineStr">
        <is>
          <t>FL_MAT_ABC_1kg</t>
        </is>
      </c>
      <c r="C10" s="32" t="inlineStr">
        <is>
          <t>Extintor ABC 1 kg</t>
        </is>
      </c>
      <c r="D10" s="17" t="inlineStr">
        <is>
          <t>A - Extintor descargado (uso o descarga parcial)</t>
        </is>
      </c>
      <c r="E10" s="17" t="inlineStr">
        <is>
          <t>Polvo químico seco ABC 60 (Sello IRAM 3569)</t>
        </is>
      </c>
      <c r="F10" s="32" t="n">
        <v>1.05</v>
      </c>
      <c r="G10" s="32" t="inlineStr">
        <is>
          <t>kg</t>
        </is>
      </c>
      <c r="H10" s="17" t="inlineStr">
        <is>
          <t>Nuevo 100 %</t>
        </is>
      </c>
      <c r="I10" s="17" t="inlineStr">
        <is>
          <t>IRAM 3517-2:2020 9.9.1.4: el polvo de un extintor accionado no se reutiliza</t>
        </is>
      </c>
      <c r="J10" s="32" t="inlineStr">
        <is>
          <t>Sí</t>
        </is>
      </c>
      <c r="K10" s="17" t="inlineStr">
        <is>
          <t>DEM S.A. (DEMSA)</t>
        </is>
      </c>
      <c r="L10" s="17" t="inlineStr">
        <is>
          <t>Polvex S.R.L. / Sancibrao</t>
        </is>
      </c>
    </row>
    <row r="11">
      <c r="A11" s="32" t="inlineStr">
        <is>
          <t>RK-ABC1-A</t>
        </is>
      </c>
      <c r="B11" s="32" t="inlineStr">
        <is>
          <t>FL_MAT_ABC_1kg</t>
        </is>
      </c>
      <c r="C11" s="32" t="inlineStr">
        <is>
          <t>Extintor ABC 1 kg</t>
        </is>
      </c>
      <c r="D11" s="17" t="inlineStr">
        <is>
          <t>A - Extintor descargado (uso o descarga parcial)</t>
        </is>
      </c>
      <c r="E11" s="17" t="inlineStr">
        <is>
          <t>Precinto plástico numerado, color, con nombre del recargador</t>
        </is>
      </c>
      <c r="F11" s="32" t="n">
        <v>1</v>
      </c>
      <c r="G11" s="32" t="inlineStr">
        <is>
          <t>u</t>
        </is>
      </c>
      <c r="H11" s="17" t="inlineStr">
        <is>
          <t>Nuevo</t>
        </is>
      </c>
      <c r="I11" s="17" t="inlineStr">
        <is>
          <t>IRAM 3517-2:2020 9.4.13</t>
        </is>
      </c>
      <c r="J11" s="32" t="inlineStr">
        <is>
          <t>Sí</t>
        </is>
      </c>
      <c r="K11" s="17" t="inlineStr">
        <is>
          <t>SonFuertes (vía Papelera Damián)</t>
        </is>
      </c>
      <c r="L11" s="17" t="inlineStr">
        <is>
          <t>Precinter S.R.L.</t>
        </is>
      </c>
    </row>
    <row r="12">
      <c r="A12" s="32" t="inlineStr">
        <is>
          <t>RK-ABC1-A</t>
        </is>
      </c>
      <c r="B12" s="32" t="inlineStr">
        <is>
          <t>FL_MAT_ABC_1kg</t>
        </is>
      </c>
      <c r="C12" s="32" t="inlineStr">
        <is>
          <t>Extintor ABC 1 kg</t>
        </is>
      </c>
      <c r="D12" s="17" t="inlineStr">
        <is>
          <t>A - Extintor descargado (uso o descarga parcial)</t>
        </is>
      </c>
      <c r="E12" s="17" t="inlineStr">
        <is>
          <t>Marbete (anillo, color del año)</t>
        </is>
      </c>
      <c r="F12" s="32" t="n">
        <v>1</v>
      </c>
      <c r="G12" s="32" t="inlineStr">
        <is>
          <t>u</t>
        </is>
      </c>
      <c r="H12" s="17" t="inlineStr">
        <is>
          <t>Nuevo</t>
        </is>
      </c>
      <c r="I12" s="17" t="inlineStr">
        <is>
          <t>IRAM 3517-2:2020 9.6 · anexo E</t>
        </is>
      </c>
      <c r="J12" s="32" t="inlineStr">
        <is>
          <t>Sí</t>
        </is>
      </c>
      <c r="K12" s="17" t="inlineStr">
        <is>
          <t>Astuprint</t>
        </is>
      </c>
      <c r="L12" s="17" t="inlineStr">
        <is>
          <t>Multilabel Argentina S.A.</t>
        </is>
      </c>
    </row>
    <row r="13">
      <c r="A13" s="32" t="inlineStr">
        <is>
          <t>RK-ABC1-A</t>
        </is>
      </c>
      <c r="B13" s="32" t="inlineStr">
        <is>
          <t>FL_MAT_ABC_1kg</t>
        </is>
      </c>
      <c r="C13" s="32" t="inlineStr">
        <is>
          <t>Extintor ABC 1 kg</t>
        </is>
      </c>
      <c r="D13" s="17" t="inlineStr">
        <is>
          <t>A - Extintor descargado (uso o descarga parcial)</t>
        </is>
      </c>
      <c r="E13" s="17" t="inlineStr">
        <is>
          <t>Etiqueta de servicio del recargador (extintor n°, serie, próxima recarga y PH)</t>
        </is>
      </c>
      <c r="F13" s="32" t="n">
        <v>1</v>
      </c>
      <c r="G13" s="32" t="inlineStr">
        <is>
          <t>u</t>
        </is>
      </c>
      <c r="H13" s="17" t="inlineStr">
        <is>
          <t>Nuevo</t>
        </is>
      </c>
      <c r="I13" s="17" t="inlineStr">
        <is>
          <t>IRAM 3517-2:2020 9.4.14 · relevado Suyai/Firegram</t>
        </is>
      </c>
      <c r="J13" s="32" t="inlineStr">
        <is>
          <t>Sí</t>
        </is>
      </c>
      <c r="K13" s="17" t="inlineStr">
        <is>
          <t>Astuprint</t>
        </is>
      </c>
      <c r="L13" s="17" t="inlineStr">
        <is>
          <t>Multilabel Argentina S.A.</t>
        </is>
      </c>
    </row>
    <row r="14">
      <c r="A14" s="32" t="inlineStr">
        <is>
          <t>RK-ABC1-A</t>
        </is>
      </c>
      <c r="B14" s="32" t="inlineStr">
        <is>
          <t>FL_MAT_ABC_1kg</t>
        </is>
      </c>
      <c r="C14" s="32" t="inlineStr">
        <is>
          <t>Extintor ABC 1 kg</t>
        </is>
      </c>
      <c r="D14" s="17" t="inlineStr">
        <is>
          <t>A - Extintor descargado (uso o descarga parcial)</t>
        </is>
      </c>
      <c r="E14" s="17" t="inlineStr">
        <is>
          <t>Oblea PBA de recarga Ø46 + estampilla precinto 1" × 200 mm válvula-cuerpo</t>
        </is>
      </c>
      <c r="F14" s="32" t="n">
        <v>1</v>
      </c>
      <c r="G14" s="32" t="inlineStr">
        <is>
          <t>u</t>
        </is>
      </c>
      <c r="H14" s="17" t="inlineStr">
        <is>
          <t>Nuevo (venta en PBA)</t>
        </is>
      </c>
      <c r="I14" s="17" t="inlineStr">
        <is>
          <t>IRAM 3517-2:2020 Res. OPDS 522/07</t>
        </is>
      </c>
      <c r="J14" s="32" t="inlineStr">
        <is>
          <t>Sí</t>
        </is>
      </c>
      <c r="K14" s="17" t="inlineStr">
        <is>
          <t>Ministerio de Ambiente PBA (ex OPDS)</t>
        </is>
      </c>
      <c r="L14" s="17" t="inlineStr">
        <is>
          <t>-</t>
        </is>
      </c>
    </row>
    <row r="15">
      <c r="A15" s="32" t="inlineStr">
        <is>
          <t>RK-ABC1-A</t>
        </is>
      </c>
      <c r="B15" s="32" t="inlineStr">
        <is>
          <t>FL_MAT_ABC_1kg</t>
        </is>
      </c>
      <c r="C15" s="32" t="inlineStr">
        <is>
          <t>Extintor ABC 1 kg</t>
        </is>
      </c>
      <c r="D15" s="17" t="inlineStr">
        <is>
          <t>A - Extintor descargado (uso o descarga parcial)</t>
        </is>
      </c>
      <c r="E15" s="17" t="inlineStr">
        <is>
          <t>Tarjeta de identificación AGC (módulo papel con QR + etiqueta AGC)</t>
        </is>
      </c>
      <c r="F15" s="32" t="n">
        <v>1</v>
      </c>
      <c r="G15" s="32" t="inlineStr">
        <is>
          <t>u</t>
        </is>
      </c>
      <c r="H15" s="17" t="inlineStr">
        <is>
          <t>Nuevo (destino CABA)</t>
        </is>
      </c>
      <c r="I15" s="17" t="inlineStr">
        <is>
          <t>IRAM 3517-2:2020 Ord. 40.473 art. 6 · Res. AGC 32/15</t>
        </is>
      </c>
      <c r="J15" s="32" t="inlineStr">
        <is>
          <t>Sí</t>
        </is>
      </c>
      <c r="K15" s="17" t="inlineStr">
        <is>
          <t>Agencia Gubernamental de Control (CABA)</t>
        </is>
      </c>
      <c r="L15" s="17" t="inlineStr">
        <is>
          <t>-</t>
        </is>
      </c>
    </row>
    <row r="16">
      <c r="A16" s="32" t="inlineStr">
        <is>
          <t>RK-ABC1-A</t>
        </is>
      </c>
      <c r="B16" s="32" t="inlineStr">
        <is>
          <t>FL_MAT_ABC_1kg</t>
        </is>
      </c>
      <c r="C16" s="32" t="inlineStr">
        <is>
          <t>Extintor ABC 1 kg</t>
        </is>
      </c>
      <c r="D16" s="17" t="inlineStr">
        <is>
          <t>A - Extintor descargado (uso o descarga parcial)</t>
        </is>
      </c>
      <c r="E16" s="17" t="inlineStr">
        <is>
          <t>Tarjeta de identificación DPS de revisión / recarga</t>
        </is>
      </c>
      <c r="F16" s="32" t="n">
        <v>1</v>
      </c>
      <c r="G16" s="32" t="inlineStr">
        <is>
          <t>u</t>
        </is>
      </c>
      <c r="H16" s="17" t="inlineStr">
        <is>
          <t>Nuevo (PBA)</t>
        </is>
      </c>
      <c r="I16" s="17" t="inlineStr">
        <is>
          <t>IRAM 3517-2:2020 Res. 349/07 art. 21</t>
        </is>
      </c>
      <c r="J16" s="32" t="inlineStr">
        <is>
          <t>Sí</t>
        </is>
      </c>
      <c r="K16" s="17" t="inlineStr">
        <is>
          <t>Ministerio de Ambiente PBA (ex OPDS)</t>
        </is>
      </c>
      <c r="L16" s="17" t="inlineStr">
        <is>
          <t>-</t>
        </is>
      </c>
    </row>
    <row r="17">
      <c r="A17" s="32" t="inlineStr">
        <is>
          <t>RK-ABC1-A</t>
        </is>
      </c>
      <c r="B17" s="32" t="inlineStr">
        <is>
          <t>FL_MAT_ABC_1kg</t>
        </is>
      </c>
      <c r="C17" s="32" t="inlineStr">
        <is>
          <t>Extintor ABC 1 kg</t>
        </is>
      </c>
      <c r="D17" s="17" t="inlineStr">
        <is>
          <t>A - Extintor descargado (uso o descarga parcial)</t>
        </is>
      </c>
      <c r="E17" s="17" t="inlineStr">
        <is>
          <t>Grabado de la fecha del servicio en el tubo de pesca (lápiz vibratorio; en polvo, marcador indeleble)</t>
        </is>
      </c>
      <c r="F17" s="32" t="n">
        <v>1</v>
      </c>
      <c r="G17" s="32" t="inlineStr">
        <is>
          <t>u</t>
        </is>
      </c>
      <c r="H17" s="17" t="inlineStr">
        <is>
          <t>Proceso</t>
        </is>
      </c>
      <c r="I17" s="17" t="inlineStr">
        <is>
          <t>IRAM 3517-2:2020 Res. 349/07 art. 28</t>
        </is>
      </c>
      <c r="J17" s="32" t="inlineStr">
        <is>
          <t>No</t>
        </is>
      </c>
      <c r="K17" s="17" t="n"/>
      <c r="L17" s="17" t="n"/>
    </row>
    <row r="18">
      <c r="A18" s="32" t="inlineStr">
        <is>
          <t>RK-ABC1-A</t>
        </is>
      </c>
      <c r="B18" s="32" t="inlineStr">
        <is>
          <t>FL_MAT_ABC_1kg</t>
        </is>
      </c>
      <c r="C18" s="32" t="inlineStr">
        <is>
          <t>Extintor ABC 1 kg</t>
        </is>
      </c>
      <c r="D18" s="17" t="inlineStr">
        <is>
          <t>A - Extintor descargado (uso o descarga parcial)</t>
        </is>
      </c>
      <c r="E18" s="17" t="inlineStr">
        <is>
          <t>Si hubo PH: oblea de vencimiento de PH + «PH» y fecha grabados en el tubo de pesca (CO₂: fecha y logo estampados en la ojiva)</t>
        </is>
      </c>
      <c r="F18" s="32" t="n">
        <v>1</v>
      </c>
      <c r="G18" s="32" t="inlineStr">
        <is>
          <t>u</t>
        </is>
      </c>
      <c r="H18" s="17" t="inlineStr">
        <is>
          <t>Proceso</t>
        </is>
      </c>
      <c r="I18" s="17" t="inlineStr">
        <is>
          <t>IRAM 3517-2:2020 Res. 349/07 art. 29 · IRAM 3517-2</t>
        </is>
      </c>
      <c r="J18" s="32" t="inlineStr">
        <is>
          <t>No</t>
        </is>
      </c>
      <c r="K18" s="17" t="n"/>
      <c r="L18" s="17" t="n"/>
    </row>
    <row r="19">
      <c r="A19" s="37" t="inlineStr">
        <is>
          <t>RK-ABC1-A</t>
        </is>
      </c>
      <c r="B19" s="37" t="inlineStr">
        <is>
          <t>FL_MAT_ABC_1kg</t>
        </is>
      </c>
      <c r="C19" s="37" t="inlineStr">
        <is>
          <t>Extintor ABC 1 kg</t>
        </is>
      </c>
      <c r="D19" s="18" t="inlineStr">
        <is>
          <t>A - Extintor descargado (uso o descarga parcial)</t>
        </is>
      </c>
      <c r="E19" s="18" t="inlineStr">
        <is>
          <t>Junta tórica de asiento del cuello</t>
        </is>
      </c>
      <c r="F19" s="37" t="n">
        <v>1</v>
      </c>
      <c r="G19" s="37" t="inlineStr">
        <is>
          <t>u</t>
        </is>
      </c>
      <c r="H19" s="18" t="inlineStr">
        <is>
          <t>Nuevo (R: cambio sistemático)</t>
        </is>
      </c>
      <c r="I19" s="18" t="inlineStr"/>
      <c r="J19" s="37" t="inlineStr">
        <is>
          <t>Sí</t>
        </is>
      </c>
      <c r="K19" s="18" t="inlineStr">
        <is>
          <t>Argensold</t>
        </is>
      </c>
      <c r="L19" s="18" t="inlineStr">
        <is>
          <t>Matafuegos Iglesias</t>
        </is>
      </c>
    </row>
    <row r="20">
      <c r="A20" s="32" t="inlineStr">
        <is>
          <t>RK-ABC1-A</t>
        </is>
      </c>
      <c r="B20" s="32" t="inlineStr">
        <is>
          <t>FL_MAT_ABC_1kg</t>
        </is>
      </c>
      <c r="C20" s="32" t="inlineStr">
        <is>
          <t>Extintor ABC 1 kg</t>
        </is>
      </c>
      <c r="D20" s="17" t="inlineStr">
        <is>
          <t>A - Extintor descargado (uso o descarga parcial)</t>
        </is>
      </c>
      <c r="E20" s="17" t="inlineStr">
        <is>
          <t>Gas impulsor: N₂</t>
        </is>
      </c>
      <c r="F20" s="32" t="n">
        <v>0.0047</v>
      </c>
      <c r="G20" s="32" t="inlineStr">
        <is>
          <t>kg</t>
        </is>
      </c>
      <c r="H20" s="17" t="inlineStr">
        <is>
          <t>Nuevo</t>
        </is>
      </c>
      <c r="I20" s="17" t="inlineStr">
        <is>
          <t>IRAM 3517-2:2020 9.4.9 tabla 2</t>
        </is>
      </c>
      <c r="J20" s="32" t="inlineStr">
        <is>
          <t>Sí</t>
        </is>
      </c>
      <c r="K20" s="17" t="inlineStr">
        <is>
          <t>Air Liquide Argentina - sucursal Piñeyro</t>
        </is>
      </c>
      <c r="L20" s="17" t="inlineStr">
        <is>
          <t>Gogniat</t>
        </is>
      </c>
    </row>
    <row r="21">
      <c r="A21" s="32" t="inlineStr">
        <is>
          <t>RK-ABC1-B</t>
        </is>
      </c>
      <c r="B21" s="32" t="inlineStr">
        <is>
          <t>FL_MAT_ABC_1kg</t>
        </is>
      </c>
      <c r="C21" s="32" t="inlineStr">
        <is>
          <t>Extintor ABC 1 kg</t>
        </is>
      </c>
      <c r="D21" s="17" t="inlineStr">
        <is>
          <t>B - Mantenimiento con apertura sin descarga (control interior, PH)</t>
        </is>
      </c>
      <c r="E21" s="17" t="inlineStr">
        <is>
          <t>Polvo químico seco ABC 60 (Sello IRAM 3569) recuperado</t>
        </is>
      </c>
      <c r="F21" s="32" t="n">
        <v>1</v>
      </c>
      <c r="G21" s="32" t="inlineStr">
        <is>
          <t>kg</t>
        </is>
      </c>
      <c r="H21" s="17" t="inlineStr">
        <is>
          <t>Recuperado en sistema cerrado</t>
        </is>
      </c>
      <c r="I21" s="17" t="inlineStr">
        <is>
          <t>IRAM 3517-2:2020 4.4.1 y) sistema cerrado de recuperación con inspección; 9.9.3 control (puffer IRAM 3672, fusión IRAM 3569 en ABC)</t>
        </is>
      </c>
      <c r="J21" s="32" t="inlineStr">
        <is>
          <t>No</t>
        </is>
      </c>
      <c r="K21" s="17" t="n"/>
      <c r="L21" s="17" t="n"/>
    </row>
    <row r="22">
      <c r="A22" s="32" t="inlineStr">
        <is>
          <t>RK-ABC1-B</t>
        </is>
      </c>
      <c r="B22" s="32" t="inlineStr">
        <is>
          <t>FL_MAT_ABC_1kg</t>
        </is>
      </c>
      <c r="C22" s="32" t="inlineStr">
        <is>
          <t>Extintor ABC 1 kg</t>
        </is>
      </c>
      <c r="D22" s="17" t="inlineStr">
        <is>
          <t>B - Mantenimiento con apertura sin descarga (control interior, PH)</t>
        </is>
      </c>
      <c r="E22" s="17" t="inlineStr">
        <is>
          <t>Polvo químico seco ABC 60 (Sello IRAM 3569)</t>
        </is>
      </c>
      <c r="F22" s="32" t="n">
        <v>0.05</v>
      </c>
      <c r="G22" s="32" t="inlineStr">
        <is>
          <t>kg</t>
        </is>
      </c>
      <c r="H22" s="17" t="inlineStr">
        <is>
          <t>Nuevo: reposición = carga objetivo − límite inferior de 0 / +100 g (cota superior)</t>
        </is>
      </c>
      <c r="I22" s="17" t="inlineStr">
        <is>
          <t>IRAM 3517-2:2020 9.4.12 tabla 3 · anexo F; mismo tipo y marca (prohibido mezclar ABC con BC, 9.9.1.6)</t>
        </is>
      </c>
      <c r="J22" s="32" t="inlineStr">
        <is>
          <t>Sí</t>
        </is>
      </c>
      <c r="K22" s="17" t="inlineStr">
        <is>
          <t>DEM S.A. (DEMSA)</t>
        </is>
      </c>
      <c r="L22" s="17" t="inlineStr">
        <is>
          <t>Polvex S.R.L. / Sancibrao</t>
        </is>
      </c>
    </row>
    <row r="23">
      <c r="A23" s="32" t="inlineStr">
        <is>
          <t>RK-ABC1-B</t>
        </is>
      </c>
      <c r="B23" s="32" t="inlineStr">
        <is>
          <t>FL_MAT_ABC_1kg</t>
        </is>
      </c>
      <c r="C23" s="32" t="inlineStr">
        <is>
          <t>Extintor ABC 1 kg</t>
        </is>
      </c>
      <c r="D23" s="17" t="inlineStr">
        <is>
          <t>B - Mantenimiento con apertura sin descarga (control interior, PH)</t>
        </is>
      </c>
      <c r="E23" s="17" t="inlineStr">
        <is>
          <t>Precinto plástico numerado, color, con nombre del recargador</t>
        </is>
      </c>
      <c r="F23" s="32" t="n">
        <v>1</v>
      </c>
      <c r="G23" s="32" t="inlineStr">
        <is>
          <t>u</t>
        </is>
      </c>
      <c r="H23" s="17" t="inlineStr">
        <is>
          <t>Nuevo</t>
        </is>
      </c>
      <c r="I23" s="17" t="inlineStr">
        <is>
          <t>IRAM 3517-2:2020 9.4.13</t>
        </is>
      </c>
      <c r="J23" s="32" t="inlineStr">
        <is>
          <t>Sí</t>
        </is>
      </c>
      <c r="K23" s="17" t="inlineStr">
        <is>
          <t>SonFuertes (vía Papelera Damián)</t>
        </is>
      </c>
      <c r="L23" s="17" t="inlineStr">
        <is>
          <t>Precinter S.R.L.</t>
        </is>
      </c>
    </row>
    <row r="24">
      <c r="A24" s="32" t="inlineStr">
        <is>
          <t>RK-ABC1-B</t>
        </is>
      </c>
      <c r="B24" s="32" t="inlineStr">
        <is>
          <t>FL_MAT_ABC_1kg</t>
        </is>
      </c>
      <c r="C24" s="32" t="inlineStr">
        <is>
          <t>Extintor ABC 1 kg</t>
        </is>
      </c>
      <c r="D24" s="17" t="inlineStr">
        <is>
          <t>B - Mantenimiento con apertura sin descarga (control interior, PH)</t>
        </is>
      </c>
      <c r="E24" s="17" t="inlineStr">
        <is>
          <t>Marbete (anillo, color del año)</t>
        </is>
      </c>
      <c r="F24" s="32" t="n">
        <v>1</v>
      </c>
      <c r="G24" s="32" t="inlineStr">
        <is>
          <t>u</t>
        </is>
      </c>
      <c r="H24" s="17" t="inlineStr">
        <is>
          <t>Nuevo</t>
        </is>
      </c>
      <c r="I24" s="17" t="inlineStr">
        <is>
          <t>IRAM 3517-2:2020 9.6 · anexo E</t>
        </is>
      </c>
      <c r="J24" s="32" t="inlineStr">
        <is>
          <t>Sí</t>
        </is>
      </c>
      <c r="K24" s="17" t="inlineStr">
        <is>
          <t>Astuprint</t>
        </is>
      </c>
      <c r="L24" s="17" t="inlineStr">
        <is>
          <t>Multilabel Argentina S.A.</t>
        </is>
      </c>
    </row>
    <row r="25">
      <c r="A25" s="32" t="inlineStr">
        <is>
          <t>RK-ABC1-B</t>
        </is>
      </c>
      <c r="B25" s="32" t="inlineStr">
        <is>
          <t>FL_MAT_ABC_1kg</t>
        </is>
      </c>
      <c r="C25" s="32" t="inlineStr">
        <is>
          <t>Extintor ABC 1 kg</t>
        </is>
      </c>
      <c r="D25" s="17" t="inlineStr">
        <is>
          <t>B - Mantenimiento con apertura sin descarga (control interior, PH)</t>
        </is>
      </c>
      <c r="E25" s="17" t="inlineStr">
        <is>
          <t>Etiqueta de servicio del recargador (extintor n°, serie, próxima recarga y PH)</t>
        </is>
      </c>
      <c r="F25" s="32" t="n">
        <v>1</v>
      </c>
      <c r="G25" s="32" t="inlineStr">
        <is>
          <t>u</t>
        </is>
      </c>
      <c r="H25" s="17" t="inlineStr">
        <is>
          <t>Nuevo</t>
        </is>
      </c>
      <c r="I25" s="17" t="inlineStr">
        <is>
          <t>IRAM 3517-2:2020 9.4.14 · relevado Suyai/Firegram</t>
        </is>
      </c>
      <c r="J25" s="32" t="inlineStr">
        <is>
          <t>Sí</t>
        </is>
      </c>
      <c r="K25" s="17" t="inlineStr">
        <is>
          <t>Astuprint</t>
        </is>
      </c>
      <c r="L25" s="17" t="inlineStr">
        <is>
          <t>Multilabel Argentina S.A.</t>
        </is>
      </c>
    </row>
    <row r="26">
      <c r="A26" s="32" t="inlineStr">
        <is>
          <t>RK-ABC1-B</t>
        </is>
      </c>
      <c r="B26" s="32" t="inlineStr">
        <is>
          <t>FL_MAT_ABC_1kg</t>
        </is>
      </c>
      <c r="C26" s="32" t="inlineStr">
        <is>
          <t>Extintor ABC 1 kg</t>
        </is>
      </c>
      <c r="D26" s="17" t="inlineStr">
        <is>
          <t>B - Mantenimiento con apertura sin descarga (control interior, PH)</t>
        </is>
      </c>
      <c r="E26" s="17" t="inlineStr">
        <is>
          <t>Oblea PBA de recarga Ø46 + estampilla precinto 1" × 200 mm válvula-cuerpo</t>
        </is>
      </c>
      <c r="F26" s="32" t="n">
        <v>1</v>
      </c>
      <c r="G26" s="32" t="inlineStr">
        <is>
          <t>u</t>
        </is>
      </c>
      <c r="H26" s="17" t="inlineStr">
        <is>
          <t>Nuevo (venta en PBA)</t>
        </is>
      </c>
      <c r="I26" s="17" t="inlineStr">
        <is>
          <t>IRAM 3517-2:2020 Res. OPDS 522/07</t>
        </is>
      </c>
      <c r="J26" s="32" t="inlineStr">
        <is>
          <t>Sí</t>
        </is>
      </c>
      <c r="K26" s="17" t="inlineStr">
        <is>
          <t>Ministerio de Ambiente PBA (ex OPDS)</t>
        </is>
      </c>
      <c r="L26" s="17" t="inlineStr">
        <is>
          <t>-</t>
        </is>
      </c>
    </row>
    <row r="27">
      <c r="A27" s="32" t="inlineStr">
        <is>
          <t>RK-ABC1-B</t>
        </is>
      </c>
      <c r="B27" s="32" t="inlineStr">
        <is>
          <t>FL_MAT_ABC_1kg</t>
        </is>
      </c>
      <c r="C27" s="32" t="inlineStr">
        <is>
          <t>Extintor ABC 1 kg</t>
        </is>
      </c>
      <c r="D27" s="17" t="inlineStr">
        <is>
          <t>B - Mantenimiento con apertura sin descarga (control interior, PH)</t>
        </is>
      </c>
      <c r="E27" s="17" t="inlineStr">
        <is>
          <t>Tarjeta de identificación AGC (módulo papel con QR + etiqueta AGC)</t>
        </is>
      </c>
      <c r="F27" s="32" t="n">
        <v>1</v>
      </c>
      <c r="G27" s="32" t="inlineStr">
        <is>
          <t>u</t>
        </is>
      </c>
      <c r="H27" s="17" t="inlineStr">
        <is>
          <t>Nuevo (destino CABA)</t>
        </is>
      </c>
      <c r="I27" s="17" t="inlineStr">
        <is>
          <t>IRAM 3517-2:2020 Ord. 40.473 art. 6 · Res. AGC 32/15</t>
        </is>
      </c>
      <c r="J27" s="32" t="inlineStr">
        <is>
          <t>Sí</t>
        </is>
      </c>
      <c r="K27" s="17" t="inlineStr">
        <is>
          <t>Agencia Gubernamental de Control (CABA)</t>
        </is>
      </c>
      <c r="L27" s="17" t="inlineStr">
        <is>
          <t>-</t>
        </is>
      </c>
    </row>
    <row r="28">
      <c r="A28" s="32" t="inlineStr">
        <is>
          <t>RK-ABC1-B</t>
        </is>
      </c>
      <c r="B28" s="32" t="inlineStr">
        <is>
          <t>FL_MAT_ABC_1kg</t>
        </is>
      </c>
      <c r="C28" s="32" t="inlineStr">
        <is>
          <t>Extintor ABC 1 kg</t>
        </is>
      </c>
      <c r="D28" s="17" t="inlineStr">
        <is>
          <t>B - Mantenimiento con apertura sin descarga (control interior, PH)</t>
        </is>
      </c>
      <c r="E28" s="17" t="inlineStr">
        <is>
          <t>Tarjeta de identificación DPS de revisión / recarga</t>
        </is>
      </c>
      <c r="F28" s="32" t="n">
        <v>1</v>
      </c>
      <c r="G28" s="32" t="inlineStr">
        <is>
          <t>u</t>
        </is>
      </c>
      <c r="H28" s="17" t="inlineStr">
        <is>
          <t>Nuevo (PBA)</t>
        </is>
      </c>
      <c r="I28" s="17" t="inlineStr">
        <is>
          <t>IRAM 3517-2:2020 Res. 349/07 art. 21</t>
        </is>
      </c>
      <c r="J28" s="32" t="inlineStr">
        <is>
          <t>Sí</t>
        </is>
      </c>
      <c r="K28" s="17" t="inlineStr">
        <is>
          <t>Ministerio de Ambiente PBA (ex OPDS)</t>
        </is>
      </c>
      <c r="L28" s="17" t="inlineStr">
        <is>
          <t>-</t>
        </is>
      </c>
    </row>
    <row r="29">
      <c r="A29" s="32" t="inlineStr">
        <is>
          <t>RK-ABC1-B</t>
        </is>
      </c>
      <c r="B29" s="32" t="inlineStr">
        <is>
          <t>FL_MAT_ABC_1kg</t>
        </is>
      </c>
      <c r="C29" s="32" t="inlineStr">
        <is>
          <t>Extintor ABC 1 kg</t>
        </is>
      </c>
      <c r="D29" s="17" t="inlineStr">
        <is>
          <t>B - Mantenimiento con apertura sin descarga (control interior, PH)</t>
        </is>
      </c>
      <c r="E29" s="17" t="inlineStr">
        <is>
          <t>Grabado de la fecha del servicio en el tubo de pesca (lápiz vibratorio; en polvo, marcador indeleble)</t>
        </is>
      </c>
      <c r="F29" s="32" t="n">
        <v>1</v>
      </c>
      <c r="G29" s="32" t="inlineStr">
        <is>
          <t>u</t>
        </is>
      </c>
      <c r="H29" s="17" t="inlineStr">
        <is>
          <t>Proceso</t>
        </is>
      </c>
      <c r="I29" s="17" t="inlineStr">
        <is>
          <t>IRAM 3517-2:2020 Res. 349/07 art. 28</t>
        </is>
      </c>
      <c r="J29" s="32" t="inlineStr">
        <is>
          <t>No</t>
        </is>
      </c>
      <c r="K29" s="17" t="n"/>
      <c r="L29" s="17" t="n"/>
    </row>
    <row r="30">
      <c r="A30" s="32" t="inlineStr">
        <is>
          <t>RK-ABC1-B</t>
        </is>
      </c>
      <c r="B30" s="32" t="inlineStr">
        <is>
          <t>FL_MAT_ABC_1kg</t>
        </is>
      </c>
      <c r="C30" s="32" t="inlineStr">
        <is>
          <t>Extintor ABC 1 kg</t>
        </is>
      </c>
      <c r="D30" s="17" t="inlineStr">
        <is>
          <t>B - Mantenimiento con apertura sin descarga (control interior, PH)</t>
        </is>
      </c>
      <c r="E30" s="17" t="inlineStr">
        <is>
          <t>Si hubo PH: oblea de vencimiento de PH + «PH» y fecha grabados en el tubo de pesca (CO₂: fecha y logo estampados en la ojiva)</t>
        </is>
      </c>
      <c r="F30" s="32" t="n">
        <v>1</v>
      </c>
      <c r="G30" s="32" t="inlineStr">
        <is>
          <t>u</t>
        </is>
      </c>
      <c r="H30" s="17" t="inlineStr">
        <is>
          <t>Proceso</t>
        </is>
      </c>
      <c r="I30" s="17" t="inlineStr">
        <is>
          <t>IRAM 3517-2:2020 Res. 349/07 art. 29 · IRAM 3517-2</t>
        </is>
      </c>
      <c r="J30" s="32" t="inlineStr">
        <is>
          <t>No</t>
        </is>
      </c>
      <c r="K30" s="17" t="n"/>
      <c r="L30" s="17" t="n"/>
    </row>
    <row r="31">
      <c r="A31" s="37" t="inlineStr">
        <is>
          <t>RK-ABC1-B</t>
        </is>
      </c>
      <c r="B31" s="37" t="inlineStr">
        <is>
          <t>FL_MAT_ABC_1kg</t>
        </is>
      </c>
      <c r="C31" s="37" t="inlineStr">
        <is>
          <t>Extintor ABC 1 kg</t>
        </is>
      </c>
      <c r="D31" s="18" t="inlineStr">
        <is>
          <t>B - Mantenimiento con apertura sin descarga (control interior, PH)</t>
        </is>
      </c>
      <c r="E31" s="18" t="inlineStr">
        <is>
          <t>Junta tórica de asiento del cuello</t>
        </is>
      </c>
      <c r="F31" s="37" t="n">
        <v>1</v>
      </c>
      <c r="G31" s="37" t="inlineStr">
        <is>
          <t>u</t>
        </is>
      </c>
      <c r="H31" s="18" t="inlineStr">
        <is>
          <t>Nuevo (R: cambio sistemático)</t>
        </is>
      </c>
      <c r="I31" s="18" t="inlineStr"/>
      <c r="J31" s="37" t="inlineStr">
        <is>
          <t>Sí</t>
        </is>
      </c>
      <c r="K31" s="18" t="inlineStr">
        <is>
          <t>Argensold</t>
        </is>
      </c>
      <c r="L31" s="18" t="inlineStr">
        <is>
          <t>Matafuegos Iglesias</t>
        </is>
      </c>
    </row>
    <row r="32">
      <c r="A32" s="32" t="inlineStr">
        <is>
          <t>RK-ABC1-B</t>
        </is>
      </c>
      <c r="B32" s="32" t="inlineStr">
        <is>
          <t>FL_MAT_ABC_1kg</t>
        </is>
      </c>
      <c r="C32" s="32" t="inlineStr">
        <is>
          <t>Extintor ABC 1 kg</t>
        </is>
      </c>
      <c r="D32" s="17" t="inlineStr">
        <is>
          <t>B - Mantenimiento con apertura sin descarga (control interior, PH)</t>
        </is>
      </c>
      <c r="E32" s="17" t="inlineStr">
        <is>
          <t>Gas impulsor: N₂</t>
        </is>
      </c>
      <c r="F32" s="32" t="n">
        <v>0.0047</v>
      </c>
      <c r="G32" s="32" t="inlineStr">
        <is>
          <t>kg</t>
        </is>
      </c>
      <c r="H32" s="17" t="inlineStr">
        <is>
          <t>Nuevo</t>
        </is>
      </c>
      <c r="I32" s="17" t="inlineStr">
        <is>
          <t>IRAM 3517-2:2020 9.4.9 tabla 2</t>
        </is>
      </c>
      <c r="J32" s="32" t="inlineStr">
        <is>
          <t>Sí</t>
        </is>
      </c>
      <c r="K32" s="17" t="inlineStr">
        <is>
          <t>Air Liquide Argentina - sucursal Piñeyro</t>
        </is>
      </c>
      <c r="L32" s="17" t="inlineStr">
        <is>
          <t>Gogniat</t>
        </is>
      </c>
    </row>
    <row r="33">
      <c r="A33" s="32" t="inlineStr">
        <is>
          <t>RK-ABC1-C</t>
        </is>
      </c>
      <c r="B33" s="32" t="inlineStr">
        <is>
          <t>FL_MAT_ABC_1kg</t>
        </is>
      </c>
      <c r="C33" s="32" t="inlineStr">
        <is>
          <t>Extintor ABC 1 kg</t>
        </is>
      </c>
      <c r="D33" s="17" t="inlineStr">
        <is>
          <t>C - Cambio obligatorio de polvo (versión anterior de la IRAM 3569)</t>
        </is>
      </c>
      <c r="E33" s="17" t="inlineStr">
        <is>
          <t>Polvo químico seco ABC 60 (Sello IRAM 3569)</t>
        </is>
      </c>
      <c r="F33" s="32" t="n">
        <v>1.05</v>
      </c>
      <c r="G33" s="32" t="inlineStr">
        <is>
          <t>kg</t>
        </is>
      </c>
      <c r="H33" s="17" t="inlineStr">
        <is>
          <t>Nuevo 100 %; el viejo va a residuos (RC-IR)</t>
        </is>
      </c>
      <c r="I33" s="17" t="inlineStr">
        <is>
          <t>IRAM 3517-2:2020 9.9.4</t>
        </is>
      </c>
      <c r="J33" s="32" t="inlineStr">
        <is>
          <t>Sí</t>
        </is>
      </c>
      <c r="K33" s="17" t="inlineStr">
        <is>
          <t>DEM S.A. (DEMSA)</t>
        </is>
      </c>
      <c r="L33" s="17" t="inlineStr">
        <is>
          <t>Polvex S.R.L. / Sancibrao</t>
        </is>
      </c>
    </row>
    <row r="34">
      <c r="A34" s="32" t="inlineStr">
        <is>
          <t>RK-ABC1-C</t>
        </is>
      </c>
      <c r="B34" s="32" t="inlineStr">
        <is>
          <t>FL_MAT_ABC_1kg</t>
        </is>
      </c>
      <c r="C34" s="32" t="inlineStr">
        <is>
          <t>Extintor ABC 1 kg</t>
        </is>
      </c>
      <c r="D34" s="17" t="inlineStr">
        <is>
          <t>C - Cambio obligatorio de polvo (versión anterior de la IRAM 3569)</t>
        </is>
      </c>
      <c r="E34" s="17" t="inlineStr">
        <is>
          <t>Precinto plástico numerado, color, con nombre del recargador</t>
        </is>
      </c>
      <c r="F34" s="32" t="n">
        <v>1</v>
      </c>
      <c r="G34" s="32" t="inlineStr">
        <is>
          <t>u</t>
        </is>
      </c>
      <c r="H34" s="17" t="inlineStr">
        <is>
          <t>Nuevo</t>
        </is>
      </c>
      <c r="I34" s="17" t="inlineStr">
        <is>
          <t>IRAM 3517-2:2020 9.4.13</t>
        </is>
      </c>
      <c r="J34" s="32" t="inlineStr">
        <is>
          <t>Sí</t>
        </is>
      </c>
      <c r="K34" s="17" t="inlineStr">
        <is>
          <t>SonFuertes (vía Papelera Damián)</t>
        </is>
      </c>
      <c r="L34" s="17" t="inlineStr">
        <is>
          <t>Precinter S.R.L.</t>
        </is>
      </c>
    </row>
    <row r="35">
      <c r="A35" s="32" t="inlineStr">
        <is>
          <t>RK-ABC1-C</t>
        </is>
      </c>
      <c r="B35" s="32" t="inlineStr">
        <is>
          <t>FL_MAT_ABC_1kg</t>
        </is>
      </c>
      <c r="C35" s="32" t="inlineStr">
        <is>
          <t>Extintor ABC 1 kg</t>
        </is>
      </c>
      <c r="D35" s="17" t="inlineStr">
        <is>
          <t>C - Cambio obligatorio de polvo (versión anterior de la IRAM 3569)</t>
        </is>
      </c>
      <c r="E35" s="17" t="inlineStr">
        <is>
          <t>Marbete (anillo, color del año)</t>
        </is>
      </c>
      <c r="F35" s="32" t="n">
        <v>1</v>
      </c>
      <c r="G35" s="32" t="inlineStr">
        <is>
          <t>u</t>
        </is>
      </c>
      <c r="H35" s="17" t="inlineStr">
        <is>
          <t>Nuevo</t>
        </is>
      </c>
      <c r="I35" s="17" t="inlineStr">
        <is>
          <t>IRAM 3517-2:2020 9.6 · anexo E</t>
        </is>
      </c>
      <c r="J35" s="32" t="inlineStr">
        <is>
          <t>Sí</t>
        </is>
      </c>
      <c r="K35" s="17" t="inlineStr">
        <is>
          <t>Astuprint</t>
        </is>
      </c>
      <c r="L35" s="17" t="inlineStr">
        <is>
          <t>Multilabel Argentina S.A.</t>
        </is>
      </c>
    </row>
    <row r="36">
      <c r="A36" s="32" t="inlineStr">
        <is>
          <t>RK-ABC1-C</t>
        </is>
      </c>
      <c r="B36" s="32" t="inlineStr">
        <is>
          <t>FL_MAT_ABC_1kg</t>
        </is>
      </c>
      <c r="C36" s="32" t="inlineStr">
        <is>
          <t>Extintor ABC 1 kg</t>
        </is>
      </c>
      <c r="D36" s="17" t="inlineStr">
        <is>
          <t>C - Cambio obligatorio de polvo (versión anterior de la IRAM 3569)</t>
        </is>
      </c>
      <c r="E36" s="17" t="inlineStr">
        <is>
          <t>Etiqueta de servicio del recargador (extintor n°, serie, próxima recarga y PH)</t>
        </is>
      </c>
      <c r="F36" s="32" t="n">
        <v>1</v>
      </c>
      <c r="G36" s="32" t="inlineStr">
        <is>
          <t>u</t>
        </is>
      </c>
      <c r="H36" s="17" t="inlineStr">
        <is>
          <t>Nuevo</t>
        </is>
      </c>
      <c r="I36" s="17" t="inlineStr">
        <is>
          <t>IRAM 3517-2:2020 9.4.14 · relevado Suyai/Firegram</t>
        </is>
      </c>
      <c r="J36" s="32" t="inlineStr">
        <is>
          <t>Sí</t>
        </is>
      </c>
      <c r="K36" s="17" t="inlineStr">
        <is>
          <t>Astuprint</t>
        </is>
      </c>
      <c r="L36" s="17" t="inlineStr">
        <is>
          <t>Multilabel Argentina S.A.</t>
        </is>
      </c>
    </row>
    <row r="37">
      <c r="A37" s="32" t="inlineStr">
        <is>
          <t>RK-ABC1-C</t>
        </is>
      </c>
      <c r="B37" s="32" t="inlineStr">
        <is>
          <t>FL_MAT_ABC_1kg</t>
        </is>
      </c>
      <c r="C37" s="32" t="inlineStr">
        <is>
          <t>Extintor ABC 1 kg</t>
        </is>
      </c>
      <c r="D37" s="17" t="inlineStr">
        <is>
          <t>C - Cambio obligatorio de polvo (versión anterior de la IRAM 3569)</t>
        </is>
      </c>
      <c r="E37" s="17" t="inlineStr">
        <is>
          <t>Oblea PBA de recarga Ø46 + estampilla precinto 1" × 200 mm válvula-cuerpo</t>
        </is>
      </c>
      <c r="F37" s="32" t="n">
        <v>1</v>
      </c>
      <c r="G37" s="32" t="inlineStr">
        <is>
          <t>u</t>
        </is>
      </c>
      <c r="H37" s="17" t="inlineStr">
        <is>
          <t>Nuevo (venta en PBA)</t>
        </is>
      </c>
      <c r="I37" s="17" t="inlineStr">
        <is>
          <t>IRAM 3517-2:2020 Res. OPDS 522/07</t>
        </is>
      </c>
      <c r="J37" s="32" t="inlineStr">
        <is>
          <t>Sí</t>
        </is>
      </c>
      <c r="K37" s="17" t="inlineStr">
        <is>
          <t>Ministerio de Ambiente PBA (ex OPDS)</t>
        </is>
      </c>
      <c r="L37" s="17" t="inlineStr">
        <is>
          <t>-</t>
        </is>
      </c>
    </row>
    <row r="38">
      <c r="A38" s="32" t="inlineStr">
        <is>
          <t>RK-ABC1-C</t>
        </is>
      </c>
      <c r="B38" s="32" t="inlineStr">
        <is>
          <t>FL_MAT_ABC_1kg</t>
        </is>
      </c>
      <c r="C38" s="32" t="inlineStr">
        <is>
          <t>Extintor ABC 1 kg</t>
        </is>
      </c>
      <c r="D38" s="17" t="inlineStr">
        <is>
          <t>C - Cambio obligatorio de polvo (versión anterior de la IRAM 3569)</t>
        </is>
      </c>
      <c r="E38" s="17" t="inlineStr">
        <is>
          <t>Tarjeta de identificación AGC (módulo papel con QR + etiqueta AGC)</t>
        </is>
      </c>
      <c r="F38" s="32" t="n">
        <v>1</v>
      </c>
      <c r="G38" s="32" t="inlineStr">
        <is>
          <t>u</t>
        </is>
      </c>
      <c r="H38" s="17" t="inlineStr">
        <is>
          <t>Nuevo (destino CABA)</t>
        </is>
      </c>
      <c r="I38" s="17" t="inlineStr">
        <is>
          <t>IRAM 3517-2:2020 Ord. 40.473 art. 6 · Res. AGC 32/15</t>
        </is>
      </c>
      <c r="J38" s="32" t="inlineStr">
        <is>
          <t>Sí</t>
        </is>
      </c>
      <c r="K38" s="17" t="inlineStr">
        <is>
          <t>Agencia Gubernamental de Control (CABA)</t>
        </is>
      </c>
      <c r="L38" s="17" t="inlineStr">
        <is>
          <t>-</t>
        </is>
      </c>
    </row>
    <row r="39">
      <c r="A39" s="32" t="inlineStr">
        <is>
          <t>RK-ABC1-C</t>
        </is>
      </c>
      <c r="B39" s="32" t="inlineStr">
        <is>
          <t>FL_MAT_ABC_1kg</t>
        </is>
      </c>
      <c r="C39" s="32" t="inlineStr">
        <is>
          <t>Extintor ABC 1 kg</t>
        </is>
      </c>
      <c r="D39" s="17" t="inlineStr">
        <is>
          <t>C - Cambio obligatorio de polvo (versión anterior de la IRAM 3569)</t>
        </is>
      </c>
      <c r="E39" s="17" t="inlineStr">
        <is>
          <t>Tarjeta de identificación DPS de revisión / recarga</t>
        </is>
      </c>
      <c r="F39" s="32" t="n">
        <v>1</v>
      </c>
      <c r="G39" s="32" t="inlineStr">
        <is>
          <t>u</t>
        </is>
      </c>
      <c r="H39" s="17" t="inlineStr">
        <is>
          <t>Nuevo (PBA)</t>
        </is>
      </c>
      <c r="I39" s="17" t="inlineStr">
        <is>
          <t>IRAM 3517-2:2020 Res. 349/07 art. 21</t>
        </is>
      </c>
      <c r="J39" s="32" t="inlineStr">
        <is>
          <t>Sí</t>
        </is>
      </c>
      <c r="K39" s="17" t="inlineStr">
        <is>
          <t>Ministerio de Ambiente PBA (ex OPDS)</t>
        </is>
      </c>
      <c r="L39" s="17" t="inlineStr">
        <is>
          <t>-</t>
        </is>
      </c>
    </row>
    <row r="40">
      <c r="A40" s="32" t="inlineStr">
        <is>
          <t>RK-ABC1-C</t>
        </is>
      </c>
      <c r="B40" s="32" t="inlineStr">
        <is>
          <t>FL_MAT_ABC_1kg</t>
        </is>
      </c>
      <c r="C40" s="32" t="inlineStr">
        <is>
          <t>Extintor ABC 1 kg</t>
        </is>
      </c>
      <c r="D40" s="17" t="inlineStr">
        <is>
          <t>C - Cambio obligatorio de polvo (versión anterior de la IRAM 3569)</t>
        </is>
      </c>
      <c r="E40" s="17" t="inlineStr">
        <is>
          <t>Grabado de la fecha del servicio en el tubo de pesca (lápiz vibratorio; en polvo, marcador indeleble)</t>
        </is>
      </c>
      <c r="F40" s="32" t="n">
        <v>1</v>
      </c>
      <c r="G40" s="32" t="inlineStr">
        <is>
          <t>u</t>
        </is>
      </c>
      <c r="H40" s="17" t="inlineStr">
        <is>
          <t>Proceso</t>
        </is>
      </c>
      <c r="I40" s="17" t="inlineStr">
        <is>
          <t>IRAM 3517-2:2020 Res. 349/07 art. 28</t>
        </is>
      </c>
      <c r="J40" s="32" t="inlineStr">
        <is>
          <t>No</t>
        </is>
      </c>
      <c r="K40" s="17" t="n"/>
      <c r="L40" s="17" t="n"/>
    </row>
    <row r="41">
      <c r="A41" s="32" t="inlineStr">
        <is>
          <t>RK-ABC1-C</t>
        </is>
      </c>
      <c r="B41" s="32" t="inlineStr">
        <is>
          <t>FL_MAT_ABC_1kg</t>
        </is>
      </c>
      <c r="C41" s="32" t="inlineStr">
        <is>
          <t>Extintor ABC 1 kg</t>
        </is>
      </c>
      <c r="D41" s="17" t="inlineStr">
        <is>
          <t>C - Cambio obligatorio de polvo (versión anterior de la IRAM 3569)</t>
        </is>
      </c>
      <c r="E41" s="17" t="inlineStr">
        <is>
          <t>Si hubo PH: oblea de vencimiento de PH + «PH» y fecha grabados en el tubo de pesca (CO₂: fecha y logo estampados en la ojiva)</t>
        </is>
      </c>
      <c r="F41" s="32" t="n">
        <v>1</v>
      </c>
      <c r="G41" s="32" t="inlineStr">
        <is>
          <t>u</t>
        </is>
      </c>
      <c r="H41" s="17" t="inlineStr">
        <is>
          <t>Proceso</t>
        </is>
      </c>
      <c r="I41" s="17" t="inlineStr">
        <is>
          <t>IRAM 3517-2:2020 Res. 349/07 art. 29 · IRAM 3517-2</t>
        </is>
      </c>
      <c r="J41" s="32" t="inlineStr">
        <is>
          <t>No</t>
        </is>
      </c>
      <c r="K41" s="17" t="n"/>
      <c r="L41" s="17" t="n"/>
    </row>
    <row r="42">
      <c r="A42" s="37" t="inlineStr">
        <is>
          <t>RK-ABC1-C</t>
        </is>
      </c>
      <c r="B42" s="37" t="inlineStr">
        <is>
          <t>FL_MAT_ABC_1kg</t>
        </is>
      </c>
      <c r="C42" s="37" t="inlineStr">
        <is>
          <t>Extintor ABC 1 kg</t>
        </is>
      </c>
      <c r="D42" s="18" t="inlineStr">
        <is>
          <t>C - Cambio obligatorio de polvo (versión anterior de la IRAM 3569)</t>
        </is>
      </c>
      <c r="E42" s="18" t="inlineStr">
        <is>
          <t>Junta tórica de asiento del cuello</t>
        </is>
      </c>
      <c r="F42" s="37" t="n">
        <v>1</v>
      </c>
      <c r="G42" s="37" t="inlineStr">
        <is>
          <t>u</t>
        </is>
      </c>
      <c r="H42" s="18" t="inlineStr">
        <is>
          <t>Nuevo (R: cambio sistemático)</t>
        </is>
      </c>
      <c r="I42" s="18" t="inlineStr"/>
      <c r="J42" s="37" t="inlineStr">
        <is>
          <t>Sí</t>
        </is>
      </c>
      <c r="K42" s="18" t="inlineStr">
        <is>
          <t>Argensold</t>
        </is>
      </c>
      <c r="L42" s="18" t="inlineStr">
        <is>
          <t>Matafuegos Iglesias</t>
        </is>
      </c>
    </row>
    <row r="43">
      <c r="A43" s="32" t="inlineStr">
        <is>
          <t>RK-ABC1-C</t>
        </is>
      </c>
      <c r="B43" s="32" t="inlineStr">
        <is>
          <t>FL_MAT_ABC_1kg</t>
        </is>
      </c>
      <c r="C43" s="32" t="inlineStr">
        <is>
          <t>Extintor ABC 1 kg</t>
        </is>
      </c>
      <c r="D43" s="17" t="inlineStr">
        <is>
          <t>C - Cambio obligatorio de polvo (versión anterior de la IRAM 3569)</t>
        </is>
      </c>
      <c r="E43" s="17" t="inlineStr">
        <is>
          <t>Gas impulsor: N₂</t>
        </is>
      </c>
      <c r="F43" s="32" t="n">
        <v>0.0047</v>
      </c>
      <c r="G43" s="32" t="inlineStr">
        <is>
          <t>kg</t>
        </is>
      </c>
      <c r="H43" s="17" t="inlineStr">
        <is>
          <t>Nuevo</t>
        </is>
      </c>
      <c r="I43" s="17" t="inlineStr">
        <is>
          <t>IRAM 3517-2:2020 9.4.9 tabla 2</t>
        </is>
      </c>
      <c r="J43" s="32" t="inlineStr">
        <is>
          <t>Sí</t>
        </is>
      </c>
      <c r="K43" s="17" t="inlineStr">
        <is>
          <t>Air Liquide Argentina - sucursal Piñeyro</t>
        </is>
      </c>
      <c r="L43" s="17" t="inlineStr">
        <is>
          <t>Gogniat</t>
        </is>
      </c>
    </row>
    <row r="44">
      <c r="A44" s="32" t="inlineStr">
        <is>
          <t>RK-ABC1-I</t>
        </is>
      </c>
      <c r="B44" s="32" t="inlineStr">
        <is>
          <t>FL_MAT_ABC_1kg</t>
        </is>
      </c>
      <c r="C44" s="32" t="inlineStr">
        <is>
          <t>Extintor ABC 1 kg</t>
        </is>
      </c>
      <c r="D44" s="17" t="inlineStr">
        <is>
          <t>Según inspección (consumo estadístico a definir)</t>
        </is>
      </c>
      <c r="E44" s="17" t="inlineStr">
        <is>
          <t>Manómetro / manguera / tobera / kit de válvula</t>
        </is>
      </c>
      <c r="F44" s="32" t="inlineStr">
        <is>
          <t>-</t>
        </is>
      </c>
      <c r="G44" s="32" t="inlineStr">
        <is>
          <t>u</t>
        </is>
      </c>
      <c r="H44" s="17" t="inlineStr">
        <is>
          <t>Recambio sólo si falla</t>
        </is>
      </c>
      <c r="I44" s="17" t="inlineStr">
        <is>
          <t>IRAM 3517-2:2020 9.4.11 (cada manguera vuelve a su extintor)</t>
        </is>
      </c>
      <c r="J44" s="32" t="inlineStr">
        <is>
          <t>Sí</t>
        </is>
      </c>
      <c r="K44" s="17" t="inlineStr">
        <is>
          <t>Polvex S.R.L. / Sancibrao</t>
        </is>
      </c>
      <c r="L44" s="17" t="inlineStr">
        <is>
          <t>Yukon / MatafuegosYa S.R.L.</t>
        </is>
      </c>
    </row>
    <row r="45">
      <c r="A45" s="32" t="inlineStr">
        <is>
          <t>RK-ABC2.5-A</t>
        </is>
      </c>
      <c r="B45" s="32" t="inlineStr">
        <is>
          <t>FL_MAT_ABC_2.5kg</t>
        </is>
      </c>
      <c r="C45" s="32" t="inlineStr">
        <is>
          <t>Extintor ABC 2,5 kg</t>
        </is>
      </c>
      <c r="D45" s="17" t="inlineStr">
        <is>
          <t>A - Extintor descargado (uso o descarga parcial)</t>
        </is>
      </c>
      <c r="E45" s="17" t="inlineStr">
        <is>
          <t>Polvo químico seco ABC 60 (Sello IRAM 3569)</t>
        </is>
      </c>
      <c r="F45" s="32" t="n">
        <v>2.55</v>
      </c>
      <c r="G45" s="32" t="inlineStr">
        <is>
          <t>kg</t>
        </is>
      </c>
      <c r="H45" s="17" t="inlineStr">
        <is>
          <t>Nuevo 100 %</t>
        </is>
      </c>
      <c r="I45" s="17" t="inlineStr">
        <is>
          <t>IRAM 3517-2:2020 9.9.1.4: el polvo de un extintor accionado no se reutiliza</t>
        </is>
      </c>
      <c r="J45" s="32" t="inlineStr">
        <is>
          <t>Sí</t>
        </is>
      </c>
      <c r="K45" s="17" t="inlineStr">
        <is>
          <t>DEM S.A. (DEMSA)</t>
        </is>
      </c>
      <c r="L45" s="17" t="inlineStr">
        <is>
          <t>Polvex S.R.L. / Sancibrao</t>
        </is>
      </c>
    </row>
    <row r="46">
      <c r="A46" s="32" t="inlineStr">
        <is>
          <t>RK-ABC2.5-A</t>
        </is>
      </c>
      <c r="B46" s="32" t="inlineStr">
        <is>
          <t>FL_MAT_ABC_2.5kg</t>
        </is>
      </c>
      <c r="C46" s="32" t="inlineStr">
        <is>
          <t>Extintor ABC 2,5 kg</t>
        </is>
      </c>
      <c r="D46" s="17" t="inlineStr">
        <is>
          <t>A - Extintor descargado (uso o descarga parcial)</t>
        </is>
      </c>
      <c r="E46" s="17" t="inlineStr">
        <is>
          <t>Precinto plástico numerado, color, con nombre del recargador</t>
        </is>
      </c>
      <c r="F46" s="32" t="n">
        <v>1</v>
      </c>
      <c r="G46" s="32" t="inlineStr">
        <is>
          <t>u</t>
        </is>
      </c>
      <c r="H46" s="17" t="inlineStr">
        <is>
          <t>Nuevo</t>
        </is>
      </c>
      <c r="I46" s="17" t="inlineStr">
        <is>
          <t>IRAM 3517-2:2020 9.4.13</t>
        </is>
      </c>
      <c r="J46" s="32" t="inlineStr">
        <is>
          <t>Sí</t>
        </is>
      </c>
      <c r="K46" s="17" t="inlineStr">
        <is>
          <t>SonFuertes (vía Papelera Damián)</t>
        </is>
      </c>
      <c r="L46" s="17" t="inlineStr">
        <is>
          <t>Precinter S.R.L.</t>
        </is>
      </c>
    </row>
    <row r="47">
      <c r="A47" s="32" t="inlineStr">
        <is>
          <t>RK-ABC2.5-A</t>
        </is>
      </c>
      <c r="B47" s="32" t="inlineStr">
        <is>
          <t>FL_MAT_ABC_2.5kg</t>
        </is>
      </c>
      <c r="C47" s="32" t="inlineStr">
        <is>
          <t>Extintor ABC 2,5 kg</t>
        </is>
      </c>
      <c r="D47" s="17" t="inlineStr">
        <is>
          <t>A - Extintor descargado (uso o descarga parcial)</t>
        </is>
      </c>
      <c r="E47" s="17" t="inlineStr">
        <is>
          <t>Marbete (anillo, color del año)</t>
        </is>
      </c>
      <c r="F47" s="32" t="n">
        <v>1</v>
      </c>
      <c r="G47" s="32" t="inlineStr">
        <is>
          <t>u</t>
        </is>
      </c>
      <c r="H47" s="17" t="inlineStr">
        <is>
          <t>Nuevo</t>
        </is>
      </c>
      <c r="I47" s="17" t="inlineStr">
        <is>
          <t>IRAM 3517-2:2020 9.6 · anexo E</t>
        </is>
      </c>
      <c r="J47" s="32" t="inlineStr">
        <is>
          <t>Sí</t>
        </is>
      </c>
      <c r="K47" s="17" t="inlineStr">
        <is>
          <t>Astuprint</t>
        </is>
      </c>
      <c r="L47" s="17" t="inlineStr">
        <is>
          <t>Multilabel Argentina S.A.</t>
        </is>
      </c>
    </row>
    <row r="48">
      <c r="A48" s="32" t="inlineStr">
        <is>
          <t>RK-ABC2.5-A</t>
        </is>
      </c>
      <c r="B48" s="32" t="inlineStr">
        <is>
          <t>FL_MAT_ABC_2.5kg</t>
        </is>
      </c>
      <c r="C48" s="32" t="inlineStr">
        <is>
          <t>Extintor ABC 2,5 kg</t>
        </is>
      </c>
      <c r="D48" s="17" t="inlineStr">
        <is>
          <t>A - Extintor descargado (uso o descarga parcial)</t>
        </is>
      </c>
      <c r="E48" s="17" t="inlineStr">
        <is>
          <t>Etiqueta de servicio del recargador (extintor n°, serie, próxima recarga y PH)</t>
        </is>
      </c>
      <c r="F48" s="32" t="n">
        <v>1</v>
      </c>
      <c r="G48" s="32" t="inlineStr">
        <is>
          <t>u</t>
        </is>
      </c>
      <c r="H48" s="17" t="inlineStr">
        <is>
          <t>Nuevo</t>
        </is>
      </c>
      <c r="I48" s="17" t="inlineStr">
        <is>
          <t>IRAM 3517-2:2020 9.4.14 · relevado Suyai/Firegram</t>
        </is>
      </c>
      <c r="J48" s="32" t="inlineStr">
        <is>
          <t>Sí</t>
        </is>
      </c>
      <c r="K48" s="17" t="inlineStr">
        <is>
          <t>Astuprint</t>
        </is>
      </c>
      <c r="L48" s="17" t="inlineStr">
        <is>
          <t>Multilabel Argentina S.A.</t>
        </is>
      </c>
    </row>
    <row r="49">
      <c r="A49" s="32" t="inlineStr">
        <is>
          <t>RK-ABC2.5-A</t>
        </is>
      </c>
      <c r="B49" s="32" t="inlineStr">
        <is>
          <t>FL_MAT_ABC_2.5kg</t>
        </is>
      </c>
      <c r="C49" s="32" t="inlineStr">
        <is>
          <t>Extintor ABC 2,5 kg</t>
        </is>
      </c>
      <c r="D49" s="17" t="inlineStr">
        <is>
          <t>A - Extintor descargado (uso o descarga parcial)</t>
        </is>
      </c>
      <c r="E49" s="17" t="inlineStr">
        <is>
          <t>Oblea PBA de recarga Ø46 + estampilla precinto 1" × 200 mm válvula-cuerpo</t>
        </is>
      </c>
      <c r="F49" s="32" t="n">
        <v>1</v>
      </c>
      <c r="G49" s="32" t="inlineStr">
        <is>
          <t>u</t>
        </is>
      </c>
      <c r="H49" s="17" t="inlineStr">
        <is>
          <t>Nuevo (venta en PBA)</t>
        </is>
      </c>
      <c r="I49" s="17" t="inlineStr">
        <is>
          <t>IRAM 3517-2:2020 Res. OPDS 522/07</t>
        </is>
      </c>
      <c r="J49" s="32" t="inlineStr">
        <is>
          <t>Sí</t>
        </is>
      </c>
      <c r="K49" s="17" t="inlineStr">
        <is>
          <t>Ministerio de Ambiente PBA (ex OPDS)</t>
        </is>
      </c>
      <c r="L49" s="17" t="inlineStr">
        <is>
          <t>-</t>
        </is>
      </c>
    </row>
    <row r="50">
      <c r="A50" s="32" t="inlineStr">
        <is>
          <t>RK-ABC2.5-A</t>
        </is>
      </c>
      <c r="B50" s="32" t="inlineStr">
        <is>
          <t>FL_MAT_ABC_2.5kg</t>
        </is>
      </c>
      <c r="C50" s="32" t="inlineStr">
        <is>
          <t>Extintor ABC 2,5 kg</t>
        </is>
      </c>
      <c r="D50" s="17" t="inlineStr">
        <is>
          <t>A - Extintor descargado (uso o descarga parcial)</t>
        </is>
      </c>
      <c r="E50" s="17" t="inlineStr">
        <is>
          <t>Tarjeta de identificación AGC (módulo papel con QR + etiqueta AGC)</t>
        </is>
      </c>
      <c r="F50" s="32" t="n">
        <v>1</v>
      </c>
      <c r="G50" s="32" t="inlineStr">
        <is>
          <t>u</t>
        </is>
      </c>
      <c r="H50" s="17" t="inlineStr">
        <is>
          <t>Nuevo (destino CABA)</t>
        </is>
      </c>
      <c r="I50" s="17" t="inlineStr">
        <is>
          <t>IRAM 3517-2:2020 Ord. 40.473 art. 6 · Res. AGC 32/15</t>
        </is>
      </c>
      <c r="J50" s="32" t="inlineStr">
        <is>
          <t>Sí</t>
        </is>
      </c>
      <c r="K50" s="17" t="inlineStr">
        <is>
          <t>Agencia Gubernamental de Control (CABA)</t>
        </is>
      </c>
      <c r="L50" s="17" t="inlineStr">
        <is>
          <t>-</t>
        </is>
      </c>
    </row>
    <row r="51">
      <c r="A51" s="32" t="inlineStr">
        <is>
          <t>RK-ABC2.5-A</t>
        </is>
      </c>
      <c r="B51" s="32" t="inlineStr">
        <is>
          <t>FL_MAT_ABC_2.5kg</t>
        </is>
      </c>
      <c r="C51" s="32" t="inlineStr">
        <is>
          <t>Extintor ABC 2,5 kg</t>
        </is>
      </c>
      <c r="D51" s="17" t="inlineStr">
        <is>
          <t>A - Extintor descargado (uso o descarga parcial)</t>
        </is>
      </c>
      <c r="E51" s="17" t="inlineStr">
        <is>
          <t>Tarjeta de identificación DPS de revisión / recarga</t>
        </is>
      </c>
      <c r="F51" s="32" t="n">
        <v>1</v>
      </c>
      <c r="G51" s="32" t="inlineStr">
        <is>
          <t>u</t>
        </is>
      </c>
      <c r="H51" s="17" t="inlineStr">
        <is>
          <t>Nuevo (PBA)</t>
        </is>
      </c>
      <c r="I51" s="17" t="inlineStr">
        <is>
          <t>IRAM 3517-2:2020 Res. 349/07 art. 21</t>
        </is>
      </c>
      <c r="J51" s="32" t="inlineStr">
        <is>
          <t>Sí</t>
        </is>
      </c>
      <c r="K51" s="17" t="inlineStr">
        <is>
          <t>Ministerio de Ambiente PBA (ex OPDS)</t>
        </is>
      </c>
      <c r="L51" s="17" t="inlineStr">
        <is>
          <t>-</t>
        </is>
      </c>
    </row>
    <row r="52">
      <c r="A52" s="32" t="inlineStr">
        <is>
          <t>RK-ABC2.5-A</t>
        </is>
      </c>
      <c r="B52" s="32" t="inlineStr">
        <is>
          <t>FL_MAT_ABC_2.5kg</t>
        </is>
      </c>
      <c r="C52" s="32" t="inlineStr">
        <is>
          <t>Extintor ABC 2,5 kg</t>
        </is>
      </c>
      <c r="D52" s="17" t="inlineStr">
        <is>
          <t>A - Extintor descargado (uso o descarga parcial)</t>
        </is>
      </c>
      <c r="E52" s="17" t="inlineStr">
        <is>
          <t>Grabado de la fecha del servicio en el tubo de pesca (lápiz vibratorio; en polvo, marcador indeleble)</t>
        </is>
      </c>
      <c r="F52" s="32" t="n">
        <v>1</v>
      </c>
      <c r="G52" s="32" t="inlineStr">
        <is>
          <t>u</t>
        </is>
      </c>
      <c r="H52" s="17" t="inlineStr">
        <is>
          <t>Proceso</t>
        </is>
      </c>
      <c r="I52" s="17" t="inlineStr">
        <is>
          <t>IRAM 3517-2:2020 Res. 349/07 art. 28</t>
        </is>
      </c>
      <c r="J52" s="32" t="inlineStr">
        <is>
          <t>No</t>
        </is>
      </c>
      <c r="K52" s="17" t="n"/>
      <c r="L52" s="17" t="n"/>
    </row>
    <row r="53">
      <c r="A53" s="32" t="inlineStr">
        <is>
          <t>RK-ABC2.5-A</t>
        </is>
      </c>
      <c r="B53" s="32" t="inlineStr">
        <is>
          <t>FL_MAT_ABC_2.5kg</t>
        </is>
      </c>
      <c r="C53" s="32" t="inlineStr">
        <is>
          <t>Extintor ABC 2,5 kg</t>
        </is>
      </c>
      <c r="D53" s="17" t="inlineStr">
        <is>
          <t>A - Extintor descargado (uso o descarga parcial)</t>
        </is>
      </c>
      <c r="E53" s="17" t="inlineStr">
        <is>
          <t>Si hubo PH: oblea de vencimiento de PH + «PH» y fecha grabados en el tubo de pesca (CO₂: fecha y logo estampados en la ojiva)</t>
        </is>
      </c>
      <c r="F53" s="32" t="n">
        <v>1</v>
      </c>
      <c r="G53" s="32" t="inlineStr">
        <is>
          <t>u</t>
        </is>
      </c>
      <c r="H53" s="17" t="inlineStr">
        <is>
          <t>Proceso</t>
        </is>
      </c>
      <c r="I53" s="17" t="inlineStr">
        <is>
          <t>IRAM 3517-2:2020 Res. 349/07 art. 29 · IRAM 3517-2</t>
        </is>
      </c>
      <c r="J53" s="32" t="inlineStr">
        <is>
          <t>No</t>
        </is>
      </c>
      <c r="K53" s="17" t="n"/>
      <c r="L53" s="17" t="n"/>
    </row>
    <row r="54">
      <c r="A54" s="37" t="inlineStr">
        <is>
          <t>RK-ABC2.5-A</t>
        </is>
      </c>
      <c r="B54" s="37" t="inlineStr">
        <is>
          <t>FL_MAT_ABC_2.5kg</t>
        </is>
      </c>
      <c r="C54" s="37" t="inlineStr">
        <is>
          <t>Extintor ABC 2,5 kg</t>
        </is>
      </c>
      <c r="D54" s="18" t="inlineStr">
        <is>
          <t>A - Extintor descargado (uso o descarga parcial)</t>
        </is>
      </c>
      <c r="E54" s="18" t="inlineStr">
        <is>
          <t>Junta tórica de asiento del cuello</t>
        </is>
      </c>
      <c r="F54" s="37" t="n">
        <v>1</v>
      </c>
      <c r="G54" s="37" t="inlineStr">
        <is>
          <t>u</t>
        </is>
      </c>
      <c r="H54" s="18" t="inlineStr">
        <is>
          <t>Nuevo (R: cambio sistemático)</t>
        </is>
      </c>
      <c r="I54" s="18" t="inlineStr"/>
      <c r="J54" s="37" t="inlineStr">
        <is>
          <t>Sí</t>
        </is>
      </c>
      <c r="K54" s="18" t="inlineStr">
        <is>
          <t>Argensold</t>
        </is>
      </c>
      <c r="L54" s="18" t="inlineStr">
        <is>
          <t>Matafuegos Iglesias</t>
        </is>
      </c>
    </row>
    <row r="55">
      <c r="A55" s="32" t="inlineStr">
        <is>
          <t>RK-ABC2.5-A</t>
        </is>
      </c>
      <c r="B55" s="32" t="inlineStr">
        <is>
          <t>FL_MAT_ABC_2.5kg</t>
        </is>
      </c>
      <c r="C55" s="32" t="inlineStr">
        <is>
          <t>Extintor ABC 2,5 kg</t>
        </is>
      </c>
      <c r="D55" s="17" t="inlineStr">
        <is>
          <t>A - Extintor descargado (uso o descarga parcial)</t>
        </is>
      </c>
      <c r="E55" s="17" t="inlineStr">
        <is>
          <t>Gas impulsor: N₂</t>
        </is>
      </c>
      <c r="F55" s="32" t="n">
        <v>0.0212</v>
      </c>
      <c r="G55" s="32" t="inlineStr">
        <is>
          <t>kg</t>
        </is>
      </c>
      <c r="H55" s="17" t="inlineStr">
        <is>
          <t>Nuevo</t>
        </is>
      </c>
      <c r="I55" s="17" t="inlineStr">
        <is>
          <t>IRAM 3517-2:2020 9.4.9 tabla 2</t>
        </is>
      </c>
      <c r="J55" s="32" t="inlineStr">
        <is>
          <t>Sí</t>
        </is>
      </c>
      <c r="K55" s="17" t="inlineStr">
        <is>
          <t>Air Liquide Argentina - sucursal Piñeyro</t>
        </is>
      </c>
      <c r="L55" s="17" t="inlineStr">
        <is>
          <t>Gogniat</t>
        </is>
      </c>
    </row>
    <row r="56">
      <c r="A56" s="32" t="inlineStr">
        <is>
          <t>RK-ABC2.5-B</t>
        </is>
      </c>
      <c r="B56" s="32" t="inlineStr">
        <is>
          <t>FL_MAT_ABC_2.5kg</t>
        </is>
      </c>
      <c r="C56" s="32" t="inlineStr">
        <is>
          <t>Extintor ABC 2,5 kg</t>
        </is>
      </c>
      <c r="D56" s="17" t="inlineStr">
        <is>
          <t>B - Mantenimiento con apertura sin descarga (control interior, PH)</t>
        </is>
      </c>
      <c r="E56" s="17" t="inlineStr">
        <is>
          <t>Polvo químico seco ABC 60 (Sello IRAM 3569) recuperado</t>
        </is>
      </c>
      <c r="F56" s="32" t="n">
        <v>2.5</v>
      </c>
      <c r="G56" s="32" t="inlineStr">
        <is>
          <t>kg</t>
        </is>
      </c>
      <c r="H56" s="17" t="inlineStr">
        <is>
          <t>Recuperado en sistema cerrado</t>
        </is>
      </c>
      <c r="I56" s="17" t="inlineStr">
        <is>
          <t>IRAM 3517-2:2020 4.4.1 y) sistema cerrado de recuperación con inspección; 9.9.3 control (puffer IRAM 3672, fusión IRAM 3569 en ABC)</t>
        </is>
      </c>
      <c r="J56" s="32" t="inlineStr">
        <is>
          <t>No</t>
        </is>
      </c>
      <c r="K56" s="17" t="n"/>
      <c r="L56" s="17" t="n"/>
    </row>
    <row r="57">
      <c r="A57" s="32" t="inlineStr">
        <is>
          <t>RK-ABC2.5-B</t>
        </is>
      </c>
      <c r="B57" s="32" t="inlineStr">
        <is>
          <t>FL_MAT_ABC_2.5kg</t>
        </is>
      </c>
      <c r="C57" s="32" t="inlineStr">
        <is>
          <t>Extintor ABC 2,5 kg</t>
        </is>
      </c>
      <c r="D57" s="17" t="inlineStr">
        <is>
          <t>B - Mantenimiento con apertura sin descarga (control interior, PH)</t>
        </is>
      </c>
      <c r="E57" s="17" t="inlineStr">
        <is>
          <t>Polvo químico seco ABC 60 (Sello IRAM 3569)</t>
        </is>
      </c>
      <c r="F57" s="32" t="n">
        <v>0.05</v>
      </c>
      <c r="G57" s="32" t="inlineStr">
        <is>
          <t>kg</t>
        </is>
      </c>
      <c r="H57" s="17" t="inlineStr">
        <is>
          <t>Nuevo: reposición = carga objetivo − límite inferior de 0 / +100 g (cota superior)</t>
        </is>
      </c>
      <c r="I57" s="17" t="inlineStr">
        <is>
          <t>IRAM 3517-2:2020 9.4.12 tabla 3 · anexo F; mismo tipo y marca (prohibido mezclar ABC con BC, 9.9.1.6)</t>
        </is>
      </c>
      <c r="J57" s="32" t="inlineStr">
        <is>
          <t>Sí</t>
        </is>
      </c>
      <c r="K57" s="17" t="inlineStr">
        <is>
          <t>DEM S.A. (DEMSA)</t>
        </is>
      </c>
      <c r="L57" s="17" t="inlineStr">
        <is>
          <t>Polvex S.R.L. / Sancibrao</t>
        </is>
      </c>
    </row>
    <row r="58">
      <c r="A58" s="32" t="inlineStr">
        <is>
          <t>RK-ABC2.5-B</t>
        </is>
      </c>
      <c r="B58" s="32" t="inlineStr">
        <is>
          <t>FL_MAT_ABC_2.5kg</t>
        </is>
      </c>
      <c r="C58" s="32" t="inlineStr">
        <is>
          <t>Extintor ABC 2,5 kg</t>
        </is>
      </c>
      <c r="D58" s="17" t="inlineStr">
        <is>
          <t>B - Mantenimiento con apertura sin descarga (control interior, PH)</t>
        </is>
      </c>
      <c r="E58" s="17" t="inlineStr">
        <is>
          <t>Precinto plástico numerado, color, con nombre del recargador</t>
        </is>
      </c>
      <c r="F58" s="32" t="n">
        <v>1</v>
      </c>
      <c r="G58" s="32" t="inlineStr">
        <is>
          <t>u</t>
        </is>
      </c>
      <c r="H58" s="17" t="inlineStr">
        <is>
          <t>Nuevo</t>
        </is>
      </c>
      <c r="I58" s="17" t="inlineStr">
        <is>
          <t>IRAM 3517-2:2020 9.4.13</t>
        </is>
      </c>
      <c r="J58" s="32" t="inlineStr">
        <is>
          <t>Sí</t>
        </is>
      </c>
      <c r="K58" s="17" t="inlineStr">
        <is>
          <t>SonFuertes (vía Papelera Damián)</t>
        </is>
      </c>
      <c r="L58" s="17" t="inlineStr">
        <is>
          <t>Precinter S.R.L.</t>
        </is>
      </c>
    </row>
    <row r="59">
      <c r="A59" s="32" t="inlineStr">
        <is>
          <t>RK-ABC2.5-B</t>
        </is>
      </c>
      <c r="B59" s="32" t="inlineStr">
        <is>
          <t>FL_MAT_ABC_2.5kg</t>
        </is>
      </c>
      <c r="C59" s="32" t="inlineStr">
        <is>
          <t>Extintor ABC 2,5 kg</t>
        </is>
      </c>
      <c r="D59" s="17" t="inlineStr">
        <is>
          <t>B - Mantenimiento con apertura sin descarga (control interior, PH)</t>
        </is>
      </c>
      <c r="E59" s="17" t="inlineStr">
        <is>
          <t>Marbete (anillo, color del año)</t>
        </is>
      </c>
      <c r="F59" s="32" t="n">
        <v>1</v>
      </c>
      <c r="G59" s="32" t="inlineStr">
        <is>
          <t>u</t>
        </is>
      </c>
      <c r="H59" s="17" t="inlineStr">
        <is>
          <t>Nuevo</t>
        </is>
      </c>
      <c r="I59" s="17" t="inlineStr">
        <is>
          <t>IRAM 3517-2:2020 9.6 · anexo E</t>
        </is>
      </c>
      <c r="J59" s="32" t="inlineStr">
        <is>
          <t>Sí</t>
        </is>
      </c>
      <c r="K59" s="17" t="inlineStr">
        <is>
          <t>Astuprint</t>
        </is>
      </c>
      <c r="L59" s="17" t="inlineStr">
        <is>
          <t>Multilabel Argentina S.A.</t>
        </is>
      </c>
    </row>
    <row r="60">
      <c r="A60" s="32" t="inlineStr">
        <is>
          <t>RK-ABC2.5-B</t>
        </is>
      </c>
      <c r="B60" s="32" t="inlineStr">
        <is>
          <t>FL_MAT_ABC_2.5kg</t>
        </is>
      </c>
      <c r="C60" s="32" t="inlineStr">
        <is>
          <t>Extintor ABC 2,5 kg</t>
        </is>
      </c>
      <c r="D60" s="17" t="inlineStr">
        <is>
          <t>B - Mantenimiento con apertura sin descarga (control interior, PH)</t>
        </is>
      </c>
      <c r="E60" s="17" t="inlineStr">
        <is>
          <t>Etiqueta de servicio del recargador (extintor n°, serie, próxima recarga y PH)</t>
        </is>
      </c>
      <c r="F60" s="32" t="n">
        <v>1</v>
      </c>
      <c r="G60" s="32" t="inlineStr">
        <is>
          <t>u</t>
        </is>
      </c>
      <c r="H60" s="17" t="inlineStr">
        <is>
          <t>Nuevo</t>
        </is>
      </c>
      <c r="I60" s="17" t="inlineStr">
        <is>
          <t>IRAM 3517-2:2020 9.4.14 · relevado Suyai/Firegram</t>
        </is>
      </c>
      <c r="J60" s="32" t="inlineStr">
        <is>
          <t>Sí</t>
        </is>
      </c>
      <c r="K60" s="17" t="inlineStr">
        <is>
          <t>Astuprint</t>
        </is>
      </c>
      <c r="L60" s="17" t="inlineStr">
        <is>
          <t>Multilabel Argentina S.A.</t>
        </is>
      </c>
    </row>
    <row r="61">
      <c r="A61" s="32" t="inlineStr">
        <is>
          <t>RK-ABC2.5-B</t>
        </is>
      </c>
      <c r="B61" s="32" t="inlineStr">
        <is>
          <t>FL_MAT_ABC_2.5kg</t>
        </is>
      </c>
      <c r="C61" s="32" t="inlineStr">
        <is>
          <t>Extintor ABC 2,5 kg</t>
        </is>
      </c>
      <c r="D61" s="17" t="inlineStr">
        <is>
          <t>B - Mantenimiento con apertura sin descarga (control interior, PH)</t>
        </is>
      </c>
      <c r="E61" s="17" t="inlineStr">
        <is>
          <t>Oblea PBA de recarga Ø46 + estampilla precinto 1" × 200 mm válvula-cuerpo</t>
        </is>
      </c>
      <c r="F61" s="32" t="n">
        <v>1</v>
      </c>
      <c r="G61" s="32" t="inlineStr">
        <is>
          <t>u</t>
        </is>
      </c>
      <c r="H61" s="17" t="inlineStr">
        <is>
          <t>Nuevo (venta en PBA)</t>
        </is>
      </c>
      <c r="I61" s="17" t="inlineStr">
        <is>
          <t>IRAM 3517-2:2020 Res. OPDS 522/07</t>
        </is>
      </c>
      <c r="J61" s="32" t="inlineStr">
        <is>
          <t>Sí</t>
        </is>
      </c>
      <c r="K61" s="17" t="inlineStr">
        <is>
          <t>Ministerio de Ambiente PBA (ex OPDS)</t>
        </is>
      </c>
      <c r="L61" s="17" t="inlineStr">
        <is>
          <t>-</t>
        </is>
      </c>
    </row>
    <row r="62">
      <c r="A62" s="32" t="inlineStr">
        <is>
          <t>RK-ABC2.5-B</t>
        </is>
      </c>
      <c r="B62" s="32" t="inlineStr">
        <is>
          <t>FL_MAT_ABC_2.5kg</t>
        </is>
      </c>
      <c r="C62" s="32" t="inlineStr">
        <is>
          <t>Extintor ABC 2,5 kg</t>
        </is>
      </c>
      <c r="D62" s="17" t="inlineStr">
        <is>
          <t>B - Mantenimiento con apertura sin descarga (control interior, PH)</t>
        </is>
      </c>
      <c r="E62" s="17" t="inlineStr">
        <is>
          <t>Tarjeta de identificación AGC (módulo papel con QR + etiqueta AGC)</t>
        </is>
      </c>
      <c r="F62" s="32" t="n">
        <v>1</v>
      </c>
      <c r="G62" s="32" t="inlineStr">
        <is>
          <t>u</t>
        </is>
      </c>
      <c r="H62" s="17" t="inlineStr">
        <is>
          <t>Nuevo (destino CABA)</t>
        </is>
      </c>
      <c r="I62" s="17" t="inlineStr">
        <is>
          <t>IRAM 3517-2:2020 Ord. 40.473 art. 6 · Res. AGC 32/15</t>
        </is>
      </c>
      <c r="J62" s="32" t="inlineStr">
        <is>
          <t>Sí</t>
        </is>
      </c>
      <c r="K62" s="17" t="inlineStr">
        <is>
          <t>Agencia Gubernamental de Control (CABA)</t>
        </is>
      </c>
      <c r="L62" s="17" t="inlineStr">
        <is>
          <t>-</t>
        </is>
      </c>
    </row>
    <row r="63">
      <c r="A63" s="32" t="inlineStr">
        <is>
          <t>RK-ABC2.5-B</t>
        </is>
      </c>
      <c r="B63" s="32" t="inlineStr">
        <is>
          <t>FL_MAT_ABC_2.5kg</t>
        </is>
      </c>
      <c r="C63" s="32" t="inlineStr">
        <is>
          <t>Extintor ABC 2,5 kg</t>
        </is>
      </c>
      <c r="D63" s="17" t="inlineStr">
        <is>
          <t>B - Mantenimiento con apertura sin descarga (control interior, PH)</t>
        </is>
      </c>
      <c r="E63" s="17" t="inlineStr">
        <is>
          <t>Tarjeta de identificación DPS de revisión / recarga</t>
        </is>
      </c>
      <c r="F63" s="32" t="n">
        <v>1</v>
      </c>
      <c r="G63" s="32" t="inlineStr">
        <is>
          <t>u</t>
        </is>
      </c>
      <c r="H63" s="17" t="inlineStr">
        <is>
          <t>Nuevo (PBA)</t>
        </is>
      </c>
      <c r="I63" s="17" t="inlineStr">
        <is>
          <t>IRAM 3517-2:2020 Res. 349/07 art. 21</t>
        </is>
      </c>
      <c r="J63" s="32" t="inlineStr">
        <is>
          <t>Sí</t>
        </is>
      </c>
      <c r="K63" s="17" t="inlineStr">
        <is>
          <t>Ministerio de Ambiente PBA (ex OPDS)</t>
        </is>
      </c>
      <c r="L63" s="17" t="inlineStr">
        <is>
          <t>-</t>
        </is>
      </c>
    </row>
    <row r="64">
      <c r="A64" s="32" t="inlineStr">
        <is>
          <t>RK-ABC2.5-B</t>
        </is>
      </c>
      <c r="B64" s="32" t="inlineStr">
        <is>
          <t>FL_MAT_ABC_2.5kg</t>
        </is>
      </c>
      <c r="C64" s="32" t="inlineStr">
        <is>
          <t>Extintor ABC 2,5 kg</t>
        </is>
      </c>
      <c r="D64" s="17" t="inlineStr">
        <is>
          <t>B - Mantenimiento con apertura sin descarga (control interior, PH)</t>
        </is>
      </c>
      <c r="E64" s="17" t="inlineStr">
        <is>
          <t>Grabado de la fecha del servicio en el tubo de pesca (lápiz vibratorio; en polvo, marcador indeleble)</t>
        </is>
      </c>
      <c r="F64" s="32" t="n">
        <v>1</v>
      </c>
      <c r="G64" s="32" t="inlineStr">
        <is>
          <t>u</t>
        </is>
      </c>
      <c r="H64" s="17" t="inlineStr">
        <is>
          <t>Proceso</t>
        </is>
      </c>
      <c r="I64" s="17" t="inlineStr">
        <is>
          <t>IRAM 3517-2:2020 Res. 349/07 art. 28</t>
        </is>
      </c>
      <c r="J64" s="32" t="inlineStr">
        <is>
          <t>No</t>
        </is>
      </c>
      <c r="K64" s="17" t="n"/>
      <c r="L64" s="17" t="n"/>
    </row>
    <row r="65">
      <c r="A65" s="32" t="inlineStr">
        <is>
          <t>RK-ABC2.5-B</t>
        </is>
      </c>
      <c r="B65" s="32" t="inlineStr">
        <is>
          <t>FL_MAT_ABC_2.5kg</t>
        </is>
      </c>
      <c r="C65" s="32" t="inlineStr">
        <is>
          <t>Extintor ABC 2,5 kg</t>
        </is>
      </c>
      <c r="D65" s="17" t="inlineStr">
        <is>
          <t>B - Mantenimiento con apertura sin descarga (control interior, PH)</t>
        </is>
      </c>
      <c r="E65" s="17" t="inlineStr">
        <is>
          <t>Si hubo PH: oblea de vencimiento de PH + «PH» y fecha grabados en el tubo de pesca (CO₂: fecha y logo estampados en la ojiva)</t>
        </is>
      </c>
      <c r="F65" s="32" t="n">
        <v>1</v>
      </c>
      <c r="G65" s="32" t="inlineStr">
        <is>
          <t>u</t>
        </is>
      </c>
      <c r="H65" s="17" t="inlineStr">
        <is>
          <t>Proceso</t>
        </is>
      </c>
      <c r="I65" s="17" t="inlineStr">
        <is>
          <t>IRAM 3517-2:2020 Res. 349/07 art. 29 · IRAM 3517-2</t>
        </is>
      </c>
      <c r="J65" s="32" t="inlineStr">
        <is>
          <t>No</t>
        </is>
      </c>
      <c r="K65" s="17" t="n"/>
      <c r="L65" s="17" t="n"/>
    </row>
    <row r="66">
      <c r="A66" s="37" t="inlineStr">
        <is>
          <t>RK-ABC2.5-B</t>
        </is>
      </c>
      <c r="B66" s="37" t="inlineStr">
        <is>
          <t>FL_MAT_ABC_2.5kg</t>
        </is>
      </c>
      <c r="C66" s="37" t="inlineStr">
        <is>
          <t>Extintor ABC 2,5 kg</t>
        </is>
      </c>
      <c r="D66" s="18" t="inlineStr">
        <is>
          <t>B - Mantenimiento con apertura sin descarga (control interior, PH)</t>
        </is>
      </c>
      <c r="E66" s="18" t="inlineStr">
        <is>
          <t>Junta tórica de asiento del cuello</t>
        </is>
      </c>
      <c r="F66" s="37" t="n">
        <v>1</v>
      </c>
      <c r="G66" s="37" t="inlineStr">
        <is>
          <t>u</t>
        </is>
      </c>
      <c r="H66" s="18" t="inlineStr">
        <is>
          <t>Nuevo (R: cambio sistemático)</t>
        </is>
      </c>
      <c r="I66" s="18" t="inlineStr"/>
      <c r="J66" s="37" t="inlineStr">
        <is>
          <t>Sí</t>
        </is>
      </c>
      <c r="K66" s="18" t="inlineStr">
        <is>
          <t>Argensold</t>
        </is>
      </c>
      <c r="L66" s="18" t="inlineStr">
        <is>
          <t>Matafuegos Iglesias</t>
        </is>
      </c>
    </row>
    <row r="67">
      <c r="A67" s="32" t="inlineStr">
        <is>
          <t>RK-ABC2.5-B</t>
        </is>
      </c>
      <c r="B67" s="32" t="inlineStr">
        <is>
          <t>FL_MAT_ABC_2.5kg</t>
        </is>
      </c>
      <c r="C67" s="32" t="inlineStr">
        <is>
          <t>Extintor ABC 2,5 kg</t>
        </is>
      </c>
      <c r="D67" s="17" t="inlineStr">
        <is>
          <t>B - Mantenimiento con apertura sin descarga (control interior, PH)</t>
        </is>
      </c>
      <c r="E67" s="17" t="inlineStr">
        <is>
          <t>Gas impulsor: N₂</t>
        </is>
      </c>
      <c r="F67" s="32" t="n">
        <v>0.0212</v>
      </c>
      <c r="G67" s="32" t="inlineStr">
        <is>
          <t>kg</t>
        </is>
      </c>
      <c r="H67" s="17" t="inlineStr">
        <is>
          <t>Nuevo</t>
        </is>
      </c>
      <c r="I67" s="17" t="inlineStr">
        <is>
          <t>IRAM 3517-2:2020 9.4.9 tabla 2</t>
        </is>
      </c>
      <c r="J67" s="32" t="inlineStr">
        <is>
          <t>Sí</t>
        </is>
      </c>
      <c r="K67" s="17" t="inlineStr">
        <is>
          <t>Air Liquide Argentina - sucursal Piñeyro</t>
        </is>
      </c>
      <c r="L67" s="17" t="inlineStr">
        <is>
          <t>Gogniat</t>
        </is>
      </c>
    </row>
    <row r="68">
      <c r="A68" s="32" t="inlineStr">
        <is>
          <t>RK-ABC2.5-C</t>
        </is>
      </c>
      <c r="B68" s="32" t="inlineStr">
        <is>
          <t>FL_MAT_ABC_2.5kg</t>
        </is>
      </c>
      <c r="C68" s="32" t="inlineStr">
        <is>
          <t>Extintor ABC 2,5 kg</t>
        </is>
      </c>
      <c r="D68" s="17" t="inlineStr">
        <is>
          <t>C - Cambio obligatorio de polvo (versión anterior de la IRAM 3569)</t>
        </is>
      </c>
      <c r="E68" s="17" t="inlineStr">
        <is>
          <t>Polvo químico seco ABC 60 (Sello IRAM 3569)</t>
        </is>
      </c>
      <c r="F68" s="32" t="n">
        <v>2.55</v>
      </c>
      <c r="G68" s="32" t="inlineStr">
        <is>
          <t>kg</t>
        </is>
      </c>
      <c r="H68" s="17" t="inlineStr">
        <is>
          <t>Nuevo 100 %; el viejo va a residuos (RC-IR)</t>
        </is>
      </c>
      <c r="I68" s="17" t="inlineStr">
        <is>
          <t>IRAM 3517-2:2020 9.9.4</t>
        </is>
      </c>
      <c r="J68" s="32" t="inlineStr">
        <is>
          <t>Sí</t>
        </is>
      </c>
      <c r="K68" s="17" t="inlineStr">
        <is>
          <t>DEM S.A. (DEMSA)</t>
        </is>
      </c>
      <c r="L68" s="17" t="inlineStr">
        <is>
          <t>Polvex S.R.L. / Sancibrao</t>
        </is>
      </c>
    </row>
    <row r="69">
      <c r="A69" s="32" t="inlineStr">
        <is>
          <t>RK-ABC2.5-C</t>
        </is>
      </c>
      <c r="B69" s="32" t="inlineStr">
        <is>
          <t>FL_MAT_ABC_2.5kg</t>
        </is>
      </c>
      <c r="C69" s="32" t="inlineStr">
        <is>
          <t>Extintor ABC 2,5 kg</t>
        </is>
      </c>
      <c r="D69" s="17" t="inlineStr">
        <is>
          <t>C - Cambio obligatorio de polvo (versión anterior de la IRAM 3569)</t>
        </is>
      </c>
      <c r="E69" s="17" t="inlineStr">
        <is>
          <t>Precinto plástico numerado, color, con nombre del recargador</t>
        </is>
      </c>
      <c r="F69" s="32" t="n">
        <v>1</v>
      </c>
      <c r="G69" s="32" t="inlineStr">
        <is>
          <t>u</t>
        </is>
      </c>
      <c r="H69" s="17" t="inlineStr">
        <is>
          <t>Nuevo</t>
        </is>
      </c>
      <c r="I69" s="17" t="inlineStr">
        <is>
          <t>IRAM 3517-2:2020 9.4.13</t>
        </is>
      </c>
      <c r="J69" s="32" t="inlineStr">
        <is>
          <t>Sí</t>
        </is>
      </c>
      <c r="K69" s="17" t="inlineStr">
        <is>
          <t>SonFuertes (vía Papelera Damián)</t>
        </is>
      </c>
      <c r="L69" s="17" t="inlineStr">
        <is>
          <t>Precinter S.R.L.</t>
        </is>
      </c>
    </row>
    <row r="70">
      <c r="A70" s="32" t="inlineStr">
        <is>
          <t>RK-ABC2.5-C</t>
        </is>
      </c>
      <c r="B70" s="32" t="inlineStr">
        <is>
          <t>FL_MAT_ABC_2.5kg</t>
        </is>
      </c>
      <c r="C70" s="32" t="inlineStr">
        <is>
          <t>Extintor ABC 2,5 kg</t>
        </is>
      </c>
      <c r="D70" s="17" t="inlineStr">
        <is>
          <t>C - Cambio obligatorio de polvo (versión anterior de la IRAM 3569)</t>
        </is>
      </c>
      <c r="E70" s="17" t="inlineStr">
        <is>
          <t>Marbete (anillo, color del año)</t>
        </is>
      </c>
      <c r="F70" s="32" t="n">
        <v>1</v>
      </c>
      <c r="G70" s="32" t="inlineStr">
        <is>
          <t>u</t>
        </is>
      </c>
      <c r="H70" s="17" t="inlineStr">
        <is>
          <t>Nuevo</t>
        </is>
      </c>
      <c r="I70" s="17" t="inlineStr">
        <is>
          <t>IRAM 3517-2:2020 9.6 · anexo E</t>
        </is>
      </c>
      <c r="J70" s="32" t="inlineStr">
        <is>
          <t>Sí</t>
        </is>
      </c>
      <c r="K70" s="17" t="inlineStr">
        <is>
          <t>Astuprint</t>
        </is>
      </c>
      <c r="L70" s="17" t="inlineStr">
        <is>
          <t>Multilabel Argentina S.A.</t>
        </is>
      </c>
    </row>
    <row r="71">
      <c r="A71" s="32" t="inlineStr">
        <is>
          <t>RK-ABC2.5-C</t>
        </is>
      </c>
      <c r="B71" s="32" t="inlineStr">
        <is>
          <t>FL_MAT_ABC_2.5kg</t>
        </is>
      </c>
      <c r="C71" s="32" t="inlineStr">
        <is>
          <t>Extintor ABC 2,5 kg</t>
        </is>
      </c>
      <c r="D71" s="17" t="inlineStr">
        <is>
          <t>C - Cambio obligatorio de polvo (versión anterior de la IRAM 3569)</t>
        </is>
      </c>
      <c r="E71" s="17" t="inlineStr">
        <is>
          <t>Etiqueta de servicio del recargador (extintor n°, serie, próxima recarga y PH)</t>
        </is>
      </c>
      <c r="F71" s="32" t="n">
        <v>1</v>
      </c>
      <c r="G71" s="32" t="inlineStr">
        <is>
          <t>u</t>
        </is>
      </c>
      <c r="H71" s="17" t="inlineStr">
        <is>
          <t>Nuevo</t>
        </is>
      </c>
      <c r="I71" s="17" t="inlineStr">
        <is>
          <t>IRAM 3517-2:2020 9.4.14 · relevado Suyai/Firegram</t>
        </is>
      </c>
      <c r="J71" s="32" t="inlineStr">
        <is>
          <t>Sí</t>
        </is>
      </c>
      <c r="K71" s="17" t="inlineStr">
        <is>
          <t>Astuprint</t>
        </is>
      </c>
      <c r="L71" s="17" t="inlineStr">
        <is>
          <t>Multilabel Argentina S.A.</t>
        </is>
      </c>
    </row>
    <row r="72">
      <c r="A72" s="32" t="inlineStr">
        <is>
          <t>RK-ABC2.5-C</t>
        </is>
      </c>
      <c r="B72" s="32" t="inlineStr">
        <is>
          <t>FL_MAT_ABC_2.5kg</t>
        </is>
      </c>
      <c r="C72" s="32" t="inlineStr">
        <is>
          <t>Extintor ABC 2,5 kg</t>
        </is>
      </c>
      <c r="D72" s="17" t="inlineStr">
        <is>
          <t>C - Cambio obligatorio de polvo (versión anterior de la IRAM 3569)</t>
        </is>
      </c>
      <c r="E72" s="17" t="inlineStr">
        <is>
          <t>Oblea PBA de recarga Ø46 + estampilla precinto 1" × 200 mm válvula-cuerpo</t>
        </is>
      </c>
      <c r="F72" s="32" t="n">
        <v>1</v>
      </c>
      <c r="G72" s="32" t="inlineStr">
        <is>
          <t>u</t>
        </is>
      </c>
      <c r="H72" s="17" t="inlineStr">
        <is>
          <t>Nuevo (venta en PBA)</t>
        </is>
      </c>
      <c r="I72" s="17" t="inlineStr">
        <is>
          <t>IRAM 3517-2:2020 Res. OPDS 522/07</t>
        </is>
      </c>
      <c r="J72" s="32" t="inlineStr">
        <is>
          <t>Sí</t>
        </is>
      </c>
      <c r="K72" s="17" t="inlineStr">
        <is>
          <t>Ministerio de Ambiente PBA (ex OPDS)</t>
        </is>
      </c>
      <c r="L72" s="17" t="inlineStr">
        <is>
          <t>-</t>
        </is>
      </c>
    </row>
    <row r="73">
      <c r="A73" s="32" t="inlineStr">
        <is>
          <t>RK-ABC2.5-C</t>
        </is>
      </c>
      <c r="B73" s="32" t="inlineStr">
        <is>
          <t>FL_MAT_ABC_2.5kg</t>
        </is>
      </c>
      <c r="C73" s="32" t="inlineStr">
        <is>
          <t>Extintor ABC 2,5 kg</t>
        </is>
      </c>
      <c r="D73" s="17" t="inlineStr">
        <is>
          <t>C - Cambio obligatorio de polvo (versión anterior de la IRAM 3569)</t>
        </is>
      </c>
      <c r="E73" s="17" t="inlineStr">
        <is>
          <t>Tarjeta de identificación AGC (módulo papel con QR + etiqueta AGC)</t>
        </is>
      </c>
      <c r="F73" s="32" t="n">
        <v>1</v>
      </c>
      <c r="G73" s="32" t="inlineStr">
        <is>
          <t>u</t>
        </is>
      </c>
      <c r="H73" s="17" t="inlineStr">
        <is>
          <t>Nuevo (destino CABA)</t>
        </is>
      </c>
      <c r="I73" s="17" t="inlineStr">
        <is>
          <t>IRAM 3517-2:2020 Ord. 40.473 art. 6 · Res. AGC 32/15</t>
        </is>
      </c>
      <c r="J73" s="32" t="inlineStr">
        <is>
          <t>Sí</t>
        </is>
      </c>
      <c r="K73" s="17" t="inlineStr">
        <is>
          <t>Agencia Gubernamental de Control (CABA)</t>
        </is>
      </c>
      <c r="L73" s="17" t="inlineStr">
        <is>
          <t>-</t>
        </is>
      </c>
    </row>
    <row r="74">
      <c r="A74" s="32" t="inlineStr">
        <is>
          <t>RK-ABC2.5-C</t>
        </is>
      </c>
      <c r="B74" s="32" t="inlineStr">
        <is>
          <t>FL_MAT_ABC_2.5kg</t>
        </is>
      </c>
      <c r="C74" s="32" t="inlineStr">
        <is>
          <t>Extintor ABC 2,5 kg</t>
        </is>
      </c>
      <c r="D74" s="17" t="inlineStr">
        <is>
          <t>C - Cambio obligatorio de polvo (versión anterior de la IRAM 3569)</t>
        </is>
      </c>
      <c r="E74" s="17" t="inlineStr">
        <is>
          <t>Tarjeta de identificación DPS de revisión / recarga</t>
        </is>
      </c>
      <c r="F74" s="32" t="n">
        <v>1</v>
      </c>
      <c r="G74" s="32" t="inlineStr">
        <is>
          <t>u</t>
        </is>
      </c>
      <c r="H74" s="17" t="inlineStr">
        <is>
          <t>Nuevo (PBA)</t>
        </is>
      </c>
      <c r="I74" s="17" t="inlineStr">
        <is>
          <t>IRAM 3517-2:2020 Res. 349/07 art. 21</t>
        </is>
      </c>
      <c r="J74" s="32" t="inlineStr">
        <is>
          <t>Sí</t>
        </is>
      </c>
      <c r="K74" s="17" t="inlineStr">
        <is>
          <t>Ministerio de Ambiente PBA (ex OPDS)</t>
        </is>
      </c>
      <c r="L74" s="17" t="inlineStr">
        <is>
          <t>-</t>
        </is>
      </c>
    </row>
    <row r="75">
      <c r="A75" s="32" t="inlineStr">
        <is>
          <t>RK-ABC2.5-C</t>
        </is>
      </c>
      <c r="B75" s="32" t="inlineStr">
        <is>
          <t>FL_MAT_ABC_2.5kg</t>
        </is>
      </c>
      <c r="C75" s="32" t="inlineStr">
        <is>
          <t>Extintor ABC 2,5 kg</t>
        </is>
      </c>
      <c r="D75" s="17" t="inlineStr">
        <is>
          <t>C - Cambio obligatorio de polvo (versión anterior de la IRAM 3569)</t>
        </is>
      </c>
      <c r="E75" s="17" t="inlineStr">
        <is>
          <t>Grabado de la fecha del servicio en el tubo de pesca (lápiz vibratorio; en polvo, marcador indeleble)</t>
        </is>
      </c>
      <c r="F75" s="32" t="n">
        <v>1</v>
      </c>
      <c r="G75" s="32" t="inlineStr">
        <is>
          <t>u</t>
        </is>
      </c>
      <c r="H75" s="17" t="inlineStr">
        <is>
          <t>Proceso</t>
        </is>
      </c>
      <c r="I75" s="17" t="inlineStr">
        <is>
          <t>IRAM 3517-2:2020 Res. 349/07 art. 28</t>
        </is>
      </c>
      <c r="J75" s="32" t="inlineStr">
        <is>
          <t>No</t>
        </is>
      </c>
      <c r="K75" s="17" t="n"/>
      <c r="L75" s="17" t="n"/>
    </row>
    <row r="76">
      <c r="A76" s="32" t="inlineStr">
        <is>
          <t>RK-ABC2.5-C</t>
        </is>
      </c>
      <c r="B76" s="32" t="inlineStr">
        <is>
          <t>FL_MAT_ABC_2.5kg</t>
        </is>
      </c>
      <c r="C76" s="32" t="inlineStr">
        <is>
          <t>Extintor ABC 2,5 kg</t>
        </is>
      </c>
      <c r="D76" s="17" t="inlineStr">
        <is>
          <t>C - Cambio obligatorio de polvo (versión anterior de la IRAM 3569)</t>
        </is>
      </c>
      <c r="E76" s="17" t="inlineStr">
        <is>
          <t>Si hubo PH: oblea de vencimiento de PH + «PH» y fecha grabados en el tubo de pesca (CO₂: fecha y logo estampados en la ojiva)</t>
        </is>
      </c>
      <c r="F76" s="32" t="n">
        <v>1</v>
      </c>
      <c r="G76" s="32" t="inlineStr">
        <is>
          <t>u</t>
        </is>
      </c>
      <c r="H76" s="17" t="inlineStr">
        <is>
          <t>Proceso</t>
        </is>
      </c>
      <c r="I76" s="17" t="inlineStr">
        <is>
          <t>IRAM 3517-2:2020 Res. 349/07 art. 29 · IRAM 3517-2</t>
        </is>
      </c>
      <c r="J76" s="32" t="inlineStr">
        <is>
          <t>No</t>
        </is>
      </c>
      <c r="K76" s="17" t="n"/>
      <c r="L76" s="17" t="n"/>
    </row>
    <row r="77">
      <c r="A77" s="37" t="inlineStr">
        <is>
          <t>RK-ABC2.5-C</t>
        </is>
      </c>
      <c r="B77" s="37" t="inlineStr">
        <is>
          <t>FL_MAT_ABC_2.5kg</t>
        </is>
      </c>
      <c r="C77" s="37" t="inlineStr">
        <is>
          <t>Extintor ABC 2,5 kg</t>
        </is>
      </c>
      <c r="D77" s="18" t="inlineStr">
        <is>
          <t>C - Cambio obligatorio de polvo (versión anterior de la IRAM 3569)</t>
        </is>
      </c>
      <c r="E77" s="18" t="inlineStr">
        <is>
          <t>Junta tórica de asiento del cuello</t>
        </is>
      </c>
      <c r="F77" s="37" t="n">
        <v>1</v>
      </c>
      <c r="G77" s="37" t="inlineStr">
        <is>
          <t>u</t>
        </is>
      </c>
      <c r="H77" s="18" t="inlineStr">
        <is>
          <t>Nuevo (R: cambio sistemático)</t>
        </is>
      </c>
      <c r="I77" s="18" t="inlineStr"/>
      <c r="J77" s="37" t="inlineStr">
        <is>
          <t>Sí</t>
        </is>
      </c>
      <c r="K77" s="18" t="inlineStr">
        <is>
          <t>Argensold</t>
        </is>
      </c>
      <c r="L77" s="18" t="inlineStr">
        <is>
          <t>Matafuegos Iglesias</t>
        </is>
      </c>
    </row>
    <row r="78">
      <c r="A78" s="32" t="inlineStr">
        <is>
          <t>RK-ABC2.5-C</t>
        </is>
      </c>
      <c r="B78" s="32" t="inlineStr">
        <is>
          <t>FL_MAT_ABC_2.5kg</t>
        </is>
      </c>
      <c r="C78" s="32" t="inlineStr">
        <is>
          <t>Extintor ABC 2,5 kg</t>
        </is>
      </c>
      <c r="D78" s="17" t="inlineStr">
        <is>
          <t>C - Cambio obligatorio de polvo (versión anterior de la IRAM 3569)</t>
        </is>
      </c>
      <c r="E78" s="17" t="inlineStr">
        <is>
          <t>Gas impulsor: N₂</t>
        </is>
      </c>
      <c r="F78" s="32" t="n">
        <v>0.0212</v>
      </c>
      <c r="G78" s="32" t="inlineStr">
        <is>
          <t>kg</t>
        </is>
      </c>
      <c r="H78" s="17" t="inlineStr">
        <is>
          <t>Nuevo</t>
        </is>
      </c>
      <c r="I78" s="17" t="inlineStr">
        <is>
          <t>IRAM 3517-2:2020 9.4.9 tabla 2</t>
        </is>
      </c>
      <c r="J78" s="32" t="inlineStr">
        <is>
          <t>Sí</t>
        </is>
      </c>
      <c r="K78" s="17" t="inlineStr">
        <is>
          <t>Air Liquide Argentina - sucursal Piñeyro</t>
        </is>
      </c>
      <c r="L78" s="17" t="inlineStr">
        <is>
          <t>Gogniat</t>
        </is>
      </c>
    </row>
    <row r="79">
      <c r="A79" s="32" t="inlineStr">
        <is>
          <t>RK-ABC2.5-I</t>
        </is>
      </c>
      <c r="B79" s="32" t="inlineStr">
        <is>
          <t>FL_MAT_ABC_2.5kg</t>
        </is>
      </c>
      <c r="C79" s="32" t="inlineStr">
        <is>
          <t>Extintor ABC 2,5 kg</t>
        </is>
      </c>
      <c r="D79" s="17" t="inlineStr">
        <is>
          <t>Según inspección (consumo estadístico a definir)</t>
        </is>
      </c>
      <c r="E79" s="17" t="inlineStr">
        <is>
          <t>Manómetro / manguera / tobera / kit de válvula</t>
        </is>
      </c>
      <c r="F79" s="32" t="inlineStr">
        <is>
          <t>-</t>
        </is>
      </c>
      <c r="G79" s="32" t="inlineStr">
        <is>
          <t>u</t>
        </is>
      </c>
      <c r="H79" s="17" t="inlineStr">
        <is>
          <t>Recambio sólo si falla</t>
        </is>
      </c>
      <c r="I79" s="17" t="inlineStr">
        <is>
          <t>IRAM 3517-2:2020 9.4.11 (cada manguera vuelve a su extintor)</t>
        </is>
      </c>
      <c r="J79" s="32" t="inlineStr">
        <is>
          <t>Sí</t>
        </is>
      </c>
      <c r="K79" s="17" t="inlineStr">
        <is>
          <t>Polvex S.R.L. / Sancibrao</t>
        </is>
      </c>
      <c r="L79" s="17" t="inlineStr">
        <is>
          <t>Yukon / MatafuegosYa S.R.L.</t>
        </is>
      </c>
    </row>
    <row r="80">
      <c r="A80" s="32" t="inlineStr">
        <is>
          <t>RK-ABC5-A</t>
        </is>
      </c>
      <c r="B80" s="32" t="inlineStr">
        <is>
          <t>FL_MAT_ABC_5kg</t>
        </is>
      </c>
      <c r="C80" s="32" t="inlineStr">
        <is>
          <t>Extintor ABC 5 kg</t>
        </is>
      </c>
      <c r="D80" s="17" t="inlineStr">
        <is>
          <t>A - Extintor descargado (uso o descarga parcial)</t>
        </is>
      </c>
      <c r="E80" s="17" t="inlineStr">
        <is>
          <t>Polvo químico seco ABC 60 (Sello IRAM 3569)</t>
        </is>
      </c>
      <c r="F80" s="32" t="n">
        <v>5.15</v>
      </c>
      <c r="G80" s="32" t="inlineStr">
        <is>
          <t>kg</t>
        </is>
      </c>
      <c r="H80" s="17" t="inlineStr">
        <is>
          <t>Nuevo 100 %</t>
        </is>
      </c>
      <c r="I80" s="17" t="inlineStr">
        <is>
          <t>IRAM 3517-2:2020 9.9.1.4: el polvo de un extintor accionado no se reutiliza</t>
        </is>
      </c>
      <c r="J80" s="32" t="inlineStr">
        <is>
          <t>Sí</t>
        </is>
      </c>
      <c r="K80" s="17" t="inlineStr">
        <is>
          <t>DEM S.A. (DEMSA)</t>
        </is>
      </c>
      <c r="L80" s="17" t="inlineStr">
        <is>
          <t>Polvex S.R.L. / Sancibrao</t>
        </is>
      </c>
    </row>
    <row r="81">
      <c r="A81" s="32" t="inlineStr">
        <is>
          <t>RK-ABC5-A</t>
        </is>
      </c>
      <c r="B81" s="32" t="inlineStr">
        <is>
          <t>FL_MAT_ABC_5kg</t>
        </is>
      </c>
      <c r="C81" s="32" t="inlineStr">
        <is>
          <t>Extintor ABC 5 kg</t>
        </is>
      </c>
      <c r="D81" s="17" t="inlineStr">
        <is>
          <t>A - Extintor descargado (uso o descarga parcial)</t>
        </is>
      </c>
      <c r="E81" s="17" t="inlineStr">
        <is>
          <t>Precinto plástico numerado, color, con nombre del recargador</t>
        </is>
      </c>
      <c r="F81" s="32" t="n">
        <v>1</v>
      </c>
      <c r="G81" s="32" t="inlineStr">
        <is>
          <t>u</t>
        </is>
      </c>
      <c r="H81" s="17" t="inlineStr">
        <is>
          <t>Nuevo</t>
        </is>
      </c>
      <c r="I81" s="17" t="inlineStr">
        <is>
          <t>IRAM 3517-2:2020 9.4.13</t>
        </is>
      </c>
      <c r="J81" s="32" t="inlineStr">
        <is>
          <t>Sí</t>
        </is>
      </c>
      <c r="K81" s="17" t="inlineStr">
        <is>
          <t>SonFuertes (vía Papelera Damián)</t>
        </is>
      </c>
      <c r="L81" s="17" t="inlineStr">
        <is>
          <t>Precinter S.R.L.</t>
        </is>
      </c>
    </row>
    <row r="82">
      <c r="A82" s="32" t="inlineStr">
        <is>
          <t>RK-ABC5-A</t>
        </is>
      </c>
      <c r="B82" s="32" t="inlineStr">
        <is>
          <t>FL_MAT_ABC_5kg</t>
        </is>
      </c>
      <c r="C82" s="32" t="inlineStr">
        <is>
          <t>Extintor ABC 5 kg</t>
        </is>
      </c>
      <c r="D82" s="17" t="inlineStr">
        <is>
          <t>A - Extintor descargado (uso o descarga parcial)</t>
        </is>
      </c>
      <c r="E82" s="17" t="inlineStr">
        <is>
          <t>Marbete (anillo, color del año)</t>
        </is>
      </c>
      <c r="F82" s="32" t="n">
        <v>1</v>
      </c>
      <c r="G82" s="32" t="inlineStr">
        <is>
          <t>u</t>
        </is>
      </c>
      <c r="H82" s="17" t="inlineStr">
        <is>
          <t>Nuevo</t>
        </is>
      </c>
      <c r="I82" s="17" t="inlineStr">
        <is>
          <t>IRAM 3517-2:2020 9.6 · anexo E</t>
        </is>
      </c>
      <c r="J82" s="32" t="inlineStr">
        <is>
          <t>Sí</t>
        </is>
      </c>
      <c r="K82" s="17" t="inlineStr">
        <is>
          <t>Astuprint</t>
        </is>
      </c>
      <c r="L82" s="17" t="inlineStr">
        <is>
          <t>Multilabel Argentina S.A.</t>
        </is>
      </c>
    </row>
    <row r="83">
      <c r="A83" s="32" t="inlineStr">
        <is>
          <t>RK-ABC5-A</t>
        </is>
      </c>
      <c r="B83" s="32" t="inlineStr">
        <is>
          <t>FL_MAT_ABC_5kg</t>
        </is>
      </c>
      <c r="C83" s="32" t="inlineStr">
        <is>
          <t>Extintor ABC 5 kg</t>
        </is>
      </c>
      <c r="D83" s="17" t="inlineStr">
        <is>
          <t>A - Extintor descargado (uso o descarga parcial)</t>
        </is>
      </c>
      <c r="E83" s="17" t="inlineStr">
        <is>
          <t>Etiqueta de servicio del recargador (extintor n°, serie, próxima recarga y PH)</t>
        </is>
      </c>
      <c r="F83" s="32" t="n">
        <v>1</v>
      </c>
      <c r="G83" s="32" t="inlineStr">
        <is>
          <t>u</t>
        </is>
      </c>
      <c r="H83" s="17" t="inlineStr">
        <is>
          <t>Nuevo</t>
        </is>
      </c>
      <c r="I83" s="17" t="inlineStr">
        <is>
          <t>IRAM 3517-2:2020 9.4.14 · relevado Suyai/Firegram</t>
        </is>
      </c>
      <c r="J83" s="32" t="inlineStr">
        <is>
          <t>Sí</t>
        </is>
      </c>
      <c r="K83" s="17" t="inlineStr">
        <is>
          <t>Astuprint</t>
        </is>
      </c>
      <c r="L83" s="17" t="inlineStr">
        <is>
          <t>Multilabel Argentina S.A.</t>
        </is>
      </c>
    </row>
    <row r="84">
      <c r="A84" s="32" t="inlineStr">
        <is>
          <t>RK-ABC5-A</t>
        </is>
      </c>
      <c r="B84" s="32" t="inlineStr">
        <is>
          <t>FL_MAT_ABC_5kg</t>
        </is>
      </c>
      <c r="C84" s="32" t="inlineStr">
        <is>
          <t>Extintor ABC 5 kg</t>
        </is>
      </c>
      <c r="D84" s="17" t="inlineStr">
        <is>
          <t>A - Extintor descargado (uso o descarga parcial)</t>
        </is>
      </c>
      <c r="E84" s="17" t="inlineStr">
        <is>
          <t>Oblea PBA de recarga Ø46 + estampilla precinto 1" × 200 mm válvula-cuerpo</t>
        </is>
      </c>
      <c r="F84" s="32" t="n">
        <v>1</v>
      </c>
      <c r="G84" s="32" t="inlineStr">
        <is>
          <t>u</t>
        </is>
      </c>
      <c r="H84" s="17" t="inlineStr">
        <is>
          <t>Nuevo (venta en PBA)</t>
        </is>
      </c>
      <c r="I84" s="17" t="inlineStr">
        <is>
          <t>IRAM 3517-2:2020 Res. OPDS 522/07</t>
        </is>
      </c>
      <c r="J84" s="32" t="inlineStr">
        <is>
          <t>Sí</t>
        </is>
      </c>
      <c r="K84" s="17" t="inlineStr">
        <is>
          <t>Ministerio de Ambiente PBA (ex OPDS)</t>
        </is>
      </c>
      <c r="L84" s="17" t="inlineStr">
        <is>
          <t>-</t>
        </is>
      </c>
    </row>
    <row r="85">
      <c r="A85" s="32" t="inlineStr">
        <is>
          <t>RK-ABC5-A</t>
        </is>
      </c>
      <c r="B85" s="32" t="inlineStr">
        <is>
          <t>FL_MAT_ABC_5kg</t>
        </is>
      </c>
      <c r="C85" s="32" t="inlineStr">
        <is>
          <t>Extintor ABC 5 kg</t>
        </is>
      </c>
      <c r="D85" s="17" t="inlineStr">
        <is>
          <t>A - Extintor descargado (uso o descarga parcial)</t>
        </is>
      </c>
      <c r="E85" s="17" t="inlineStr">
        <is>
          <t>Tarjeta de identificación AGC (módulo papel con QR + etiqueta AGC)</t>
        </is>
      </c>
      <c r="F85" s="32" t="n">
        <v>1</v>
      </c>
      <c r="G85" s="32" t="inlineStr">
        <is>
          <t>u</t>
        </is>
      </c>
      <c r="H85" s="17" t="inlineStr">
        <is>
          <t>Nuevo (destino CABA)</t>
        </is>
      </c>
      <c r="I85" s="17" t="inlineStr">
        <is>
          <t>IRAM 3517-2:2020 Ord. 40.473 art. 6 · Res. AGC 32/15</t>
        </is>
      </c>
      <c r="J85" s="32" t="inlineStr">
        <is>
          <t>Sí</t>
        </is>
      </c>
      <c r="K85" s="17" t="inlineStr">
        <is>
          <t>Agencia Gubernamental de Control (CABA)</t>
        </is>
      </c>
      <c r="L85" s="17" t="inlineStr">
        <is>
          <t>-</t>
        </is>
      </c>
    </row>
    <row r="86">
      <c r="A86" s="32" t="inlineStr">
        <is>
          <t>RK-ABC5-A</t>
        </is>
      </c>
      <c r="B86" s="32" t="inlineStr">
        <is>
          <t>FL_MAT_ABC_5kg</t>
        </is>
      </c>
      <c r="C86" s="32" t="inlineStr">
        <is>
          <t>Extintor ABC 5 kg</t>
        </is>
      </c>
      <c r="D86" s="17" t="inlineStr">
        <is>
          <t>A - Extintor descargado (uso o descarga parcial)</t>
        </is>
      </c>
      <c r="E86" s="17" t="inlineStr">
        <is>
          <t>Tarjeta de identificación DPS de revisión / recarga</t>
        </is>
      </c>
      <c r="F86" s="32" t="n">
        <v>1</v>
      </c>
      <c r="G86" s="32" t="inlineStr">
        <is>
          <t>u</t>
        </is>
      </c>
      <c r="H86" s="17" t="inlineStr">
        <is>
          <t>Nuevo (PBA)</t>
        </is>
      </c>
      <c r="I86" s="17" t="inlineStr">
        <is>
          <t>IRAM 3517-2:2020 Res. 349/07 art. 21</t>
        </is>
      </c>
      <c r="J86" s="32" t="inlineStr">
        <is>
          <t>Sí</t>
        </is>
      </c>
      <c r="K86" s="17" t="inlineStr">
        <is>
          <t>Ministerio de Ambiente PBA (ex OPDS)</t>
        </is>
      </c>
      <c r="L86" s="17" t="inlineStr">
        <is>
          <t>-</t>
        </is>
      </c>
    </row>
    <row r="87">
      <c r="A87" s="32" t="inlineStr">
        <is>
          <t>RK-ABC5-A</t>
        </is>
      </c>
      <c r="B87" s="32" t="inlineStr">
        <is>
          <t>FL_MAT_ABC_5kg</t>
        </is>
      </c>
      <c r="C87" s="32" t="inlineStr">
        <is>
          <t>Extintor ABC 5 kg</t>
        </is>
      </c>
      <c r="D87" s="17" t="inlineStr">
        <is>
          <t>A - Extintor descargado (uso o descarga parcial)</t>
        </is>
      </c>
      <c r="E87" s="17" t="inlineStr">
        <is>
          <t>Grabado de la fecha del servicio en el tubo de pesca (lápiz vibratorio; en polvo, marcador indeleble)</t>
        </is>
      </c>
      <c r="F87" s="32" t="n">
        <v>1</v>
      </c>
      <c r="G87" s="32" t="inlineStr">
        <is>
          <t>u</t>
        </is>
      </c>
      <c r="H87" s="17" t="inlineStr">
        <is>
          <t>Proceso</t>
        </is>
      </c>
      <c r="I87" s="17" t="inlineStr">
        <is>
          <t>IRAM 3517-2:2020 Res. 349/07 art. 28</t>
        </is>
      </c>
      <c r="J87" s="32" t="inlineStr">
        <is>
          <t>No</t>
        </is>
      </c>
      <c r="K87" s="17" t="n"/>
      <c r="L87" s="17" t="n"/>
    </row>
    <row r="88">
      <c r="A88" s="32" t="inlineStr">
        <is>
          <t>RK-ABC5-A</t>
        </is>
      </c>
      <c r="B88" s="32" t="inlineStr">
        <is>
          <t>FL_MAT_ABC_5kg</t>
        </is>
      </c>
      <c r="C88" s="32" t="inlineStr">
        <is>
          <t>Extintor ABC 5 kg</t>
        </is>
      </c>
      <c r="D88" s="17" t="inlineStr">
        <is>
          <t>A - Extintor descargado (uso o descarga parcial)</t>
        </is>
      </c>
      <c r="E88" s="17" t="inlineStr">
        <is>
          <t>Si hubo PH: oblea de vencimiento de PH + «PH» y fecha grabados en el tubo de pesca (CO₂: fecha y logo estampados en la ojiva)</t>
        </is>
      </c>
      <c r="F88" s="32" t="n">
        <v>1</v>
      </c>
      <c r="G88" s="32" t="inlineStr">
        <is>
          <t>u</t>
        </is>
      </c>
      <c r="H88" s="17" t="inlineStr">
        <is>
          <t>Proceso</t>
        </is>
      </c>
      <c r="I88" s="17" t="inlineStr">
        <is>
          <t>IRAM 3517-2:2020 Res. 349/07 art. 29 · IRAM 3517-2</t>
        </is>
      </c>
      <c r="J88" s="32" t="inlineStr">
        <is>
          <t>No</t>
        </is>
      </c>
      <c r="K88" s="17" t="n"/>
      <c r="L88" s="17" t="n"/>
    </row>
    <row r="89">
      <c r="A89" s="37" t="inlineStr">
        <is>
          <t>RK-ABC5-A</t>
        </is>
      </c>
      <c r="B89" s="37" t="inlineStr">
        <is>
          <t>FL_MAT_ABC_5kg</t>
        </is>
      </c>
      <c r="C89" s="37" t="inlineStr">
        <is>
          <t>Extintor ABC 5 kg</t>
        </is>
      </c>
      <c r="D89" s="18" t="inlineStr">
        <is>
          <t>A - Extintor descargado (uso o descarga parcial)</t>
        </is>
      </c>
      <c r="E89" s="18" t="inlineStr">
        <is>
          <t>Junta tórica de asiento del cuello</t>
        </is>
      </c>
      <c r="F89" s="37" t="n">
        <v>1</v>
      </c>
      <c r="G89" s="37" t="inlineStr">
        <is>
          <t>u</t>
        </is>
      </c>
      <c r="H89" s="18" t="inlineStr">
        <is>
          <t>Nuevo (R: cambio sistemático)</t>
        </is>
      </c>
      <c r="I89" s="18" t="inlineStr"/>
      <c r="J89" s="37" t="inlineStr">
        <is>
          <t>Sí</t>
        </is>
      </c>
      <c r="K89" s="18" t="inlineStr">
        <is>
          <t>Argensold</t>
        </is>
      </c>
      <c r="L89" s="18" t="inlineStr">
        <is>
          <t>Matafuegos Iglesias</t>
        </is>
      </c>
    </row>
    <row r="90">
      <c r="A90" s="32" t="inlineStr">
        <is>
          <t>RK-ABC5-A</t>
        </is>
      </c>
      <c r="B90" s="32" t="inlineStr">
        <is>
          <t>FL_MAT_ABC_5kg</t>
        </is>
      </c>
      <c r="C90" s="32" t="inlineStr">
        <is>
          <t>Extintor ABC 5 kg</t>
        </is>
      </c>
      <c r="D90" s="17" t="inlineStr">
        <is>
          <t>A - Extintor descargado (uso o descarga parcial)</t>
        </is>
      </c>
      <c r="E90" s="17" t="inlineStr">
        <is>
          <t>Gas impulsor: N₂</t>
        </is>
      </c>
      <c r="F90" s="32" t="n">
        <v>0.0251</v>
      </c>
      <c r="G90" s="32" t="inlineStr">
        <is>
          <t>kg</t>
        </is>
      </c>
      <c r="H90" s="17" t="inlineStr">
        <is>
          <t>Nuevo</t>
        </is>
      </c>
      <c r="I90" s="17" t="inlineStr">
        <is>
          <t>IRAM 3517-2:2020 9.4.9 tabla 2</t>
        </is>
      </c>
      <c r="J90" s="32" t="inlineStr">
        <is>
          <t>Sí</t>
        </is>
      </c>
      <c r="K90" s="17" t="inlineStr">
        <is>
          <t>Air Liquide Argentina - sucursal Piñeyro</t>
        </is>
      </c>
      <c r="L90" s="17" t="inlineStr">
        <is>
          <t>Gogniat</t>
        </is>
      </c>
    </row>
    <row r="91">
      <c r="A91" s="32" t="inlineStr">
        <is>
          <t>RK-ABC5-B</t>
        </is>
      </c>
      <c r="B91" s="32" t="inlineStr">
        <is>
          <t>FL_MAT_ABC_5kg</t>
        </is>
      </c>
      <c r="C91" s="32" t="inlineStr">
        <is>
          <t>Extintor ABC 5 kg</t>
        </is>
      </c>
      <c r="D91" s="17" t="inlineStr">
        <is>
          <t>B - Mantenimiento con apertura sin descarga (control interior, PH)</t>
        </is>
      </c>
      <c r="E91" s="17" t="inlineStr">
        <is>
          <t>Polvo químico seco ABC 60 (Sello IRAM 3569) recuperado</t>
        </is>
      </c>
      <c r="F91" s="32" t="n">
        <v>5</v>
      </c>
      <c r="G91" s="32" t="inlineStr">
        <is>
          <t>kg</t>
        </is>
      </c>
      <c r="H91" s="17" t="inlineStr">
        <is>
          <t>Recuperado en sistema cerrado</t>
        </is>
      </c>
      <c r="I91" s="17" t="inlineStr">
        <is>
          <t>IRAM 3517-2:2020 4.4.1 y) sistema cerrado de recuperación con inspección; 9.9.3 control (puffer IRAM 3672, fusión IRAM 3569 en ABC)</t>
        </is>
      </c>
      <c r="J91" s="32" t="inlineStr">
        <is>
          <t>No</t>
        </is>
      </c>
      <c r="K91" s="17" t="n"/>
      <c r="L91" s="17" t="n"/>
    </row>
    <row r="92">
      <c r="A92" s="32" t="inlineStr">
        <is>
          <t>RK-ABC5-B</t>
        </is>
      </c>
      <c r="B92" s="32" t="inlineStr">
        <is>
          <t>FL_MAT_ABC_5kg</t>
        </is>
      </c>
      <c r="C92" s="32" t="inlineStr">
        <is>
          <t>Extintor ABC 5 kg</t>
        </is>
      </c>
      <c r="D92" s="17" t="inlineStr">
        <is>
          <t>B - Mantenimiento con apertura sin descarga (control interior, PH)</t>
        </is>
      </c>
      <c r="E92" s="17" t="inlineStr">
        <is>
          <t>Polvo químico seco ABC 60 (Sello IRAM 3569)</t>
        </is>
      </c>
      <c r="F92" s="32" t="n">
        <v>0.15</v>
      </c>
      <c r="G92" s="32" t="inlineStr">
        <is>
          <t>kg</t>
        </is>
      </c>
      <c r="H92" s="17" t="inlineStr">
        <is>
          <t>Nuevo: reposición = carga objetivo − límite inferior de 0 / +300 g (cota superior)</t>
        </is>
      </c>
      <c r="I92" s="17" t="inlineStr">
        <is>
          <t>IRAM 3517-2:2020 9.4.12 tabla 3 · anexo F; mismo tipo y marca (prohibido mezclar ABC con BC, 9.9.1.6)</t>
        </is>
      </c>
      <c r="J92" s="32" t="inlineStr">
        <is>
          <t>Sí</t>
        </is>
      </c>
      <c r="K92" s="17" t="inlineStr">
        <is>
          <t>DEM S.A. (DEMSA)</t>
        </is>
      </c>
      <c r="L92" s="17" t="inlineStr">
        <is>
          <t>Polvex S.R.L. / Sancibrao</t>
        </is>
      </c>
    </row>
    <row r="93">
      <c r="A93" s="32" t="inlineStr">
        <is>
          <t>RK-ABC5-B</t>
        </is>
      </c>
      <c r="B93" s="32" t="inlineStr">
        <is>
          <t>FL_MAT_ABC_5kg</t>
        </is>
      </c>
      <c r="C93" s="32" t="inlineStr">
        <is>
          <t>Extintor ABC 5 kg</t>
        </is>
      </c>
      <c r="D93" s="17" t="inlineStr">
        <is>
          <t>B - Mantenimiento con apertura sin descarga (control interior, PH)</t>
        </is>
      </c>
      <c r="E93" s="17" t="inlineStr">
        <is>
          <t>Precinto plástico numerado, color, con nombre del recargador</t>
        </is>
      </c>
      <c r="F93" s="32" t="n">
        <v>1</v>
      </c>
      <c r="G93" s="32" t="inlineStr">
        <is>
          <t>u</t>
        </is>
      </c>
      <c r="H93" s="17" t="inlineStr">
        <is>
          <t>Nuevo</t>
        </is>
      </c>
      <c r="I93" s="17" t="inlineStr">
        <is>
          <t>IRAM 3517-2:2020 9.4.13</t>
        </is>
      </c>
      <c r="J93" s="32" t="inlineStr">
        <is>
          <t>Sí</t>
        </is>
      </c>
      <c r="K93" s="17" t="inlineStr">
        <is>
          <t>SonFuertes (vía Papelera Damián)</t>
        </is>
      </c>
      <c r="L93" s="17" t="inlineStr">
        <is>
          <t>Precinter S.R.L.</t>
        </is>
      </c>
    </row>
    <row r="94">
      <c r="A94" s="32" t="inlineStr">
        <is>
          <t>RK-ABC5-B</t>
        </is>
      </c>
      <c r="B94" s="32" t="inlineStr">
        <is>
          <t>FL_MAT_ABC_5kg</t>
        </is>
      </c>
      <c r="C94" s="32" t="inlineStr">
        <is>
          <t>Extintor ABC 5 kg</t>
        </is>
      </c>
      <c r="D94" s="17" t="inlineStr">
        <is>
          <t>B - Mantenimiento con apertura sin descarga (control interior, PH)</t>
        </is>
      </c>
      <c r="E94" s="17" t="inlineStr">
        <is>
          <t>Marbete (anillo, color del año)</t>
        </is>
      </c>
      <c r="F94" s="32" t="n">
        <v>1</v>
      </c>
      <c r="G94" s="32" t="inlineStr">
        <is>
          <t>u</t>
        </is>
      </c>
      <c r="H94" s="17" t="inlineStr">
        <is>
          <t>Nuevo</t>
        </is>
      </c>
      <c r="I94" s="17" t="inlineStr">
        <is>
          <t>IRAM 3517-2:2020 9.6 · anexo E</t>
        </is>
      </c>
      <c r="J94" s="32" t="inlineStr">
        <is>
          <t>Sí</t>
        </is>
      </c>
      <c r="K94" s="17" t="inlineStr">
        <is>
          <t>Astuprint</t>
        </is>
      </c>
      <c r="L94" s="17" t="inlineStr">
        <is>
          <t>Multilabel Argentina S.A.</t>
        </is>
      </c>
    </row>
    <row r="95">
      <c r="A95" s="32" t="inlineStr">
        <is>
          <t>RK-ABC5-B</t>
        </is>
      </c>
      <c r="B95" s="32" t="inlineStr">
        <is>
          <t>FL_MAT_ABC_5kg</t>
        </is>
      </c>
      <c r="C95" s="32" t="inlineStr">
        <is>
          <t>Extintor ABC 5 kg</t>
        </is>
      </c>
      <c r="D95" s="17" t="inlineStr">
        <is>
          <t>B - Mantenimiento con apertura sin descarga (control interior, PH)</t>
        </is>
      </c>
      <c r="E95" s="17" t="inlineStr">
        <is>
          <t>Etiqueta de servicio del recargador (extintor n°, serie, próxima recarga y PH)</t>
        </is>
      </c>
      <c r="F95" s="32" t="n">
        <v>1</v>
      </c>
      <c r="G95" s="32" t="inlineStr">
        <is>
          <t>u</t>
        </is>
      </c>
      <c r="H95" s="17" t="inlineStr">
        <is>
          <t>Nuevo</t>
        </is>
      </c>
      <c r="I95" s="17" t="inlineStr">
        <is>
          <t>IRAM 3517-2:2020 9.4.14 · relevado Suyai/Firegram</t>
        </is>
      </c>
      <c r="J95" s="32" t="inlineStr">
        <is>
          <t>Sí</t>
        </is>
      </c>
      <c r="K95" s="17" t="inlineStr">
        <is>
          <t>Astuprint</t>
        </is>
      </c>
      <c r="L95" s="17" t="inlineStr">
        <is>
          <t>Multilabel Argentina S.A.</t>
        </is>
      </c>
    </row>
    <row r="96">
      <c r="A96" s="32" t="inlineStr">
        <is>
          <t>RK-ABC5-B</t>
        </is>
      </c>
      <c r="B96" s="32" t="inlineStr">
        <is>
          <t>FL_MAT_ABC_5kg</t>
        </is>
      </c>
      <c r="C96" s="32" t="inlineStr">
        <is>
          <t>Extintor ABC 5 kg</t>
        </is>
      </c>
      <c r="D96" s="17" t="inlineStr">
        <is>
          <t>B - Mantenimiento con apertura sin descarga (control interior, PH)</t>
        </is>
      </c>
      <c r="E96" s="17" t="inlineStr">
        <is>
          <t>Oblea PBA de recarga Ø46 + estampilla precinto 1" × 200 mm válvula-cuerpo</t>
        </is>
      </c>
      <c r="F96" s="32" t="n">
        <v>1</v>
      </c>
      <c r="G96" s="32" t="inlineStr">
        <is>
          <t>u</t>
        </is>
      </c>
      <c r="H96" s="17" t="inlineStr">
        <is>
          <t>Nuevo (venta en PBA)</t>
        </is>
      </c>
      <c r="I96" s="17" t="inlineStr">
        <is>
          <t>IRAM 3517-2:2020 Res. OPDS 522/07</t>
        </is>
      </c>
      <c r="J96" s="32" t="inlineStr">
        <is>
          <t>Sí</t>
        </is>
      </c>
      <c r="K96" s="17" t="inlineStr">
        <is>
          <t>Ministerio de Ambiente PBA (ex OPDS)</t>
        </is>
      </c>
      <c r="L96" s="17" t="inlineStr">
        <is>
          <t>-</t>
        </is>
      </c>
    </row>
    <row r="97">
      <c r="A97" s="32" t="inlineStr">
        <is>
          <t>RK-ABC5-B</t>
        </is>
      </c>
      <c r="B97" s="32" t="inlineStr">
        <is>
          <t>FL_MAT_ABC_5kg</t>
        </is>
      </c>
      <c r="C97" s="32" t="inlineStr">
        <is>
          <t>Extintor ABC 5 kg</t>
        </is>
      </c>
      <c r="D97" s="17" t="inlineStr">
        <is>
          <t>B - Mantenimiento con apertura sin descarga (control interior, PH)</t>
        </is>
      </c>
      <c r="E97" s="17" t="inlineStr">
        <is>
          <t>Tarjeta de identificación AGC (módulo papel con QR + etiqueta AGC)</t>
        </is>
      </c>
      <c r="F97" s="32" t="n">
        <v>1</v>
      </c>
      <c r="G97" s="32" t="inlineStr">
        <is>
          <t>u</t>
        </is>
      </c>
      <c r="H97" s="17" t="inlineStr">
        <is>
          <t>Nuevo (destino CABA)</t>
        </is>
      </c>
      <c r="I97" s="17" t="inlineStr">
        <is>
          <t>IRAM 3517-2:2020 Ord. 40.473 art. 6 · Res. AGC 32/15</t>
        </is>
      </c>
      <c r="J97" s="32" t="inlineStr">
        <is>
          <t>Sí</t>
        </is>
      </c>
      <c r="K97" s="17" t="inlineStr">
        <is>
          <t>Agencia Gubernamental de Control (CABA)</t>
        </is>
      </c>
      <c r="L97" s="17" t="inlineStr">
        <is>
          <t>-</t>
        </is>
      </c>
    </row>
    <row r="98">
      <c r="A98" s="32" t="inlineStr">
        <is>
          <t>RK-ABC5-B</t>
        </is>
      </c>
      <c r="B98" s="32" t="inlineStr">
        <is>
          <t>FL_MAT_ABC_5kg</t>
        </is>
      </c>
      <c r="C98" s="32" t="inlineStr">
        <is>
          <t>Extintor ABC 5 kg</t>
        </is>
      </c>
      <c r="D98" s="17" t="inlineStr">
        <is>
          <t>B - Mantenimiento con apertura sin descarga (control interior, PH)</t>
        </is>
      </c>
      <c r="E98" s="17" t="inlineStr">
        <is>
          <t>Tarjeta de identificación DPS de revisión / recarga</t>
        </is>
      </c>
      <c r="F98" s="32" t="n">
        <v>1</v>
      </c>
      <c r="G98" s="32" t="inlineStr">
        <is>
          <t>u</t>
        </is>
      </c>
      <c r="H98" s="17" t="inlineStr">
        <is>
          <t>Nuevo (PBA)</t>
        </is>
      </c>
      <c r="I98" s="17" t="inlineStr">
        <is>
          <t>IRAM 3517-2:2020 Res. 349/07 art. 21</t>
        </is>
      </c>
      <c r="J98" s="32" t="inlineStr">
        <is>
          <t>Sí</t>
        </is>
      </c>
      <c r="K98" s="17" t="inlineStr">
        <is>
          <t>Ministerio de Ambiente PBA (ex OPDS)</t>
        </is>
      </c>
      <c r="L98" s="17" t="inlineStr">
        <is>
          <t>-</t>
        </is>
      </c>
    </row>
    <row r="99">
      <c r="A99" s="32" t="inlineStr">
        <is>
          <t>RK-ABC5-B</t>
        </is>
      </c>
      <c r="B99" s="32" t="inlineStr">
        <is>
          <t>FL_MAT_ABC_5kg</t>
        </is>
      </c>
      <c r="C99" s="32" t="inlineStr">
        <is>
          <t>Extintor ABC 5 kg</t>
        </is>
      </c>
      <c r="D99" s="17" t="inlineStr">
        <is>
          <t>B - Mantenimiento con apertura sin descarga (control interior, PH)</t>
        </is>
      </c>
      <c r="E99" s="17" t="inlineStr">
        <is>
          <t>Grabado de la fecha del servicio en el tubo de pesca (lápiz vibratorio; en polvo, marcador indeleble)</t>
        </is>
      </c>
      <c r="F99" s="32" t="n">
        <v>1</v>
      </c>
      <c r="G99" s="32" t="inlineStr">
        <is>
          <t>u</t>
        </is>
      </c>
      <c r="H99" s="17" t="inlineStr">
        <is>
          <t>Proceso</t>
        </is>
      </c>
      <c r="I99" s="17" t="inlineStr">
        <is>
          <t>IRAM 3517-2:2020 Res. 349/07 art. 28</t>
        </is>
      </c>
      <c r="J99" s="32" t="inlineStr">
        <is>
          <t>No</t>
        </is>
      </c>
      <c r="K99" s="17" t="n"/>
      <c r="L99" s="17" t="n"/>
    </row>
    <row r="100">
      <c r="A100" s="32" t="inlineStr">
        <is>
          <t>RK-ABC5-B</t>
        </is>
      </c>
      <c r="B100" s="32" t="inlineStr">
        <is>
          <t>FL_MAT_ABC_5kg</t>
        </is>
      </c>
      <c r="C100" s="32" t="inlineStr">
        <is>
          <t>Extintor ABC 5 kg</t>
        </is>
      </c>
      <c r="D100" s="17" t="inlineStr">
        <is>
          <t>B - Mantenimiento con apertura sin descarga (control interior, PH)</t>
        </is>
      </c>
      <c r="E100" s="17" t="inlineStr">
        <is>
          <t>Si hubo PH: oblea de vencimiento de PH + «PH» y fecha grabados en el tubo de pesca (CO₂: fecha y logo estampados en la ojiva)</t>
        </is>
      </c>
      <c r="F100" s="32" t="n">
        <v>1</v>
      </c>
      <c r="G100" s="32" t="inlineStr">
        <is>
          <t>u</t>
        </is>
      </c>
      <c r="H100" s="17" t="inlineStr">
        <is>
          <t>Proceso</t>
        </is>
      </c>
      <c r="I100" s="17" t="inlineStr">
        <is>
          <t>IRAM 3517-2:2020 Res. 349/07 art. 29 · IRAM 3517-2</t>
        </is>
      </c>
      <c r="J100" s="32" t="inlineStr">
        <is>
          <t>No</t>
        </is>
      </c>
      <c r="K100" s="17" t="n"/>
      <c r="L100" s="17" t="n"/>
    </row>
    <row r="101">
      <c r="A101" s="37" t="inlineStr">
        <is>
          <t>RK-ABC5-B</t>
        </is>
      </c>
      <c r="B101" s="37" t="inlineStr">
        <is>
          <t>FL_MAT_ABC_5kg</t>
        </is>
      </c>
      <c r="C101" s="37" t="inlineStr">
        <is>
          <t>Extintor ABC 5 kg</t>
        </is>
      </c>
      <c r="D101" s="18" t="inlineStr">
        <is>
          <t>B - Mantenimiento con apertura sin descarga (control interior, PH)</t>
        </is>
      </c>
      <c r="E101" s="18" t="inlineStr">
        <is>
          <t>Junta tórica de asiento del cuello</t>
        </is>
      </c>
      <c r="F101" s="37" t="n">
        <v>1</v>
      </c>
      <c r="G101" s="37" t="inlineStr">
        <is>
          <t>u</t>
        </is>
      </c>
      <c r="H101" s="18" t="inlineStr">
        <is>
          <t>Nuevo (R: cambio sistemático)</t>
        </is>
      </c>
      <c r="I101" s="18" t="inlineStr"/>
      <c r="J101" s="37" t="inlineStr">
        <is>
          <t>Sí</t>
        </is>
      </c>
      <c r="K101" s="18" t="inlineStr">
        <is>
          <t>Argensold</t>
        </is>
      </c>
      <c r="L101" s="18" t="inlineStr">
        <is>
          <t>Matafuegos Iglesias</t>
        </is>
      </c>
    </row>
    <row r="102">
      <c r="A102" s="32" t="inlineStr">
        <is>
          <t>RK-ABC5-B</t>
        </is>
      </c>
      <c r="B102" s="32" t="inlineStr">
        <is>
          <t>FL_MAT_ABC_5kg</t>
        </is>
      </c>
      <c r="C102" s="32" t="inlineStr">
        <is>
          <t>Extintor ABC 5 kg</t>
        </is>
      </c>
      <c r="D102" s="17" t="inlineStr">
        <is>
          <t>B - Mantenimiento con apertura sin descarga (control interior, PH)</t>
        </is>
      </c>
      <c r="E102" s="17" t="inlineStr">
        <is>
          <t>Gas impulsor: N₂</t>
        </is>
      </c>
      <c r="F102" s="32" t="n">
        <v>0.0251</v>
      </c>
      <c r="G102" s="32" t="inlineStr">
        <is>
          <t>kg</t>
        </is>
      </c>
      <c r="H102" s="17" t="inlineStr">
        <is>
          <t>Nuevo</t>
        </is>
      </c>
      <c r="I102" s="17" t="inlineStr">
        <is>
          <t>IRAM 3517-2:2020 9.4.9 tabla 2</t>
        </is>
      </c>
      <c r="J102" s="32" t="inlineStr">
        <is>
          <t>Sí</t>
        </is>
      </c>
      <c r="K102" s="17" t="inlineStr">
        <is>
          <t>Air Liquide Argentina - sucursal Piñeyro</t>
        </is>
      </c>
      <c r="L102" s="17" t="inlineStr">
        <is>
          <t>Gogniat</t>
        </is>
      </c>
    </row>
    <row r="103">
      <c r="A103" s="32" t="inlineStr">
        <is>
          <t>RK-ABC5-C</t>
        </is>
      </c>
      <c r="B103" s="32" t="inlineStr">
        <is>
          <t>FL_MAT_ABC_5kg</t>
        </is>
      </c>
      <c r="C103" s="32" t="inlineStr">
        <is>
          <t>Extintor ABC 5 kg</t>
        </is>
      </c>
      <c r="D103" s="17" t="inlineStr">
        <is>
          <t>C - Cambio obligatorio de polvo (versión anterior de la IRAM 3569)</t>
        </is>
      </c>
      <c r="E103" s="17" t="inlineStr">
        <is>
          <t>Polvo químico seco ABC 60 (Sello IRAM 3569)</t>
        </is>
      </c>
      <c r="F103" s="32" t="n">
        <v>5.15</v>
      </c>
      <c r="G103" s="32" t="inlineStr">
        <is>
          <t>kg</t>
        </is>
      </c>
      <c r="H103" s="17" t="inlineStr">
        <is>
          <t>Nuevo 100 %; el viejo va a residuos (RC-IR)</t>
        </is>
      </c>
      <c r="I103" s="17" t="inlineStr">
        <is>
          <t>IRAM 3517-2:2020 9.9.4</t>
        </is>
      </c>
      <c r="J103" s="32" t="inlineStr">
        <is>
          <t>Sí</t>
        </is>
      </c>
      <c r="K103" s="17" t="inlineStr">
        <is>
          <t>DEM S.A. (DEMSA)</t>
        </is>
      </c>
      <c r="L103" s="17" t="inlineStr">
        <is>
          <t>Polvex S.R.L. / Sancibrao</t>
        </is>
      </c>
    </row>
    <row r="104">
      <c r="A104" s="32" t="inlineStr">
        <is>
          <t>RK-ABC5-C</t>
        </is>
      </c>
      <c r="B104" s="32" t="inlineStr">
        <is>
          <t>FL_MAT_ABC_5kg</t>
        </is>
      </c>
      <c r="C104" s="32" t="inlineStr">
        <is>
          <t>Extintor ABC 5 kg</t>
        </is>
      </c>
      <c r="D104" s="17" t="inlineStr">
        <is>
          <t>C - Cambio obligatorio de polvo (versión anterior de la IRAM 3569)</t>
        </is>
      </c>
      <c r="E104" s="17" t="inlineStr">
        <is>
          <t>Precinto plástico numerado, color, con nombre del recargador</t>
        </is>
      </c>
      <c r="F104" s="32" t="n">
        <v>1</v>
      </c>
      <c r="G104" s="32" t="inlineStr">
        <is>
          <t>u</t>
        </is>
      </c>
      <c r="H104" s="17" t="inlineStr">
        <is>
          <t>Nuevo</t>
        </is>
      </c>
      <c r="I104" s="17" t="inlineStr">
        <is>
          <t>IRAM 3517-2:2020 9.4.13</t>
        </is>
      </c>
      <c r="J104" s="32" t="inlineStr">
        <is>
          <t>Sí</t>
        </is>
      </c>
      <c r="K104" s="17" t="inlineStr">
        <is>
          <t>SonFuertes (vía Papelera Damián)</t>
        </is>
      </c>
      <c r="L104" s="17" t="inlineStr">
        <is>
          <t>Precinter S.R.L.</t>
        </is>
      </c>
    </row>
    <row r="105">
      <c r="A105" s="32" t="inlineStr">
        <is>
          <t>RK-ABC5-C</t>
        </is>
      </c>
      <c r="B105" s="32" t="inlineStr">
        <is>
          <t>FL_MAT_ABC_5kg</t>
        </is>
      </c>
      <c r="C105" s="32" t="inlineStr">
        <is>
          <t>Extintor ABC 5 kg</t>
        </is>
      </c>
      <c r="D105" s="17" t="inlineStr">
        <is>
          <t>C - Cambio obligatorio de polvo (versión anterior de la IRAM 3569)</t>
        </is>
      </c>
      <c r="E105" s="17" t="inlineStr">
        <is>
          <t>Marbete (anillo, color del año)</t>
        </is>
      </c>
      <c r="F105" s="32" t="n">
        <v>1</v>
      </c>
      <c r="G105" s="32" t="inlineStr">
        <is>
          <t>u</t>
        </is>
      </c>
      <c r="H105" s="17" t="inlineStr">
        <is>
          <t>Nuevo</t>
        </is>
      </c>
      <c r="I105" s="17" t="inlineStr">
        <is>
          <t>IRAM 3517-2:2020 9.6 · anexo E</t>
        </is>
      </c>
      <c r="J105" s="32" t="inlineStr">
        <is>
          <t>Sí</t>
        </is>
      </c>
      <c r="K105" s="17" t="inlineStr">
        <is>
          <t>Astuprint</t>
        </is>
      </c>
      <c r="L105" s="17" t="inlineStr">
        <is>
          <t>Multilabel Argentina S.A.</t>
        </is>
      </c>
    </row>
    <row r="106">
      <c r="A106" s="32" t="inlineStr">
        <is>
          <t>RK-ABC5-C</t>
        </is>
      </c>
      <c r="B106" s="32" t="inlineStr">
        <is>
          <t>FL_MAT_ABC_5kg</t>
        </is>
      </c>
      <c r="C106" s="32" t="inlineStr">
        <is>
          <t>Extintor ABC 5 kg</t>
        </is>
      </c>
      <c r="D106" s="17" t="inlineStr">
        <is>
          <t>C - Cambio obligatorio de polvo (versión anterior de la IRAM 3569)</t>
        </is>
      </c>
      <c r="E106" s="17" t="inlineStr">
        <is>
          <t>Etiqueta de servicio del recargador (extintor n°, serie, próxima recarga y PH)</t>
        </is>
      </c>
      <c r="F106" s="32" t="n">
        <v>1</v>
      </c>
      <c r="G106" s="32" t="inlineStr">
        <is>
          <t>u</t>
        </is>
      </c>
      <c r="H106" s="17" t="inlineStr">
        <is>
          <t>Nuevo</t>
        </is>
      </c>
      <c r="I106" s="17" t="inlineStr">
        <is>
          <t>IRAM 3517-2:2020 9.4.14 · relevado Suyai/Firegram</t>
        </is>
      </c>
      <c r="J106" s="32" t="inlineStr">
        <is>
          <t>Sí</t>
        </is>
      </c>
      <c r="K106" s="17" t="inlineStr">
        <is>
          <t>Astuprint</t>
        </is>
      </c>
      <c r="L106" s="17" t="inlineStr">
        <is>
          <t>Multilabel Argentina S.A.</t>
        </is>
      </c>
    </row>
    <row r="107">
      <c r="A107" s="32" t="inlineStr">
        <is>
          <t>RK-ABC5-C</t>
        </is>
      </c>
      <c r="B107" s="32" t="inlineStr">
        <is>
          <t>FL_MAT_ABC_5kg</t>
        </is>
      </c>
      <c r="C107" s="32" t="inlineStr">
        <is>
          <t>Extintor ABC 5 kg</t>
        </is>
      </c>
      <c r="D107" s="17" t="inlineStr">
        <is>
          <t>C - Cambio obligatorio de polvo (versión anterior de la IRAM 3569)</t>
        </is>
      </c>
      <c r="E107" s="17" t="inlineStr">
        <is>
          <t>Oblea PBA de recarga Ø46 + estampilla precinto 1" × 200 mm válvula-cuerpo</t>
        </is>
      </c>
      <c r="F107" s="32" t="n">
        <v>1</v>
      </c>
      <c r="G107" s="32" t="inlineStr">
        <is>
          <t>u</t>
        </is>
      </c>
      <c r="H107" s="17" t="inlineStr">
        <is>
          <t>Nuevo (venta en PBA)</t>
        </is>
      </c>
      <c r="I107" s="17" t="inlineStr">
        <is>
          <t>IRAM 3517-2:2020 Res. OPDS 522/07</t>
        </is>
      </c>
      <c r="J107" s="32" t="inlineStr">
        <is>
          <t>Sí</t>
        </is>
      </c>
      <c r="K107" s="17" t="inlineStr">
        <is>
          <t>Ministerio de Ambiente PBA (ex OPDS)</t>
        </is>
      </c>
      <c r="L107" s="17" t="inlineStr">
        <is>
          <t>-</t>
        </is>
      </c>
    </row>
    <row r="108">
      <c r="A108" s="32" t="inlineStr">
        <is>
          <t>RK-ABC5-C</t>
        </is>
      </c>
      <c r="B108" s="32" t="inlineStr">
        <is>
          <t>FL_MAT_ABC_5kg</t>
        </is>
      </c>
      <c r="C108" s="32" t="inlineStr">
        <is>
          <t>Extintor ABC 5 kg</t>
        </is>
      </c>
      <c r="D108" s="17" t="inlineStr">
        <is>
          <t>C - Cambio obligatorio de polvo (versión anterior de la IRAM 3569)</t>
        </is>
      </c>
      <c r="E108" s="17" t="inlineStr">
        <is>
          <t>Tarjeta de identificación AGC (módulo papel con QR + etiqueta AGC)</t>
        </is>
      </c>
      <c r="F108" s="32" t="n">
        <v>1</v>
      </c>
      <c r="G108" s="32" t="inlineStr">
        <is>
          <t>u</t>
        </is>
      </c>
      <c r="H108" s="17" t="inlineStr">
        <is>
          <t>Nuevo (destino CABA)</t>
        </is>
      </c>
      <c r="I108" s="17" t="inlineStr">
        <is>
          <t>IRAM 3517-2:2020 Ord. 40.473 art. 6 · Res. AGC 32/15</t>
        </is>
      </c>
      <c r="J108" s="32" t="inlineStr">
        <is>
          <t>Sí</t>
        </is>
      </c>
      <c r="K108" s="17" t="inlineStr">
        <is>
          <t>Agencia Gubernamental de Control (CABA)</t>
        </is>
      </c>
      <c r="L108" s="17" t="inlineStr">
        <is>
          <t>-</t>
        </is>
      </c>
    </row>
    <row r="109">
      <c r="A109" s="32" t="inlineStr">
        <is>
          <t>RK-ABC5-C</t>
        </is>
      </c>
      <c r="B109" s="32" t="inlineStr">
        <is>
          <t>FL_MAT_ABC_5kg</t>
        </is>
      </c>
      <c r="C109" s="32" t="inlineStr">
        <is>
          <t>Extintor ABC 5 kg</t>
        </is>
      </c>
      <c r="D109" s="17" t="inlineStr">
        <is>
          <t>C - Cambio obligatorio de polvo (versión anterior de la IRAM 3569)</t>
        </is>
      </c>
      <c r="E109" s="17" t="inlineStr">
        <is>
          <t>Tarjeta de identificación DPS de revisión / recarga</t>
        </is>
      </c>
      <c r="F109" s="32" t="n">
        <v>1</v>
      </c>
      <c r="G109" s="32" t="inlineStr">
        <is>
          <t>u</t>
        </is>
      </c>
      <c r="H109" s="17" t="inlineStr">
        <is>
          <t>Nuevo (PBA)</t>
        </is>
      </c>
      <c r="I109" s="17" t="inlineStr">
        <is>
          <t>IRAM 3517-2:2020 Res. 349/07 art. 21</t>
        </is>
      </c>
      <c r="J109" s="32" t="inlineStr">
        <is>
          <t>Sí</t>
        </is>
      </c>
      <c r="K109" s="17" t="inlineStr">
        <is>
          <t>Ministerio de Ambiente PBA (ex OPDS)</t>
        </is>
      </c>
      <c r="L109" s="17" t="inlineStr">
        <is>
          <t>-</t>
        </is>
      </c>
    </row>
    <row r="110">
      <c r="A110" s="32" t="inlineStr">
        <is>
          <t>RK-ABC5-C</t>
        </is>
      </c>
      <c r="B110" s="32" t="inlineStr">
        <is>
          <t>FL_MAT_ABC_5kg</t>
        </is>
      </c>
      <c r="C110" s="32" t="inlineStr">
        <is>
          <t>Extintor ABC 5 kg</t>
        </is>
      </c>
      <c r="D110" s="17" t="inlineStr">
        <is>
          <t>C - Cambio obligatorio de polvo (versión anterior de la IRAM 3569)</t>
        </is>
      </c>
      <c r="E110" s="17" t="inlineStr">
        <is>
          <t>Grabado de la fecha del servicio en el tubo de pesca (lápiz vibratorio; en polvo, marcador indeleble)</t>
        </is>
      </c>
      <c r="F110" s="32" t="n">
        <v>1</v>
      </c>
      <c r="G110" s="32" t="inlineStr">
        <is>
          <t>u</t>
        </is>
      </c>
      <c r="H110" s="17" t="inlineStr">
        <is>
          <t>Proceso</t>
        </is>
      </c>
      <c r="I110" s="17" t="inlineStr">
        <is>
          <t>IRAM 3517-2:2020 Res. 349/07 art. 28</t>
        </is>
      </c>
      <c r="J110" s="32" t="inlineStr">
        <is>
          <t>No</t>
        </is>
      </c>
      <c r="K110" s="17" t="n"/>
      <c r="L110" s="17" t="n"/>
    </row>
    <row r="111">
      <c r="A111" s="32" t="inlineStr">
        <is>
          <t>RK-ABC5-C</t>
        </is>
      </c>
      <c r="B111" s="32" t="inlineStr">
        <is>
          <t>FL_MAT_ABC_5kg</t>
        </is>
      </c>
      <c r="C111" s="32" t="inlineStr">
        <is>
          <t>Extintor ABC 5 kg</t>
        </is>
      </c>
      <c r="D111" s="17" t="inlineStr">
        <is>
          <t>C - Cambio obligatorio de polvo (versión anterior de la IRAM 3569)</t>
        </is>
      </c>
      <c r="E111" s="17" t="inlineStr">
        <is>
          <t>Si hubo PH: oblea de vencimiento de PH + «PH» y fecha grabados en el tubo de pesca (CO₂: fecha y logo estampados en la ojiva)</t>
        </is>
      </c>
      <c r="F111" s="32" t="n">
        <v>1</v>
      </c>
      <c r="G111" s="32" t="inlineStr">
        <is>
          <t>u</t>
        </is>
      </c>
      <c r="H111" s="17" t="inlineStr">
        <is>
          <t>Proceso</t>
        </is>
      </c>
      <c r="I111" s="17" t="inlineStr">
        <is>
          <t>IRAM 3517-2:2020 Res. 349/07 art. 29 · IRAM 3517-2</t>
        </is>
      </c>
      <c r="J111" s="32" t="inlineStr">
        <is>
          <t>No</t>
        </is>
      </c>
      <c r="K111" s="17" t="n"/>
      <c r="L111" s="17" t="n"/>
    </row>
    <row r="112">
      <c r="A112" s="37" t="inlineStr">
        <is>
          <t>RK-ABC5-C</t>
        </is>
      </c>
      <c r="B112" s="37" t="inlineStr">
        <is>
          <t>FL_MAT_ABC_5kg</t>
        </is>
      </c>
      <c r="C112" s="37" t="inlineStr">
        <is>
          <t>Extintor ABC 5 kg</t>
        </is>
      </c>
      <c r="D112" s="18" t="inlineStr">
        <is>
          <t>C - Cambio obligatorio de polvo (versión anterior de la IRAM 3569)</t>
        </is>
      </c>
      <c r="E112" s="18" t="inlineStr">
        <is>
          <t>Junta tórica de asiento del cuello</t>
        </is>
      </c>
      <c r="F112" s="37" t="n">
        <v>1</v>
      </c>
      <c r="G112" s="37" t="inlineStr">
        <is>
          <t>u</t>
        </is>
      </c>
      <c r="H112" s="18" t="inlineStr">
        <is>
          <t>Nuevo (R: cambio sistemático)</t>
        </is>
      </c>
      <c r="I112" s="18" t="inlineStr"/>
      <c r="J112" s="37" t="inlineStr">
        <is>
          <t>Sí</t>
        </is>
      </c>
      <c r="K112" s="18" t="inlineStr">
        <is>
          <t>Argensold</t>
        </is>
      </c>
      <c r="L112" s="18" t="inlineStr">
        <is>
          <t>Matafuegos Iglesias</t>
        </is>
      </c>
    </row>
    <row r="113">
      <c r="A113" s="32" t="inlineStr">
        <is>
          <t>RK-ABC5-C</t>
        </is>
      </c>
      <c r="B113" s="32" t="inlineStr">
        <is>
          <t>FL_MAT_ABC_5kg</t>
        </is>
      </c>
      <c r="C113" s="32" t="inlineStr">
        <is>
          <t>Extintor ABC 5 kg</t>
        </is>
      </c>
      <c r="D113" s="17" t="inlineStr">
        <is>
          <t>C - Cambio obligatorio de polvo (versión anterior de la IRAM 3569)</t>
        </is>
      </c>
      <c r="E113" s="17" t="inlineStr">
        <is>
          <t>Gas impulsor: N₂</t>
        </is>
      </c>
      <c r="F113" s="32" t="n">
        <v>0.0251</v>
      </c>
      <c r="G113" s="32" t="inlineStr">
        <is>
          <t>kg</t>
        </is>
      </c>
      <c r="H113" s="17" t="inlineStr">
        <is>
          <t>Nuevo</t>
        </is>
      </c>
      <c r="I113" s="17" t="inlineStr">
        <is>
          <t>IRAM 3517-2:2020 9.4.9 tabla 2</t>
        </is>
      </c>
      <c r="J113" s="32" t="inlineStr">
        <is>
          <t>Sí</t>
        </is>
      </c>
      <c r="K113" s="17" t="inlineStr">
        <is>
          <t>Air Liquide Argentina - sucursal Piñeyro</t>
        </is>
      </c>
      <c r="L113" s="17" t="inlineStr">
        <is>
          <t>Gogniat</t>
        </is>
      </c>
    </row>
    <row r="114">
      <c r="A114" s="32" t="inlineStr">
        <is>
          <t>RK-ABC5-I</t>
        </is>
      </c>
      <c r="B114" s="32" t="inlineStr">
        <is>
          <t>FL_MAT_ABC_5kg</t>
        </is>
      </c>
      <c r="C114" s="32" t="inlineStr">
        <is>
          <t>Extintor ABC 5 kg</t>
        </is>
      </c>
      <c r="D114" s="17" t="inlineStr">
        <is>
          <t>Según inspección (consumo estadístico a definir)</t>
        </is>
      </c>
      <c r="E114" s="17" t="inlineStr">
        <is>
          <t>Manómetro / manguera / tobera / kit de válvula</t>
        </is>
      </c>
      <c r="F114" s="32" t="inlineStr">
        <is>
          <t>-</t>
        </is>
      </c>
      <c r="G114" s="32" t="inlineStr">
        <is>
          <t>u</t>
        </is>
      </c>
      <c r="H114" s="17" t="inlineStr">
        <is>
          <t>Recambio sólo si falla</t>
        </is>
      </c>
      <c r="I114" s="17" t="inlineStr">
        <is>
          <t>IRAM 3517-2:2020 9.4.11 (cada manguera vuelve a su extintor)</t>
        </is>
      </c>
      <c r="J114" s="32" t="inlineStr">
        <is>
          <t>Sí</t>
        </is>
      </c>
      <c r="K114" s="17" t="inlineStr">
        <is>
          <t>Polvex S.R.L. / Sancibrao</t>
        </is>
      </c>
      <c r="L114" s="17" t="inlineStr">
        <is>
          <t>Yukon / MatafuegosYa S.R.L.</t>
        </is>
      </c>
    </row>
    <row r="115">
      <c r="A115" s="32" t="inlineStr">
        <is>
          <t>RK-ABC10-A</t>
        </is>
      </c>
      <c r="B115" s="32" t="inlineStr">
        <is>
          <t>FL_MAT_ABC_10kg</t>
        </is>
      </c>
      <c r="C115" s="32" t="inlineStr">
        <is>
          <t>Extintor ABC 10 kg</t>
        </is>
      </c>
      <c r="D115" s="17" t="inlineStr">
        <is>
          <t>A - Extintor descargado (uso o descarga parcial)</t>
        </is>
      </c>
      <c r="E115" s="17" t="inlineStr">
        <is>
          <t>Polvo químico seco ABC 60 (Sello IRAM 3569)</t>
        </is>
      </c>
      <c r="F115" s="32" t="n">
        <v>10.15</v>
      </c>
      <c r="G115" s="32" t="inlineStr">
        <is>
          <t>kg</t>
        </is>
      </c>
      <c r="H115" s="17" t="inlineStr">
        <is>
          <t>Nuevo 100 %</t>
        </is>
      </c>
      <c r="I115" s="17" t="inlineStr">
        <is>
          <t>IRAM 3517-2:2020 9.9.1.4: el polvo de un extintor accionado no se reutiliza</t>
        </is>
      </c>
      <c r="J115" s="32" t="inlineStr">
        <is>
          <t>Sí</t>
        </is>
      </c>
      <c r="K115" s="17" t="inlineStr">
        <is>
          <t>DEM S.A. (DEMSA)</t>
        </is>
      </c>
      <c r="L115" s="17" t="inlineStr">
        <is>
          <t>Polvex S.R.L. / Sancibrao</t>
        </is>
      </c>
    </row>
    <row r="116">
      <c r="A116" s="32" t="inlineStr">
        <is>
          <t>RK-ABC10-A</t>
        </is>
      </c>
      <c r="B116" s="32" t="inlineStr">
        <is>
          <t>FL_MAT_ABC_10kg</t>
        </is>
      </c>
      <c r="C116" s="32" t="inlineStr">
        <is>
          <t>Extintor ABC 10 kg</t>
        </is>
      </c>
      <c r="D116" s="17" t="inlineStr">
        <is>
          <t>A - Extintor descargado (uso o descarga parcial)</t>
        </is>
      </c>
      <c r="E116" s="17" t="inlineStr">
        <is>
          <t>Precinto plástico numerado, color, con nombre del recargador</t>
        </is>
      </c>
      <c r="F116" s="32" t="n">
        <v>1</v>
      </c>
      <c r="G116" s="32" t="inlineStr">
        <is>
          <t>u</t>
        </is>
      </c>
      <c r="H116" s="17" t="inlineStr">
        <is>
          <t>Nuevo</t>
        </is>
      </c>
      <c r="I116" s="17" t="inlineStr">
        <is>
          <t>IRAM 3517-2:2020 9.4.13</t>
        </is>
      </c>
      <c r="J116" s="32" t="inlineStr">
        <is>
          <t>Sí</t>
        </is>
      </c>
      <c r="K116" s="17" t="inlineStr">
        <is>
          <t>SonFuertes (vía Papelera Damián)</t>
        </is>
      </c>
      <c r="L116" s="17" t="inlineStr">
        <is>
          <t>Precinter S.R.L.</t>
        </is>
      </c>
    </row>
    <row r="117">
      <c r="A117" s="32" t="inlineStr">
        <is>
          <t>RK-ABC10-A</t>
        </is>
      </c>
      <c r="B117" s="32" t="inlineStr">
        <is>
          <t>FL_MAT_ABC_10kg</t>
        </is>
      </c>
      <c r="C117" s="32" t="inlineStr">
        <is>
          <t>Extintor ABC 10 kg</t>
        </is>
      </c>
      <c r="D117" s="17" t="inlineStr">
        <is>
          <t>A - Extintor descargado (uso o descarga parcial)</t>
        </is>
      </c>
      <c r="E117" s="17" t="inlineStr">
        <is>
          <t>Marbete (anillo, color del año)</t>
        </is>
      </c>
      <c r="F117" s="32" t="n">
        <v>1</v>
      </c>
      <c r="G117" s="32" t="inlineStr">
        <is>
          <t>u</t>
        </is>
      </c>
      <c r="H117" s="17" t="inlineStr">
        <is>
          <t>Nuevo</t>
        </is>
      </c>
      <c r="I117" s="17" t="inlineStr">
        <is>
          <t>IRAM 3517-2:2020 9.6 · anexo E</t>
        </is>
      </c>
      <c r="J117" s="32" t="inlineStr">
        <is>
          <t>Sí</t>
        </is>
      </c>
      <c r="K117" s="17" t="inlineStr">
        <is>
          <t>Astuprint</t>
        </is>
      </c>
      <c r="L117" s="17" t="inlineStr">
        <is>
          <t>Multilabel Argentina S.A.</t>
        </is>
      </c>
    </row>
    <row r="118">
      <c r="A118" s="32" t="inlineStr">
        <is>
          <t>RK-ABC10-A</t>
        </is>
      </c>
      <c r="B118" s="32" t="inlineStr">
        <is>
          <t>FL_MAT_ABC_10kg</t>
        </is>
      </c>
      <c r="C118" s="32" t="inlineStr">
        <is>
          <t>Extintor ABC 10 kg</t>
        </is>
      </c>
      <c r="D118" s="17" t="inlineStr">
        <is>
          <t>A - Extintor descargado (uso o descarga parcial)</t>
        </is>
      </c>
      <c r="E118" s="17" t="inlineStr">
        <is>
          <t>Etiqueta de servicio del recargador (extintor n°, serie, próxima recarga y PH)</t>
        </is>
      </c>
      <c r="F118" s="32" t="n">
        <v>1</v>
      </c>
      <c r="G118" s="32" t="inlineStr">
        <is>
          <t>u</t>
        </is>
      </c>
      <c r="H118" s="17" t="inlineStr">
        <is>
          <t>Nuevo</t>
        </is>
      </c>
      <c r="I118" s="17" t="inlineStr">
        <is>
          <t>IRAM 3517-2:2020 9.4.14 · relevado Suyai/Firegram</t>
        </is>
      </c>
      <c r="J118" s="32" t="inlineStr">
        <is>
          <t>Sí</t>
        </is>
      </c>
      <c r="K118" s="17" t="inlineStr">
        <is>
          <t>Astuprint</t>
        </is>
      </c>
      <c r="L118" s="17" t="inlineStr">
        <is>
          <t>Multilabel Argentina S.A.</t>
        </is>
      </c>
    </row>
    <row r="119">
      <c r="A119" s="32" t="inlineStr">
        <is>
          <t>RK-ABC10-A</t>
        </is>
      </c>
      <c r="B119" s="32" t="inlineStr">
        <is>
          <t>FL_MAT_ABC_10kg</t>
        </is>
      </c>
      <c r="C119" s="32" t="inlineStr">
        <is>
          <t>Extintor ABC 10 kg</t>
        </is>
      </c>
      <c r="D119" s="17" t="inlineStr">
        <is>
          <t>A - Extintor descargado (uso o descarga parcial)</t>
        </is>
      </c>
      <c r="E119" s="17" t="inlineStr">
        <is>
          <t>Oblea PBA de recarga Ø46 + estampilla precinto 1" × 200 mm válvula-cuerpo</t>
        </is>
      </c>
      <c r="F119" s="32" t="n">
        <v>1</v>
      </c>
      <c r="G119" s="32" t="inlineStr">
        <is>
          <t>u</t>
        </is>
      </c>
      <c r="H119" s="17" t="inlineStr">
        <is>
          <t>Nuevo (venta en PBA)</t>
        </is>
      </c>
      <c r="I119" s="17" t="inlineStr">
        <is>
          <t>IRAM 3517-2:2020 Res. OPDS 522/07</t>
        </is>
      </c>
      <c r="J119" s="32" t="inlineStr">
        <is>
          <t>Sí</t>
        </is>
      </c>
      <c r="K119" s="17" t="inlineStr">
        <is>
          <t>Ministerio de Ambiente PBA (ex OPDS)</t>
        </is>
      </c>
      <c r="L119" s="17" t="inlineStr">
        <is>
          <t>-</t>
        </is>
      </c>
    </row>
    <row r="120">
      <c r="A120" s="32" t="inlineStr">
        <is>
          <t>RK-ABC10-A</t>
        </is>
      </c>
      <c r="B120" s="32" t="inlineStr">
        <is>
          <t>FL_MAT_ABC_10kg</t>
        </is>
      </c>
      <c r="C120" s="32" t="inlineStr">
        <is>
          <t>Extintor ABC 10 kg</t>
        </is>
      </c>
      <c r="D120" s="17" t="inlineStr">
        <is>
          <t>A - Extintor descargado (uso o descarga parcial)</t>
        </is>
      </c>
      <c r="E120" s="17" t="inlineStr">
        <is>
          <t>Tarjeta de identificación AGC (módulo papel con QR + etiqueta AGC)</t>
        </is>
      </c>
      <c r="F120" s="32" t="n">
        <v>1</v>
      </c>
      <c r="G120" s="32" t="inlineStr">
        <is>
          <t>u</t>
        </is>
      </c>
      <c r="H120" s="17" t="inlineStr">
        <is>
          <t>Nuevo (destino CABA)</t>
        </is>
      </c>
      <c r="I120" s="17" t="inlineStr">
        <is>
          <t>IRAM 3517-2:2020 Ord. 40.473 art. 6 · Res. AGC 32/15</t>
        </is>
      </c>
      <c r="J120" s="32" t="inlineStr">
        <is>
          <t>Sí</t>
        </is>
      </c>
      <c r="K120" s="17" t="inlineStr">
        <is>
          <t>Agencia Gubernamental de Control (CABA)</t>
        </is>
      </c>
      <c r="L120" s="17" t="inlineStr">
        <is>
          <t>-</t>
        </is>
      </c>
    </row>
    <row r="121">
      <c r="A121" s="32" t="inlineStr">
        <is>
          <t>RK-ABC10-A</t>
        </is>
      </c>
      <c r="B121" s="32" t="inlineStr">
        <is>
          <t>FL_MAT_ABC_10kg</t>
        </is>
      </c>
      <c r="C121" s="32" t="inlineStr">
        <is>
          <t>Extintor ABC 10 kg</t>
        </is>
      </c>
      <c r="D121" s="17" t="inlineStr">
        <is>
          <t>A - Extintor descargado (uso o descarga parcial)</t>
        </is>
      </c>
      <c r="E121" s="17" t="inlineStr">
        <is>
          <t>Tarjeta de identificación DPS de revisión / recarga</t>
        </is>
      </c>
      <c r="F121" s="32" t="n">
        <v>1</v>
      </c>
      <c r="G121" s="32" t="inlineStr">
        <is>
          <t>u</t>
        </is>
      </c>
      <c r="H121" s="17" t="inlineStr">
        <is>
          <t>Nuevo (PBA)</t>
        </is>
      </c>
      <c r="I121" s="17" t="inlineStr">
        <is>
          <t>IRAM 3517-2:2020 Res. 349/07 art. 21</t>
        </is>
      </c>
      <c r="J121" s="32" t="inlineStr">
        <is>
          <t>Sí</t>
        </is>
      </c>
      <c r="K121" s="17" t="inlineStr">
        <is>
          <t>Ministerio de Ambiente PBA (ex OPDS)</t>
        </is>
      </c>
      <c r="L121" s="17" t="inlineStr">
        <is>
          <t>-</t>
        </is>
      </c>
    </row>
    <row r="122">
      <c r="A122" s="32" t="inlineStr">
        <is>
          <t>RK-ABC10-A</t>
        </is>
      </c>
      <c r="B122" s="32" t="inlineStr">
        <is>
          <t>FL_MAT_ABC_10kg</t>
        </is>
      </c>
      <c r="C122" s="32" t="inlineStr">
        <is>
          <t>Extintor ABC 10 kg</t>
        </is>
      </c>
      <c r="D122" s="17" t="inlineStr">
        <is>
          <t>A - Extintor descargado (uso o descarga parcial)</t>
        </is>
      </c>
      <c r="E122" s="17" t="inlineStr">
        <is>
          <t>Grabado de la fecha del servicio en el tubo de pesca (lápiz vibratorio; en polvo, marcador indeleble)</t>
        </is>
      </c>
      <c r="F122" s="32" t="n">
        <v>1</v>
      </c>
      <c r="G122" s="32" t="inlineStr">
        <is>
          <t>u</t>
        </is>
      </c>
      <c r="H122" s="17" t="inlineStr">
        <is>
          <t>Proceso</t>
        </is>
      </c>
      <c r="I122" s="17" t="inlineStr">
        <is>
          <t>IRAM 3517-2:2020 Res. 349/07 art. 28</t>
        </is>
      </c>
      <c r="J122" s="32" t="inlineStr">
        <is>
          <t>No</t>
        </is>
      </c>
      <c r="K122" s="17" t="n"/>
      <c r="L122" s="17" t="n"/>
    </row>
    <row r="123">
      <c r="A123" s="32" t="inlineStr">
        <is>
          <t>RK-ABC10-A</t>
        </is>
      </c>
      <c r="B123" s="32" t="inlineStr">
        <is>
          <t>FL_MAT_ABC_10kg</t>
        </is>
      </c>
      <c r="C123" s="32" t="inlineStr">
        <is>
          <t>Extintor ABC 10 kg</t>
        </is>
      </c>
      <c r="D123" s="17" t="inlineStr">
        <is>
          <t>A - Extintor descargado (uso o descarga parcial)</t>
        </is>
      </c>
      <c r="E123" s="17" t="inlineStr">
        <is>
          <t>Si hubo PH: oblea de vencimiento de PH + «PH» y fecha grabados en el tubo de pesca (CO₂: fecha y logo estampados en la ojiva)</t>
        </is>
      </c>
      <c r="F123" s="32" t="n">
        <v>1</v>
      </c>
      <c r="G123" s="32" t="inlineStr">
        <is>
          <t>u</t>
        </is>
      </c>
      <c r="H123" s="17" t="inlineStr">
        <is>
          <t>Proceso</t>
        </is>
      </c>
      <c r="I123" s="17" t="inlineStr">
        <is>
          <t>IRAM 3517-2:2020 Res. 349/07 art. 29 · IRAM 3517-2</t>
        </is>
      </c>
      <c r="J123" s="32" t="inlineStr">
        <is>
          <t>No</t>
        </is>
      </c>
      <c r="K123" s="17" t="n"/>
      <c r="L123" s="17" t="n"/>
    </row>
    <row r="124">
      <c r="A124" s="37" t="inlineStr">
        <is>
          <t>RK-ABC10-A</t>
        </is>
      </c>
      <c r="B124" s="37" t="inlineStr">
        <is>
          <t>FL_MAT_ABC_10kg</t>
        </is>
      </c>
      <c r="C124" s="37" t="inlineStr">
        <is>
          <t>Extintor ABC 10 kg</t>
        </is>
      </c>
      <c r="D124" s="18" t="inlineStr">
        <is>
          <t>A - Extintor descargado (uso o descarga parcial)</t>
        </is>
      </c>
      <c r="E124" s="18" t="inlineStr">
        <is>
          <t>Junta tórica de asiento del cuello</t>
        </is>
      </c>
      <c r="F124" s="37" t="n">
        <v>1</v>
      </c>
      <c r="G124" s="37" t="inlineStr">
        <is>
          <t>u</t>
        </is>
      </c>
      <c r="H124" s="18" t="inlineStr">
        <is>
          <t>Nuevo (R: cambio sistemático)</t>
        </is>
      </c>
      <c r="I124" s="18" t="inlineStr"/>
      <c r="J124" s="37" t="inlineStr">
        <is>
          <t>Sí</t>
        </is>
      </c>
      <c r="K124" s="18" t="inlineStr">
        <is>
          <t>Argensold</t>
        </is>
      </c>
      <c r="L124" s="18" t="inlineStr">
        <is>
          <t>Matafuegos Iglesias</t>
        </is>
      </c>
    </row>
    <row r="125">
      <c r="A125" s="32" t="inlineStr">
        <is>
          <t>RK-ABC10-A</t>
        </is>
      </c>
      <c r="B125" s="32" t="inlineStr">
        <is>
          <t>FL_MAT_ABC_10kg</t>
        </is>
      </c>
      <c r="C125" s="32" t="inlineStr">
        <is>
          <t>Extintor ABC 10 kg</t>
        </is>
      </c>
      <c r="D125" s="17" t="inlineStr">
        <is>
          <t>A - Extintor descargado (uso o descarga parcial)</t>
        </is>
      </c>
      <c r="E125" s="17" t="inlineStr">
        <is>
          <t>Gas impulsor: N₂</t>
        </is>
      </c>
      <c r="F125" s="32" t="n">
        <v>0.0588</v>
      </c>
      <c r="G125" s="32" t="inlineStr">
        <is>
          <t>kg</t>
        </is>
      </c>
      <c r="H125" s="17" t="inlineStr">
        <is>
          <t>Nuevo</t>
        </is>
      </c>
      <c r="I125" s="17" t="inlineStr">
        <is>
          <t>IRAM 3517-2:2020 9.4.9 tabla 2</t>
        </is>
      </c>
      <c r="J125" s="32" t="inlineStr">
        <is>
          <t>Sí</t>
        </is>
      </c>
      <c r="K125" s="17" t="inlineStr">
        <is>
          <t>Air Liquide Argentina - sucursal Piñeyro</t>
        </is>
      </c>
      <c r="L125" s="17" t="inlineStr">
        <is>
          <t>Gogniat</t>
        </is>
      </c>
    </row>
    <row r="126">
      <c r="A126" s="32" t="inlineStr">
        <is>
          <t>RK-ABC10-B</t>
        </is>
      </c>
      <c r="B126" s="32" t="inlineStr">
        <is>
          <t>FL_MAT_ABC_10kg</t>
        </is>
      </c>
      <c r="C126" s="32" t="inlineStr">
        <is>
          <t>Extintor ABC 10 kg</t>
        </is>
      </c>
      <c r="D126" s="17" t="inlineStr">
        <is>
          <t>B - Mantenimiento con apertura sin descarga (control interior, PH)</t>
        </is>
      </c>
      <c r="E126" s="17" t="inlineStr">
        <is>
          <t>Polvo químico seco ABC 60 (Sello IRAM 3569) recuperado</t>
        </is>
      </c>
      <c r="F126" s="32" t="n">
        <v>10</v>
      </c>
      <c r="G126" s="32" t="inlineStr">
        <is>
          <t>kg</t>
        </is>
      </c>
      <c r="H126" s="17" t="inlineStr">
        <is>
          <t>Recuperado en sistema cerrado</t>
        </is>
      </c>
      <c r="I126" s="17" t="inlineStr">
        <is>
          <t>IRAM 3517-2:2020 4.4.1 y) sistema cerrado de recuperación con inspección; 9.9.3 control (puffer IRAM 3672, fusión IRAM 3569 en ABC)</t>
        </is>
      </c>
      <c r="J126" s="32" t="inlineStr">
        <is>
          <t>No</t>
        </is>
      </c>
      <c r="K126" s="17" t="n"/>
      <c r="L126" s="17" t="n"/>
    </row>
    <row r="127">
      <c r="A127" s="32" t="inlineStr">
        <is>
          <t>RK-ABC10-B</t>
        </is>
      </c>
      <c r="B127" s="32" t="inlineStr">
        <is>
          <t>FL_MAT_ABC_10kg</t>
        </is>
      </c>
      <c r="C127" s="32" t="inlineStr">
        <is>
          <t>Extintor ABC 10 kg</t>
        </is>
      </c>
      <c r="D127" s="17" t="inlineStr">
        <is>
          <t>B - Mantenimiento con apertura sin descarga (control interior, PH)</t>
        </is>
      </c>
      <c r="E127" s="17" t="inlineStr">
        <is>
          <t>Polvo químico seco ABC 60 (Sello IRAM 3569)</t>
        </is>
      </c>
      <c r="F127" s="32" t="n">
        <v>0.15</v>
      </c>
      <c r="G127" s="32" t="inlineStr">
        <is>
          <t>kg</t>
        </is>
      </c>
      <c r="H127" s="17" t="inlineStr">
        <is>
          <t>Nuevo: reposición = carga objetivo − límite inferior de 0 / +300 g (cota superior)</t>
        </is>
      </c>
      <c r="I127" s="17" t="inlineStr">
        <is>
          <t>IRAM 3517-2:2020 9.4.12 tabla 3 · anexo F; mismo tipo y marca (prohibido mezclar ABC con BC, 9.9.1.6)</t>
        </is>
      </c>
      <c r="J127" s="32" t="inlineStr">
        <is>
          <t>Sí</t>
        </is>
      </c>
      <c r="K127" s="17" t="inlineStr">
        <is>
          <t>DEM S.A. (DEMSA)</t>
        </is>
      </c>
      <c r="L127" s="17" t="inlineStr">
        <is>
          <t>Polvex S.R.L. / Sancibrao</t>
        </is>
      </c>
    </row>
    <row r="128">
      <c r="A128" s="32" t="inlineStr">
        <is>
          <t>RK-ABC10-B</t>
        </is>
      </c>
      <c r="B128" s="32" t="inlineStr">
        <is>
          <t>FL_MAT_ABC_10kg</t>
        </is>
      </c>
      <c r="C128" s="32" t="inlineStr">
        <is>
          <t>Extintor ABC 10 kg</t>
        </is>
      </c>
      <c r="D128" s="17" t="inlineStr">
        <is>
          <t>B - Mantenimiento con apertura sin descarga (control interior, PH)</t>
        </is>
      </c>
      <c r="E128" s="17" t="inlineStr">
        <is>
          <t>Precinto plástico numerado, color, con nombre del recargador</t>
        </is>
      </c>
      <c r="F128" s="32" t="n">
        <v>1</v>
      </c>
      <c r="G128" s="32" t="inlineStr">
        <is>
          <t>u</t>
        </is>
      </c>
      <c r="H128" s="17" t="inlineStr">
        <is>
          <t>Nuevo</t>
        </is>
      </c>
      <c r="I128" s="17" t="inlineStr">
        <is>
          <t>IRAM 3517-2:2020 9.4.13</t>
        </is>
      </c>
      <c r="J128" s="32" t="inlineStr">
        <is>
          <t>Sí</t>
        </is>
      </c>
      <c r="K128" s="17" t="inlineStr">
        <is>
          <t>SonFuertes (vía Papelera Damián)</t>
        </is>
      </c>
      <c r="L128" s="17" t="inlineStr">
        <is>
          <t>Precinter S.R.L.</t>
        </is>
      </c>
    </row>
    <row r="129">
      <c r="A129" s="32" t="inlineStr">
        <is>
          <t>RK-ABC10-B</t>
        </is>
      </c>
      <c r="B129" s="32" t="inlineStr">
        <is>
          <t>FL_MAT_ABC_10kg</t>
        </is>
      </c>
      <c r="C129" s="32" t="inlineStr">
        <is>
          <t>Extintor ABC 10 kg</t>
        </is>
      </c>
      <c r="D129" s="17" t="inlineStr">
        <is>
          <t>B - Mantenimiento con apertura sin descarga (control interior, PH)</t>
        </is>
      </c>
      <c r="E129" s="17" t="inlineStr">
        <is>
          <t>Marbete (anillo, color del año)</t>
        </is>
      </c>
      <c r="F129" s="32" t="n">
        <v>1</v>
      </c>
      <c r="G129" s="32" t="inlineStr">
        <is>
          <t>u</t>
        </is>
      </c>
      <c r="H129" s="17" t="inlineStr">
        <is>
          <t>Nuevo</t>
        </is>
      </c>
      <c r="I129" s="17" t="inlineStr">
        <is>
          <t>IRAM 3517-2:2020 9.6 · anexo E</t>
        </is>
      </c>
      <c r="J129" s="32" t="inlineStr">
        <is>
          <t>Sí</t>
        </is>
      </c>
      <c r="K129" s="17" t="inlineStr">
        <is>
          <t>Astuprint</t>
        </is>
      </c>
      <c r="L129" s="17" t="inlineStr">
        <is>
          <t>Multilabel Argentina S.A.</t>
        </is>
      </c>
    </row>
    <row r="130">
      <c r="A130" s="32" t="inlineStr">
        <is>
          <t>RK-ABC10-B</t>
        </is>
      </c>
      <c r="B130" s="32" t="inlineStr">
        <is>
          <t>FL_MAT_ABC_10kg</t>
        </is>
      </c>
      <c r="C130" s="32" t="inlineStr">
        <is>
          <t>Extintor ABC 10 kg</t>
        </is>
      </c>
      <c r="D130" s="17" t="inlineStr">
        <is>
          <t>B - Mantenimiento con apertura sin descarga (control interior, PH)</t>
        </is>
      </c>
      <c r="E130" s="17" t="inlineStr">
        <is>
          <t>Etiqueta de servicio del recargador (extintor n°, serie, próxima recarga y PH)</t>
        </is>
      </c>
      <c r="F130" s="32" t="n">
        <v>1</v>
      </c>
      <c r="G130" s="32" t="inlineStr">
        <is>
          <t>u</t>
        </is>
      </c>
      <c r="H130" s="17" t="inlineStr">
        <is>
          <t>Nuevo</t>
        </is>
      </c>
      <c r="I130" s="17" t="inlineStr">
        <is>
          <t>IRAM 3517-2:2020 9.4.14 · relevado Suyai/Firegram</t>
        </is>
      </c>
      <c r="J130" s="32" t="inlineStr">
        <is>
          <t>Sí</t>
        </is>
      </c>
      <c r="K130" s="17" t="inlineStr">
        <is>
          <t>Astuprint</t>
        </is>
      </c>
      <c r="L130" s="17" t="inlineStr">
        <is>
          <t>Multilabel Argentina S.A.</t>
        </is>
      </c>
    </row>
    <row r="131">
      <c r="A131" s="32" t="inlineStr">
        <is>
          <t>RK-ABC10-B</t>
        </is>
      </c>
      <c r="B131" s="32" t="inlineStr">
        <is>
          <t>FL_MAT_ABC_10kg</t>
        </is>
      </c>
      <c r="C131" s="32" t="inlineStr">
        <is>
          <t>Extintor ABC 10 kg</t>
        </is>
      </c>
      <c r="D131" s="17" t="inlineStr">
        <is>
          <t>B - Mantenimiento con apertura sin descarga (control interior, PH)</t>
        </is>
      </c>
      <c r="E131" s="17" t="inlineStr">
        <is>
          <t>Oblea PBA de recarga Ø46 + estampilla precinto 1" × 200 mm válvula-cuerpo</t>
        </is>
      </c>
      <c r="F131" s="32" t="n">
        <v>1</v>
      </c>
      <c r="G131" s="32" t="inlineStr">
        <is>
          <t>u</t>
        </is>
      </c>
      <c r="H131" s="17" t="inlineStr">
        <is>
          <t>Nuevo (venta en PBA)</t>
        </is>
      </c>
      <c r="I131" s="17" t="inlineStr">
        <is>
          <t>IRAM 3517-2:2020 Res. OPDS 522/07</t>
        </is>
      </c>
      <c r="J131" s="32" t="inlineStr">
        <is>
          <t>Sí</t>
        </is>
      </c>
      <c r="K131" s="17" t="inlineStr">
        <is>
          <t>Ministerio de Ambiente PBA (ex OPDS)</t>
        </is>
      </c>
      <c r="L131" s="17" t="inlineStr">
        <is>
          <t>-</t>
        </is>
      </c>
    </row>
    <row r="132">
      <c r="A132" s="32" t="inlineStr">
        <is>
          <t>RK-ABC10-B</t>
        </is>
      </c>
      <c r="B132" s="32" t="inlineStr">
        <is>
          <t>FL_MAT_ABC_10kg</t>
        </is>
      </c>
      <c r="C132" s="32" t="inlineStr">
        <is>
          <t>Extintor ABC 10 kg</t>
        </is>
      </c>
      <c r="D132" s="17" t="inlineStr">
        <is>
          <t>B - Mantenimiento con apertura sin descarga (control interior, PH)</t>
        </is>
      </c>
      <c r="E132" s="17" t="inlineStr">
        <is>
          <t>Tarjeta de identificación AGC (módulo papel con QR + etiqueta AGC)</t>
        </is>
      </c>
      <c r="F132" s="32" t="n">
        <v>1</v>
      </c>
      <c r="G132" s="32" t="inlineStr">
        <is>
          <t>u</t>
        </is>
      </c>
      <c r="H132" s="17" t="inlineStr">
        <is>
          <t>Nuevo (destino CABA)</t>
        </is>
      </c>
      <c r="I132" s="17" t="inlineStr">
        <is>
          <t>IRAM 3517-2:2020 Ord. 40.473 art. 6 · Res. AGC 32/15</t>
        </is>
      </c>
      <c r="J132" s="32" t="inlineStr">
        <is>
          <t>Sí</t>
        </is>
      </c>
      <c r="K132" s="17" t="inlineStr">
        <is>
          <t>Agencia Gubernamental de Control (CABA)</t>
        </is>
      </c>
      <c r="L132" s="17" t="inlineStr">
        <is>
          <t>-</t>
        </is>
      </c>
    </row>
    <row r="133">
      <c r="A133" s="32" t="inlineStr">
        <is>
          <t>RK-ABC10-B</t>
        </is>
      </c>
      <c r="B133" s="32" t="inlineStr">
        <is>
          <t>FL_MAT_ABC_10kg</t>
        </is>
      </c>
      <c r="C133" s="32" t="inlineStr">
        <is>
          <t>Extintor ABC 10 kg</t>
        </is>
      </c>
      <c r="D133" s="17" t="inlineStr">
        <is>
          <t>B - Mantenimiento con apertura sin descarga (control interior, PH)</t>
        </is>
      </c>
      <c r="E133" s="17" t="inlineStr">
        <is>
          <t>Tarjeta de identificación DPS de revisión / recarga</t>
        </is>
      </c>
      <c r="F133" s="32" t="n">
        <v>1</v>
      </c>
      <c r="G133" s="32" t="inlineStr">
        <is>
          <t>u</t>
        </is>
      </c>
      <c r="H133" s="17" t="inlineStr">
        <is>
          <t>Nuevo (PBA)</t>
        </is>
      </c>
      <c r="I133" s="17" t="inlineStr">
        <is>
          <t>IRAM 3517-2:2020 Res. 349/07 art. 21</t>
        </is>
      </c>
      <c r="J133" s="32" t="inlineStr">
        <is>
          <t>Sí</t>
        </is>
      </c>
      <c r="K133" s="17" t="inlineStr">
        <is>
          <t>Ministerio de Ambiente PBA (ex OPDS)</t>
        </is>
      </c>
      <c r="L133" s="17" t="inlineStr">
        <is>
          <t>-</t>
        </is>
      </c>
    </row>
    <row r="134">
      <c r="A134" s="32" t="inlineStr">
        <is>
          <t>RK-ABC10-B</t>
        </is>
      </c>
      <c r="B134" s="32" t="inlineStr">
        <is>
          <t>FL_MAT_ABC_10kg</t>
        </is>
      </c>
      <c r="C134" s="32" t="inlineStr">
        <is>
          <t>Extintor ABC 10 kg</t>
        </is>
      </c>
      <c r="D134" s="17" t="inlineStr">
        <is>
          <t>B - Mantenimiento con apertura sin descarga (control interior, PH)</t>
        </is>
      </c>
      <c r="E134" s="17" t="inlineStr">
        <is>
          <t>Grabado de la fecha del servicio en el tubo de pesca (lápiz vibratorio; en polvo, marcador indeleble)</t>
        </is>
      </c>
      <c r="F134" s="32" t="n">
        <v>1</v>
      </c>
      <c r="G134" s="32" t="inlineStr">
        <is>
          <t>u</t>
        </is>
      </c>
      <c r="H134" s="17" t="inlineStr">
        <is>
          <t>Proceso</t>
        </is>
      </c>
      <c r="I134" s="17" t="inlineStr">
        <is>
          <t>IRAM 3517-2:2020 Res. 349/07 art. 28</t>
        </is>
      </c>
      <c r="J134" s="32" t="inlineStr">
        <is>
          <t>No</t>
        </is>
      </c>
      <c r="K134" s="17" t="n"/>
      <c r="L134" s="17" t="n"/>
    </row>
    <row r="135">
      <c r="A135" s="32" t="inlineStr">
        <is>
          <t>RK-ABC10-B</t>
        </is>
      </c>
      <c r="B135" s="32" t="inlineStr">
        <is>
          <t>FL_MAT_ABC_10kg</t>
        </is>
      </c>
      <c r="C135" s="32" t="inlineStr">
        <is>
          <t>Extintor ABC 10 kg</t>
        </is>
      </c>
      <c r="D135" s="17" t="inlineStr">
        <is>
          <t>B - Mantenimiento con apertura sin descarga (control interior, PH)</t>
        </is>
      </c>
      <c r="E135" s="17" t="inlineStr">
        <is>
          <t>Si hubo PH: oblea de vencimiento de PH + «PH» y fecha grabados en el tubo de pesca (CO₂: fecha y logo estampados en la ojiva)</t>
        </is>
      </c>
      <c r="F135" s="32" t="n">
        <v>1</v>
      </c>
      <c r="G135" s="32" t="inlineStr">
        <is>
          <t>u</t>
        </is>
      </c>
      <c r="H135" s="17" t="inlineStr">
        <is>
          <t>Proceso</t>
        </is>
      </c>
      <c r="I135" s="17" t="inlineStr">
        <is>
          <t>IRAM 3517-2:2020 Res. 349/07 art. 29 · IRAM 3517-2</t>
        </is>
      </c>
      <c r="J135" s="32" t="inlineStr">
        <is>
          <t>No</t>
        </is>
      </c>
      <c r="K135" s="17" t="n"/>
      <c r="L135" s="17" t="n"/>
    </row>
    <row r="136">
      <c r="A136" s="37" t="inlineStr">
        <is>
          <t>RK-ABC10-B</t>
        </is>
      </c>
      <c r="B136" s="37" t="inlineStr">
        <is>
          <t>FL_MAT_ABC_10kg</t>
        </is>
      </c>
      <c r="C136" s="37" t="inlineStr">
        <is>
          <t>Extintor ABC 10 kg</t>
        </is>
      </c>
      <c r="D136" s="18" t="inlineStr">
        <is>
          <t>B - Mantenimiento con apertura sin descarga (control interior, PH)</t>
        </is>
      </c>
      <c r="E136" s="18" t="inlineStr">
        <is>
          <t>Junta tórica de asiento del cuello</t>
        </is>
      </c>
      <c r="F136" s="37" t="n">
        <v>1</v>
      </c>
      <c r="G136" s="37" t="inlineStr">
        <is>
          <t>u</t>
        </is>
      </c>
      <c r="H136" s="18" t="inlineStr">
        <is>
          <t>Nuevo (R: cambio sistemático)</t>
        </is>
      </c>
      <c r="I136" s="18" t="inlineStr"/>
      <c r="J136" s="37" t="inlineStr">
        <is>
          <t>Sí</t>
        </is>
      </c>
      <c r="K136" s="18" t="inlineStr">
        <is>
          <t>Argensold</t>
        </is>
      </c>
      <c r="L136" s="18" t="inlineStr">
        <is>
          <t>Matafuegos Iglesias</t>
        </is>
      </c>
    </row>
    <row r="137">
      <c r="A137" s="32" t="inlineStr">
        <is>
          <t>RK-ABC10-B</t>
        </is>
      </c>
      <c r="B137" s="32" t="inlineStr">
        <is>
          <t>FL_MAT_ABC_10kg</t>
        </is>
      </c>
      <c r="C137" s="32" t="inlineStr">
        <is>
          <t>Extintor ABC 10 kg</t>
        </is>
      </c>
      <c r="D137" s="17" t="inlineStr">
        <is>
          <t>B - Mantenimiento con apertura sin descarga (control interior, PH)</t>
        </is>
      </c>
      <c r="E137" s="17" t="inlineStr">
        <is>
          <t>Gas impulsor: N₂</t>
        </is>
      </c>
      <c r="F137" s="32" t="n">
        <v>0.0588</v>
      </c>
      <c r="G137" s="32" t="inlineStr">
        <is>
          <t>kg</t>
        </is>
      </c>
      <c r="H137" s="17" t="inlineStr">
        <is>
          <t>Nuevo</t>
        </is>
      </c>
      <c r="I137" s="17" t="inlineStr">
        <is>
          <t>IRAM 3517-2:2020 9.4.9 tabla 2</t>
        </is>
      </c>
      <c r="J137" s="32" t="inlineStr">
        <is>
          <t>Sí</t>
        </is>
      </c>
      <c r="K137" s="17" t="inlineStr">
        <is>
          <t>Air Liquide Argentina - sucursal Piñeyro</t>
        </is>
      </c>
      <c r="L137" s="17" t="inlineStr">
        <is>
          <t>Gogniat</t>
        </is>
      </c>
    </row>
    <row r="138">
      <c r="A138" s="32" t="inlineStr">
        <is>
          <t>RK-ABC10-C</t>
        </is>
      </c>
      <c r="B138" s="32" t="inlineStr">
        <is>
          <t>FL_MAT_ABC_10kg</t>
        </is>
      </c>
      <c r="C138" s="32" t="inlineStr">
        <is>
          <t>Extintor ABC 10 kg</t>
        </is>
      </c>
      <c r="D138" s="17" t="inlineStr">
        <is>
          <t>C - Cambio obligatorio de polvo (versión anterior de la IRAM 3569)</t>
        </is>
      </c>
      <c r="E138" s="17" t="inlineStr">
        <is>
          <t>Polvo químico seco ABC 60 (Sello IRAM 3569)</t>
        </is>
      </c>
      <c r="F138" s="32" t="n">
        <v>10.15</v>
      </c>
      <c r="G138" s="32" t="inlineStr">
        <is>
          <t>kg</t>
        </is>
      </c>
      <c r="H138" s="17" t="inlineStr">
        <is>
          <t>Nuevo 100 %; el viejo va a residuos (RC-IR)</t>
        </is>
      </c>
      <c r="I138" s="17" t="inlineStr">
        <is>
          <t>IRAM 3517-2:2020 9.9.4</t>
        </is>
      </c>
      <c r="J138" s="32" t="inlineStr">
        <is>
          <t>Sí</t>
        </is>
      </c>
      <c r="K138" s="17" t="inlineStr">
        <is>
          <t>DEM S.A. (DEMSA)</t>
        </is>
      </c>
      <c r="L138" s="17" t="inlineStr">
        <is>
          <t>Polvex S.R.L. / Sancibrao</t>
        </is>
      </c>
    </row>
    <row r="139">
      <c r="A139" s="32" t="inlineStr">
        <is>
          <t>RK-ABC10-C</t>
        </is>
      </c>
      <c r="B139" s="32" t="inlineStr">
        <is>
          <t>FL_MAT_ABC_10kg</t>
        </is>
      </c>
      <c r="C139" s="32" t="inlineStr">
        <is>
          <t>Extintor ABC 10 kg</t>
        </is>
      </c>
      <c r="D139" s="17" t="inlineStr">
        <is>
          <t>C - Cambio obligatorio de polvo (versión anterior de la IRAM 3569)</t>
        </is>
      </c>
      <c r="E139" s="17" t="inlineStr">
        <is>
          <t>Precinto plástico numerado, color, con nombre del recargador</t>
        </is>
      </c>
      <c r="F139" s="32" t="n">
        <v>1</v>
      </c>
      <c r="G139" s="32" t="inlineStr">
        <is>
          <t>u</t>
        </is>
      </c>
      <c r="H139" s="17" t="inlineStr">
        <is>
          <t>Nuevo</t>
        </is>
      </c>
      <c r="I139" s="17" t="inlineStr">
        <is>
          <t>IRAM 3517-2:2020 9.4.13</t>
        </is>
      </c>
      <c r="J139" s="32" t="inlineStr">
        <is>
          <t>Sí</t>
        </is>
      </c>
      <c r="K139" s="17" t="inlineStr">
        <is>
          <t>SonFuertes (vía Papelera Damián)</t>
        </is>
      </c>
      <c r="L139" s="17" t="inlineStr">
        <is>
          <t>Precinter S.R.L.</t>
        </is>
      </c>
    </row>
    <row r="140">
      <c r="A140" s="32" t="inlineStr">
        <is>
          <t>RK-ABC10-C</t>
        </is>
      </c>
      <c r="B140" s="32" t="inlineStr">
        <is>
          <t>FL_MAT_ABC_10kg</t>
        </is>
      </c>
      <c r="C140" s="32" t="inlineStr">
        <is>
          <t>Extintor ABC 10 kg</t>
        </is>
      </c>
      <c r="D140" s="17" t="inlineStr">
        <is>
          <t>C - Cambio obligatorio de polvo (versión anterior de la IRAM 3569)</t>
        </is>
      </c>
      <c r="E140" s="17" t="inlineStr">
        <is>
          <t>Marbete (anillo, color del año)</t>
        </is>
      </c>
      <c r="F140" s="32" t="n">
        <v>1</v>
      </c>
      <c r="G140" s="32" t="inlineStr">
        <is>
          <t>u</t>
        </is>
      </c>
      <c r="H140" s="17" t="inlineStr">
        <is>
          <t>Nuevo</t>
        </is>
      </c>
      <c r="I140" s="17" t="inlineStr">
        <is>
          <t>IRAM 3517-2:2020 9.6 · anexo E</t>
        </is>
      </c>
      <c r="J140" s="32" t="inlineStr">
        <is>
          <t>Sí</t>
        </is>
      </c>
      <c r="K140" s="17" t="inlineStr">
        <is>
          <t>Astuprint</t>
        </is>
      </c>
      <c r="L140" s="17" t="inlineStr">
        <is>
          <t>Multilabel Argentina S.A.</t>
        </is>
      </c>
    </row>
    <row r="141">
      <c r="A141" s="32" t="inlineStr">
        <is>
          <t>RK-ABC10-C</t>
        </is>
      </c>
      <c r="B141" s="32" t="inlineStr">
        <is>
          <t>FL_MAT_ABC_10kg</t>
        </is>
      </c>
      <c r="C141" s="32" t="inlineStr">
        <is>
          <t>Extintor ABC 10 kg</t>
        </is>
      </c>
      <c r="D141" s="17" t="inlineStr">
        <is>
          <t>C - Cambio obligatorio de polvo (versión anterior de la IRAM 3569)</t>
        </is>
      </c>
      <c r="E141" s="17" t="inlineStr">
        <is>
          <t>Etiqueta de servicio del recargador (extintor n°, serie, próxima recarga y PH)</t>
        </is>
      </c>
      <c r="F141" s="32" t="n">
        <v>1</v>
      </c>
      <c r="G141" s="32" t="inlineStr">
        <is>
          <t>u</t>
        </is>
      </c>
      <c r="H141" s="17" t="inlineStr">
        <is>
          <t>Nuevo</t>
        </is>
      </c>
      <c r="I141" s="17" t="inlineStr">
        <is>
          <t>IRAM 3517-2:2020 9.4.14 · relevado Suyai/Firegram</t>
        </is>
      </c>
      <c r="J141" s="32" t="inlineStr">
        <is>
          <t>Sí</t>
        </is>
      </c>
      <c r="K141" s="17" t="inlineStr">
        <is>
          <t>Astuprint</t>
        </is>
      </c>
      <c r="L141" s="17" t="inlineStr">
        <is>
          <t>Multilabel Argentina S.A.</t>
        </is>
      </c>
    </row>
    <row r="142">
      <c r="A142" s="32" t="inlineStr">
        <is>
          <t>RK-ABC10-C</t>
        </is>
      </c>
      <c r="B142" s="32" t="inlineStr">
        <is>
          <t>FL_MAT_ABC_10kg</t>
        </is>
      </c>
      <c r="C142" s="32" t="inlineStr">
        <is>
          <t>Extintor ABC 10 kg</t>
        </is>
      </c>
      <c r="D142" s="17" t="inlineStr">
        <is>
          <t>C - Cambio obligatorio de polvo (versión anterior de la IRAM 3569)</t>
        </is>
      </c>
      <c r="E142" s="17" t="inlineStr">
        <is>
          <t>Oblea PBA de recarga Ø46 + estampilla precinto 1" × 200 mm válvula-cuerpo</t>
        </is>
      </c>
      <c r="F142" s="32" t="n">
        <v>1</v>
      </c>
      <c r="G142" s="32" t="inlineStr">
        <is>
          <t>u</t>
        </is>
      </c>
      <c r="H142" s="17" t="inlineStr">
        <is>
          <t>Nuevo (venta en PBA)</t>
        </is>
      </c>
      <c r="I142" s="17" t="inlineStr">
        <is>
          <t>IRAM 3517-2:2020 Res. OPDS 522/07</t>
        </is>
      </c>
      <c r="J142" s="32" t="inlineStr">
        <is>
          <t>Sí</t>
        </is>
      </c>
      <c r="K142" s="17" t="inlineStr">
        <is>
          <t>Ministerio de Ambiente PBA (ex OPDS)</t>
        </is>
      </c>
      <c r="L142" s="17" t="inlineStr">
        <is>
          <t>-</t>
        </is>
      </c>
    </row>
    <row r="143">
      <c r="A143" s="32" t="inlineStr">
        <is>
          <t>RK-ABC10-C</t>
        </is>
      </c>
      <c r="B143" s="32" t="inlineStr">
        <is>
          <t>FL_MAT_ABC_10kg</t>
        </is>
      </c>
      <c r="C143" s="32" t="inlineStr">
        <is>
          <t>Extintor ABC 10 kg</t>
        </is>
      </c>
      <c r="D143" s="17" t="inlineStr">
        <is>
          <t>C - Cambio obligatorio de polvo (versión anterior de la IRAM 3569)</t>
        </is>
      </c>
      <c r="E143" s="17" t="inlineStr">
        <is>
          <t>Tarjeta de identificación AGC (módulo papel con QR + etiqueta AGC)</t>
        </is>
      </c>
      <c r="F143" s="32" t="n">
        <v>1</v>
      </c>
      <c r="G143" s="32" t="inlineStr">
        <is>
          <t>u</t>
        </is>
      </c>
      <c r="H143" s="17" t="inlineStr">
        <is>
          <t>Nuevo (destino CABA)</t>
        </is>
      </c>
      <c r="I143" s="17" t="inlineStr">
        <is>
          <t>IRAM 3517-2:2020 Ord. 40.473 art. 6 · Res. AGC 32/15</t>
        </is>
      </c>
      <c r="J143" s="32" t="inlineStr">
        <is>
          <t>Sí</t>
        </is>
      </c>
      <c r="K143" s="17" t="inlineStr">
        <is>
          <t>Agencia Gubernamental de Control (CABA)</t>
        </is>
      </c>
      <c r="L143" s="17" t="inlineStr">
        <is>
          <t>-</t>
        </is>
      </c>
    </row>
    <row r="144">
      <c r="A144" s="32" t="inlineStr">
        <is>
          <t>RK-ABC10-C</t>
        </is>
      </c>
      <c r="B144" s="32" t="inlineStr">
        <is>
          <t>FL_MAT_ABC_10kg</t>
        </is>
      </c>
      <c r="C144" s="32" t="inlineStr">
        <is>
          <t>Extintor ABC 10 kg</t>
        </is>
      </c>
      <c r="D144" s="17" t="inlineStr">
        <is>
          <t>C - Cambio obligatorio de polvo (versión anterior de la IRAM 3569)</t>
        </is>
      </c>
      <c r="E144" s="17" t="inlineStr">
        <is>
          <t>Tarjeta de identificación DPS de revisión / recarga</t>
        </is>
      </c>
      <c r="F144" s="32" t="n">
        <v>1</v>
      </c>
      <c r="G144" s="32" t="inlineStr">
        <is>
          <t>u</t>
        </is>
      </c>
      <c r="H144" s="17" t="inlineStr">
        <is>
          <t>Nuevo (PBA)</t>
        </is>
      </c>
      <c r="I144" s="17" t="inlineStr">
        <is>
          <t>IRAM 3517-2:2020 Res. 349/07 art. 21</t>
        </is>
      </c>
      <c r="J144" s="32" t="inlineStr">
        <is>
          <t>Sí</t>
        </is>
      </c>
      <c r="K144" s="17" t="inlineStr">
        <is>
          <t>Ministerio de Ambiente PBA (ex OPDS)</t>
        </is>
      </c>
      <c r="L144" s="17" t="inlineStr">
        <is>
          <t>-</t>
        </is>
      </c>
    </row>
    <row r="145">
      <c r="A145" s="32" t="inlineStr">
        <is>
          <t>RK-ABC10-C</t>
        </is>
      </c>
      <c r="B145" s="32" t="inlineStr">
        <is>
          <t>FL_MAT_ABC_10kg</t>
        </is>
      </c>
      <c r="C145" s="32" t="inlineStr">
        <is>
          <t>Extintor ABC 10 kg</t>
        </is>
      </c>
      <c r="D145" s="17" t="inlineStr">
        <is>
          <t>C - Cambio obligatorio de polvo (versión anterior de la IRAM 3569)</t>
        </is>
      </c>
      <c r="E145" s="17" t="inlineStr">
        <is>
          <t>Grabado de la fecha del servicio en el tubo de pesca (lápiz vibratorio; en polvo, marcador indeleble)</t>
        </is>
      </c>
      <c r="F145" s="32" t="n">
        <v>1</v>
      </c>
      <c r="G145" s="32" t="inlineStr">
        <is>
          <t>u</t>
        </is>
      </c>
      <c r="H145" s="17" t="inlineStr">
        <is>
          <t>Proceso</t>
        </is>
      </c>
      <c r="I145" s="17" t="inlineStr">
        <is>
          <t>IRAM 3517-2:2020 Res. 349/07 art. 28</t>
        </is>
      </c>
      <c r="J145" s="32" t="inlineStr">
        <is>
          <t>No</t>
        </is>
      </c>
      <c r="K145" s="17" t="n"/>
      <c r="L145" s="17" t="n"/>
    </row>
    <row r="146">
      <c r="A146" s="32" t="inlineStr">
        <is>
          <t>RK-ABC10-C</t>
        </is>
      </c>
      <c r="B146" s="32" t="inlineStr">
        <is>
          <t>FL_MAT_ABC_10kg</t>
        </is>
      </c>
      <c r="C146" s="32" t="inlineStr">
        <is>
          <t>Extintor ABC 10 kg</t>
        </is>
      </c>
      <c r="D146" s="17" t="inlineStr">
        <is>
          <t>C - Cambio obligatorio de polvo (versión anterior de la IRAM 3569)</t>
        </is>
      </c>
      <c r="E146" s="17" t="inlineStr">
        <is>
          <t>Si hubo PH: oblea de vencimiento de PH + «PH» y fecha grabados en el tubo de pesca (CO₂: fecha y logo estampados en la ojiva)</t>
        </is>
      </c>
      <c r="F146" s="32" t="n">
        <v>1</v>
      </c>
      <c r="G146" s="32" t="inlineStr">
        <is>
          <t>u</t>
        </is>
      </c>
      <c r="H146" s="17" t="inlineStr">
        <is>
          <t>Proceso</t>
        </is>
      </c>
      <c r="I146" s="17" t="inlineStr">
        <is>
          <t>IRAM 3517-2:2020 Res. 349/07 art. 29 · IRAM 3517-2</t>
        </is>
      </c>
      <c r="J146" s="32" t="inlineStr">
        <is>
          <t>No</t>
        </is>
      </c>
      <c r="K146" s="17" t="n"/>
      <c r="L146" s="17" t="n"/>
    </row>
    <row r="147">
      <c r="A147" s="37" t="inlineStr">
        <is>
          <t>RK-ABC10-C</t>
        </is>
      </c>
      <c r="B147" s="37" t="inlineStr">
        <is>
          <t>FL_MAT_ABC_10kg</t>
        </is>
      </c>
      <c r="C147" s="37" t="inlineStr">
        <is>
          <t>Extintor ABC 10 kg</t>
        </is>
      </c>
      <c r="D147" s="18" t="inlineStr">
        <is>
          <t>C - Cambio obligatorio de polvo (versión anterior de la IRAM 3569)</t>
        </is>
      </c>
      <c r="E147" s="18" t="inlineStr">
        <is>
          <t>Junta tórica de asiento del cuello</t>
        </is>
      </c>
      <c r="F147" s="37" t="n">
        <v>1</v>
      </c>
      <c r="G147" s="37" t="inlineStr">
        <is>
          <t>u</t>
        </is>
      </c>
      <c r="H147" s="18" t="inlineStr">
        <is>
          <t>Nuevo (R: cambio sistemático)</t>
        </is>
      </c>
      <c r="I147" s="18" t="inlineStr"/>
      <c r="J147" s="37" t="inlineStr">
        <is>
          <t>Sí</t>
        </is>
      </c>
      <c r="K147" s="18" t="inlineStr">
        <is>
          <t>Argensold</t>
        </is>
      </c>
      <c r="L147" s="18" t="inlineStr">
        <is>
          <t>Matafuegos Iglesias</t>
        </is>
      </c>
    </row>
    <row r="148">
      <c r="A148" s="32" t="inlineStr">
        <is>
          <t>RK-ABC10-C</t>
        </is>
      </c>
      <c r="B148" s="32" t="inlineStr">
        <is>
          <t>FL_MAT_ABC_10kg</t>
        </is>
      </c>
      <c r="C148" s="32" t="inlineStr">
        <is>
          <t>Extintor ABC 10 kg</t>
        </is>
      </c>
      <c r="D148" s="17" t="inlineStr">
        <is>
          <t>C - Cambio obligatorio de polvo (versión anterior de la IRAM 3569)</t>
        </is>
      </c>
      <c r="E148" s="17" t="inlineStr">
        <is>
          <t>Gas impulsor: N₂</t>
        </is>
      </c>
      <c r="F148" s="32" t="n">
        <v>0.0588</v>
      </c>
      <c r="G148" s="32" t="inlineStr">
        <is>
          <t>kg</t>
        </is>
      </c>
      <c r="H148" s="17" t="inlineStr">
        <is>
          <t>Nuevo</t>
        </is>
      </c>
      <c r="I148" s="17" t="inlineStr">
        <is>
          <t>IRAM 3517-2:2020 9.4.9 tabla 2</t>
        </is>
      </c>
      <c r="J148" s="32" t="inlineStr">
        <is>
          <t>Sí</t>
        </is>
      </c>
      <c r="K148" s="17" t="inlineStr">
        <is>
          <t>Air Liquide Argentina - sucursal Piñeyro</t>
        </is>
      </c>
      <c r="L148" s="17" t="inlineStr">
        <is>
          <t>Gogniat</t>
        </is>
      </c>
    </row>
    <row r="149">
      <c r="A149" s="32" t="inlineStr">
        <is>
          <t>RK-ABC10-I</t>
        </is>
      </c>
      <c r="B149" s="32" t="inlineStr">
        <is>
          <t>FL_MAT_ABC_10kg</t>
        </is>
      </c>
      <c r="C149" s="32" t="inlineStr">
        <is>
          <t>Extintor ABC 10 kg</t>
        </is>
      </c>
      <c r="D149" s="17" t="inlineStr">
        <is>
          <t>Según inspección (consumo estadístico a definir)</t>
        </is>
      </c>
      <c r="E149" s="17" t="inlineStr">
        <is>
          <t>Manómetro / manguera / tobera / kit de válvula</t>
        </is>
      </c>
      <c r="F149" s="32" t="inlineStr">
        <is>
          <t>-</t>
        </is>
      </c>
      <c r="G149" s="32" t="inlineStr">
        <is>
          <t>u</t>
        </is>
      </c>
      <c r="H149" s="17" t="inlineStr">
        <is>
          <t>Recambio sólo si falla</t>
        </is>
      </c>
      <c r="I149" s="17" t="inlineStr">
        <is>
          <t>IRAM 3517-2:2020 9.4.11 (cada manguera vuelve a su extintor)</t>
        </is>
      </c>
      <c r="J149" s="32" t="inlineStr">
        <is>
          <t>Sí</t>
        </is>
      </c>
      <c r="K149" s="17" t="inlineStr">
        <is>
          <t>Polvex S.R.L. / Sancibrao</t>
        </is>
      </c>
      <c r="L149" s="17" t="inlineStr">
        <is>
          <t>Yukon / MatafuegosYa S.R.L.</t>
        </is>
      </c>
    </row>
    <row r="150">
      <c r="A150" s="32" t="inlineStr">
        <is>
          <t>RK-AGUA10-A</t>
        </is>
      </c>
      <c r="B150" s="32" t="inlineStr">
        <is>
          <t>FL_MAT_AGUA_10l</t>
        </is>
      </c>
      <c r="C150" s="32" t="inlineStr">
        <is>
          <t>Extintor Agua 10 l</t>
        </is>
      </c>
      <c r="D150" s="17" t="inlineStr">
        <is>
          <t>A - Extintor descargado</t>
        </is>
      </c>
      <c r="E150" s="17" t="inlineStr">
        <is>
          <t>Agua</t>
        </is>
      </c>
      <c r="F150" s="32" t="n">
        <v>10</v>
      </c>
      <c r="G150" s="32" t="inlineStr">
        <is>
          <t>L</t>
        </is>
      </c>
      <c r="H150" s="17" t="inlineStr">
        <is>
          <t>Nuevo</t>
        </is>
      </c>
      <c r="I150" s="17" t="inlineStr">
        <is>
          <t>IRAM 3517-2:2020 9.9 tabla 6</t>
        </is>
      </c>
      <c r="J150" s="32" t="inlineStr">
        <is>
          <t>No</t>
        </is>
      </c>
      <c r="K150" s="17" t="n"/>
      <c r="L150" s="17" t="n"/>
    </row>
    <row r="151">
      <c r="A151" s="32" t="inlineStr">
        <is>
          <t>RK-AGUA10-A</t>
        </is>
      </c>
      <c r="B151" s="32" t="inlineStr">
        <is>
          <t>FL_MAT_AGUA_10l</t>
        </is>
      </c>
      <c r="C151" s="32" t="inlineStr">
        <is>
          <t>Extintor Agua 10 l</t>
        </is>
      </c>
      <c r="D151" s="17" t="inlineStr">
        <is>
          <t>A - Extintor descargado</t>
        </is>
      </c>
      <c r="E151" s="17" t="inlineStr">
        <is>
          <t>Precinto plástico numerado, color, con nombre del recargador</t>
        </is>
      </c>
      <c r="F151" s="32" t="n">
        <v>1</v>
      </c>
      <c r="G151" s="32" t="inlineStr">
        <is>
          <t>u</t>
        </is>
      </c>
      <c r="H151" s="17" t="inlineStr">
        <is>
          <t>Nuevo</t>
        </is>
      </c>
      <c r="I151" s="17" t="inlineStr">
        <is>
          <t>IRAM 3517-2:2020 9.4.13</t>
        </is>
      </c>
      <c r="J151" s="32" t="inlineStr">
        <is>
          <t>Sí</t>
        </is>
      </c>
      <c r="K151" s="17" t="inlineStr">
        <is>
          <t>SonFuertes (vía Papelera Damián)</t>
        </is>
      </c>
      <c r="L151" s="17" t="inlineStr">
        <is>
          <t>Precinter S.R.L.</t>
        </is>
      </c>
    </row>
    <row r="152">
      <c r="A152" s="32" t="inlineStr">
        <is>
          <t>RK-AGUA10-A</t>
        </is>
      </c>
      <c r="B152" s="32" t="inlineStr">
        <is>
          <t>FL_MAT_AGUA_10l</t>
        </is>
      </c>
      <c r="C152" s="32" t="inlineStr">
        <is>
          <t>Extintor Agua 10 l</t>
        </is>
      </c>
      <c r="D152" s="17" t="inlineStr">
        <is>
          <t>A - Extintor descargado</t>
        </is>
      </c>
      <c r="E152" s="17" t="inlineStr">
        <is>
          <t>Marbete (anillo, color del año)</t>
        </is>
      </c>
      <c r="F152" s="32" t="n">
        <v>1</v>
      </c>
      <c r="G152" s="32" t="inlineStr">
        <is>
          <t>u</t>
        </is>
      </c>
      <c r="H152" s="17" t="inlineStr">
        <is>
          <t>Nuevo</t>
        </is>
      </c>
      <c r="I152" s="17" t="inlineStr">
        <is>
          <t>IRAM 3517-2:2020 9.6 · anexo E</t>
        </is>
      </c>
      <c r="J152" s="32" t="inlineStr">
        <is>
          <t>Sí</t>
        </is>
      </c>
      <c r="K152" s="17" t="inlineStr">
        <is>
          <t>Astuprint</t>
        </is>
      </c>
      <c r="L152" s="17" t="inlineStr">
        <is>
          <t>Multilabel Argentina S.A.</t>
        </is>
      </c>
    </row>
    <row r="153">
      <c r="A153" s="32" t="inlineStr">
        <is>
          <t>RK-AGUA10-A</t>
        </is>
      </c>
      <c r="B153" s="32" t="inlineStr">
        <is>
          <t>FL_MAT_AGUA_10l</t>
        </is>
      </c>
      <c r="C153" s="32" t="inlineStr">
        <is>
          <t>Extintor Agua 10 l</t>
        </is>
      </c>
      <c r="D153" s="17" t="inlineStr">
        <is>
          <t>A - Extintor descargado</t>
        </is>
      </c>
      <c r="E153" s="17" t="inlineStr">
        <is>
          <t>Etiqueta de servicio del recargador (extintor n°, serie, próxima recarga y PH)</t>
        </is>
      </c>
      <c r="F153" s="32" t="n">
        <v>1</v>
      </c>
      <c r="G153" s="32" t="inlineStr">
        <is>
          <t>u</t>
        </is>
      </c>
      <c r="H153" s="17" t="inlineStr">
        <is>
          <t>Nuevo</t>
        </is>
      </c>
      <c r="I153" s="17" t="inlineStr">
        <is>
          <t>IRAM 3517-2:2020 9.4.14 · relevado Suyai/Firegram</t>
        </is>
      </c>
      <c r="J153" s="32" t="inlineStr">
        <is>
          <t>Sí</t>
        </is>
      </c>
      <c r="K153" s="17" t="inlineStr">
        <is>
          <t>Astuprint</t>
        </is>
      </c>
      <c r="L153" s="17" t="inlineStr">
        <is>
          <t>Multilabel Argentina S.A.</t>
        </is>
      </c>
    </row>
    <row r="154">
      <c r="A154" s="32" t="inlineStr">
        <is>
          <t>RK-AGUA10-A</t>
        </is>
      </c>
      <c r="B154" s="32" t="inlineStr">
        <is>
          <t>FL_MAT_AGUA_10l</t>
        </is>
      </c>
      <c r="C154" s="32" t="inlineStr">
        <is>
          <t>Extintor Agua 10 l</t>
        </is>
      </c>
      <c r="D154" s="17" t="inlineStr">
        <is>
          <t>A - Extintor descargado</t>
        </is>
      </c>
      <c r="E154" s="17" t="inlineStr">
        <is>
          <t>Oblea PBA de recarga Ø46 + estampilla precinto 1" × 200 mm válvula-cuerpo</t>
        </is>
      </c>
      <c r="F154" s="32" t="n">
        <v>1</v>
      </c>
      <c r="G154" s="32" t="inlineStr">
        <is>
          <t>u</t>
        </is>
      </c>
      <c r="H154" s="17" t="inlineStr">
        <is>
          <t>Nuevo (venta en PBA)</t>
        </is>
      </c>
      <c r="I154" s="17" t="inlineStr">
        <is>
          <t>IRAM 3517-2:2020 Res. OPDS 522/07</t>
        </is>
      </c>
      <c r="J154" s="32" t="inlineStr">
        <is>
          <t>Sí</t>
        </is>
      </c>
      <c r="K154" s="17" t="inlineStr">
        <is>
          <t>Ministerio de Ambiente PBA (ex OPDS)</t>
        </is>
      </c>
      <c r="L154" s="17" t="inlineStr">
        <is>
          <t>-</t>
        </is>
      </c>
    </row>
    <row r="155">
      <c r="A155" s="32" t="inlineStr">
        <is>
          <t>RK-AGUA10-A</t>
        </is>
      </c>
      <c r="B155" s="32" t="inlineStr">
        <is>
          <t>FL_MAT_AGUA_10l</t>
        </is>
      </c>
      <c r="C155" s="32" t="inlineStr">
        <is>
          <t>Extintor Agua 10 l</t>
        </is>
      </c>
      <c r="D155" s="17" t="inlineStr">
        <is>
          <t>A - Extintor descargado</t>
        </is>
      </c>
      <c r="E155" s="17" t="inlineStr">
        <is>
          <t>Tarjeta de identificación AGC (módulo papel con QR + etiqueta AGC)</t>
        </is>
      </c>
      <c r="F155" s="32" t="n">
        <v>1</v>
      </c>
      <c r="G155" s="32" t="inlineStr">
        <is>
          <t>u</t>
        </is>
      </c>
      <c r="H155" s="17" t="inlineStr">
        <is>
          <t>Nuevo (destino CABA)</t>
        </is>
      </c>
      <c r="I155" s="17" t="inlineStr">
        <is>
          <t>IRAM 3517-2:2020 Ord. 40.473 art. 6 · Res. AGC 32/15</t>
        </is>
      </c>
      <c r="J155" s="32" t="inlineStr">
        <is>
          <t>Sí</t>
        </is>
      </c>
      <c r="K155" s="17" t="inlineStr">
        <is>
          <t>Agencia Gubernamental de Control (CABA)</t>
        </is>
      </c>
      <c r="L155" s="17" t="inlineStr">
        <is>
          <t>-</t>
        </is>
      </c>
    </row>
    <row r="156">
      <c r="A156" s="32" t="inlineStr">
        <is>
          <t>RK-AGUA10-A</t>
        </is>
      </c>
      <c r="B156" s="32" t="inlineStr">
        <is>
          <t>FL_MAT_AGUA_10l</t>
        </is>
      </c>
      <c r="C156" s="32" t="inlineStr">
        <is>
          <t>Extintor Agua 10 l</t>
        </is>
      </c>
      <c r="D156" s="17" t="inlineStr">
        <is>
          <t>A - Extintor descargado</t>
        </is>
      </c>
      <c r="E156" s="17" t="inlineStr">
        <is>
          <t>Tarjeta de identificación DPS de revisión / recarga</t>
        </is>
      </c>
      <c r="F156" s="32" t="n">
        <v>1</v>
      </c>
      <c r="G156" s="32" t="inlineStr">
        <is>
          <t>u</t>
        </is>
      </c>
      <c r="H156" s="17" t="inlineStr">
        <is>
          <t>Nuevo (PBA)</t>
        </is>
      </c>
      <c r="I156" s="17" t="inlineStr">
        <is>
          <t>IRAM 3517-2:2020 Res. 349/07 art. 21</t>
        </is>
      </c>
      <c r="J156" s="32" t="inlineStr">
        <is>
          <t>Sí</t>
        </is>
      </c>
      <c r="K156" s="17" t="inlineStr">
        <is>
          <t>Ministerio de Ambiente PBA (ex OPDS)</t>
        </is>
      </c>
      <c r="L156" s="17" t="inlineStr">
        <is>
          <t>-</t>
        </is>
      </c>
    </row>
    <row r="157">
      <c r="A157" s="32" t="inlineStr">
        <is>
          <t>RK-AGUA10-A</t>
        </is>
      </c>
      <c r="B157" s="32" t="inlineStr">
        <is>
          <t>FL_MAT_AGUA_10l</t>
        </is>
      </c>
      <c r="C157" s="32" t="inlineStr">
        <is>
          <t>Extintor Agua 10 l</t>
        </is>
      </c>
      <c r="D157" s="17" t="inlineStr">
        <is>
          <t>A - Extintor descargado</t>
        </is>
      </c>
      <c r="E157" s="17" t="inlineStr">
        <is>
          <t>Grabado de la fecha del servicio en el tubo de pesca (lápiz vibratorio; en polvo, marcador indeleble)</t>
        </is>
      </c>
      <c r="F157" s="32" t="n">
        <v>1</v>
      </c>
      <c r="G157" s="32" t="inlineStr">
        <is>
          <t>u</t>
        </is>
      </c>
      <c r="H157" s="17" t="inlineStr">
        <is>
          <t>Proceso</t>
        </is>
      </c>
      <c r="I157" s="17" t="inlineStr">
        <is>
          <t>IRAM 3517-2:2020 Res. 349/07 art. 28</t>
        </is>
      </c>
      <c r="J157" s="32" t="inlineStr">
        <is>
          <t>No</t>
        </is>
      </c>
      <c r="K157" s="17" t="n"/>
      <c r="L157" s="17" t="n"/>
    </row>
    <row r="158">
      <c r="A158" s="32" t="inlineStr">
        <is>
          <t>RK-AGUA10-A</t>
        </is>
      </c>
      <c r="B158" s="32" t="inlineStr">
        <is>
          <t>FL_MAT_AGUA_10l</t>
        </is>
      </c>
      <c r="C158" s="32" t="inlineStr">
        <is>
          <t>Extintor Agua 10 l</t>
        </is>
      </c>
      <c r="D158" s="17" t="inlineStr">
        <is>
          <t>A - Extintor descargado</t>
        </is>
      </c>
      <c r="E158" s="17" t="inlineStr">
        <is>
          <t>Si hubo PH: oblea de vencimiento de PH + «PH» y fecha grabados en el tubo de pesca (CO₂: fecha y logo estampados en la ojiva)</t>
        </is>
      </c>
      <c r="F158" s="32" t="n">
        <v>1</v>
      </c>
      <c r="G158" s="32" t="inlineStr">
        <is>
          <t>u</t>
        </is>
      </c>
      <c r="H158" s="17" t="inlineStr">
        <is>
          <t>Proceso</t>
        </is>
      </c>
      <c r="I158" s="17" t="inlineStr">
        <is>
          <t>IRAM 3517-2:2020 Res. 349/07 art. 29 · IRAM 3517-2</t>
        </is>
      </c>
      <c r="J158" s="32" t="inlineStr">
        <is>
          <t>No</t>
        </is>
      </c>
      <c r="K158" s="17" t="n"/>
      <c r="L158" s="17" t="n"/>
    </row>
    <row r="159">
      <c r="A159" s="37" t="inlineStr">
        <is>
          <t>RK-AGUA10-A</t>
        </is>
      </c>
      <c r="B159" s="37" t="inlineStr">
        <is>
          <t>FL_MAT_AGUA_10l</t>
        </is>
      </c>
      <c r="C159" s="37" t="inlineStr">
        <is>
          <t>Extintor Agua 10 l</t>
        </is>
      </c>
      <c r="D159" s="18" t="inlineStr">
        <is>
          <t>A - Extintor descargado</t>
        </is>
      </c>
      <c r="E159" s="18" t="inlineStr">
        <is>
          <t>Junta tórica de asiento del cuello</t>
        </is>
      </c>
      <c r="F159" s="37" t="n">
        <v>1</v>
      </c>
      <c r="G159" s="37" t="inlineStr">
        <is>
          <t>u</t>
        </is>
      </c>
      <c r="H159" s="18" t="inlineStr">
        <is>
          <t>Nuevo (R: cambio sistemático)</t>
        </is>
      </c>
      <c r="I159" s="18" t="inlineStr"/>
      <c r="J159" s="37" t="inlineStr">
        <is>
          <t>Sí</t>
        </is>
      </c>
      <c r="K159" s="18" t="inlineStr">
        <is>
          <t>Argensold</t>
        </is>
      </c>
      <c r="L159" s="18" t="inlineStr">
        <is>
          <t>Matafuegos Iglesias</t>
        </is>
      </c>
    </row>
    <row r="160">
      <c r="A160" s="32" t="inlineStr">
        <is>
          <t>RK-AGUA10-A</t>
        </is>
      </c>
      <c r="B160" s="32" t="inlineStr">
        <is>
          <t>FL_MAT_AGUA_10l</t>
        </is>
      </c>
      <c r="C160" s="32" t="inlineStr">
        <is>
          <t>Extintor Agua 10 l</t>
        </is>
      </c>
      <c r="D160" s="17" t="inlineStr">
        <is>
          <t>A - Extintor descargado</t>
        </is>
      </c>
      <c r="E160" s="17" t="inlineStr">
        <is>
          <t>Gas impulsor: Aire comprimido</t>
        </is>
      </c>
      <c r="F160" s="32" t="n">
        <v>0.0427</v>
      </c>
      <c r="G160" s="32" t="inlineStr">
        <is>
          <t>kg</t>
        </is>
      </c>
      <c r="H160" s="17" t="inlineStr">
        <is>
          <t>Nuevo</t>
        </is>
      </c>
      <c r="I160" s="17" t="inlineStr">
        <is>
          <t>IRAM 3517-2:2020 9.4.9 tabla 2</t>
        </is>
      </c>
      <c r="J160" s="32" t="inlineStr">
        <is>
          <t>No</t>
        </is>
      </c>
      <c r="K160" s="17" t="n"/>
      <c r="L160" s="17" t="n"/>
    </row>
    <row r="161">
      <c r="A161" s="37" t="inlineStr">
        <is>
          <t>RK-AGUA10-B</t>
        </is>
      </c>
      <c r="B161" s="37" t="inlineStr">
        <is>
          <t>FL_MAT_AGUA_10l</t>
        </is>
      </c>
      <c r="C161" s="37" t="inlineStr">
        <is>
          <t>Extintor Agua 10 l</t>
        </is>
      </c>
      <c r="D161" s="18" t="inlineStr">
        <is>
          <t>B - Mantenimiento (PH cada 2 años en inoxidables y AFFF)</t>
        </is>
      </c>
      <c r="E161" s="18" t="inlineStr">
        <is>
          <t>Agua</t>
        </is>
      </c>
      <c r="F161" s="37" t="n">
        <v>10</v>
      </c>
      <c r="G161" s="37" t="inlineStr">
        <is>
          <t>L</t>
        </is>
      </c>
      <c r="H161" s="18" t="inlineStr">
        <is>
          <t>Nuevo (R: la carga líquida no se recupera; confirmar vida útil del concentrado con el fabricante)</t>
        </is>
      </c>
      <c r="I161" s="18" t="inlineStr">
        <is>
          <t>IRAM 3517-2:2020 9.9</t>
        </is>
      </c>
      <c r="J161" s="37" t="inlineStr">
        <is>
          <t>No</t>
        </is>
      </c>
      <c r="K161" s="18" t="n"/>
      <c r="L161" s="18" t="n"/>
    </row>
    <row r="162">
      <c r="A162" s="32" t="inlineStr">
        <is>
          <t>RK-AGUA10-B</t>
        </is>
      </c>
      <c r="B162" s="32" t="inlineStr">
        <is>
          <t>FL_MAT_AGUA_10l</t>
        </is>
      </c>
      <c r="C162" s="32" t="inlineStr">
        <is>
          <t>Extintor Agua 10 l</t>
        </is>
      </c>
      <c r="D162" s="17" t="inlineStr">
        <is>
          <t>B - Mantenimiento (PH cada 2 años en inoxidables y AFFF)</t>
        </is>
      </c>
      <c r="E162" s="17" t="inlineStr">
        <is>
          <t>Precinto plástico numerado, color, con nombre del recargador</t>
        </is>
      </c>
      <c r="F162" s="32" t="n">
        <v>1</v>
      </c>
      <c r="G162" s="32" t="inlineStr">
        <is>
          <t>u</t>
        </is>
      </c>
      <c r="H162" s="17" t="inlineStr">
        <is>
          <t>Nuevo</t>
        </is>
      </c>
      <c r="I162" s="17" t="inlineStr">
        <is>
          <t>IRAM 3517-2:2020 9.4.13</t>
        </is>
      </c>
      <c r="J162" s="32" t="inlineStr">
        <is>
          <t>Sí</t>
        </is>
      </c>
      <c r="K162" s="17" t="inlineStr">
        <is>
          <t>SonFuertes (vía Papelera Damián)</t>
        </is>
      </c>
      <c r="L162" s="17" t="inlineStr">
        <is>
          <t>Precinter S.R.L.</t>
        </is>
      </c>
    </row>
    <row r="163">
      <c r="A163" s="32" t="inlineStr">
        <is>
          <t>RK-AGUA10-B</t>
        </is>
      </c>
      <c r="B163" s="32" t="inlineStr">
        <is>
          <t>FL_MAT_AGUA_10l</t>
        </is>
      </c>
      <c r="C163" s="32" t="inlineStr">
        <is>
          <t>Extintor Agua 10 l</t>
        </is>
      </c>
      <c r="D163" s="17" t="inlineStr">
        <is>
          <t>B - Mantenimiento (PH cada 2 años en inoxidables y AFFF)</t>
        </is>
      </c>
      <c r="E163" s="17" t="inlineStr">
        <is>
          <t>Marbete (anillo, color del año)</t>
        </is>
      </c>
      <c r="F163" s="32" t="n">
        <v>1</v>
      </c>
      <c r="G163" s="32" t="inlineStr">
        <is>
          <t>u</t>
        </is>
      </c>
      <c r="H163" s="17" t="inlineStr">
        <is>
          <t>Nuevo</t>
        </is>
      </c>
      <c r="I163" s="17" t="inlineStr">
        <is>
          <t>IRAM 3517-2:2020 9.6 · anexo E</t>
        </is>
      </c>
      <c r="J163" s="32" t="inlineStr">
        <is>
          <t>Sí</t>
        </is>
      </c>
      <c r="K163" s="17" t="inlineStr">
        <is>
          <t>Astuprint</t>
        </is>
      </c>
      <c r="L163" s="17" t="inlineStr">
        <is>
          <t>Multilabel Argentina S.A.</t>
        </is>
      </c>
    </row>
    <row r="164">
      <c r="A164" s="32" t="inlineStr">
        <is>
          <t>RK-AGUA10-B</t>
        </is>
      </c>
      <c r="B164" s="32" t="inlineStr">
        <is>
          <t>FL_MAT_AGUA_10l</t>
        </is>
      </c>
      <c r="C164" s="32" t="inlineStr">
        <is>
          <t>Extintor Agua 10 l</t>
        </is>
      </c>
      <c r="D164" s="17" t="inlineStr">
        <is>
          <t>B - Mantenimiento (PH cada 2 años en inoxidables y AFFF)</t>
        </is>
      </c>
      <c r="E164" s="17" t="inlineStr">
        <is>
          <t>Etiqueta de servicio del recargador (extintor n°, serie, próxima recarga y PH)</t>
        </is>
      </c>
      <c r="F164" s="32" t="n">
        <v>1</v>
      </c>
      <c r="G164" s="32" t="inlineStr">
        <is>
          <t>u</t>
        </is>
      </c>
      <c r="H164" s="17" t="inlineStr">
        <is>
          <t>Nuevo</t>
        </is>
      </c>
      <c r="I164" s="17" t="inlineStr">
        <is>
          <t>IRAM 3517-2:2020 9.4.14 · relevado Suyai/Firegram</t>
        </is>
      </c>
      <c r="J164" s="32" t="inlineStr">
        <is>
          <t>Sí</t>
        </is>
      </c>
      <c r="K164" s="17" t="inlineStr">
        <is>
          <t>Astuprint</t>
        </is>
      </c>
      <c r="L164" s="17" t="inlineStr">
        <is>
          <t>Multilabel Argentina S.A.</t>
        </is>
      </c>
    </row>
    <row r="165">
      <c r="A165" s="32" t="inlineStr">
        <is>
          <t>RK-AGUA10-B</t>
        </is>
      </c>
      <c r="B165" s="32" t="inlineStr">
        <is>
          <t>FL_MAT_AGUA_10l</t>
        </is>
      </c>
      <c r="C165" s="32" t="inlineStr">
        <is>
          <t>Extintor Agua 10 l</t>
        </is>
      </c>
      <c r="D165" s="17" t="inlineStr">
        <is>
          <t>B - Mantenimiento (PH cada 2 años en inoxidables y AFFF)</t>
        </is>
      </c>
      <c r="E165" s="17" t="inlineStr">
        <is>
          <t>Oblea PBA de recarga Ø46 + estampilla precinto 1" × 200 mm válvula-cuerpo</t>
        </is>
      </c>
      <c r="F165" s="32" t="n">
        <v>1</v>
      </c>
      <c r="G165" s="32" t="inlineStr">
        <is>
          <t>u</t>
        </is>
      </c>
      <c r="H165" s="17" t="inlineStr">
        <is>
          <t>Nuevo (venta en PBA)</t>
        </is>
      </c>
      <c r="I165" s="17" t="inlineStr">
        <is>
          <t>IRAM 3517-2:2020 Res. OPDS 522/07</t>
        </is>
      </c>
      <c r="J165" s="32" t="inlineStr">
        <is>
          <t>Sí</t>
        </is>
      </c>
      <c r="K165" s="17" t="inlineStr">
        <is>
          <t>Ministerio de Ambiente PBA (ex OPDS)</t>
        </is>
      </c>
      <c r="L165" s="17" t="inlineStr">
        <is>
          <t>-</t>
        </is>
      </c>
    </row>
    <row r="166">
      <c r="A166" s="32" t="inlineStr">
        <is>
          <t>RK-AGUA10-B</t>
        </is>
      </c>
      <c r="B166" s="32" t="inlineStr">
        <is>
          <t>FL_MAT_AGUA_10l</t>
        </is>
      </c>
      <c r="C166" s="32" t="inlineStr">
        <is>
          <t>Extintor Agua 10 l</t>
        </is>
      </c>
      <c r="D166" s="17" t="inlineStr">
        <is>
          <t>B - Mantenimiento (PH cada 2 años en inoxidables y AFFF)</t>
        </is>
      </c>
      <c r="E166" s="17" t="inlineStr">
        <is>
          <t>Tarjeta de identificación AGC (módulo papel con QR + etiqueta AGC)</t>
        </is>
      </c>
      <c r="F166" s="32" t="n">
        <v>1</v>
      </c>
      <c r="G166" s="32" t="inlineStr">
        <is>
          <t>u</t>
        </is>
      </c>
      <c r="H166" s="17" t="inlineStr">
        <is>
          <t>Nuevo (destino CABA)</t>
        </is>
      </c>
      <c r="I166" s="17" t="inlineStr">
        <is>
          <t>IRAM 3517-2:2020 Ord. 40.473 art. 6 · Res. AGC 32/15</t>
        </is>
      </c>
      <c r="J166" s="32" t="inlineStr">
        <is>
          <t>Sí</t>
        </is>
      </c>
      <c r="K166" s="17" t="inlineStr">
        <is>
          <t>Agencia Gubernamental de Control (CABA)</t>
        </is>
      </c>
      <c r="L166" s="17" t="inlineStr">
        <is>
          <t>-</t>
        </is>
      </c>
    </row>
    <row r="167">
      <c r="A167" s="32" t="inlineStr">
        <is>
          <t>RK-AGUA10-B</t>
        </is>
      </c>
      <c r="B167" s="32" t="inlineStr">
        <is>
          <t>FL_MAT_AGUA_10l</t>
        </is>
      </c>
      <c r="C167" s="32" t="inlineStr">
        <is>
          <t>Extintor Agua 10 l</t>
        </is>
      </c>
      <c r="D167" s="17" t="inlineStr">
        <is>
          <t>B - Mantenimiento (PH cada 2 años en inoxidables y AFFF)</t>
        </is>
      </c>
      <c r="E167" s="17" t="inlineStr">
        <is>
          <t>Tarjeta de identificación DPS de revisión / recarga</t>
        </is>
      </c>
      <c r="F167" s="32" t="n">
        <v>1</v>
      </c>
      <c r="G167" s="32" t="inlineStr">
        <is>
          <t>u</t>
        </is>
      </c>
      <c r="H167" s="17" t="inlineStr">
        <is>
          <t>Nuevo (PBA)</t>
        </is>
      </c>
      <c r="I167" s="17" t="inlineStr">
        <is>
          <t>IRAM 3517-2:2020 Res. 349/07 art. 21</t>
        </is>
      </c>
      <c r="J167" s="32" t="inlineStr">
        <is>
          <t>Sí</t>
        </is>
      </c>
      <c r="K167" s="17" t="inlineStr">
        <is>
          <t>Ministerio de Ambiente PBA (ex OPDS)</t>
        </is>
      </c>
      <c r="L167" s="17" t="inlineStr">
        <is>
          <t>-</t>
        </is>
      </c>
    </row>
    <row r="168">
      <c r="A168" s="32" t="inlineStr">
        <is>
          <t>RK-AGUA10-B</t>
        </is>
      </c>
      <c r="B168" s="32" t="inlineStr">
        <is>
          <t>FL_MAT_AGUA_10l</t>
        </is>
      </c>
      <c r="C168" s="32" t="inlineStr">
        <is>
          <t>Extintor Agua 10 l</t>
        </is>
      </c>
      <c r="D168" s="17" t="inlineStr">
        <is>
          <t>B - Mantenimiento (PH cada 2 años en inoxidables y AFFF)</t>
        </is>
      </c>
      <c r="E168" s="17" t="inlineStr">
        <is>
          <t>Grabado de la fecha del servicio en el tubo de pesca (lápiz vibratorio; en polvo, marcador indeleble)</t>
        </is>
      </c>
      <c r="F168" s="32" t="n">
        <v>1</v>
      </c>
      <c r="G168" s="32" t="inlineStr">
        <is>
          <t>u</t>
        </is>
      </c>
      <c r="H168" s="17" t="inlineStr">
        <is>
          <t>Proceso</t>
        </is>
      </c>
      <c r="I168" s="17" t="inlineStr">
        <is>
          <t>IRAM 3517-2:2020 Res. 349/07 art. 28</t>
        </is>
      </c>
      <c r="J168" s="32" t="inlineStr">
        <is>
          <t>No</t>
        </is>
      </c>
      <c r="K168" s="17" t="n"/>
      <c r="L168" s="17" t="n"/>
    </row>
    <row r="169">
      <c r="A169" s="32" t="inlineStr">
        <is>
          <t>RK-AGUA10-B</t>
        </is>
      </c>
      <c r="B169" s="32" t="inlineStr">
        <is>
          <t>FL_MAT_AGUA_10l</t>
        </is>
      </c>
      <c r="C169" s="32" t="inlineStr">
        <is>
          <t>Extintor Agua 10 l</t>
        </is>
      </c>
      <c r="D169" s="17" t="inlineStr">
        <is>
          <t>B - Mantenimiento (PH cada 2 años en inoxidables y AFFF)</t>
        </is>
      </c>
      <c r="E169" s="17" t="inlineStr">
        <is>
          <t>Si hubo PH: oblea de vencimiento de PH + «PH» y fecha grabados en el tubo de pesca (CO₂: fecha y logo estampados en la ojiva)</t>
        </is>
      </c>
      <c r="F169" s="32" t="n">
        <v>1</v>
      </c>
      <c r="G169" s="32" t="inlineStr">
        <is>
          <t>u</t>
        </is>
      </c>
      <c r="H169" s="17" t="inlineStr">
        <is>
          <t>Proceso</t>
        </is>
      </c>
      <c r="I169" s="17" t="inlineStr">
        <is>
          <t>IRAM 3517-2:2020 Res. 349/07 art. 29 · IRAM 3517-2</t>
        </is>
      </c>
      <c r="J169" s="32" t="inlineStr">
        <is>
          <t>No</t>
        </is>
      </c>
      <c r="K169" s="17" t="n"/>
      <c r="L169" s="17" t="n"/>
    </row>
    <row r="170">
      <c r="A170" s="37" t="inlineStr">
        <is>
          <t>RK-AGUA10-B</t>
        </is>
      </c>
      <c r="B170" s="37" t="inlineStr">
        <is>
          <t>FL_MAT_AGUA_10l</t>
        </is>
      </c>
      <c r="C170" s="37" t="inlineStr">
        <is>
          <t>Extintor Agua 10 l</t>
        </is>
      </c>
      <c r="D170" s="18" t="inlineStr">
        <is>
          <t>B - Mantenimiento (PH cada 2 años en inoxidables y AFFF)</t>
        </is>
      </c>
      <c r="E170" s="18" t="inlineStr">
        <is>
          <t>Junta tórica de asiento del cuello</t>
        </is>
      </c>
      <c r="F170" s="37" t="n">
        <v>1</v>
      </c>
      <c r="G170" s="37" t="inlineStr">
        <is>
          <t>u</t>
        </is>
      </c>
      <c r="H170" s="18" t="inlineStr">
        <is>
          <t>Nuevo (R: cambio sistemático)</t>
        </is>
      </c>
      <c r="I170" s="18" t="inlineStr"/>
      <c r="J170" s="37" t="inlineStr">
        <is>
          <t>Sí</t>
        </is>
      </c>
      <c r="K170" s="18" t="inlineStr">
        <is>
          <t>Argensold</t>
        </is>
      </c>
      <c r="L170" s="18" t="inlineStr">
        <is>
          <t>Matafuegos Iglesias</t>
        </is>
      </c>
    </row>
    <row r="171">
      <c r="A171" s="32" t="inlineStr">
        <is>
          <t>RK-AGUA10-B</t>
        </is>
      </c>
      <c r="B171" s="32" t="inlineStr">
        <is>
          <t>FL_MAT_AGUA_10l</t>
        </is>
      </c>
      <c r="C171" s="32" t="inlineStr">
        <is>
          <t>Extintor Agua 10 l</t>
        </is>
      </c>
      <c r="D171" s="17" t="inlineStr">
        <is>
          <t>B - Mantenimiento (PH cada 2 años en inoxidables y AFFF)</t>
        </is>
      </c>
      <c r="E171" s="17" t="inlineStr">
        <is>
          <t>Gas impulsor: Aire comprimido</t>
        </is>
      </c>
      <c r="F171" s="32" t="n">
        <v>0.0427</v>
      </c>
      <c r="G171" s="32" t="inlineStr">
        <is>
          <t>kg</t>
        </is>
      </c>
      <c r="H171" s="17" t="inlineStr">
        <is>
          <t>Nuevo</t>
        </is>
      </c>
      <c r="I171" s="17" t="inlineStr">
        <is>
          <t>IRAM 3517-2:2020 9.4.9 tabla 2</t>
        </is>
      </c>
      <c r="J171" s="32" t="inlineStr">
        <is>
          <t>No</t>
        </is>
      </c>
      <c r="K171" s="17" t="n"/>
      <c r="L171" s="17" t="n"/>
    </row>
    <row r="172">
      <c r="A172" s="32" t="inlineStr">
        <is>
          <t>RK-AGUA10-I</t>
        </is>
      </c>
      <c r="B172" s="32" t="inlineStr">
        <is>
          <t>FL_MAT_AGUA_10l</t>
        </is>
      </c>
      <c r="C172" s="32" t="inlineStr">
        <is>
          <t>Extintor Agua 10 l</t>
        </is>
      </c>
      <c r="D172" s="17" t="inlineStr">
        <is>
          <t>Según inspección (consumo estadístico a definir)</t>
        </is>
      </c>
      <c r="E172" s="17" t="inlineStr">
        <is>
          <t>Manómetro / manguera / tobera / kit de válvula</t>
        </is>
      </c>
      <c r="F172" s="32" t="inlineStr">
        <is>
          <t>-</t>
        </is>
      </c>
      <c r="G172" s="32" t="inlineStr">
        <is>
          <t>u</t>
        </is>
      </c>
      <c r="H172" s="17" t="inlineStr">
        <is>
          <t>Recambio sólo si falla</t>
        </is>
      </c>
      <c r="I172" s="17" t="inlineStr">
        <is>
          <t>IRAM 3517-2:2020 9.4.11 (cada manguera vuelve a su extintor)</t>
        </is>
      </c>
      <c r="J172" s="32" t="inlineStr">
        <is>
          <t>Sí</t>
        </is>
      </c>
      <c r="K172" s="17" t="inlineStr">
        <is>
          <t>Polvex S.R.L. / Sancibrao</t>
        </is>
      </c>
      <c r="L172" s="17" t="inlineStr">
        <is>
          <t>Yukon / MatafuegosYa S.R.L.</t>
        </is>
      </c>
    </row>
    <row r="173">
      <c r="A173" s="32" t="inlineStr">
        <is>
          <t>RK-AFFF10-A</t>
        </is>
      </c>
      <c r="B173" s="32" t="inlineStr">
        <is>
          <t>FL_MAT_AFFF_10l</t>
        </is>
      </c>
      <c r="C173" s="32" t="inlineStr">
        <is>
          <t>Extintor AFFF 10 l</t>
        </is>
      </c>
      <c r="D173" s="17" t="inlineStr">
        <is>
          <t>A - Extintor descargado</t>
        </is>
      </c>
      <c r="E173" s="17" t="inlineStr">
        <is>
          <t>Concentrado espumígeno AFFF 3 % (IRAM 3515)</t>
        </is>
      </c>
      <c r="F173" s="32" t="n">
        <v>0.3</v>
      </c>
      <c r="G173" s="32" t="inlineStr">
        <is>
          <t>L</t>
        </is>
      </c>
      <c r="H173" s="17" t="inlineStr">
        <is>
          <t>Nuevo</t>
        </is>
      </c>
      <c r="I173" s="17" t="inlineStr">
        <is>
          <t>IRAM 3517-2:2020 9.9 tabla 6</t>
        </is>
      </c>
      <c r="J173" s="32" t="inlineStr">
        <is>
          <t>Sí</t>
        </is>
      </c>
      <c r="K173" s="17" t="inlineStr">
        <is>
          <t>DEM S.A. (DEMSA)</t>
        </is>
      </c>
      <c r="L173" s="17" t="inlineStr">
        <is>
          <t>Polvex S.R.L. / Sancibrao</t>
        </is>
      </c>
    </row>
    <row r="174">
      <c r="A174" s="32" t="inlineStr">
        <is>
          <t>RK-AFFF10-A</t>
        </is>
      </c>
      <c r="B174" s="32" t="inlineStr">
        <is>
          <t>FL_MAT_AFFF_10l</t>
        </is>
      </c>
      <c r="C174" s="32" t="inlineStr">
        <is>
          <t>Extintor AFFF 10 l</t>
        </is>
      </c>
      <c r="D174" s="17" t="inlineStr">
        <is>
          <t>A - Extintor descargado</t>
        </is>
      </c>
      <c r="E174" s="17" t="inlineStr">
        <is>
          <t>Agua potable (premezcla)</t>
        </is>
      </c>
      <c r="F174" s="32" t="n">
        <v>9.699999999999999</v>
      </c>
      <c r="G174" s="32" t="inlineStr">
        <is>
          <t>L</t>
        </is>
      </c>
      <c r="H174" s="17" t="inlineStr">
        <is>
          <t>Red</t>
        </is>
      </c>
      <c r="I174" s="17" t="inlineStr">
        <is>
          <t>IRAM 3517-2:2020 9.9 tabla 6</t>
        </is>
      </c>
      <c r="J174" s="32" t="inlineStr">
        <is>
          <t>No</t>
        </is>
      </c>
      <c r="K174" s="17" t="n"/>
      <c r="L174" s="17" t="n"/>
    </row>
    <row r="175">
      <c r="A175" s="32" t="inlineStr">
        <is>
          <t>RK-AFFF10-A</t>
        </is>
      </c>
      <c r="B175" s="32" t="inlineStr">
        <is>
          <t>FL_MAT_AFFF_10l</t>
        </is>
      </c>
      <c r="C175" s="32" t="inlineStr">
        <is>
          <t>Extintor AFFF 10 l</t>
        </is>
      </c>
      <c r="D175" s="17" t="inlineStr">
        <is>
          <t>A - Extintor descargado</t>
        </is>
      </c>
      <c r="E175" s="17" t="inlineStr">
        <is>
          <t>Precinto plástico numerado, color, con nombre del recargador</t>
        </is>
      </c>
      <c r="F175" s="32" t="n">
        <v>1</v>
      </c>
      <c r="G175" s="32" t="inlineStr">
        <is>
          <t>u</t>
        </is>
      </c>
      <c r="H175" s="17" t="inlineStr">
        <is>
          <t>Nuevo</t>
        </is>
      </c>
      <c r="I175" s="17" t="inlineStr">
        <is>
          <t>IRAM 3517-2:2020 9.4.13</t>
        </is>
      </c>
      <c r="J175" s="32" t="inlineStr">
        <is>
          <t>Sí</t>
        </is>
      </c>
      <c r="K175" s="17" t="inlineStr">
        <is>
          <t>SonFuertes (vía Papelera Damián)</t>
        </is>
      </c>
      <c r="L175" s="17" t="inlineStr">
        <is>
          <t>Precinter S.R.L.</t>
        </is>
      </c>
    </row>
    <row r="176">
      <c r="A176" s="32" t="inlineStr">
        <is>
          <t>RK-AFFF10-A</t>
        </is>
      </c>
      <c r="B176" s="32" t="inlineStr">
        <is>
          <t>FL_MAT_AFFF_10l</t>
        </is>
      </c>
      <c r="C176" s="32" t="inlineStr">
        <is>
          <t>Extintor AFFF 10 l</t>
        </is>
      </c>
      <c r="D176" s="17" t="inlineStr">
        <is>
          <t>A - Extintor descargado</t>
        </is>
      </c>
      <c r="E176" s="17" t="inlineStr">
        <is>
          <t>Marbete (anillo, color del año)</t>
        </is>
      </c>
      <c r="F176" s="32" t="n">
        <v>1</v>
      </c>
      <c r="G176" s="32" t="inlineStr">
        <is>
          <t>u</t>
        </is>
      </c>
      <c r="H176" s="17" t="inlineStr">
        <is>
          <t>Nuevo</t>
        </is>
      </c>
      <c r="I176" s="17" t="inlineStr">
        <is>
          <t>IRAM 3517-2:2020 9.6 · anexo E</t>
        </is>
      </c>
      <c r="J176" s="32" t="inlineStr">
        <is>
          <t>Sí</t>
        </is>
      </c>
      <c r="K176" s="17" t="inlineStr">
        <is>
          <t>Astuprint</t>
        </is>
      </c>
      <c r="L176" s="17" t="inlineStr">
        <is>
          <t>Multilabel Argentina S.A.</t>
        </is>
      </c>
    </row>
    <row r="177">
      <c r="A177" s="32" t="inlineStr">
        <is>
          <t>RK-AFFF10-A</t>
        </is>
      </c>
      <c r="B177" s="32" t="inlineStr">
        <is>
          <t>FL_MAT_AFFF_10l</t>
        </is>
      </c>
      <c r="C177" s="32" t="inlineStr">
        <is>
          <t>Extintor AFFF 10 l</t>
        </is>
      </c>
      <c r="D177" s="17" t="inlineStr">
        <is>
          <t>A - Extintor descargado</t>
        </is>
      </c>
      <c r="E177" s="17" t="inlineStr">
        <is>
          <t>Etiqueta de servicio del recargador (extintor n°, serie, próxima recarga y PH)</t>
        </is>
      </c>
      <c r="F177" s="32" t="n">
        <v>1</v>
      </c>
      <c r="G177" s="32" t="inlineStr">
        <is>
          <t>u</t>
        </is>
      </c>
      <c r="H177" s="17" t="inlineStr">
        <is>
          <t>Nuevo</t>
        </is>
      </c>
      <c r="I177" s="17" t="inlineStr">
        <is>
          <t>IRAM 3517-2:2020 9.4.14 · relevado Suyai/Firegram</t>
        </is>
      </c>
      <c r="J177" s="32" t="inlineStr">
        <is>
          <t>Sí</t>
        </is>
      </c>
      <c r="K177" s="17" t="inlineStr">
        <is>
          <t>Astuprint</t>
        </is>
      </c>
      <c r="L177" s="17" t="inlineStr">
        <is>
          <t>Multilabel Argentina S.A.</t>
        </is>
      </c>
    </row>
    <row r="178">
      <c r="A178" s="32" t="inlineStr">
        <is>
          <t>RK-AFFF10-A</t>
        </is>
      </c>
      <c r="B178" s="32" t="inlineStr">
        <is>
          <t>FL_MAT_AFFF_10l</t>
        </is>
      </c>
      <c r="C178" s="32" t="inlineStr">
        <is>
          <t>Extintor AFFF 10 l</t>
        </is>
      </c>
      <c r="D178" s="17" t="inlineStr">
        <is>
          <t>A - Extintor descargado</t>
        </is>
      </c>
      <c r="E178" s="17" t="inlineStr">
        <is>
          <t>Oblea PBA de recarga Ø46 + estampilla precinto 1" × 200 mm válvula-cuerpo</t>
        </is>
      </c>
      <c r="F178" s="32" t="n">
        <v>1</v>
      </c>
      <c r="G178" s="32" t="inlineStr">
        <is>
          <t>u</t>
        </is>
      </c>
      <c r="H178" s="17" t="inlineStr">
        <is>
          <t>Nuevo (venta en PBA)</t>
        </is>
      </c>
      <c r="I178" s="17" t="inlineStr">
        <is>
          <t>IRAM 3517-2:2020 Res. OPDS 522/07</t>
        </is>
      </c>
      <c r="J178" s="32" t="inlineStr">
        <is>
          <t>Sí</t>
        </is>
      </c>
      <c r="K178" s="17" t="inlineStr">
        <is>
          <t>Ministerio de Ambiente PBA (ex OPDS)</t>
        </is>
      </c>
      <c r="L178" s="17" t="inlineStr">
        <is>
          <t>-</t>
        </is>
      </c>
    </row>
    <row r="179">
      <c r="A179" s="32" t="inlineStr">
        <is>
          <t>RK-AFFF10-A</t>
        </is>
      </c>
      <c r="B179" s="32" t="inlineStr">
        <is>
          <t>FL_MAT_AFFF_10l</t>
        </is>
      </c>
      <c r="C179" s="32" t="inlineStr">
        <is>
          <t>Extintor AFFF 10 l</t>
        </is>
      </c>
      <c r="D179" s="17" t="inlineStr">
        <is>
          <t>A - Extintor descargado</t>
        </is>
      </c>
      <c r="E179" s="17" t="inlineStr">
        <is>
          <t>Tarjeta de identificación AGC (módulo papel con QR + etiqueta AGC)</t>
        </is>
      </c>
      <c r="F179" s="32" t="n">
        <v>1</v>
      </c>
      <c r="G179" s="32" t="inlineStr">
        <is>
          <t>u</t>
        </is>
      </c>
      <c r="H179" s="17" t="inlineStr">
        <is>
          <t>Nuevo (destino CABA)</t>
        </is>
      </c>
      <c r="I179" s="17" t="inlineStr">
        <is>
          <t>IRAM 3517-2:2020 Ord. 40.473 art. 6 · Res. AGC 32/15</t>
        </is>
      </c>
      <c r="J179" s="32" t="inlineStr">
        <is>
          <t>Sí</t>
        </is>
      </c>
      <c r="K179" s="17" t="inlineStr">
        <is>
          <t>Agencia Gubernamental de Control (CABA)</t>
        </is>
      </c>
      <c r="L179" s="17" t="inlineStr">
        <is>
          <t>-</t>
        </is>
      </c>
    </row>
    <row r="180">
      <c r="A180" s="32" t="inlineStr">
        <is>
          <t>RK-AFFF10-A</t>
        </is>
      </c>
      <c r="B180" s="32" t="inlineStr">
        <is>
          <t>FL_MAT_AFFF_10l</t>
        </is>
      </c>
      <c r="C180" s="32" t="inlineStr">
        <is>
          <t>Extintor AFFF 10 l</t>
        </is>
      </c>
      <c r="D180" s="17" t="inlineStr">
        <is>
          <t>A - Extintor descargado</t>
        </is>
      </c>
      <c r="E180" s="17" t="inlineStr">
        <is>
          <t>Tarjeta de identificación DPS de revisión / recarga</t>
        </is>
      </c>
      <c r="F180" s="32" t="n">
        <v>1</v>
      </c>
      <c r="G180" s="32" t="inlineStr">
        <is>
          <t>u</t>
        </is>
      </c>
      <c r="H180" s="17" t="inlineStr">
        <is>
          <t>Nuevo (PBA)</t>
        </is>
      </c>
      <c r="I180" s="17" t="inlineStr">
        <is>
          <t>IRAM 3517-2:2020 Res. 349/07 art. 21</t>
        </is>
      </c>
      <c r="J180" s="32" t="inlineStr">
        <is>
          <t>Sí</t>
        </is>
      </c>
      <c r="K180" s="17" t="inlineStr">
        <is>
          <t>Ministerio de Ambiente PBA (ex OPDS)</t>
        </is>
      </c>
      <c r="L180" s="17" t="inlineStr">
        <is>
          <t>-</t>
        </is>
      </c>
    </row>
    <row r="181">
      <c r="A181" s="32" t="inlineStr">
        <is>
          <t>RK-AFFF10-A</t>
        </is>
      </c>
      <c r="B181" s="32" t="inlineStr">
        <is>
          <t>FL_MAT_AFFF_10l</t>
        </is>
      </c>
      <c r="C181" s="32" t="inlineStr">
        <is>
          <t>Extintor AFFF 10 l</t>
        </is>
      </c>
      <c r="D181" s="17" t="inlineStr">
        <is>
          <t>A - Extintor descargado</t>
        </is>
      </c>
      <c r="E181" s="17" t="inlineStr">
        <is>
          <t>Grabado de la fecha del servicio en el tubo de pesca (lápiz vibratorio; en polvo, marcador indeleble)</t>
        </is>
      </c>
      <c r="F181" s="32" t="n">
        <v>1</v>
      </c>
      <c r="G181" s="32" t="inlineStr">
        <is>
          <t>u</t>
        </is>
      </c>
      <c r="H181" s="17" t="inlineStr">
        <is>
          <t>Proceso</t>
        </is>
      </c>
      <c r="I181" s="17" t="inlineStr">
        <is>
          <t>IRAM 3517-2:2020 Res. 349/07 art. 28</t>
        </is>
      </c>
      <c r="J181" s="32" t="inlineStr">
        <is>
          <t>No</t>
        </is>
      </c>
      <c r="K181" s="17" t="n"/>
      <c r="L181" s="17" t="n"/>
    </row>
    <row r="182">
      <c r="A182" s="32" t="inlineStr">
        <is>
          <t>RK-AFFF10-A</t>
        </is>
      </c>
      <c r="B182" s="32" t="inlineStr">
        <is>
          <t>FL_MAT_AFFF_10l</t>
        </is>
      </c>
      <c r="C182" s="32" t="inlineStr">
        <is>
          <t>Extintor AFFF 10 l</t>
        </is>
      </c>
      <c r="D182" s="17" t="inlineStr">
        <is>
          <t>A - Extintor descargado</t>
        </is>
      </c>
      <c r="E182" s="17" t="inlineStr">
        <is>
          <t>Si hubo PH: oblea de vencimiento de PH + «PH» y fecha grabados en el tubo de pesca (CO₂: fecha y logo estampados en la ojiva)</t>
        </is>
      </c>
      <c r="F182" s="32" t="n">
        <v>1</v>
      </c>
      <c r="G182" s="32" t="inlineStr">
        <is>
          <t>u</t>
        </is>
      </c>
      <c r="H182" s="17" t="inlineStr">
        <is>
          <t>Proceso</t>
        </is>
      </c>
      <c r="I182" s="17" t="inlineStr">
        <is>
          <t>IRAM 3517-2:2020 Res. 349/07 art. 29 · IRAM 3517-2</t>
        </is>
      </c>
      <c r="J182" s="32" t="inlineStr">
        <is>
          <t>No</t>
        </is>
      </c>
      <c r="K182" s="17" t="n"/>
      <c r="L182" s="17" t="n"/>
    </row>
    <row r="183">
      <c r="A183" s="37" t="inlineStr">
        <is>
          <t>RK-AFFF10-A</t>
        </is>
      </c>
      <c r="B183" s="37" t="inlineStr">
        <is>
          <t>FL_MAT_AFFF_10l</t>
        </is>
      </c>
      <c r="C183" s="37" t="inlineStr">
        <is>
          <t>Extintor AFFF 10 l</t>
        </is>
      </c>
      <c r="D183" s="18" t="inlineStr">
        <is>
          <t>A - Extintor descargado</t>
        </is>
      </c>
      <c r="E183" s="18" t="inlineStr">
        <is>
          <t>Junta tórica de asiento del cuello</t>
        </is>
      </c>
      <c r="F183" s="37" t="n">
        <v>1</v>
      </c>
      <c r="G183" s="37" t="inlineStr">
        <is>
          <t>u</t>
        </is>
      </c>
      <c r="H183" s="18" t="inlineStr">
        <is>
          <t>Nuevo (R: cambio sistemático)</t>
        </is>
      </c>
      <c r="I183" s="18" t="inlineStr"/>
      <c r="J183" s="37" t="inlineStr">
        <is>
          <t>Sí</t>
        </is>
      </c>
      <c r="K183" s="18" t="inlineStr">
        <is>
          <t>Argensold</t>
        </is>
      </c>
      <c r="L183" s="18" t="inlineStr">
        <is>
          <t>Matafuegos Iglesias</t>
        </is>
      </c>
    </row>
    <row r="184">
      <c r="A184" s="32" t="inlineStr">
        <is>
          <t>RK-AFFF10-A</t>
        </is>
      </c>
      <c r="B184" s="32" t="inlineStr">
        <is>
          <t>FL_MAT_AFFF_10l</t>
        </is>
      </c>
      <c r="C184" s="32" t="inlineStr">
        <is>
          <t>Extintor AFFF 10 l</t>
        </is>
      </c>
      <c r="D184" s="17" t="inlineStr">
        <is>
          <t>A - Extintor descargado</t>
        </is>
      </c>
      <c r="E184" s="17" t="inlineStr">
        <is>
          <t>Gas impulsor: Aire comprimido</t>
        </is>
      </c>
      <c r="F184" s="32" t="n">
        <v>0.0427</v>
      </c>
      <c r="G184" s="32" t="inlineStr">
        <is>
          <t>kg</t>
        </is>
      </c>
      <c r="H184" s="17" t="inlineStr">
        <is>
          <t>Nuevo</t>
        </is>
      </c>
      <c r="I184" s="17" t="inlineStr">
        <is>
          <t>IRAM 3517-2:2020 9.4.9 tabla 2</t>
        </is>
      </c>
      <c r="J184" s="32" t="inlineStr">
        <is>
          <t>No</t>
        </is>
      </c>
      <c r="K184" s="17" t="n"/>
      <c r="L184" s="17" t="n"/>
    </row>
    <row r="185">
      <c r="A185" s="37" t="inlineStr">
        <is>
          <t>RK-AFFF10-B</t>
        </is>
      </c>
      <c r="B185" s="37" t="inlineStr">
        <is>
          <t>FL_MAT_AFFF_10l</t>
        </is>
      </c>
      <c r="C185" s="37" t="inlineStr">
        <is>
          <t>Extintor AFFF 10 l</t>
        </is>
      </c>
      <c r="D185" s="18" t="inlineStr">
        <is>
          <t>B - Mantenimiento (PH cada 2 años en inoxidables y AFFF)</t>
        </is>
      </c>
      <c r="E185" s="18" t="inlineStr">
        <is>
          <t>Concentrado espumígeno AFFF 3 % (IRAM 3515)</t>
        </is>
      </c>
      <c r="F185" s="37" t="n">
        <v>0.3</v>
      </c>
      <c r="G185" s="37" t="inlineStr">
        <is>
          <t>L</t>
        </is>
      </c>
      <c r="H185" s="18" t="inlineStr">
        <is>
          <t>Nuevo (R: la carga líquida no se recupera; confirmar vida útil del concentrado con el fabricante)</t>
        </is>
      </c>
      <c r="I185" s="18" t="inlineStr">
        <is>
          <t>IRAM 3517-2:2020 9.9</t>
        </is>
      </c>
      <c r="J185" s="37" t="inlineStr">
        <is>
          <t>Sí</t>
        </is>
      </c>
      <c r="K185" s="18" t="inlineStr">
        <is>
          <t>DEM S.A. (DEMSA)</t>
        </is>
      </c>
      <c r="L185" s="18" t="inlineStr">
        <is>
          <t>Polvex S.R.L. / Sancibrao</t>
        </is>
      </c>
    </row>
    <row r="186">
      <c r="A186" s="32" t="inlineStr">
        <is>
          <t>RK-AFFF10-B</t>
        </is>
      </c>
      <c r="B186" s="32" t="inlineStr">
        <is>
          <t>FL_MAT_AFFF_10l</t>
        </is>
      </c>
      <c r="C186" s="32" t="inlineStr">
        <is>
          <t>Extintor AFFF 10 l</t>
        </is>
      </c>
      <c r="D186" s="17" t="inlineStr">
        <is>
          <t>B - Mantenimiento (PH cada 2 años en inoxidables y AFFF)</t>
        </is>
      </c>
      <c r="E186" s="17" t="inlineStr">
        <is>
          <t>Agua potable (premezcla)</t>
        </is>
      </c>
      <c r="F186" s="32" t="n">
        <v>9.699999999999999</v>
      </c>
      <c r="G186" s="32" t="inlineStr">
        <is>
          <t>L</t>
        </is>
      </c>
      <c r="H186" s="17" t="inlineStr">
        <is>
          <t>Red</t>
        </is>
      </c>
      <c r="I186" s="17" t="inlineStr">
        <is>
          <t>IRAM 3517-2:2020 9.9</t>
        </is>
      </c>
      <c r="J186" s="32" t="inlineStr">
        <is>
          <t>No</t>
        </is>
      </c>
      <c r="K186" s="17" t="n"/>
      <c r="L186" s="17" t="n"/>
    </row>
    <row r="187">
      <c r="A187" s="32" t="inlineStr">
        <is>
          <t>RK-AFFF10-B</t>
        </is>
      </c>
      <c r="B187" s="32" t="inlineStr">
        <is>
          <t>FL_MAT_AFFF_10l</t>
        </is>
      </c>
      <c r="C187" s="32" t="inlineStr">
        <is>
          <t>Extintor AFFF 10 l</t>
        </is>
      </c>
      <c r="D187" s="17" t="inlineStr">
        <is>
          <t>B - Mantenimiento (PH cada 2 años en inoxidables y AFFF)</t>
        </is>
      </c>
      <c r="E187" s="17" t="inlineStr">
        <is>
          <t>Precinto plástico numerado, color, con nombre del recargador</t>
        </is>
      </c>
      <c r="F187" s="32" t="n">
        <v>1</v>
      </c>
      <c r="G187" s="32" t="inlineStr">
        <is>
          <t>u</t>
        </is>
      </c>
      <c r="H187" s="17" t="inlineStr">
        <is>
          <t>Nuevo</t>
        </is>
      </c>
      <c r="I187" s="17" t="inlineStr">
        <is>
          <t>IRAM 3517-2:2020 9.4.13</t>
        </is>
      </c>
      <c r="J187" s="32" t="inlineStr">
        <is>
          <t>Sí</t>
        </is>
      </c>
      <c r="K187" s="17" t="inlineStr">
        <is>
          <t>SonFuertes (vía Papelera Damián)</t>
        </is>
      </c>
      <c r="L187" s="17" t="inlineStr">
        <is>
          <t>Precinter S.R.L.</t>
        </is>
      </c>
    </row>
    <row r="188">
      <c r="A188" s="32" t="inlineStr">
        <is>
          <t>RK-AFFF10-B</t>
        </is>
      </c>
      <c r="B188" s="32" t="inlineStr">
        <is>
          <t>FL_MAT_AFFF_10l</t>
        </is>
      </c>
      <c r="C188" s="32" t="inlineStr">
        <is>
          <t>Extintor AFFF 10 l</t>
        </is>
      </c>
      <c r="D188" s="17" t="inlineStr">
        <is>
          <t>B - Mantenimiento (PH cada 2 años en inoxidables y AFFF)</t>
        </is>
      </c>
      <c r="E188" s="17" t="inlineStr">
        <is>
          <t>Marbete (anillo, color del año)</t>
        </is>
      </c>
      <c r="F188" s="32" t="n">
        <v>1</v>
      </c>
      <c r="G188" s="32" t="inlineStr">
        <is>
          <t>u</t>
        </is>
      </c>
      <c r="H188" s="17" t="inlineStr">
        <is>
          <t>Nuevo</t>
        </is>
      </c>
      <c r="I188" s="17" t="inlineStr">
        <is>
          <t>IRAM 3517-2:2020 9.6 · anexo E</t>
        </is>
      </c>
      <c r="J188" s="32" t="inlineStr">
        <is>
          <t>Sí</t>
        </is>
      </c>
      <c r="K188" s="17" t="inlineStr">
        <is>
          <t>Astuprint</t>
        </is>
      </c>
      <c r="L188" s="17" t="inlineStr">
        <is>
          <t>Multilabel Argentina S.A.</t>
        </is>
      </c>
    </row>
    <row r="189">
      <c r="A189" s="32" t="inlineStr">
        <is>
          <t>RK-AFFF10-B</t>
        </is>
      </c>
      <c r="B189" s="32" t="inlineStr">
        <is>
          <t>FL_MAT_AFFF_10l</t>
        </is>
      </c>
      <c r="C189" s="32" t="inlineStr">
        <is>
          <t>Extintor AFFF 10 l</t>
        </is>
      </c>
      <c r="D189" s="17" t="inlineStr">
        <is>
          <t>B - Mantenimiento (PH cada 2 años en inoxidables y AFFF)</t>
        </is>
      </c>
      <c r="E189" s="17" t="inlineStr">
        <is>
          <t>Etiqueta de servicio del recargador (extintor n°, serie, próxima recarga y PH)</t>
        </is>
      </c>
      <c r="F189" s="32" t="n">
        <v>1</v>
      </c>
      <c r="G189" s="32" t="inlineStr">
        <is>
          <t>u</t>
        </is>
      </c>
      <c r="H189" s="17" t="inlineStr">
        <is>
          <t>Nuevo</t>
        </is>
      </c>
      <c r="I189" s="17" t="inlineStr">
        <is>
          <t>IRAM 3517-2:2020 9.4.14 · relevado Suyai/Firegram</t>
        </is>
      </c>
      <c r="J189" s="32" t="inlineStr">
        <is>
          <t>Sí</t>
        </is>
      </c>
      <c r="K189" s="17" t="inlineStr">
        <is>
          <t>Astuprint</t>
        </is>
      </c>
      <c r="L189" s="17" t="inlineStr">
        <is>
          <t>Multilabel Argentina S.A.</t>
        </is>
      </c>
    </row>
    <row r="190">
      <c r="A190" s="32" t="inlineStr">
        <is>
          <t>RK-AFFF10-B</t>
        </is>
      </c>
      <c r="B190" s="32" t="inlineStr">
        <is>
          <t>FL_MAT_AFFF_10l</t>
        </is>
      </c>
      <c r="C190" s="32" t="inlineStr">
        <is>
          <t>Extintor AFFF 10 l</t>
        </is>
      </c>
      <c r="D190" s="17" t="inlineStr">
        <is>
          <t>B - Mantenimiento (PH cada 2 años en inoxidables y AFFF)</t>
        </is>
      </c>
      <c r="E190" s="17" t="inlineStr">
        <is>
          <t>Oblea PBA de recarga Ø46 + estampilla precinto 1" × 200 mm válvula-cuerpo</t>
        </is>
      </c>
      <c r="F190" s="32" t="n">
        <v>1</v>
      </c>
      <c r="G190" s="32" t="inlineStr">
        <is>
          <t>u</t>
        </is>
      </c>
      <c r="H190" s="17" t="inlineStr">
        <is>
          <t>Nuevo (venta en PBA)</t>
        </is>
      </c>
      <c r="I190" s="17" t="inlineStr">
        <is>
          <t>IRAM 3517-2:2020 Res. OPDS 522/07</t>
        </is>
      </c>
      <c r="J190" s="32" t="inlineStr">
        <is>
          <t>Sí</t>
        </is>
      </c>
      <c r="K190" s="17" t="inlineStr">
        <is>
          <t>Ministerio de Ambiente PBA (ex OPDS)</t>
        </is>
      </c>
      <c r="L190" s="17" t="inlineStr">
        <is>
          <t>-</t>
        </is>
      </c>
    </row>
    <row r="191">
      <c r="A191" s="32" t="inlineStr">
        <is>
          <t>RK-AFFF10-B</t>
        </is>
      </c>
      <c r="B191" s="32" t="inlineStr">
        <is>
          <t>FL_MAT_AFFF_10l</t>
        </is>
      </c>
      <c r="C191" s="32" t="inlineStr">
        <is>
          <t>Extintor AFFF 10 l</t>
        </is>
      </c>
      <c r="D191" s="17" t="inlineStr">
        <is>
          <t>B - Mantenimiento (PH cada 2 años en inoxidables y AFFF)</t>
        </is>
      </c>
      <c r="E191" s="17" t="inlineStr">
        <is>
          <t>Tarjeta de identificación AGC (módulo papel con QR + etiqueta AGC)</t>
        </is>
      </c>
      <c r="F191" s="32" t="n">
        <v>1</v>
      </c>
      <c r="G191" s="32" t="inlineStr">
        <is>
          <t>u</t>
        </is>
      </c>
      <c r="H191" s="17" t="inlineStr">
        <is>
          <t>Nuevo (destino CABA)</t>
        </is>
      </c>
      <c r="I191" s="17" t="inlineStr">
        <is>
          <t>IRAM 3517-2:2020 Ord. 40.473 art. 6 · Res. AGC 32/15</t>
        </is>
      </c>
      <c r="J191" s="32" t="inlineStr">
        <is>
          <t>Sí</t>
        </is>
      </c>
      <c r="K191" s="17" t="inlineStr">
        <is>
          <t>Agencia Gubernamental de Control (CABA)</t>
        </is>
      </c>
      <c r="L191" s="17" t="inlineStr">
        <is>
          <t>-</t>
        </is>
      </c>
    </row>
    <row r="192">
      <c r="A192" s="32" t="inlineStr">
        <is>
          <t>RK-AFFF10-B</t>
        </is>
      </c>
      <c r="B192" s="32" t="inlineStr">
        <is>
          <t>FL_MAT_AFFF_10l</t>
        </is>
      </c>
      <c r="C192" s="32" t="inlineStr">
        <is>
          <t>Extintor AFFF 10 l</t>
        </is>
      </c>
      <c r="D192" s="17" t="inlineStr">
        <is>
          <t>B - Mantenimiento (PH cada 2 años en inoxidables y AFFF)</t>
        </is>
      </c>
      <c r="E192" s="17" t="inlineStr">
        <is>
          <t>Tarjeta de identificación DPS de revisión / recarga</t>
        </is>
      </c>
      <c r="F192" s="32" t="n">
        <v>1</v>
      </c>
      <c r="G192" s="32" t="inlineStr">
        <is>
          <t>u</t>
        </is>
      </c>
      <c r="H192" s="17" t="inlineStr">
        <is>
          <t>Nuevo (PBA)</t>
        </is>
      </c>
      <c r="I192" s="17" t="inlineStr">
        <is>
          <t>IRAM 3517-2:2020 Res. 349/07 art. 21</t>
        </is>
      </c>
      <c r="J192" s="32" t="inlineStr">
        <is>
          <t>Sí</t>
        </is>
      </c>
      <c r="K192" s="17" t="inlineStr">
        <is>
          <t>Ministerio de Ambiente PBA (ex OPDS)</t>
        </is>
      </c>
      <c r="L192" s="17" t="inlineStr">
        <is>
          <t>-</t>
        </is>
      </c>
    </row>
    <row r="193">
      <c r="A193" s="32" t="inlineStr">
        <is>
          <t>RK-AFFF10-B</t>
        </is>
      </c>
      <c r="B193" s="32" t="inlineStr">
        <is>
          <t>FL_MAT_AFFF_10l</t>
        </is>
      </c>
      <c r="C193" s="32" t="inlineStr">
        <is>
          <t>Extintor AFFF 10 l</t>
        </is>
      </c>
      <c r="D193" s="17" t="inlineStr">
        <is>
          <t>B - Mantenimiento (PH cada 2 años en inoxidables y AFFF)</t>
        </is>
      </c>
      <c r="E193" s="17" t="inlineStr">
        <is>
          <t>Grabado de la fecha del servicio en el tubo de pesca (lápiz vibratorio; en polvo, marcador indeleble)</t>
        </is>
      </c>
      <c r="F193" s="32" t="n">
        <v>1</v>
      </c>
      <c r="G193" s="32" t="inlineStr">
        <is>
          <t>u</t>
        </is>
      </c>
      <c r="H193" s="17" t="inlineStr">
        <is>
          <t>Proceso</t>
        </is>
      </c>
      <c r="I193" s="17" t="inlineStr">
        <is>
          <t>IRAM 3517-2:2020 Res. 349/07 art. 28</t>
        </is>
      </c>
      <c r="J193" s="32" t="inlineStr">
        <is>
          <t>No</t>
        </is>
      </c>
      <c r="K193" s="17" t="n"/>
      <c r="L193" s="17" t="n"/>
    </row>
    <row r="194">
      <c r="A194" s="32" t="inlineStr">
        <is>
          <t>RK-AFFF10-B</t>
        </is>
      </c>
      <c r="B194" s="32" t="inlineStr">
        <is>
          <t>FL_MAT_AFFF_10l</t>
        </is>
      </c>
      <c r="C194" s="32" t="inlineStr">
        <is>
          <t>Extintor AFFF 10 l</t>
        </is>
      </c>
      <c r="D194" s="17" t="inlineStr">
        <is>
          <t>B - Mantenimiento (PH cada 2 años en inoxidables y AFFF)</t>
        </is>
      </c>
      <c r="E194" s="17" t="inlineStr">
        <is>
          <t>Si hubo PH: oblea de vencimiento de PH + «PH» y fecha grabados en el tubo de pesca (CO₂: fecha y logo estampados en la ojiva)</t>
        </is>
      </c>
      <c r="F194" s="32" t="n">
        <v>1</v>
      </c>
      <c r="G194" s="32" t="inlineStr">
        <is>
          <t>u</t>
        </is>
      </c>
      <c r="H194" s="17" t="inlineStr">
        <is>
          <t>Proceso</t>
        </is>
      </c>
      <c r="I194" s="17" t="inlineStr">
        <is>
          <t>IRAM 3517-2:2020 Res. 349/07 art. 29 · IRAM 3517-2</t>
        </is>
      </c>
      <c r="J194" s="32" t="inlineStr">
        <is>
          <t>No</t>
        </is>
      </c>
      <c r="K194" s="17" t="n"/>
      <c r="L194" s="17" t="n"/>
    </row>
    <row r="195">
      <c r="A195" s="37" t="inlineStr">
        <is>
          <t>RK-AFFF10-B</t>
        </is>
      </c>
      <c r="B195" s="37" t="inlineStr">
        <is>
          <t>FL_MAT_AFFF_10l</t>
        </is>
      </c>
      <c r="C195" s="37" t="inlineStr">
        <is>
          <t>Extintor AFFF 10 l</t>
        </is>
      </c>
      <c r="D195" s="18" t="inlineStr">
        <is>
          <t>B - Mantenimiento (PH cada 2 años en inoxidables y AFFF)</t>
        </is>
      </c>
      <c r="E195" s="18" t="inlineStr">
        <is>
          <t>Junta tórica de asiento del cuello</t>
        </is>
      </c>
      <c r="F195" s="37" t="n">
        <v>1</v>
      </c>
      <c r="G195" s="37" t="inlineStr">
        <is>
          <t>u</t>
        </is>
      </c>
      <c r="H195" s="18" t="inlineStr">
        <is>
          <t>Nuevo (R: cambio sistemático)</t>
        </is>
      </c>
      <c r="I195" s="18" t="inlineStr"/>
      <c r="J195" s="37" t="inlineStr">
        <is>
          <t>Sí</t>
        </is>
      </c>
      <c r="K195" s="18" t="inlineStr">
        <is>
          <t>Argensold</t>
        </is>
      </c>
      <c r="L195" s="18" t="inlineStr">
        <is>
          <t>Matafuegos Iglesias</t>
        </is>
      </c>
    </row>
    <row r="196">
      <c r="A196" s="32" t="inlineStr">
        <is>
          <t>RK-AFFF10-B</t>
        </is>
      </c>
      <c r="B196" s="32" t="inlineStr">
        <is>
          <t>FL_MAT_AFFF_10l</t>
        </is>
      </c>
      <c r="C196" s="32" t="inlineStr">
        <is>
          <t>Extintor AFFF 10 l</t>
        </is>
      </c>
      <c r="D196" s="17" t="inlineStr">
        <is>
          <t>B - Mantenimiento (PH cada 2 años en inoxidables y AFFF)</t>
        </is>
      </c>
      <c r="E196" s="17" t="inlineStr">
        <is>
          <t>Gas impulsor: Aire comprimido</t>
        </is>
      </c>
      <c r="F196" s="32" t="n">
        <v>0.0427</v>
      </c>
      <c r="G196" s="32" t="inlineStr">
        <is>
          <t>kg</t>
        </is>
      </c>
      <c r="H196" s="17" t="inlineStr">
        <is>
          <t>Nuevo</t>
        </is>
      </c>
      <c r="I196" s="17" t="inlineStr">
        <is>
          <t>IRAM 3517-2:2020 9.4.9 tabla 2</t>
        </is>
      </c>
      <c r="J196" s="32" t="inlineStr">
        <is>
          <t>No</t>
        </is>
      </c>
      <c r="K196" s="17" t="n"/>
      <c r="L196" s="17" t="n"/>
    </row>
    <row r="197">
      <c r="A197" s="32" t="inlineStr">
        <is>
          <t>RK-AFFF10-I</t>
        </is>
      </c>
      <c r="B197" s="32" t="inlineStr">
        <is>
          <t>FL_MAT_AFFF_10l</t>
        </is>
      </c>
      <c r="C197" s="32" t="inlineStr">
        <is>
          <t>Extintor AFFF 10 l</t>
        </is>
      </c>
      <c r="D197" s="17" t="inlineStr">
        <is>
          <t>Según inspección (consumo estadístico a definir)</t>
        </is>
      </c>
      <c r="E197" s="17" t="inlineStr">
        <is>
          <t>Manómetro / manguera / tobera / kit de válvula</t>
        </is>
      </c>
      <c r="F197" s="32" t="inlineStr">
        <is>
          <t>-</t>
        </is>
      </c>
      <c r="G197" s="32" t="inlineStr">
        <is>
          <t>u</t>
        </is>
      </c>
      <c r="H197" s="17" t="inlineStr">
        <is>
          <t>Recambio sólo si falla</t>
        </is>
      </c>
      <c r="I197" s="17" t="inlineStr">
        <is>
          <t>IRAM 3517-2:2020 9.4.11 (cada manguera vuelve a su extintor)</t>
        </is>
      </c>
      <c r="J197" s="32" t="inlineStr">
        <is>
          <t>Sí</t>
        </is>
      </c>
      <c r="K197" s="17" t="inlineStr">
        <is>
          <t>Polvex S.R.L. / Sancibrao</t>
        </is>
      </c>
      <c r="L197" s="17" t="inlineStr">
        <is>
          <t>Yukon / MatafuegosYa S.R.L.</t>
        </is>
      </c>
    </row>
    <row r="198">
      <c r="A198" s="32" t="inlineStr">
        <is>
          <t>RK-AFFF50-A</t>
        </is>
      </c>
      <c r="B198" s="32" t="inlineStr">
        <is>
          <t>FL_MAT_AFFF_50l</t>
        </is>
      </c>
      <c r="C198" s="32" t="inlineStr">
        <is>
          <t>Extintor AFFF 50 l sobre ruedas</t>
        </is>
      </c>
      <c r="D198" s="17" t="inlineStr">
        <is>
          <t>A - Extintor descargado</t>
        </is>
      </c>
      <c r="E198" s="17" t="inlineStr">
        <is>
          <t>Concentrado espumígeno AFFF 3 % (IRAM 3515)</t>
        </is>
      </c>
      <c r="F198" s="32" t="n">
        <v>1.5</v>
      </c>
      <c r="G198" s="32" t="inlineStr">
        <is>
          <t>L</t>
        </is>
      </c>
      <c r="H198" s="17" t="inlineStr">
        <is>
          <t>Nuevo</t>
        </is>
      </c>
      <c r="I198" s="17" t="inlineStr">
        <is>
          <t>IRAM 3517-2:2020 9.9 tabla 6</t>
        </is>
      </c>
      <c r="J198" s="32" t="inlineStr">
        <is>
          <t>Sí</t>
        </is>
      </c>
      <c r="K198" s="17" t="inlineStr">
        <is>
          <t>DEM S.A. (DEMSA)</t>
        </is>
      </c>
      <c r="L198" s="17" t="inlineStr">
        <is>
          <t>Polvex S.R.L. / Sancibrao</t>
        </is>
      </c>
    </row>
    <row r="199">
      <c r="A199" s="32" t="inlineStr">
        <is>
          <t>RK-AFFF50-A</t>
        </is>
      </c>
      <c r="B199" s="32" t="inlineStr">
        <is>
          <t>FL_MAT_AFFF_50l</t>
        </is>
      </c>
      <c r="C199" s="32" t="inlineStr">
        <is>
          <t>Extintor AFFF 50 l sobre ruedas</t>
        </is>
      </c>
      <c r="D199" s="17" t="inlineStr">
        <is>
          <t>A - Extintor descargado</t>
        </is>
      </c>
      <c r="E199" s="17" t="inlineStr">
        <is>
          <t>Agua potable (premezcla)</t>
        </is>
      </c>
      <c r="F199" s="32" t="n">
        <v>48.5</v>
      </c>
      <c r="G199" s="32" t="inlineStr">
        <is>
          <t>L</t>
        </is>
      </c>
      <c r="H199" s="17" t="inlineStr">
        <is>
          <t>Red</t>
        </is>
      </c>
      <c r="I199" s="17" t="inlineStr">
        <is>
          <t>IRAM 3517-2:2020 9.9 tabla 6</t>
        </is>
      </c>
      <c r="J199" s="32" t="inlineStr">
        <is>
          <t>No</t>
        </is>
      </c>
      <c r="K199" s="17" t="n"/>
      <c r="L199" s="17" t="n"/>
    </row>
    <row r="200">
      <c r="A200" s="32" t="inlineStr">
        <is>
          <t>RK-AFFF50-A</t>
        </is>
      </c>
      <c r="B200" s="32" t="inlineStr">
        <is>
          <t>FL_MAT_AFFF_50l</t>
        </is>
      </c>
      <c r="C200" s="32" t="inlineStr">
        <is>
          <t>Extintor AFFF 50 l sobre ruedas</t>
        </is>
      </c>
      <c r="D200" s="17" t="inlineStr">
        <is>
          <t>A - Extintor descargado</t>
        </is>
      </c>
      <c r="E200" s="17" t="inlineStr">
        <is>
          <t>Precinto plástico numerado, color, con nombre del recargador</t>
        </is>
      </c>
      <c r="F200" s="32" t="n">
        <v>1</v>
      </c>
      <c r="G200" s="32" t="inlineStr">
        <is>
          <t>u</t>
        </is>
      </c>
      <c r="H200" s="17" t="inlineStr">
        <is>
          <t>Nuevo</t>
        </is>
      </c>
      <c r="I200" s="17" t="inlineStr">
        <is>
          <t>IRAM 3517-2:2020 9.4.13</t>
        </is>
      </c>
      <c r="J200" s="32" t="inlineStr">
        <is>
          <t>Sí</t>
        </is>
      </c>
      <c r="K200" s="17" t="inlineStr">
        <is>
          <t>SonFuertes (vía Papelera Damián)</t>
        </is>
      </c>
      <c r="L200" s="17" t="inlineStr">
        <is>
          <t>Precinter S.R.L.</t>
        </is>
      </c>
    </row>
    <row r="201">
      <c r="A201" s="32" t="inlineStr">
        <is>
          <t>RK-AFFF50-A</t>
        </is>
      </c>
      <c r="B201" s="32" t="inlineStr">
        <is>
          <t>FL_MAT_AFFF_50l</t>
        </is>
      </c>
      <c r="C201" s="32" t="inlineStr">
        <is>
          <t>Extintor AFFF 50 l sobre ruedas</t>
        </is>
      </c>
      <c r="D201" s="17" t="inlineStr">
        <is>
          <t>A - Extintor descargado</t>
        </is>
      </c>
      <c r="E201" s="17" t="inlineStr">
        <is>
          <t>Marbete (anillo, color del año)</t>
        </is>
      </c>
      <c r="F201" s="32" t="n">
        <v>1</v>
      </c>
      <c r="G201" s="32" t="inlineStr">
        <is>
          <t>u</t>
        </is>
      </c>
      <c r="H201" s="17" t="inlineStr">
        <is>
          <t>Nuevo</t>
        </is>
      </c>
      <c r="I201" s="17" t="inlineStr">
        <is>
          <t>IRAM 3517-2:2020 9.6 · anexo E</t>
        </is>
      </c>
      <c r="J201" s="32" t="inlineStr">
        <is>
          <t>Sí</t>
        </is>
      </c>
      <c r="K201" s="17" t="inlineStr">
        <is>
          <t>Astuprint</t>
        </is>
      </c>
      <c r="L201" s="17" t="inlineStr">
        <is>
          <t>Multilabel Argentina S.A.</t>
        </is>
      </c>
    </row>
    <row r="202">
      <c r="A202" s="32" t="inlineStr">
        <is>
          <t>RK-AFFF50-A</t>
        </is>
      </c>
      <c r="B202" s="32" t="inlineStr">
        <is>
          <t>FL_MAT_AFFF_50l</t>
        </is>
      </c>
      <c r="C202" s="32" t="inlineStr">
        <is>
          <t>Extintor AFFF 50 l sobre ruedas</t>
        </is>
      </c>
      <c r="D202" s="17" t="inlineStr">
        <is>
          <t>A - Extintor descargado</t>
        </is>
      </c>
      <c r="E202" s="17" t="inlineStr">
        <is>
          <t>Etiqueta de servicio del recargador (extintor n°, serie, próxima recarga y PH)</t>
        </is>
      </c>
      <c r="F202" s="32" t="n">
        <v>1</v>
      </c>
      <c r="G202" s="32" t="inlineStr">
        <is>
          <t>u</t>
        </is>
      </c>
      <c r="H202" s="17" t="inlineStr">
        <is>
          <t>Nuevo</t>
        </is>
      </c>
      <c r="I202" s="17" t="inlineStr">
        <is>
          <t>IRAM 3517-2:2020 9.4.14 · relevado Suyai/Firegram</t>
        </is>
      </c>
      <c r="J202" s="32" t="inlineStr">
        <is>
          <t>Sí</t>
        </is>
      </c>
      <c r="K202" s="17" t="inlineStr">
        <is>
          <t>Astuprint</t>
        </is>
      </c>
      <c r="L202" s="17" t="inlineStr">
        <is>
          <t>Multilabel Argentina S.A.</t>
        </is>
      </c>
    </row>
    <row r="203">
      <c r="A203" s="32" t="inlineStr">
        <is>
          <t>RK-AFFF50-A</t>
        </is>
      </c>
      <c r="B203" s="32" t="inlineStr">
        <is>
          <t>FL_MAT_AFFF_50l</t>
        </is>
      </c>
      <c r="C203" s="32" t="inlineStr">
        <is>
          <t>Extintor AFFF 50 l sobre ruedas</t>
        </is>
      </c>
      <c r="D203" s="17" t="inlineStr">
        <is>
          <t>A - Extintor descargado</t>
        </is>
      </c>
      <c r="E203" s="17" t="inlineStr">
        <is>
          <t>Oblea PBA de recarga Ø46 + estampilla precinto 1" × 200 mm válvula-cuerpo</t>
        </is>
      </c>
      <c r="F203" s="32" t="n">
        <v>1</v>
      </c>
      <c r="G203" s="32" t="inlineStr">
        <is>
          <t>u</t>
        </is>
      </c>
      <c r="H203" s="17" t="inlineStr">
        <is>
          <t>Nuevo (venta en PBA)</t>
        </is>
      </c>
      <c r="I203" s="17" t="inlineStr">
        <is>
          <t>IRAM 3517-2:2020 Res. OPDS 522/07</t>
        </is>
      </c>
      <c r="J203" s="32" t="inlineStr">
        <is>
          <t>Sí</t>
        </is>
      </c>
      <c r="K203" s="17" t="inlineStr">
        <is>
          <t>Ministerio de Ambiente PBA (ex OPDS)</t>
        </is>
      </c>
      <c r="L203" s="17" t="inlineStr">
        <is>
          <t>-</t>
        </is>
      </c>
    </row>
    <row r="204">
      <c r="A204" s="32" t="inlineStr">
        <is>
          <t>RK-AFFF50-A</t>
        </is>
      </c>
      <c r="B204" s="32" t="inlineStr">
        <is>
          <t>FL_MAT_AFFF_50l</t>
        </is>
      </c>
      <c r="C204" s="32" t="inlineStr">
        <is>
          <t>Extintor AFFF 50 l sobre ruedas</t>
        </is>
      </c>
      <c r="D204" s="17" t="inlineStr">
        <is>
          <t>A - Extintor descargado</t>
        </is>
      </c>
      <c r="E204" s="17" t="inlineStr">
        <is>
          <t>Tarjeta de identificación AGC (módulo papel con QR + etiqueta AGC)</t>
        </is>
      </c>
      <c r="F204" s="32" t="n">
        <v>1</v>
      </c>
      <c r="G204" s="32" t="inlineStr">
        <is>
          <t>u</t>
        </is>
      </c>
      <c r="H204" s="17" t="inlineStr">
        <is>
          <t>Nuevo (destino CABA)</t>
        </is>
      </c>
      <c r="I204" s="17" t="inlineStr">
        <is>
          <t>IRAM 3517-2:2020 Ord. 40.473 art. 6 · Res. AGC 32/15</t>
        </is>
      </c>
      <c r="J204" s="32" t="inlineStr">
        <is>
          <t>Sí</t>
        </is>
      </c>
      <c r="K204" s="17" t="inlineStr">
        <is>
          <t>Agencia Gubernamental de Control (CABA)</t>
        </is>
      </c>
      <c r="L204" s="17" t="inlineStr">
        <is>
          <t>-</t>
        </is>
      </c>
    </row>
    <row r="205">
      <c r="A205" s="32" t="inlineStr">
        <is>
          <t>RK-AFFF50-A</t>
        </is>
      </c>
      <c r="B205" s="32" t="inlineStr">
        <is>
          <t>FL_MAT_AFFF_50l</t>
        </is>
      </c>
      <c r="C205" s="32" t="inlineStr">
        <is>
          <t>Extintor AFFF 50 l sobre ruedas</t>
        </is>
      </c>
      <c r="D205" s="17" t="inlineStr">
        <is>
          <t>A - Extintor descargado</t>
        </is>
      </c>
      <c r="E205" s="17" t="inlineStr">
        <is>
          <t>Tarjeta de identificación DPS de revisión / recarga</t>
        </is>
      </c>
      <c r="F205" s="32" t="n">
        <v>1</v>
      </c>
      <c r="G205" s="32" t="inlineStr">
        <is>
          <t>u</t>
        </is>
      </c>
      <c r="H205" s="17" t="inlineStr">
        <is>
          <t>Nuevo (PBA)</t>
        </is>
      </c>
      <c r="I205" s="17" t="inlineStr">
        <is>
          <t>IRAM 3517-2:2020 Res. 349/07 art. 21</t>
        </is>
      </c>
      <c r="J205" s="32" t="inlineStr">
        <is>
          <t>Sí</t>
        </is>
      </c>
      <c r="K205" s="17" t="inlineStr">
        <is>
          <t>Ministerio de Ambiente PBA (ex OPDS)</t>
        </is>
      </c>
      <c r="L205" s="17" t="inlineStr">
        <is>
          <t>-</t>
        </is>
      </c>
    </row>
    <row r="206">
      <c r="A206" s="32" t="inlineStr">
        <is>
          <t>RK-AFFF50-A</t>
        </is>
      </c>
      <c r="B206" s="32" t="inlineStr">
        <is>
          <t>FL_MAT_AFFF_50l</t>
        </is>
      </c>
      <c r="C206" s="32" t="inlineStr">
        <is>
          <t>Extintor AFFF 50 l sobre ruedas</t>
        </is>
      </c>
      <c r="D206" s="17" t="inlineStr">
        <is>
          <t>A - Extintor descargado</t>
        </is>
      </c>
      <c r="E206" s="17" t="inlineStr">
        <is>
          <t>Grabado de la fecha del servicio en el tubo de pesca (lápiz vibratorio; en polvo, marcador indeleble)</t>
        </is>
      </c>
      <c r="F206" s="32" t="n">
        <v>1</v>
      </c>
      <c r="G206" s="32" t="inlineStr">
        <is>
          <t>u</t>
        </is>
      </c>
      <c r="H206" s="17" t="inlineStr">
        <is>
          <t>Proceso</t>
        </is>
      </c>
      <c r="I206" s="17" t="inlineStr">
        <is>
          <t>IRAM 3517-2:2020 Res. 349/07 art. 28</t>
        </is>
      </c>
      <c r="J206" s="32" t="inlineStr">
        <is>
          <t>No</t>
        </is>
      </c>
      <c r="K206" s="17" t="n"/>
      <c r="L206" s="17" t="n"/>
    </row>
    <row r="207">
      <c r="A207" s="32" t="inlineStr">
        <is>
          <t>RK-AFFF50-A</t>
        </is>
      </c>
      <c r="B207" s="32" t="inlineStr">
        <is>
          <t>FL_MAT_AFFF_50l</t>
        </is>
      </c>
      <c r="C207" s="32" t="inlineStr">
        <is>
          <t>Extintor AFFF 50 l sobre ruedas</t>
        </is>
      </c>
      <c r="D207" s="17" t="inlineStr">
        <is>
          <t>A - Extintor descargado</t>
        </is>
      </c>
      <c r="E207" s="17" t="inlineStr">
        <is>
          <t>Si hubo PH: oblea de vencimiento de PH + «PH» y fecha grabados en el tubo de pesca (CO₂: fecha y logo estampados en la ojiva)</t>
        </is>
      </c>
      <c r="F207" s="32" t="n">
        <v>1</v>
      </c>
      <c r="G207" s="32" t="inlineStr">
        <is>
          <t>u</t>
        </is>
      </c>
      <c r="H207" s="17" t="inlineStr">
        <is>
          <t>Proceso</t>
        </is>
      </c>
      <c r="I207" s="17" t="inlineStr">
        <is>
          <t>IRAM 3517-2:2020 Res. 349/07 art. 29 · IRAM 3517-2</t>
        </is>
      </c>
      <c r="J207" s="32" t="inlineStr">
        <is>
          <t>No</t>
        </is>
      </c>
      <c r="K207" s="17" t="n"/>
      <c r="L207" s="17" t="n"/>
    </row>
    <row r="208">
      <c r="A208" s="37" t="inlineStr">
        <is>
          <t>RK-AFFF50-A</t>
        </is>
      </c>
      <c r="B208" s="37" t="inlineStr">
        <is>
          <t>FL_MAT_AFFF_50l</t>
        </is>
      </c>
      <c r="C208" s="37" t="inlineStr">
        <is>
          <t>Extintor AFFF 50 l sobre ruedas</t>
        </is>
      </c>
      <c r="D208" s="18" t="inlineStr">
        <is>
          <t>A - Extintor descargado</t>
        </is>
      </c>
      <c r="E208" s="18" t="inlineStr">
        <is>
          <t>Junta tórica de asiento del cuello</t>
        </is>
      </c>
      <c r="F208" s="37" t="n">
        <v>1</v>
      </c>
      <c r="G208" s="37" t="inlineStr">
        <is>
          <t>u</t>
        </is>
      </c>
      <c r="H208" s="18" t="inlineStr">
        <is>
          <t>Nuevo (R: cambio sistemático)</t>
        </is>
      </c>
      <c r="I208" s="18" t="inlineStr"/>
      <c r="J208" s="37" t="inlineStr">
        <is>
          <t>Sí</t>
        </is>
      </c>
      <c r="K208" s="18" t="inlineStr">
        <is>
          <t>Argensold</t>
        </is>
      </c>
      <c r="L208" s="18" t="inlineStr">
        <is>
          <t>Matafuegos Iglesias</t>
        </is>
      </c>
    </row>
    <row r="209">
      <c r="A209" s="32" t="inlineStr">
        <is>
          <t>RK-AFFF50-A</t>
        </is>
      </c>
      <c r="B209" s="32" t="inlineStr">
        <is>
          <t>FL_MAT_AFFF_50l</t>
        </is>
      </c>
      <c r="C209" s="32" t="inlineStr">
        <is>
          <t>Extintor AFFF 50 l sobre ruedas</t>
        </is>
      </c>
      <c r="D209" s="17" t="inlineStr">
        <is>
          <t>A - Extintor descargado</t>
        </is>
      </c>
      <c r="E209" s="17" t="inlineStr">
        <is>
          <t>Gas impulsor: Aire comprimido</t>
        </is>
      </c>
      <c r="F209" s="32" t="n">
        <v>0.1265</v>
      </c>
      <c r="G209" s="32" t="inlineStr">
        <is>
          <t>kg</t>
        </is>
      </c>
      <c r="H209" s="17" t="inlineStr">
        <is>
          <t>Nuevo</t>
        </is>
      </c>
      <c r="I209" s="17" t="inlineStr">
        <is>
          <t>IRAM 3517-2:2020 9.4.9 tabla 2</t>
        </is>
      </c>
      <c r="J209" s="32" t="inlineStr">
        <is>
          <t>No</t>
        </is>
      </c>
      <c r="K209" s="17" t="n"/>
      <c r="L209" s="17" t="n"/>
    </row>
    <row r="210">
      <c r="A210" s="37" t="inlineStr">
        <is>
          <t>RK-AFFF50-B</t>
        </is>
      </c>
      <c r="B210" s="37" t="inlineStr">
        <is>
          <t>FL_MAT_AFFF_50l</t>
        </is>
      </c>
      <c r="C210" s="37" t="inlineStr">
        <is>
          <t>Extintor AFFF 50 l sobre ruedas</t>
        </is>
      </c>
      <c r="D210" s="18" t="inlineStr">
        <is>
          <t>B - Mantenimiento (PH cada 2 años en inoxidables y AFFF)</t>
        </is>
      </c>
      <c r="E210" s="18" t="inlineStr">
        <is>
          <t>Concentrado espumígeno AFFF 3 % (IRAM 3515)</t>
        </is>
      </c>
      <c r="F210" s="37" t="n">
        <v>1.5</v>
      </c>
      <c r="G210" s="37" t="inlineStr">
        <is>
          <t>L</t>
        </is>
      </c>
      <c r="H210" s="18" t="inlineStr">
        <is>
          <t>Nuevo (R: la carga líquida no se recupera; confirmar vida útil del concentrado con el fabricante)</t>
        </is>
      </c>
      <c r="I210" s="18" t="inlineStr">
        <is>
          <t>IRAM 3517-2:2020 9.9</t>
        </is>
      </c>
      <c r="J210" s="37" t="inlineStr">
        <is>
          <t>Sí</t>
        </is>
      </c>
      <c r="K210" s="18" t="inlineStr">
        <is>
          <t>DEM S.A. (DEMSA)</t>
        </is>
      </c>
      <c r="L210" s="18" t="inlineStr">
        <is>
          <t>Polvex S.R.L. / Sancibrao</t>
        </is>
      </c>
    </row>
    <row r="211">
      <c r="A211" s="32" t="inlineStr">
        <is>
          <t>RK-AFFF50-B</t>
        </is>
      </c>
      <c r="B211" s="32" t="inlineStr">
        <is>
          <t>FL_MAT_AFFF_50l</t>
        </is>
      </c>
      <c r="C211" s="32" t="inlineStr">
        <is>
          <t>Extintor AFFF 50 l sobre ruedas</t>
        </is>
      </c>
      <c r="D211" s="17" t="inlineStr">
        <is>
          <t>B - Mantenimiento (PH cada 2 años en inoxidables y AFFF)</t>
        </is>
      </c>
      <c r="E211" s="17" t="inlineStr">
        <is>
          <t>Agua potable (premezcla)</t>
        </is>
      </c>
      <c r="F211" s="32" t="n">
        <v>48.5</v>
      </c>
      <c r="G211" s="32" t="inlineStr">
        <is>
          <t>L</t>
        </is>
      </c>
      <c r="H211" s="17" t="inlineStr">
        <is>
          <t>Red</t>
        </is>
      </c>
      <c r="I211" s="17" t="inlineStr">
        <is>
          <t>IRAM 3517-2:2020 9.9</t>
        </is>
      </c>
      <c r="J211" s="32" t="inlineStr">
        <is>
          <t>No</t>
        </is>
      </c>
      <c r="K211" s="17" t="n"/>
      <c r="L211" s="17" t="n"/>
    </row>
    <row r="212">
      <c r="A212" s="32" t="inlineStr">
        <is>
          <t>RK-AFFF50-B</t>
        </is>
      </c>
      <c r="B212" s="32" t="inlineStr">
        <is>
          <t>FL_MAT_AFFF_50l</t>
        </is>
      </c>
      <c r="C212" s="32" t="inlineStr">
        <is>
          <t>Extintor AFFF 50 l sobre ruedas</t>
        </is>
      </c>
      <c r="D212" s="17" t="inlineStr">
        <is>
          <t>B - Mantenimiento (PH cada 2 años en inoxidables y AFFF)</t>
        </is>
      </c>
      <c r="E212" s="17" t="inlineStr">
        <is>
          <t>Precinto plástico numerado, color, con nombre del recargador</t>
        </is>
      </c>
      <c r="F212" s="32" t="n">
        <v>1</v>
      </c>
      <c r="G212" s="32" t="inlineStr">
        <is>
          <t>u</t>
        </is>
      </c>
      <c r="H212" s="17" t="inlineStr">
        <is>
          <t>Nuevo</t>
        </is>
      </c>
      <c r="I212" s="17" t="inlineStr">
        <is>
          <t>IRAM 3517-2:2020 9.4.13</t>
        </is>
      </c>
      <c r="J212" s="32" t="inlineStr">
        <is>
          <t>Sí</t>
        </is>
      </c>
      <c r="K212" s="17" t="inlineStr">
        <is>
          <t>SonFuertes (vía Papelera Damián)</t>
        </is>
      </c>
      <c r="L212" s="17" t="inlineStr">
        <is>
          <t>Precinter S.R.L.</t>
        </is>
      </c>
    </row>
    <row r="213">
      <c r="A213" s="32" t="inlineStr">
        <is>
          <t>RK-AFFF50-B</t>
        </is>
      </c>
      <c r="B213" s="32" t="inlineStr">
        <is>
          <t>FL_MAT_AFFF_50l</t>
        </is>
      </c>
      <c r="C213" s="32" t="inlineStr">
        <is>
          <t>Extintor AFFF 50 l sobre ruedas</t>
        </is>
      </c>
      <c r="D213" s="17" t="inlineStr">
        <is>
          <t>B - Mantenimiento (PH cada 2 años en inoxidables y AFFF)</t>
        </is>
      </c>
      <c r="E213" s="17" t="inlineStr">
        <is>
          <t>Marbete (anillo, color del año)</t>
        </is>
      </c>
      <c r="F213" s="32" t="n">
        <v>1</v>
      </c>
      <c r="G213" s="32" t="inlineStr">
        <is>
          <t>u</t>
        </is>
      </c>
      <c r="H213" s="17" t="inlineStr">
        <is>
          <t>Nuevo</t>
        </is>
      </c>
      <c r="I213" s="17" t="inlineStr">
        <is>
          <t>IRAM 3517-2:2020 9.6 · anexo E</t>
        </is>
      </c>
      <c r="J213" s="32" t="inlineStr">
        <is>
          <t>Sí</t>
        </is>
      </c>
      <c r="K213" s="17" t="inlineStr">
        <is>
          <t>Astuprint</t>
        </is>
      </c>
      <c r="L213" s="17" t="inlineStr">
        <is>
          <t>Multilabel Argentina S.A.</t>
        </is>
      </c>
    </row>
    <row r="214">
      <c r="A214" s="32" t="inlineStr">
        <is>
          <t>RK-AFFF50-B</t>
        </is>
      </c>
      <c r="B214" s="32" t="inlineStr">
        <is>
          <t>FL_MAT_AFFF_50l</t>
        </is>
      </c>
      <c r="C214" s="32" t="inlineStr">
        <is>
          <t>Extintor AFFF 50 l sobre ruedas</t>
        </is>
      </c>
      <c r="D214" s="17" t="inlineStr">
        <is>
          <t>B - Mantenimiento (PH cada 2 años en inoxidables y AFFF)</t>
        </is>
      </c>
      <c r="E214" s="17" t="inlineStr">
        <is>
          <t>Etiqueta de servicio del recargador (extintor n°, serie, próxima recarga y PH)</t>
        </is>
      </c>
      <c r="F214" s="32" t="n">
        <v>1</v>
      </c>
      <c r="G214" s="32" t="inlineStr">
        <is>
          <t>u</t>
        </is>
      </c>
      <c r="H214" s="17" t="inlineStr">
        <is>
          <t>Nuevo</t>
        </is>
      </c>
      <c r="I214" s="17" t="inlineStr">
        <is>
          <t>IRAM 3517-2:2020 9.4.14 · relevado Suyai/Firegram</t>
        </is>
      </c>
      <c r="J214" s="32" t="inlineStr">
        <is>
          <t>Sí</t>
        </is>
      </c>
      <c r="K214" s="17" t="inlineStr">
        <is>
          <t>Astuprint</t>
        </is>
      </c>
      <c r="L214" s="17" t="inlineStr">
        <is>
          <t>Multilabel Argentina S.A.</t>
        </is>
      </c>
    </row>
    <row r="215">
      <c r="A215" s="32" t="inlineStr">
        <is>
          <t>RK-AFFF50-B</t>
        </is>
      </c>
      <c r="B215" s="32" t="inlineStr">
        <is>
          <t>FL_MAT_AFFF_50l</t>
        </is>
      </c>
      <c r="C215" s="32" t="inlineStr">
        <is>
          <t>Extintor AFFF 50 l sobre ruedas</t>
        </is>
      </c>
      <c r="D215" s="17" t="inlineStr">
        <is>
          <t>B - Mantenimiento (PH cada 2 años en inoxidables y AFFF)</t>
        </is>
      </c>
      <c r="E215" s="17" t="inlineStr">
        <is>
          <t>Oblea PBA de recarga Ø46 + estampilla precinto 1" × 200 mm válvula-cuerpo</t>
        </is>
      </c>
      <c r="F215" s="32" t="n">
        <v>1</v>
      </c>
      <c r="G215" s="32" t="inlineStr">
        <is>
          <t>u</t>
        </is>
      </c>
      <c r="H215" s="17" t="inlineStr">
        <is>
          <t>Nuevo (venta en PBA)</t>
        </is>
      </c>
      <c r="I215" s="17" t="inlineStr">
        <is>
          <t>IRAM 3517-2:2020 Res. OPDS 522/07</t>
        </is>
      </c>
      <c r="J215" s="32" t="inlineStr">
        <is>
          <t>Sí</t>
        </is>
      </c>
      <c r="K215" s="17" t="inlineStr">
        <is>
          <t>Ministerio de Ambiente PBA (ex OPDS)</t>
        </is>
      </c>
      <c r="L215" s="17" t="inlineStr">
        <is>
          <t>-</t>
        </is>
      </c>
    </row>
    <row r="216">
      <c r="A216" s="32" t="inlineStr">
        <is>
          <t>RK-AFFF50-B</t>
        </is>
      </c>
      <c r="B216" s="32" t="inlineStr">
        <is>
          <t>FL_MAT_AFFF_50l</t>
        </is>
      </c>
      <c r="C216" s="32" t="inlineStr">
        <is>
          <t>Extintor AFFF 50 l sobre ruedas</t>
        </is>
      </c>
      <c r="D216" s="17" t="inlineStr">
        <is>
          <t>B - Mantenimiento (PH cada 2 años en inoxidables y AFFF)</t>
        </is>
      </c>
      <c r="E216" s="17" t="inlineStr">
        <is>
          <t>Tarjeta de identificación AGC (módulo papel con QR + etiqueta AGC)</t>
        </is>
      </c>
      <c r="F216" s="32" t="n">
        <v>1</v>
      </c>
      <c r="G216" s="32" t="inlineStr">
        <is>
          <t>u</t>
        </is>
      </c>
      <c r="H216" s="17" t="inlineStr">
        <is>
          <t>Nuevo (destino CABA)</t>
        </is>
      </c>
      <c r="I216" s="17" t="inlineStr">
        <is>
          <t>IRAM 3517-2:2020 Ord. 40.473 art. 6 · Res. AGC 32/15</t>
        </is>
      </c>
      <c r="J216" s="32" t="inlineStr">
        <is>
          <t>Sí</t>
        </is>
      </c>
      <c r="K216" s="17" t="inlineStr">
        <is>
          <t>Agencia Gubernamental de Control (CABA)</t>
        </is>
      </c>
      <c r="L216" s="17" t="inlineStr">
        <is>
          <t>-</t>
        </is>
      </c>
    </row>
    <row r="217">
      <c r="A217" s="32" t="inlineStr">
        <is>
          <t>RK-AFFF50-B</t>
        </is>
      </c>
      <c r="B217" s="32" t="inlineStr">
        <is>
          <t>FL_MAT_AFFF_50l</t>
        </is>
      </c>
      <c r="C217" s="32" t="inlineStr">
        <is>
          <t>Extintor AFFF 50 l sobre ruedas</t>
        </is>
      </c>
      <c r="D217" s="17" t="inlineStr">
        <is>
          <t>B - Mantenimiento (PH cada 2 años en inoxidables y AFFF)</t>
        </is>
      </c>
      <c r="E217" s="17" t="inlineStr">
        <is>
          <t>Tarjeta de identificación DPS de revisión / recarga</t>
        </is>
      </c>
      <c r="F217" s="32" t="n">
        <v>1</v>
      </c>
      <c r="G217" s="32" t="inlineStr">
        <is>
          <t>u</t>
        </is>
      </c>
      <c r="H217" s="17" t="inlineStr">
        <is>
          <t>Nuevo (PBA)</t>
        </is>
      </c>
      <c r="I217" s="17" t="inlineStr">
        <is>
          <t>IRAM 3517-2:2020 Res. 349/07 art. 21</t>
        </is>
      </c>
      <c r="J217" s="32" t="inlineStr">
        <is>
          <t>Sí</t>
        </is>
      </c>
      <c r="K217" s="17" t="inlineStr">
        <is>
          <t>Ministerio de Ambiente PBA (ex OPDS)</t>
        </is>
      </c>
      <c r="L217" s="17" t="inlineStr">
        <is>
          <t>-</t>
        </is>
      </c>
    </row>
    <row r="218">
      <c r="A218" s="32" t="inlineStr">
        <is>
          <t>RK-AFFF50-B</t>
        </is>
      </c>
      <c r="B218" s="32" t="inlineStr">
        <is>
          <t>FL_MAT_AFFF_50l</t>
        </is>
      </c>
      <c r="C218" s="32" t="inlineStr">
        <is>
          <t>Extintor AFFF 50 l sobre ruedas</t>
        </is>
      </c>
      <c r="D218" s="17" t="inlineStr">
        <is>
          <t>B - Mantenimiento (PH cada 2 años en inoxidables y AFFF)</t>
        </is>
      </c>
      <c r="E218" s="17" t="inlineStr">
        <is>
          <t>Grabado de la fecha del servicio en el tubo de pesca (lápiz vibratorio; en polvo, marcador indeleble)</t>
        </is>
      </c>
      <c r="F218" s="32" t="n">
        <v>1</v>
      </c>
      <c r="G218" s="32" t="inlineStr">
        <is>
          <t>u</t>
        </is>
      </c>
      <c r="H218" s="17" t="inlineStr">
        <is>
          <t>Proceso</t>
        </is>
      </c>
      <c r="I218" s="17" t="inlineStr">
        <is>
          <t>IRAM 3517-2:2020 Res. 349/07 art. 28</t>
        </is>
      </c>
      <c r="J218" s="32" t="inlineStr">
        <is>
          <t>No</t>
        </is>
      </c>
      <c r="K218" s="17" t="n"/>
      <c r="L218" s="17" t="n"/>
    </row>
    <row r="219">
      <c r="A219" s="32" t="inlineStr">
        <is>
          <t>RK-AFFF50-B</t>
        </is>
      </c>
      <c r="B219" s="32" t="inlineStr">
        <is>
          <t>FL_MAT_AFFF_50l</t>
        </is>
      </c>
      <c r="C219" s="32" t="inlineStr">
        <is>
          <t>Extintor AFFF 50 l sobre ruedas</t>
        </is>
      </c>
      <c r="D219" s="17" t="inlineStr">
        <is>
          <t>B - Mantenimiento (PH cada 2 años en inoxidables y AFFF)</t>
        </is>
      </c>
      <c r="E219" s="17" t="inlineStr">
        <is>
          <t>Si hubo PH: oblea de vencimiento de PH + «PH» y fecha grabados en el tubo de pesca (CO₂: fecha y logo estampados en la ojiva)</t>
        </is>
      </c>
      <c r="F219" s="32" t="n">
        <v>1</v>
      </c>
      <c r="G219" s="32" t="inlineStr">
        <is>
          <t>u</t>
        </is>
      </c>
      <c r="H219" s="17" t="inlineStr">
        <is>
          <t>Proceso</t>
        </is>
      </c>
      <c r="I219" s="17" t="inlineStr">
        <is>
          <t>IRAM 3517-2:2020 Res. 349/07 art. 29 · IRAM 3517-2</t>
        </is>
      </c>
      <c r="J219" s="32" t="inlineStr">
        <is>
          <t>No</t>
        </is>
      </c>
      <c r="K219" s="17" t="n"/>
      <c r="L219" s="17" t="n"/>
    </row>
    <row r="220">
      <c r="A220" s="37" t="inlineStr">
        <is>
          <t>RK-AFFF50-B</t>
        </is>
      </c>
      <c r="B220" s="37" t="inlineStr">
        <is>
          <t>FL_MAT_AFFF_50l</t>
        </is>
      </c>
      <c r="C220" s="37" t="inlineStr">
        <is>
          <t>Extintor AFFF 50 l sobre ruedas</t>
        </is>
      </c>
      <c r="D220" s="18" t="inlineStr">
        <is>
          <t>B - Mantenimiento (PH cada 2 años en inoxidables y AFFF)</t>
        </is>
      </c>
      <c r="E220" s="18" t="inlineStr">
        <is>
          <t>Junta tórica de asiento del cuello</t>
        </is>
      </c>
      <c r="F220" s="37" t="n">
        <v>1</v>
      </c>
      <c r="G220" s="37" t="inlineStr">
        <is>
          <t>u</t>
        </is>
      </c>
      <c r="H220" s="18" t="inlineStr">
        <is>
          <t>Nuevo (R: cambio sistemático)</t>
        </is>
      </c>
      <c r="I220" s="18" t="inlineStr"/>
      <c r="J220" s="37" t="inlineStr">
        <is>
          <t>Sí</t>
        </is>
      </c>
      <c r="K220" s="18" t="inlineStr">
        <is>
          <t>Argensold</t>
        </is>
      </c>
      <c r="L220" s="18" t="inlineStr">
        <is>
          <t>Matafuegos Iglesias</t>
        </is>
      </c>
    </row>
    <row r="221">
      <c r="A221" s="32" t="inlineStr">
        <is>
          <t>RK-AFFF50-B</t>
        </is>
      </c>
      <c r="B221" s="32" t="inlineStr">
        <is>
          <t>FL_MAT_AFFF_50l</t>
        </is>
      </c>
      <c r="C221" s="32" t="inlineStr">
        <is>
          <t>Extintor AFFF 50 l sobre ruedas</t>
        </is>
      </c>
      <c r="D221" s="17" t="inlineStr">
        <is>
          <t>B - Mantenimiento (PH cada 2 años en inoxidables y AFFF)</t>
        </is>
      </c>
      <c r="E221" s="17" t="inlineStr">
        <is>
          <t>Gas impulsor: Aire comprimido</t>
        </is>
      </c>
      <c r="F221" s="32" t="n">
        <v>0.1265</v>
      </c>
      <c r="G221" s="32" t="inlineStr">
        <is>
          <t>kg</t>
        </is>
      </c>
      <c r="H221" s="17" t="inlineStr">
        <is>
          <t>Nuevo</t>
        </is>
      </c>
      <c r="I221" s="17" t="inlineStr">
        <is>
          <t>IRAM 3517-2:2020 9.4.9 tabla 2</t>
        </is>
      </c>
      <c r="J221" s="32" t="inlineStr">
        <is>
          <t>No</t>
        </is>
      </c>
      <c r="K221" s="17" t="n"/>
      <c r="L221" s="17" t="n"/>
    </row>
    <row r="222">
      <c r="A222" s="32" t="inlineStr">
        <is>
          <t>RK-AFFF50-I</t>
        </is>
      </c>
      <c r="B222" s="32" t="inlineStr">
        <is>
          <t>FL_MAT_AFFF_50l</t>
        </is>
      </c>
      <c r="C222" s="32" t="inlineStr">
        <is>
          <t>Extintor AFFF 50 l sobre ruedas</t>
        </is>
      </c>
      <c r="D222" s="17" t="inlineStr">
        <is>
          <t>Según inspección (consumo estadístico a definir)</t>
        </is>
      </c>
      <c r="E222" s="17" t="inlineStr">
        <is>
          <t>Manómetro / manguera / tobera / kit de válvula</t>
        </is>
      </c>
      <c r="F222" s="32" t="inlineStr">
        <is>
          <t>-</t>
        </is>
      </c>
      <c r="G222" s="32" t="inlineStr">
        <is>
          <t>u</t>
        </is>
      </c>
      <c r="H222" s="17" t="inlineStr">
        <is>
          <t>Recambio sólo si falla</t>
        </is>
      </c>
      <c r="I222" s="17" t="inlineStr">
        <is>
          <t>IRAM 3517-2:2020 9.4.11 (cada manguera vuelve a su extintor)</t>
        </is>
      </c>
      <c r="J222" s="32" t="inlineStr">
        <is>
          <t>Sí</t>
        </is>
      </c>
      <c r="K222" s="17" t="inlineStr">
        <is>
          <t>Polvex S.R.L. / Sancibrao</t>
        </is>
      </c>
      <c r="L222" s="17" t="inlineStr">
        <is>
          <t>Yukon / MatafuegosYa S.R.L.</t>
        </is>
      </c>
    </row>
    <row r="223">
      <c r="A223" s="32" t="inlineStr">
        <is>
          <t>RK-BC5-A</t>
        </is>
      </c>
      <c r="B223" s="32" t="inlineStr">
        <is>
          <t>FL_MAT_BC_5kg</t>
        </is>
      </c>
      <c r="C223" s="32" t="inlineStr">
        <is>
          <t>Extintor BC 5 kg</t>
        </is>
      </c>
      <c r="D223" s="17" t="inlineStr">
        <is>
          <t>A - Extintor descargado (uso o descarga parcial)</t>
        </is>
      </c>
      <c r="E223" s="17" t="inlineStr">
        <is>
          <t>Polvo químico seco BC (bicarbonato)</t>
        </is>
      </c>
      <c r="F223" s="32" t="n">
        <v>5.15</v>
      </c>
      <c r="G223" s="32" t="inlineStr">
        <is>
          <t>kg</t>
        </is>
      </c>
      <c r="H223" s="17" t="inlineStr">
        <is>
          <t>Nuevo 100 %</t>
        </is>
      </c>
      <c r="I223" s="17" t="inlineStr">
        <is>
          <t>IRAM 3517-2:2020 9.9.1.4: el polvo de un extintor accionado no se reutiliza</t>
        </is>
      </c>
      <c r="J223" s="32" t="inlineStr">
        <is>
          <t>Sí</t>
        </is>
      </c>
      <c r="K223" s="17" t="inlineStr">
        <is>
          <t>Polvex S.R.L. / Sancibrao</t>
        </is>
      </c>
      <c r="L223" s="17" t="inlineStr">
        <is>
          <t>DEM S.A. (DEMSA)</t>
        </is>
      </c>
    </row>
    <row r="224">
      <c r="A224" s="32" t="inlineStr">
        <is>
          <t>RK-BC5-A</t>
        </is>
      </c>
      <c r="B224" s="32" t="inlineStr">
        <is>
          <t>FL_MAT_BC_5kg</t>
        </is>
      </c>
      <c r="C224" s="32" t="inlineStr">
        <is>
          <t>Extintor BC 5 kg</t>
        </is>
      </c>
      <c r="D224" s="17" t="inlineStr">
        <is>
          <t>A - Extintor descargado (uso o descarga parcial)</t>
        </is>
      </c>
      <c r="E224" s="17" t="inlineStr">
        <is>
          <t>Precinto plástico numerado, color, con nombre del recargador</t>
        </is>
      </c>
      <c r="F224" s="32" t="n">
        <v>1</v>
      </c>
      <c r="G224" s="32" t="inlineStr">
        <is>
          <t>u</t>
        </is>
      </c>
      <c r="H224" s="17" t="inlineStr">
        <is>
          <t>Nuevo</t>
        </is>
      </c>
      <c r="I224" s="17" t="inlineStr">
        <is>
          <t>IRAM 3517-2:2020 9.4.13</t>
        </is>
      </c>
      <c r="J224" s="32" t="inlineStr">
        <is>
          <t>Sí</t>
        </is>
      </c>
      <c r="K224" s="17" t="inlineStr">
        <is>
          <t>SonFuertes (vía Papelera Damián)</t>
        </is>
      </c>
      <c r="L224" s="17" t="inlineStr">
        <is>
          <t>Precinter S.R.L.</t>
        </is>
      </c>
    </row>
    <row r="225">
      <c r="A225" s="32" t="inlineStr">
        <is>
          <t>RK-BC5-A</t>
        </is>
      </c>
      <c r="B225" s="32" t="inlineStr">
        <is>
          <t>FL_MAT_BC_5kg</t>
        </is>
      </c>
      <c r="C225" s="32" t="inlineStr">
        <is>
          <t>Extintor BC 5 kg</t>
        </is>
      </c>
      <c r="D225" s="17" t="inlineStr">
        <is>
          <t>A - Extintor descargado (uso o descarga parcial)</t>
        </is>
      </c>
      <c r="E225" s="17" t="inlineStr">
        <is>
          <t>Marbete (anillo, color del año)</t>
        </is>
      </c>
      <c r="F225" s="32" t="n">
        <v>1</v>
      </c>
      <c r="G225" s="32" t="inlineStr">
        <is>
          <t>u</t>
        </is>
      </c>
      <c r="H225" s="17" t="inlineStr">
        <is>
          <t>Nuevo</t>
        </is>
      </c>
      <c r="I225" s="17" t="inlineStr">
        <is>
          <t>IRAM 3517-2:2020 9.6 · anexo E</t>
        </is>
      </c>
      <c r="J225" s="32" t="inlineStr">
        <is>
          <t>Sí</t>
        </is>
      </c>
      <c r="K225" s="17" t="inlineStr">
        <is>
          <t>Astuprint</t>
        </is>
      </c>
      <c r="L225" s="17" t="inlineStr">
        <is>
          <t>Multilabel Argentina S.A.</t>
        </is>
      </c>
    </row>
    <row r="226">
      <c r="A226" s="32" t="inlineStr">
        <is>
          <t>RK-BC5-A</t>
        </is>
      </c>
      <c r="B226" s="32" t="inlineStr">
        <is>
          <t>FL_MAT_BC_5kg</t>
        </is>
      </c>
      <c r="C226" s="32" t="inlineStr">
        <is>
          <t>Extintor BC 5 kg</t>
        </is>
      </c>
      <c r="D226" s="17" t="inlineStr">
        <is>
          <t>A - Extintor descargado (uso o descarga parcial)</t>
        </is>
      </c>
      <c r="E226" s="17" t="inlineStr">
        <is>
          <t>Etiqueta de servicio del recargador (extintor n°, serie, próxima recarga y PH)</t>
        </is>
      </c>
      <c r="F226" s="32" t="n">
        <v>1</v>
      </c>
      <c r="G226" s="32" t="inlineStr">
        <is>
          <t>u</t>
        </is>
      </c>
      <c r="H226" s="17" t="inlineStr">
        <is>
          <t>Nuevo</t>
        </is>
      </c>
      <c r="I226" s="17" t="inlineStr">
        <is>
          <t>IRAM 3517-2:2020 9.4.14 · relevado Suyai/Firegram</t>
        </is>
      </c>
      <c r="J226" s="32" t="inlineStr">
        <is>
          <t>Sí</t>
        </is>
      </c>
      <c r="K226" s="17" t="inlineStr">
        <is>
          <t>Astuprint</t>
        </is>
      </c>
      <c r="L226" s="17" t="inlineStr">
        <is>
          <t>Multilabel Argentina S.A.</t>
        </is>
      </c>
    </row>
    <row r="227">
      <c r="A227" s="32" t="inlineStr">
        <is>
          <t>RK-BC5-A</t>
        </is>
      </c>
      <c r="B227" s="32" t="inlineStr">
        <is>
          <t>FL_MAT_BC_5kg</t>
        </is>
      </c>
      <c r="C227" s="32" t="inlineStr">
        <is>
          <t>Extintor BC 5 kg</t>
        </is>
      </c>
      <c r="D227" s="17" t="inlineStr">
        <is>
          <t>A - Extintor descargado (uso o descarga parcial)</t>
        </is>
      </c>
      <c r="E227" s="17" t="inlineStr">
        <is>
          <t>Oblea PBA de recarga Ø46 + estampilla precinto 1" × 200 mm válvula-cuerpo</t>
        </is>
      </c>
      <c r="F227" s="32" t="n">
        <v>1</v>
      </c>
      <c r="G227" s="32" t="inlineStr">
        <is>
          <t>u</t>
        </is>
      </c>
      <c r="H227" s="17" t="inlineStr">
        <is>
          <t>Nuevo (venta en PBA)</t>
        </is>
      </c>
      <c r="I227" s="17" t="inlineStr">
        <is>
          <t>IRAM 3517-2:2020 Res. OPDS 522/07</t>
        </is>
      </c>
      <c r="J227" s="32" t="inlineStr">
        <is>
          <t>Sí</t>
        </is>
      </c>
      <c r="K227" s="17" t="inlineStr">
        <is>
          <t>Ministerio de Ambiente PBA (ex OPDS)</t>
        </is>
      </c>
      <c r="L227" s="17" t="inlineStr">
        <is>
          <t>-</t>
        </is>
      </c>
    </row>
    <row r="228">
      <c r="A228" s="32" t="inlineStr">
        <is>
          <t>RK-BC5-A</t>
        </is>
      </c>
      <c r="B228" s="32" t="inlineStr">
        <is>
          <t>FL_MAT_BC_5kg</t>
        </is>
      </c>
      <c r="C228" s="32" t="inlineStr">
        <is>
          <t>Extintor BC 5 kg</t>
        </is>
      </c>
      <c r="D228" s="17" t="inlineStr">
        <is>
          <t>A - Extintor descargado (uso o descarga parcial)</t>
        </is>
      </c>
      <c r="E228" s="17" t="inlineStr">
        <is>
          <t>Tarjeta de identificación AGC (módulo papel con QR + etiqueta AGC)</t>
        </is>
      </c>
      <c r="F228" s="32" t="n">
        <v>1</v>
      </c>
      <c r="G228" s="32" t="inlineStr">
        <is>
          <t>u</t>
        </is>
      </c>
      <c r="H228" s="17" t="inlineStr">
        <is>
          <t>Nuevo (destino CABA)</t>
        </is>
      </c>
      <c r="I228" s="17" t="inlineStr">
        <is>
          <t>IRAM 3517-2:2020 Ord. 40.473 art. 6 · Res. AGC 32/15</t>
        </is>
      </c>
      <c r="J228" s="32" t="inlineStr">
        <is>
          <t>Sí</t>
        </is>
      </c>
      <c r="K228" s="17" t="inlineStr">
        <is>
          <t>Agencia Gubernamental de Control (CABA)</t>
        </is>
      </c>
      <c r="L228" s="17" t="inlineStr">
        <is>
          <t>-</t>
        </is>
      </c>
    </row>
    <row r="229">
      <c r="A229" s="32" t="inlineStr">
        <is>
          <t>RK-BC5-A</t>
        </is>
      </c>
      <c r="B229" s="32" t="inlineStr">
        <is>
          <t>FL_MAT_BC_5kg</t>
        </is>
      </c>
      <c r="C229" s="32" t="inlineStr">
        <is>
          <t>Extintor BC 5 kg</t>
        </is>
      </c>
      <c r="D229" s="17" t="inlineStr">
        <is>
          <t>A - Extintor descargado (uso o descarga parcial)</t>
        </is>
      </c>
      <c r="E229" s="17" t="inlineStr">
        <is>
          <t>Tarjeta de identificación DPS de revisión / recarga</t>
        </is>
      </c>
      <c r="F229" s="32" t="n">
        <v>1</v>
      </c>
      <c r="G229" s="32" t="inlineStr">
        <is>
          <t>u</t>
        </is>
      </c>
      <c r="H229" s="17" t="inlineStr">
        <is>
          <t>Nuevo (PBA)</t>
        </is>
      </c>
      <c r="I229" s="17" t="inlineStr">
        <is>
          <t>IRAM 3517-2:2020 Res. 349/07 art. 21</t>
        </is>
      </c>
      <c r="J229" s="32" t="inlineStr">
        <is>
          <t>Sí</t>
        </is>
      </c>
      <c r="K229" s="17" t="inlineStr">
        <is>
          <t>Ministerio de Ambiente PBA (ex OPDS)</t>
        </is>
      </c>
      <c r="L229" s="17" t="inlineStr">
        <is>
          <t>-</t>
        </is>
      </c>
    </row>
    <row r="230">
      <c r="A230" s="32" t="inlineStr">
        <is>
          <t>RK-BC5-A</t>
        </is>
      </c>
      <c r="B230" s="32" t="inlineStr">
        <is>
          <t>FL_MAT_BC_5kg</t>
        </is>
      </c>
      <c r="C230" s="32" t="inlineStr">
        <is>
          <t>Extintor BC 5 kg</t>
        </is>
      </c>
      <c r="D230" s="17" t="inlineStr">
        <is>
          <t>A - Extintor descargado (uso o descarga parcial)</t>
        </is>
      </c>
      <c r="E230" s="17" t="inlineStr">
        <is>
          <t>Grabado de la fecha del servicio en el tubo de pesca (lápiz vibratorio; en polvo, marcador indeleble)</t>
        </is>
      </c>
      <c r="F230" s="32" t="n">
        <v>1</v>
      </c>
      <c r="G230" s="32" t="inlineStr">
        <is>
          <t>u</t>
        </is>
      </c>
      <c r="H230" s="17" t="inlineStr">
        <is>
          <t>Proceso</t>
        </is>
      </c>
      <c r="I230" s="17" t="inlineStr">
        <is>
          <t>IRAM 3517-2:2020 Res. 349/07 art. 28</t>
        </is>
      </c>
      <c r="J230" s="32" t="inlineStr">
        <is>
          <t>No</t>
        </is>
      </c>
      <c r="K230" s="17" t="n"/>
      <c r="L230" s="17" t="n"/>
    </row>
    <row r="231">
      <c r="A231" s="32" t="inlineStr">
        <is>
          <t>RK-BC5-A</t>
        </is>
      </c>
      <c r="B231" s="32" t="inlineStr">
        <is>
          <t>FL_MAT_BC_5kg</t>
        </is>
      </c>
      <c r="C231" s="32" t="inlineStr">
        <is>
          <t>Extintor BC 5 kg</t>
        </is>
      </c>
      <c r="D231" s="17" t="inlineStr">
        <is>
          <t>A - Extintor descargado (uso o descarga parcial)</t>
        </is>
      </c>
      <c r="E231" s="17" t="inlineStr">
        <is>
          <t>Si hubo PH: oblea de vencimiento de PH + «PH» y fecha grabados en el tubo de pesca (CO₂: fecha y logo estampados en la ojiva)</t>
        </is>
      </c>
      <c r="F231" s="32" t="n">
        <v>1</v>
      </c>
      <c r="G231" s="32" t="inlineStr">
        <is>
          <t>u</t>
        </is>
      </c>
      <c r="H231" s="17" t="inlineStr">
        <is>
          <t>Proceso</t>
        </is>
      </c>
      <c r="I231" s="17" t="inlineStr">
        <is>
          <t>IRAM 3517-2:2020 Res. 349/07 art. 29 · IRAM 3517-2</t>
        </is>
      </c>
      <c r="J231" s="32" t="inlineStr">
        <is>
          <t>No</t>
        </is>
      </c>
      <c r="K231" s="17" t="n"/>
      <c r="L231" s="17" t="n"/>
    </row>
    <row r="232">
      <c r="A232" s="37" t="inlineStr">
        <is>
          <t>RK-BC5-A</t>
        </is>
      </c>
      <c r="B232" s="37" t="inlineStr">
        <is>
          <t>FL_MAT_BC_5kg</t>
        </is>
      </c>
      <c r="C232" s="37" t="inlineStr">
        <is>
          <t>Extintor BC 5 kg</t>
        </is>
      </c>
      <c r="D232" s="18" t="inlineStr">
        <is>
          <t>A - Extintor descargado (uso o descarga parcial)</t>
        </is>
      </c>
      <c r="E232" s="18" t="inlineStr">
        <is>
          <t>Junta tórica de asiento del cuello</t>
        </is>
      </c>
      <c r="F232" s="37" t="n">
        <v>1</v>
      </c>
      <c r="G232" s="37" t="inlineStr">
        <is>
          <t>u</t>
        </is>
      </c>
      <c r="H232" s="18" t="inlineStr">
        <is>
          <t>Nuevo (R: cambio sistemático)</t>
        </is>
      </c>
      <c r="I232" s="18" t="inlineStr"/>
      <c r="J232" s="37" t="inlineStr">
        <is>
          <t>Sí</t>
        </is>
      </c>
      <c r="K232" s="18" t="inlineStr">
        <is>
          <t>Argensold</t>
        </is>
      </c>
      <c r="L232" s="18" t="inlineStr">
        <is>
          <t>Matafuegos Iglesias</t>
        </is>
      </c>
    </row>
    <row r="233">
      <c r="A233" s="32" t="inlineStr">
        <is>
          <t>RK-BC5-A</t>
        </is>
      </c>
      <c r="B233" s="32" t="inlineStr">
        <is>
          <t>FL_MAT_BC_5kg</t>
        </is>
      </c>
      <c r="C233" s="32" t="inlineStr">
        <is>
          <t>Extintor BC 5 kg</t>
        </is>
      </c>
      <c r="D233" s="17" t="inlineStr">
        <is>
          <t>A - Extintor descargado (uso o descarga parcial)</t>
        </is>
      </c>
      <c r="E233" s="17" t="inlineStr">
        <is>
          <t>Gas impulsor: N₂</t>
        </is>
      </c>
      <c r="F233" s="32" t="n">
        <v>0.0077</v>
      </c>
      <c r="G233" s="32" t="inlineStr">
        <is>
          <t>kg</t>
        </is>
      </c>
      <c r="H233" s="17" t="inlineStr">
        <is>
          <t>Nuevo</t>
        </is>
      </c>
      <c r="I233" s="17" t="inlineStr">
        <is>
          <t>IRAM 3517-2:2020 9.4.9 tabla 2</t>
        </is>
      </c>
      <c r="J233" s="32" t="inlineStr">
        <is>
          <t>Sí</t>
        </is>
      </c>
      <c r="K233" s="17" t="inlineStr">
        <is>
          <t>Air Liquide Argentina - sucursal Piñeyro</t>
        </is>
      </c>
      <c r="L233" s="17" t="inlineStr">
        <is>
          <t>Gogniat</t>
        </is>
      </c>
    </row>
    <row r="234">
      <c r="A234" s="32" t="inlineStr">
        <is>
          <t>RK-BC5-B</t>
        </is>
      </c>
      <c r="B234" s="32" t="inlineStr">
        <is>
          <t>FL_MAT_BC_5kg</t>
        </is>
      </c>
      <c r="C234" s="32" t="inlineStr">
        <is>
          <t>Extintor BC 5 kg</t>
        </is>
      </c>
      <c r="D234" s="17" t="inlineStr">
        <is>
          <t>B - Mantenimiento con apertura sin descarga (control interior, PH)</t>
        </is>
      </c>
      <c r="E234" s="17" t="inlineStr">
        <is>
          <t>Polvo químico seco BC (bicarbonato) recuperado</t>
        </is>
      </c>
      <c r="F234" s="32" t="n">
        <v>5</v>
      </c>
      <c r="G234" s="32" t="inlineStr">
        <is>
          <t>kg</t>
        </is>
      </c>
      <c r="H234" s="17" t="inlineStr">
        <is>
          <t>Recuperado en sistema cerrado</t>
        </is>
      </c>
      <c r="I234" s="17" t="inlineStr">
        <is>
          <t>IRAM 3517-2:2020 4.4.1 y) sistema cerrado de recuperación con inspección; 9.9.3 control (puffer IRAM 3672, fusión IRAM 3569 en ABC)</t>
        </is>
      </c>
      <c r="J234" s="32" t="inlineStr">
        <is>
          <t>No</t>
        </is>
      </c>
      <c r="K234" s="17" t="n"/>
      <c r="L234" s="17" t="n"/>
    </row>
    <row r="235">
      <c r="A235" s="32" t="inlineStr">
        <is>
          <t>RK-BC5-B</t>
        </is>
      </c>
      <c r="B235" s="32" t="inlineStr">
        <is>
          <t>FL_MAT_BC_5kg</t>
        </is>
      </c>
      <c r="C235" s="32" t="inlineStr">
        <is>
          <t>Extintor BC 5 kg</t>
        </is>
      </c>
      <c r="D235" s="17" t="inlineStr">
        <is>
          <t>B - Mantenimiento con apertura sin descarga (control interior, PH)</t>
        </is>
      </c>
      <c r="E235" s="17" t="inlineStr">
        <is>
          <t>Polvo químico seco BC (bicarbonato)</t>
        </is>
      </c>
      <c r="F235" s="32" t="n">
        <v>0.15</v>
      </c>
      <c r="G235" s="32" t="inlineStr">
        <is>
          <t>kg</t>
        </is>
      </c>
      <c r="H235" s="17" t="inlineStr">
        <is>
          <t>Nuevo: reposición = carga objetivo − límite inferior de 0 / +300 g (cota superior)</t>
        </is>
      </c>
      <c r="I235" s="17" t="inlineStr">
        <is>
          <t>IRAM 3517-2:2020 9.4.12 tabla 3 · anexo F; mismo tipo y marca (prohibido mezclar ABC con BC, 9.9.1.6)</t>
        </is>
      </c>
      <c r="J235" s="32" t="inlineStr">
        <is>
          <t>Sí</t>
        </is>
      </c>
      <c r="K235" s="17" t="inlineStr">
        <is>
          <t>Polvex S.R.L. / Sancibrao</t>
        </is>
      </c>
      <c r="L235" s="17" t="inlineStr">
        <is>
          <t>DEM S.A. (DEMSA)</t>
        </is>
      </c>
    </row>
    <row r="236">
      <c r="A236" s="32" t="inlineStr">
        <is>
          <t>RK-BC5-B</t>
        </is>
      </c>
      <c r="B236" s="32" t="inlineStr">
        <is>
          <t>FL_MAT_BC_5kg</t>
        </is>
      </c>
      <c r="C236" s="32" t="inlineStr">
        <is>
          <t>Extintor BC 5 kg</t>
        </is>
      </c>
      <c r="D236" s="17" t="inlineStr">
        <is>
          <t>B - Mantenimiento con apertura sin descarga (control interior, PH)</t>
        </is>
      </c>
      <c r="E236" s="17" t="inlineStr">
        <is>
          <t>Precinto plástico numerado, color, con nombre del recargador</t>
        </is>
      </c>
      <c r="F236" s="32" t="n">
        <v>1</v>
      </c>
      <c r="G236" s="32" t="inlineStr">
        <is>
          <t>u</t>
        </is>
      </c>
      <c r="H236" s="17" t="inlineStr">
        <is>
          <t>Nuevo</t>
        </is>
      </c>
      <c r="I236" s="17" t="inlineStr">
        <is>
          <t>IRAM 3517-2:2020 9.4.13</t>
        </is>
      </c>
      <c r="J236" s="32" t="inlineStr">
        <is>
          <t>Sí</t>
        </is>
      </c>
      <c r="K236" s="17" t="inlineStr">
        <is>
          <t>SonFuertes (vía Papelera Damián)</t>
        </is>
      </c>
      <c r="L236" s="17" t="inlineStr">
        <is>
          <t>Precinter S.R.L.</t>
        </is>
      </c>
    </row>
    <row r="237">
      <c r="A237" s="32" t="inlineStr">
        <is>
          <t>RK-BC5-B</t>
        </is>
      </c>
      <c r="B237" s="32" t="inlineStr">
        <is>
          <t>FL_MAT_BC_5kg</t>
        </is>
      </c>
      <c r="C237" s="32" t="inlineStr">
        <is>
          <t>Extintor BC 5 kg</t>
        </is>
      </c>
      <c r="D237" s="17" t="inlineStr">
        <is>
          <t>B - Mantenimiento con apertura sin descarga (control interior, PH)</t>
        </is>
      </c>
      <c r="E237" s="17" t="inlineStr">
        <is>
          <t>Marbete (anillo, color del año)</t>
        </is>
      </c>
      <c r="F237" s="32" t="n">
        <v>1</v>
      </c>
      <c r="G237" s="32" t="inlineStr">
        <is>
          <t>u</t>
        </is>
      </c>
      <c r="H237" s="17" t="inlineStr">
        <is>
          <t>Nuevo</t>
        </is>
      </c>
      <c r="I237" s="17" t="inlineStr">
        <is>
          <t>IRAM 3517-2:2020 9.6 · anexo E</t>
        </is>
      </c>
      <c r="J237" s="32" t="inlineStr">
        <is>
          <t>Sí</t>
        </is>
      </c>
      <c r="K237" s="17" t="inlineStr">
        <is>
          <t>Astuprint</t>
        </is>
      </c>
      <c r="L237" s="17" t="inlineStr">
        <is>
          <t>Multilabel Argentina S.A.</t>
        </is>
      </c>
    </row>
    <row r="238">
      <c r="A238" s="32" t="inlineStr">
        <is>
          <t>RK-BC5-B</t>
        </is>
      </c>
      <c r="B238" s="32" t="inlineStr">
        <is>
          <t>FL_MAT_BC_5kg</t>
        </is>
      </c>
      <c r="C238" s="32" t="inlineStr">
        <is>
          <t>Extintor BC 5 kg</t>
        </is>
      </c>
      <c r="D238" s="17" t="inlineStr">
        <is>
          <t>B - Mantenimiento con apertura sin descarga (control interior, PH)</t>
        </is>
      </c>
      <c r="E238" s="17" t="inlineStr">
        <is>
          <t>Etiqueta de servicio del recargador (extintor n°, serie, próxima recarga y PH)</t>
        </is>
      </c>
      <c r="F238" s="32" t="n">
        <v>1</v>
      </c>
      <c r="G238" s="32" t="inlineStr">
        <is>
          <t>u</t>
        </is>
      </c>
      <c r="H238" s="17" t="inlineStr">
        <is>
          <t>Nuevo</t>
        </is>
      </c>
      <c r="I238" s="17" t="inlineStr">
        <is>
          <t>IRAM 3517-2:2020 9.4.14 · relevado Suyai/Firegram</t>
        </is>
      </c>
      <c r="J238" s="32" t="inlineStr">
        <is>
          <t>Sí</t>
        </is>
      </c>
      <c r="K238" s="17" t="inlineStr">
        <is>
          <t>Astuprint</t>
        </is>
      </c>
      <c r="L238" s="17" t="inlineStr">
        <is>
          <t>Multilabel Argentina S.A.</t>
        </is>
      </c>
    </row>
    <row r="239">
      <c r="A239" s="32" t="inlineStr">
        <is>
          <t>RK-BC5-B</t>
        </is>
      </c>
      <c r="B239" s="32" t="inlineStr">
        <is>
          <t>FL_MAT_BC_5kg</t>
        </is>
      </c>
      <c r="C239" s="32" t="inlineStr">
        <is>
          <t>Extintor BC 5 kg</t>
        </is>
      </c>
      <c r="D239" s="17" t="inlineStr">
        <is>
          <t>B - Mantenimiento con apertura sin descarga (control interior, PH)</t>
        </is>
      </c>
      <c r="E239" s="17" t="inlineStr">
        <is>
          <t>Oblea PBA de recarga Ø46 + estampilla precinto 1" × 200 mm válvula-cuerpo</t>
        </is>
      </c>
      <c r="F239" s="32" t="n">
        <v>1</v>
      </c>
      <c r="G239" s="32" t="inlineStr">
        <is>
          <t>u</t>
        </is>
      </c>
      <c r="H239" s="17" t="inlineStr">
        <is>
          <t>Nuevo (venta en PBA)</t>
        </is>
      </c>
      <c r="I239" s="17" t="inlineStr">
        <is>
          <t>IRAM 3517-2:2020 Res. OPDS 522/07</t>
        </is>
      </c>
      <c r="J239" s="32" t="inlineStr">
        <is>
          <t>Sí</t>
        </is>
      </c>
      <c r="K239" s="17" t="inlineStr">
        <is>
          <t>Ministerio de Ambiente PBA (ex OPDS)</t>
        </is>
      </c>
      <c r="L239" s="17" t="inlineStr">
        <is>
          <t>-</t>
        </is>
      </c>
    </row>
    <row r="240">
      <c r="A240" s="32" t="inlineStr">
        <is>
          <t>RK-BC5-B</t>
        </is>
      </c>
      <c r="B240" s="32" t="inlineStr">
        <is>
          <t>FL_MAT_BC_5kg</t>
        </is>
      </c>
      <c r="C240" s="32" t="inlineStr">
        <is>
          <t>Extintor BC 5 kg</t>
        </is>
      </c>
      <c r="D240" s="17" t="inlineStr">
        <is>
          <t>B - Mantenimiento con apertura sin descarga (control interior, PH)</t>
        </is>
      </c>
      <c r="E240" s="17" t="inlineStr">
        <is>
          <t>Tarjeta de identificación AGC (módulo papel con QR + etiqueta AGC)</t>
        </is>
      </c>
      <c r="F240" s="32" t="n">
        <v>1</v>
      </c>
      <c r="G240" s="32" t="inlineStr">
        <is>
          <t>u</t>
        </is>
      </c>
      <c r="H240" s="17" t="inlineStr">
        <is>
          <t>Nuevo (destino CABA)</t>
        </is>
      </c>
      <c r="I240" s="17" t="inlineStr">
        <is>
          <t>IRAM 3517-2:2020 Ord. 40.473 art. 6 · Res. AGC 32/15</t>
        </is>
      </c>
      <c r="J240" s="32" t="inlineStr">
        <is>
          <t>Sí</t>
        </is>
      </c>
      <c r="K240" s="17" t="inlineStr">
        <is>
          <t>Agencia Gubernamental de Control (CABA)</t>
        </is>
      </c>
      <c r="L240" s="17" t="inlineStr">
        <is>
          <t>-</t>
        </is>
      </c>
    </row>
    <row r="241">
      <c r="A241" s="32" t="inlineStr">
        <is>
          <t>RK-BC5-B</t>
        </is>
      </c>
      <c r="B241" s="32" t="inlineStr">
        <is>
          <t>FL_MAT_BC_5kg</t>
        </is>
      </c>
      <c r="C241" s="32" t="inlineStr">
        <is>
          <t>Extintor BC 5 kg</t>
        </is>
      </c>
      <c r="D241" s="17" t="inlineStr">
        <is>
          <t>B - Mantenimiento con apertura sin descarga (control interior, PH)</t>
        </is>
      </c>
      <c r="E241" s="17" t="inlineStr">
        <is>
          <t>Tarjeta de identificación DPS de revisión / recarga</t>
        </is>
      </c>
      <c r="F241" s="32" t="n">
        <v>1</v>
      </c>
      <c r="G241" s="32" t="inlineStr">
        <is>
          <t>u</t>
        </is>
      </c>
      <c r="H241" s="17" t="inlineStr">
        <is>
          <t>Nuevo (PBA)</t>
        </is>
      </c>
      <c r="I241" s="17" t="inlineStr">
        <is>
          <t>IRAM 3517-2:2020 Res. 349/07 art. 21</t>
        </is>
      </c>
      <c r="J241" s="32" t="inlineStr">
        <is>
          <t>Sí</t>
        </is>
      </c>
      <c r="K241" s="17" t="inlineStr">
        <is>
          <t>Ministerio de Ambiente PBA (ex OPDS)</t>
        </is>
      </c>
      <c r="L241" s="17" t="inlineStr">
        <is>
          <t>-</t>
        </is>
      </c>
    </row>
    <row r="242">
      <c r="A242" s="32" t="inlineStr">
        <is>
          <t>RK-BC5-B</t>
        </is>
      </c>
      <c r="B242" s="32" t="inlineStr">
        <is>
          <t>FL_MAT_BC_5kg</t>
        </is>
      </c>
      <c r="C242" s="32" t="inlineStr">
        <is>
          <t>Extintor BC 5 kg</t>
        </is>
      </c>
      <c r="D242" s="17" t="inlineStr">
        <is>
          <t>B - Mantenimiento con apertura sin descarga (control interior, PH)</t>
        </is>
      </c>
      <c r="E242" s="17" t="inlineStr">
        <is>
          <t>Grabado de la fecha del servicio en el tubo de pesca (lápiz vibratorio; en polvo, marcador indeleble)</t>
        </is>
      </c>
      <c r="F242" s="32" t="n">
        <v>1</v>
      </c>
      <c r="G242" s="32" t="inlineStr">
        <is>
          <t>u</t>
        </is>
      </c>
      <c r="H242" s="17" t="inlineStr">
        <is>
          <t>Proceso</t>
        </is>
      </c>
      <c r="I242" s="17" t="inlineStr">
        <is>
          <t>IRAM 3517-2:2020 Res. 349/07 art. 28</t>
        </is>
      </c>
      <c r="J242" s="32" t="inlineStr">
        <is>
          <t>No</t>
        </is>
      </c>
      <c r="K242" s="17" t="n"/>
      <c r="L242" s="17" t="n"/>
    </row>
    <row r="243">
      <c r="A243" s="32" t="inlineStr">
        <is>
          <t>RK-BC5-B</t>
        </is>
      </c>
      <c r="B243" s="32" t="inlineStr">
        <is>
          <t>FL_MAT_BC_5kg</t>
        </is>
      </c>
      <c r="C243" s="32" t="inlineStr">
        <is>
          <t>Extintor BC 5 kg</t>
        </is>
      </c>
      <c r="D243" s="17" t="inlineStr">
        <is>
          <t>B - Mantenimiento con apertura sin descarga (control interior, PH)</t>
        </is>
      </c>
      <c r="E243" s="17" t="inlineStr">
        <is>
          <t>Si hubo PH: oblea de vencimiento de PH + «PH» y fecha grabados en el tubo de pesca (CO₂: fecha y logo estampados en la ojiva)</t>
        </is>
      </c>
      <c r="F243" s="32" t="n">
        <v>1</v>
      </c>
      <c r="G243" s="32" t="inlineStr">
        <is>
          <t>u</t>
        </is>
      </c>
      <c r="H243" s="17" t="inlineStr">
        <is>
          <t>Proceso</t>
        </is>
      </c>
      <c r="I243" s="17" t="inlineStr">
        <is>
          <t>IRAM 3517-2:2020 Res. 349/07 art. 29 · IRAM 3517-2</t>
        </is>
      </c>
      <c r="J243" s="32" t="inlineStr">
        <is>
          <t>No</t>
        </is>
      </c>
      <c r="K243" s="17" t="n"/>
      <c r="L243" s="17" t="n"/>
    </row>
    <row r="244">
      <c r="A244" s="37" t="inlineStr">
        <is>
          <t>RK-BC5-B</t>
        </is>
      </c>
      <c r="B244" s="37" t="inlineStr">
        <is>
          <t>FL_MAT_BC_5kg</t>
        </is>
      </c>
      <c r="C244" s="37" t="inlineStr">
        <is>
          <t>Extintor BC 5 kg</t>
        </is>
      </c>
      <c r="D244" s="18" t="inlineStr">
        <is>
          <t>B - Mantenimiento con apertura sin descarga (control interior, PH)</t>
        </is>
      </c>
      <c r="E244" s="18" t="inlineStr">
        <is>
          <t>Junta tórica de asiento del cuello</t>
        </is>
      </c>
      <c r="F244" s="37" t="n">
        <v>1</v>
      </c>
      <c r="G244" s="37" t="inlineStr">
        <is>
          <t>u</t>
        </is>
      </c>
      <c r="H244" s="18" t="inlineStr">
        <is>
          <t>Nuevo (R: cambio sistemático)</t>
        </is>
      </c>
      <c r="I244" s="18" t="inlineStr"/>
      <c r="J244" s="37" t="inlineStr">
        <is>
          <t>Sí</t>
        </is>
      </c>
      <c r="K244" s="18" t="inlineStr">
        <is>
          <t>Argensold</t>
        </is>
      </c>
      <c r="L244" s="18" t="inlineStr">
        <is>
          <t>Matafuegos Iglesias</t>
        </is>
      </c>
    </row>
    <row r="245">
      <c r="A245" s="32" t="inlineStr">
        <is>
          <t>RK-BC5-B</t>
        </is>
      </c>
      <c r="B245" s="32" t="inlineStr">
        <is>
          <t>FL_MAT_BC_5kg</t>
        </is>
      </c>
      <c r="C245" s="32" t="inlineStr">
        <is>
          <t>Extintor BC 5 kg</t>
        </is>
      </c>
      <c r="D245" s="17" t="inlineStr">
        <is>
          <t>B - Mantenimiento con apertura sin descarga (control interior, PH)</t>
        </is>
      </c>
      <c r="E245" s="17" t="inlineStr">
        <is>
          <t>Gas impulsor: N₂</t>
        </is>
      </c>
      <c r="F245" s="32" t="n">
        <v>0.0077</v>
      </c>
      <c r="G245" s="32" t="inlineStr">
        <is>
          <t>kg</t>
        </is>
      </c>
      <c r="H245" s="17" t="inlineStr">
        <is>
          <t>Nuevo</t>
        </is>
      </c>
      <c r="I245" s="17" t="inlineStr">
        <is>
          <t>IRAM 3517-2:2020 9.4.9 tabla 2</t>
        </is>
      </c>
      <c r="J245" s="32" t="inlineStr">
        <is>
          <t>Sí</t>
        </is>
      </c>
      <c r="K245" s="17" t="inlineStr">
        <is>
          <t>Air Liquide Argentina - sucursal Piñeyro</t>
        </is>
      </c>
      <c r="L245" s="17" t="inlineStr">
        <is>
          <t>Gogniat</t>
        </is>
      </c>
    </row>
    <row r="246">
      <c r="A246" s="32" t="inlineStr">
        <is>
          <t>RK-BC5-C</t>
        </is>
      </c>
      <c r="B246" s="32" t="inlineStr">
        <is>
          <t>FL_MAT_BC_5kg</t>
        </is>
      </c>
      <c r="C246" s="32" t="inlineStr">
        <is>
          <t>Extintor BC 5 kg</t>
        </is>
      </c>
      <c r="D246" s="17" t="inlineStr">
        <is>
          <t>C - Cambio obligatorio de polvo (versión anterior de la IRAM 3569)</t>
        </is>
      </c>
      <c r="E246" s="17" t="inlineStr">
        <is>
          <t>Polvo químico seco BC (bicarbonato)</t>
        </is>
      </c>
      <c r="F246" s="32" t="n">
        <v>5.15</v>
      </c>
      <c r="G246" s="32" t="inlineStr">
        <is>
          <t>kg</t>
        </is>
      </c>
      <c r="H246" s="17" t="inlineStr">
        <is>
          <t>Nuevo 100 %; el viejo va a residuos (RC-IR)</t>
        </is>
      </c>
      <c r="I246" s="17" t="inlineStr">
        <is>
          <t>IRAM 3517-2:2020 9.9.4</t>
        </is>
      </c>
      <c r="J246" s="32" t="inlineStr">
        <is>
          <t>Sí</t>
        </is>
      </c>
      <c r="K246" s="17" t="inlineStr">
        <is>
          <t>Polvex S.R.L. / Sancibrao</t>
        </is>
      </c>
      <c r="L246" s="17" t="inlineStr">
        <is>
          <t>DEM S.A. (DEMSA)</t>
        </is>
      </c>
    </row>
    <row r="247">
      <c r="A247" s="32" t="inlineStr">
        <is>
          <t>RK-BC5-C</t>
        </is>
      </c>
      <c r="B247" s="32" t="inlineStr">
        <is>
          <t>FL_MAT_BC_5kg</t>
        </is>
      </c>
      <c r="C247" s="32" t="inlineStr">
        <is>
          <t>Extintor BC 5 kg</t>
        </is>
      </c>
      <c r="D247" s="17" t="inlineStr">
        <is>
          <t>C - Cambio obligatorio de polvo (versión anterior de la IRAM 3569)</t>
        </is>
      </c>
      <c r="E247" s="17" t="inlineStr">
        <is>
          <t>Precinto plástico numerado, color, con nombre del recargador</t>
        </is>
      </c>
      <c r="F247" s="32" t="n">
        <v>1</v>
      </c>
      <c r="G247" s="32" t="inlineStr">
        <is>
          <t>u</t>
        </is>
      </c>
      <c r="H247" s="17" t="inlineStr">
        <is>
          <t>Nuevo</t>
        </is>
      </c>
      <c r="I247" s="17" t="inlineStr">
        <is>
          <t>IRAM 3517-2:2020 9.4.13</t>
        </is>
      </c>
      <c r="J247" s="32" t="inlineStr">
        <is>
          <t>Sí</t>
        </is>
      </c>
      <c r="K247" s="17" t="inlineStr">
        <is>
          <t>SonFuertes (vía Papelera Damián)</t>
        </is>
      </c>
      <c r="L247" s="17" t="inlineStr">
        <is>
          <t>Precinter S.R.L.</t>
        </is>
      </c>
    </row>
    <row r="248">
      <c r="A248" s="32" t="inlineStr">
        <is>
          <t>RK-BC5-C</t>
        </is>
      </c>
      <c r="B248" s="32" t="inlineStr">
        <is>
          <t>FL_MAT_BC_5kg</t>
        </is>
      </c>
      <c r="C248" s="32" t="inlineStr">
        <is>
          <t>Extintor BC 5 kg</t>
        </is>
      </c>
      <c r="D248" s="17" t="inlineStr">
        <is>
          <t>C - Cambio obligatorio de polvo (versión anterior de la IRAM 3569)</t>
        </is>
      </c>
      <c r="E248" s="17" t="inlineStr">
        <is>
          <t>Marbete (anillo, color del año)</t>
        </is>
      </c>
      <c r="F248" s="32" t="n">
        <v>1</v>
      </c>
      <c r="G248" s="32" t="inlineStr">
        <is>
          <t>u</t>
        </is>
      </c>
      <c r="H248" s="17" t="inlineStr">
        <is>
          <t>Nuevo</t>
        </is>
      </c>
      <c r="I248" s="17" t="inlineStr">
        <is>
          <t>IRAM 3517-2:2020 9.6 · anexo E</t>
        </is>
      </c>
      <c r="J248" s="32" t="inlineStr">
        <is>
          <t>Sí</t>
        </is>
      </c>
      <c r="K248" s="17" t="inlineStr">
        <is>
          <t>Astuprint</t>
        </is>
      </c>
      <c r="L248" s="17" t="inlineStr">
        <is>
          <t>Multilabel Argentina S.A.</t>
        </is>
      </c>
    </row>
    <row r="249">
      <c r="A249" s="32" t="inlineStr">
        <is>
          <t>RK-BC5-C</t>
        </is>
      </c>
      <c r="B249" s="32" t="inlineStr">
        <is>
          <t>FL_MAT_BC_5kg</t>
        </is>
      </c>
      <c r="C249" s="32" t="inlineStr">
        <is>
          <t>Extintor BC 5 kg</t>
        </is>
      </c>
      <c r="D249" s="17" t="inlineStr">
        <is>
          <t>C - Cambio obligatorio de polvo (versión anterior de la IRAM 3569)</t>
        </is>
      </c>
      <c r="E249" s="17" t="inlineStr">
        <is>
          <t>Etiqueta de servicio del recargador (extintor n°, serie, próxima recarga y PH)</t>
        </is>
      </c>
      <c r="F249" s="32" t="n">
        <v>1</v>
      </c>
      <c r="G249" s="32" t="inlineStr">
        <is>
          <t>u</t>
        </is>
      </c>
      <c r="H249" s="17" t="inlineStr">
        <is>
          <t>Nuevo</t>
        </is>
      </c>
      <c r="I249" s="17" t="inlineStr">
        <is>
          <t>IRAM 3517-2:2020 9.4.14 · relevado Suyai/Firegram</t>
        </is>
      </c>
      <c r="J249" s="32" t="inlineStr">
        <is>
          <t>Sí</t>
        </is>
      </c>
      <c r="K249" s="17" t="inlineStr">
        <is>
          <t>Astuprint</t>
        </is>
      </c>
      <c r="L249" s="17" t="inlineStr">
        <is>
          <t>Multilabel Argentina S.A.</t>
        </is>
      </c>
    </row>
    <row r="250">
      <c r="A250" s="32" t="inlineStr">
        <is>
          <t>RK-BC5-C</t>
        </is>
      </c>
      <c r="B250" s="32" t="inlineStr">
        <is>
          <t>FL_MAT_BC_5kg</t>
        </is>
      </c>
      <c r="C250" s="32" t="inlineStr">
        <is>
          <t>Extintor BC 5 kg</t>
        </is>
      </c>
      <c r="D250" s="17" t="inlineStr">
        <is>
          <t>C - Cambio obligatorio de polvo (versión anterior de la IRAM 3569)</t>
        </is>
      </c>
      <c r="E250" s="17" t="inlineStr">
        <is>
          <t>Oblea PBA de recarga Ø46 + estampilla precinto 1" × 200 mm válvula-cuerpo</t>
        </is>
      </c>
      <c r="F250" s="32" t="n">
        <v>1</v>
      </c>
      <c r="G250" s="32" t="inlineStr">
        <is>
          <t>u</t>
        </is>
      </c>
      <c r="H250" s="17" t="inlineStr">
        <is>
          <t>Nuevo (venta en PBA)</t>
        </is>
      </c>
      <c r="I250" s="17" t="inlineStr">
        <is>
          <t>IRAM 3517-2:2020 Res. OPDS 522/07</t>
        </is>
      </c>
      <c r="J250" s="32" t="inlineStr">
        <is>
          <t>Sí</t>
        </is>
      </c>
      <c r="K250" s="17" t="inlineStr">
        <is>
          <t>Ministerio de Ambiente PBA (ex OPDS)</t>
        </is>
      </c>
      <c r="L250" s="17" t="inlineStr">
        <is>
          <t>-</t>
        </is>
      </c>
    </row>
    <row r="251">
      <c r="A251" s="32" t="inlineStr">
        <is>
          <t>RK-BC5-C</t>
        </is>
      </c>
      <c r="B251" s="32" t="inlineStr">
        <is>
          <t>FL_MAT_BC_5kg</t>
        </is>
      </c>
      <c r="C251" s="32" t="inlineStr">
        <is>
          <t>Extintor BC 5 kg</t>
        </is>
      </c>
      <c r="D251" s="17" t="inlineStr">
        <is>
          <t>C - Cambio obligatorio de polvo (versión anterior de la IRAM 3569)</t>
        </is>
      </c>
      <c r="E251" s="17" t="inlineStr">
        <is>
          <t>Tarjeta de identificación AGC (módulo papel con QR + etiqueta AGC)</t>
        </is>
      </c>
      <c r="F251" s="32" t="n">
        <v>1</v>
      </c>
      <c r="G251" s="32" t="inlineStr">
        <is>
          <t>u</t>
        </is>
      </c>
      <c r="H251" s="17" t="inlineStr">
        <is>
          <t>Nuevo (destino CABA)</t>
        </is>
      </c>
      <c r="I251" s="17" t="inlineStr">
        <is>
          <t>IRAM 3517-2:2020 Ord. 40.473 art. 6 · Res. AGC 32/15</t>
        </is>
      </c>
      <c r="J251" s="32" t="inlineStr">
        <is>
          <t>Sí</t>
        </is>
      </c>
      <c r="K251" s="17" t="inlineStr">
        <is>
          <t>Agencia Gubernamental de Control (CABA)</t>
        </is>
      </c>
      <c r="L251" s="17" t="inlineStr">
        <is>
          <t>-</t>
        </is>
      </c>
    </row>
    <row r="252">
      <c r="A252" s="32" t="inlineStr">
        <is>
          <t>RK-BC5-C</t>
        </is>
      </c>
      <c r="B252" s="32" t="inlineStr">
        <is>
          <t>FL_MAT_BC_5kg</t>
        </is>
      </c>
      <c r="C252" s="32" t="inlineStr">
        <is>
          <t>Extintor BC 5 kg</t>
        </is>
      </c>
      <c r="D252" s="17" t="inlineStr">
        <is>
          <t>C - Cambio obligatorio de polvo (versión anterior de la IRAM 3569)</t>
        </is>
      </c>
      <c r="E252" s="17" t="inlineStr">
        <is>
          <t>Tarjeta de identificación DPS de revisión / recarga</t>
        </is>
      </c>
      <c r="F252" s="32" t="n">
        <v>1</v>
      </c>
      <c r="G252" s="32" t="inlineStr">
        <is>
          <t>u</t>
        </is>
      </c>
      <c r="H252" s="17" t="inlineStr">
        <is>
          <t>Nuevo (PBA)</t>
        </is>
      </c>
      <c r="I252" s="17" t="inlineStr">
        <is>
          <t>IRAM 3517-2:2020 Res. 349/07 art. 21</t>
        </is>
      </c>
      <c r="J252" s="32" t="inlineStr">
        <is>
          <t>Sí</t>
        </is>
      </c>
      <c r="K252" s="17" t="inlineStr">
        <is>
          <t>Ministerio de Ambiente PBA (ex OPDS)</t>
        </is>
      </c>
      <c r="L252" s="17" t="inlineStr">
        <is>
          <t>-</t>
        </is>
      </c>
    </row>
    <row r="253">
      <c r="A253" s="32" t="inlineStr">
        <is>
          <t>RK-BC5-C</t>
        </is>
      </c>
      <c r="B253" s="32" t="inlineStr">
        <is>
          <t>FL_MAT_BC_5kg</t>
        </is>
      </c>
      <c r="C253" s="32" t="inlineStr">
        <is>
          <t>Extintor BC 5 kg</t>
        </is>
      </c>
      <c r="D253" s="17" t="inlineStr">
        <is>
          <t>C - Cambio obligatorio de polvo (versión anterior de la IRAM 3569)</t>
        </is>
      </c>
      <c r="E253" s="17" t="inlineStr">
        <is>
          <t>Grabado de la fecha del servicio en el tubo de pesca (lápiz vibratorio; en polvo, marcador indeleble)</t>
        </is>
      </c>
      <c r="F253" s="32" t="n">
        <v>1</v>
      </c>
      <c r="G253" s="32" t="inlineStr">
        <is>
          <t>u</t>
        </is>
      </c>
      <c r="H253" s="17" t="inlineStr">
        <is>
          <t>Proceso</t>
        </is>
      </c>
      <c r="I253" s="17" t="inlineStr">
        <is>
          <t>IRAM 3517-2:2020 Res. 349/07 art. 28</t>
        </is>
      </c>
      <c r="J253" s="32" t="inlineStr">
        <is>
          <t>No</t>
        </is>
      </c>
      <c r="K253" s="17" t="n"/>
      <c r="L253" s="17" t="n"/>
    </row>
    <row r="254">
      <c r="A254" s="32" t="inlineStr">
        <is>
          <t>RK-BC5-C</t>
        </is>
      </c>
      <c r="B254" s="32" t="inlineStr">
        <is>
          <t>FL_MAT_BC_5kg</t>
        </is>
      </c>
      <c r="C254" s="32" t="inlineStr">
        <is>
          <t>Extintor BC 5 kg</t>
        </is>
      </c>
      <c r="D254" s="17" t="inlineStr">
        <is>
          <t>C - Cambio obligatorio de polvo (versión anterior de la IRAM 3569)</t>
        </is>
      </c>
      <c r="E254" s="17" t="inlineStr">
        <is>
          <t>Si hubo PH: oblea de vencimiento de PH + «PH» y fecha grabados en el tubo de pesca (CO₂: fecha y logo estampados en la ojiva)</t>
        </is>
      </c>
      <c r="F254" s="32" t="n">
        <v>1</v>
      </c>
      <c r="G254" s="32" t="inlineStr">
        <is>
          <t>u</t>
        </is>
      </c>
      <c r="H254" s="17" t="inlineStr">
        <is>
          <t>Proceso</t>
        </is>
      </c>
      <c r="I254" s="17" t="inlineStr">
        <is>
          <t>IRAM 3517-2:2020 Res. 349/07 art. 29 · IRAM 3517-2</t>
        </is>
      </c>
      <c r="J254" s="32" t="inlineStr">
        <is>
          <t>No</t>
        </is>
      </c>
      <c r="K254" s="17" t="n"/>
      <c r="L254" s="17" t="n"/>
    </row>
    <row r="255">
      <c r="A255" s="37" t="inlineStr">
        <is>
          <t>RK-BC5-C</t>
        </is>
      </c>
      <c r="B255" s="37" t="inlineStr">
        <is>
          <t>FL_MAT_BC_5kg</t>
        </is>
      </c>
      <c r="C255" s="37" t="inlineStr">
        <is>
          <t>Extintor BC 5 kg</t>
        </is>
      </c>
      <c r="D255" s="18" t="inlineStr">
        <is>
          <t>C - Cambio obligatorio de polvo (versión anterior de la IRAM 3569)</t>
        </is>
      </c>
      <c r="E255" s="18" t="inlineStr">
        <is>
          <t>Junta tórica de asiento del cuello</t>
        </is>
      </c>
      <c r="F255" s="37" t="n">
        <v>1</v>
      </c>
      <c r="G255" s="37" t="inlineStr">
        <is>
          <t>u</t>
        </is>
      </c>
      <c r="H255" s="18" t="inlineStr">
        <is>
          <t>Nuevo (R: cambio sistemático)</t>
        </is>
      </c>
      <c r="I255" s="18" t="inlineStr"/>
      <c r="J255" s="37" t="inlineStr">
        <is>
          <t>Sí</t>
        </is>
      </c>
      <c r="K255" s="18" t="inlineStr">
        <is>
          <t>Argensold</t>
        </is>
      </c>
      <c r="L255" s="18" t="inlineStr">
        <is>
          <t>Matafuegos Iglesias</t>
        </is>
      </c>
    </row>
    <row r="256">
      <c r="A256" s="32" t="inlineStr">
        <is>
          <t>RK-BC5-C</t>
        </is>
      </c>
      <c r="B256" s="32" t="inlineStr">
        <is>
          <t>FL_MAT_BC_5kg</t>
        </is>
      </c>
      <c r="C256" s="32" t="inlineStr">
        <is>
          <t>Extintor BC 5 kg</t>
        </is>
      </c>
      <c r="D256" s="17" t="inlineStr">
        <is>
          <t>C - Cambio obligatorio de polvo (versión anterior de la IRAM 3569)</t>
        </is>
      </c>
      <c r="E256" s="17" t="inlineStr">
        <is>
          <t>Gas impulsor: N₂</t>
        </is>
      </c>
      <c r="F256" s="32" t="n">
        <v>0.0077</v>
      </c>
      <c r="G256" s="32" t="inlineStr">
        <is>
          <t>kg</t>
        </is>
      </c>
      <c r="H256" s="17" t="inlineStr">
        <is>
          <t>Nuevo</t>
        </is>
      </c>
      <c r="I256" s="17" t="inlineStr">
        <is>
          <t>IRAM 3517-2:2020 9.4.9 tabla 2</t>
        </is>
      </c>
      <c r="J256" s="32" t="inlineStr">
        <is>
          <t>Sí</t>
        </is>
      </c>
      <c r="K256" s="17" t="inlineStr">
        <is>
          <t>Air Liquide Argentina - sucursal Piñeyro</t>
        </is>
      </c>
      <c r="L256" s="17" t="inlineStr">
        <is>
          <t>Gogniat</t>
        </is>
      </c>
    </row>
    <row r="257">
      <c r="A257" s="32" t="inlineStr">
        <is>
          <t>RK-BC5-I</t>
        </is>
      </c>
      <c r="B257" s="32" t="inlineStr">
        <is>
          <t>FL_MAT_BC_5kg</t>
        </is>
      </c>
      <c r="C257" s="32" t="inlineStr">
        <is>
          <t>Extintor BC 5 kg</t>
        </is>
      </c>
      <c r="D257" s="17" t="inlineStr">
        <is>
          <t>Según inspección (consumo estadístico a definir)</t>
        </is>
      </c>
      <c r="E257" s="17" t="inlineStr">
        <is>
          <t>Manómetro / manguera / tobera / kit de válvula</t>
        </is>
      </c>
      <c r="F257" s="32" t="inlineStr">
        <is>
          <t>-</t>
        </is>
      </c>
      <c r="G257" s="32" t="inlineStr">
        <is>
          <t>u</t>
        </is>
      </c>
      <c r="H257" s="17" t="inlineStr">
        <is>
          <t>Recambio sólo si falla</t>
        </is>
      </c>
      <c r="I257" s="17" t="inlineStr">
        <is>
          <t>IRAM 3517-2:2020 9.4.11 (cada manguera vuelve a su extintor)</t>
        </is>
      </c>
      <c r="J257" s="32" t="inlineStr">
        <is>
          <t>Sí</t>
        </is>
      </c>
      <c r="K257" s="17" t="inlineStr">
        <is>
          <t>Polvex S.R.L. / Sancibrao</t>
        </is>
      </c>
      <c r="L257" s="17" t="inlineStr">
        <is>
          <t>Yukon / MatafuegosYa S.R.L.</t>
        </is>
      </c>
    </row>
    <row r="258">
      <c r="A258" s="32" t="inlineStr">
        <is>
          <t>RK-SALESK6-A</t>
        </is>
      </c>
      <c r="B258" s="32" t="inlineStr">
        <is>
          <t>FL_MAT_SALESK_6l</t>
        </is>
      </c>
      <c r="C258" s="32" t="inlineStr">
        <is>
          <t>Extintor Sales K 6 l</t>
        </is>
      </c>
      <c r="D258" s="17" t="inlineStr">
        <is>
          <t>A - Extintor descargado</t>
        </is>
      </c>
      <c r="E258" s="17" t="inlineStr">
        <is>
          <t>Acetato de potasio - DEMSA Kitchen (IRAM 3697)</t>
        </is>
      </c>
      <c r="F258" s="32" t="n">
        <v>6.09</v>
      </c>
      <c r="G258" s="32" t="inlineStr">
        <is>
          <t>L</t>
        </is>
      </c>
      <c r="H258" s="17" t="inlineStr">
        <is>
          <t>Nuevo</t>
        </is>
      </c>
      <c r="I258" s="17" t="inlineStr">
        <is>
          <t>IRAM 3517-2:2020 9.9 tabla 6</t>
        </is>
      </c>
      <c r="J258" s="32" t="inlineStr">
        <is>
          <t>Sí</t>
        </is>
      </c>
      <c r="K258" s="17" t="inlineStr">
        <is>
          <t>Polvex S.R.L. / Sancibrao</t>
        </is>
      </c>
      <c r="L258" s="17" t="inlineStr">
        <is>
          <t>DEM S.A. (DEMSA)</t>
        </is>
      </c>
    </row>
    <row r="259">
      <c r="A259" s="32" t="inlineStr">
        <is>
          <t>RK-SALESK6-A</t>
        </is>
      </c>
      <c r="B259" s="32" t="inlineStr">
        <is>
          <t>FL_MAT_SALESK_6l</t>
        </is>
      </c>
      <c r="C259" s="32" t="inlineStr">
        <is>
          <t>Extintor Sales K 6 l</t>
        </is>
      </c>
      <c r="D259" s="17" t="inlineStr">
        <is>
          <t>A - Extintor descargado</t>
        </is>
      </c>
      <c r="E259" s="17" t="inlineStr">
        <is>
          <t>Precinto plástico numerado, color, con nombre del recargador</t>
        </is>
      </c>
      <c r="F259" s="32" t="n">
        <v>1</v>
      </c>
      <c r="G259" s="32" t="inlineStr">
        <is>
          <t>u</t>
        </is>
      </c>
      <c r="H259" s="17" t="inlineStr">
        <is>
          <t>Nuevo</t>
        </is>
      </c>
      <c r="I259" s="17" t="inlineStr">
        <is>
          <t>IRAM 3517-2:2020 9.4.13</t>
        </is>
      </c>
      <c r="J259" s="32" t="inlineStr">
        <is>
          <t>Sí</t>
        </is>
      </c>
      <c r="K259" s="17" t="inlineStr">
        <is>
          <t>SonFuertes (vía Papelera Damián)</t>
        </is>
      </c>
      <c r="L259" s="17" t="inlineStr">
        <is>
          <t>Precinter S.R.L.</t>
        </is>
      </c>
    </row>
    <row r="260">
      <c r="A260" s="32" t="inlineStr">
        <is>
          <t>RK-SALESK6-A</t>
        </is>
      </c>
      <c r="B260" s="32" t="inlineStr">
        <is>
          <t>FL_MAT_SALESK_6l</t>
        </is>
      </c>
      <c r="C260" s="32" t="inlineStr">
        <is>
          <t>Extintor Sales K 6 l</t>
        </is>
      </c>
      <c r="D260" s="17" t="inlineStr">
        <is>
          <t>A - Extintor descargado</t>
        </is>
      </c>
      <c r="E260" s="17" t="inlineStr">
        <is>
          <t>Marbete (anillo, color del año)</t>
        </is>
      </c>
      <c r="F260" s="32" t="n">
        <v>1</v>
      </c>
      <c r="G260" s="32" t="inlineStr">
        <is>
          <t>u</t>
        </is>
      </c>
      <c r="H260" s="17" t="inlineStr">
        <is>
          <t>Nuevo</t>
        </is>
      </c>
      <c r="I260" s="17" t="inlineStr">
        <is>
          <t>IRAM 3517-2:2020 9.6 · anexo E</t>
        </is>
      </c>
      <c r="J260" s="32" t="inlineStr">
        <is>
          <t>Sí</t>
        </is>
      </c>
      <c r="K260" s="17" t="inlineStr">
        <is>
          <t>Astuprint</t>
        </is>
      </c>
      <c r="L260" s="17" t="inlineStr">
        <is>
          <t>Multilabel Argentina S.A.</t>
        </is>
      </c>
    </row>
    <row r="261">
      <c r="A261" s="32" t="inlineStr">
        <is>
          <t>RK-SALESK6-A</t>
        </is>
      </c>
      <c r="B261" s="32" t="inlineStr">
        <is>
          <t>FL_MAT_SALESK_6l</t>
        </is>
      </c>
      <c r="C261" s="32" t="inlineStr">
        <is>
          <t>Extintor Sales K 6 l</t>
        </is>
      </c>
      <c r="D261" s="17" t="inlineStr">
        <is>
          <t>A - Extintor descargado</t>
        </is>
      </c>
      <c r="E261" s="17" t="inlineStr">
        <is>
          <t>Etiqueta de servicio del recargador (extintor n°, serie, próxima recarga y PH)</t>
        </is>
      </c>
      <c r="F261" s="32" t="n">
        <v>1</v>
      </c>
      <c r="G261" s="32" t="inlineStr">
        <is>
          <t>u</t>
        </is>
      </c>
      <c r="H261" s="17" t="inlineStr">
        <is>
          <t>Nuevo</t>
        </is>
      </c>
      <c r="I261" s="17" t="inlineStr">
        <is>
          <t>IRAM 3517-2:2020 9.4.14 · relevado Suyai/Firegram</t>
        </is>
      </c>
      <c r="J261" s="32" t="inlineStr">
        <is>
          <t>Sí</t>
        </is>
      </c>
      <c r="K261" s="17" t="inlineStr">
        <is>
          <t>Astuprint</t>
        </is>
      </c>
      <c r="L261" s="17" t="inlineStr">
        <is>
          <t>Multilabel Argentina S.A.</t>
        </is>
      </c>
    </row>
    <row r="262">
      <c r="A262" s="32" t="inlineStr">
        <is>
          <t>RK-SALESK6-A</t>
        </is>
      </c>
      <c r="B262" s="32" t="inlineStr">
        <is>
          <t>FL_MAT_SALESK_6l</t>
        </is>
      </c>
      <c r="C262" s="32" t="inlineStr">
        <is>
          <t>Extintor Sales K 6 l</t>
        </is>
      </c>
      <c r="D262" s="17" t="inlineStr">
        <is>
          <t>A - Extintor descargado</t>
        </is>
      </c>
      <c r="E262" s="17" t="inlineStr">
        <is>
          <t>Oblea PBA de recarga Ø46 + estampilla precinto 1" × 200 mm válvula-cuerpo</t>
        </is>
      </c>
      <c r="F262" s="32" t="n">
        <v>1</v>
      </c>
      <c r="G262" s="32" t="inlineStr">
        <is>
          <t>u</t>
        </is>
      </c>
      <c r="H262" s="17" t="inlineStr">
        <is>
          <t>Nuevo (venta en PBA)</t>
        </is>
      </c>
      <c r="I262" s="17" t="inlineStr">
        <is>
          <t>IRAM 3517-2:2020 Res. OPDS 522/07</t>
        </is>
      </c>
      <c r="J262" s="32" t="inlineStr">
        <is>
          <t>Sí</t>
        </is>
      </c>
      <c r="K262" s="17" t="inlineStr">
        <is>
          <t>Ministerio de Ambiente PBA (ex OPDS)</t>
        </is>
      </c>
      <c r="L262" s="17" t="inlineStr">
        <is>
          <t>-</t>
        </is>
      </c>
    </row>
    <row r="263">
      <c r="A263" s="32" t="inlineStr">
        <is>
          <t>RK-SALESK6-A</t>
        </is>
      </c>
      <c r="B263" s="32" t="inlineStr">
        <is>
          <t>FL_MAT_SALESK_6l</t>
        </is>
      </c>
      <c r="C263" s="32" t="inlineStr">
        <is>
          <t>Extintor Sales K 6 l</t>
        </is>
      </c>
      <c r="D263" s="17" t="inlineStr">
        <is>
          <t>A - Extintor descargado</t>
        </is>
      </c>
      <c r="E263" s="17" t="inlineStr">
        <is>
          <t>Tarjeta de identificación AGC (módulo papel con QR + etiqueta AGC)</t>
        </is>
      </c>
      <c r="F263" s="32" t="n">
        <v>1</v>
      </c>
      <c r="G263" s="32" t="inlineStr">
        <is>
          <t>u</t>
        </is>
      </c>
      <c r="H263" s="17" t="inlineStr">
        <is>
          <t>Nuevo (destino CABA)</t>
        </is>
      </c>
      <c r="I263" s="17" t="inlineStr">
        <is>
          <t>IRAM 3517-2:2020 Ord. 40.473 art. 6 · Res. AGC 32/15</t>
        </is>
      </c>
      <c r="J263" s="32" t="inlineStr">
        <is>
          <t>Sí</t>
        </is>
      </c>
      <c r="K263" s="17" t="inlineStr">
        <is>
          <t>Agencia Gubernamental de Control (CABA)</t>
        </is>
      </c>
      <c r="L263" s="17" t="inlineStr">
        <is>
          <t>-</t>
        </is>
      </c>
    </row>
    <row r="264">
      <c r="A264" s="32" t="inlineStr">
        <is>
          <t>RK-SALESK6-A</t>
        </is>
      </c>
      <c r="B264" s="32" t="inlineStr">
        <is>
          <t>FL_MAT_SALESK_6l</t>
        </is>
      </c>
      <c r="C264" s="32" t="inlineStr">
        <is>
          <t>Extintor Sales K 6 l</t>
        </is>
      </c>
      <c r="D264" s="17" t="inlineStr">
        <is>
          <t>A - Extintor descargado</t>
        </is>
      </c>
      <c r="E264" s="17" t="inlineStr">
        <is>
          <t>Tarjeta de identificación DPS de revisión / recarga</t>
        </is>
      </c>
      <c r="F264" s="32" t="n">
        <v>1</v>
      </c>
      <c r="G264" s="32" t="inlineStr">
        <is>
          <t>u</t>
        </is>
      </c>
      <c r="H264" s="17" t="inlineStr">
        <is>
          <t>Nuevo (PBA)</t>
        </is>
      </c>
      <c r="I264" s="17" t="inlineStr">
        <is>
          <t>IRAM 3517-2:2020 Res. 349/07 art. 21</t>
        </is>
      </c>
      <c r="J264" s="32" t="inlineStr">
        <is>
          <t>Sí</t>
        </is>
      </c>
      <c r="K264" s="17" t="inlineStr">
        <is>
          <t>Ministerio de Ambiente PBA (ex OPDS)</t>
        </is>
      </c>
      <c r="L264" s="17" t="inlineStr">
        <is>
          <t>-</t>
        </is>
      </c>
    </row>
    <row r="265">
      <c r="A265" s="32" t="inlineStr">
        <is>
          <t>RK-SALESK6-A</t>
        </is>
      </c>
      <c r="B265" s="32" t="inlineStr">
        <is>
          <t>FL_MAT_SALESK_6l</t>
        </is>
      </c>
      <c r="C265" s="32" t="inlineStr">
        <is>
          <t>Extintor Sales K 6 l</t>
        </is>
      </c>
      <c r="D265" s="17" t="inlineStr">
        <is>
          <t>A - Extintor descargado</t>
        </is>
      </c>
      <c r="E265" s="17" t="inlineStr">
        <is>
          <t>Grabado de la fecha del servicio en el tubo de pesca (lápiz vibratorio; en polvo, marcador indeleble)</t>
        </is>
      </c>
      <c r="F265" s="32" t="n">
        <v>1</v>
      </c>
      <c r="G265" s="32" t="inlineStr">
        <is>
          <t>u</t>
        </is>
      </c>
      <c r="H265" s="17" t="inlineStr">
        <is>
          <t>Proceso</t>
        </is>
      </c>
      <c r="I265" s="17" t="inlineStr">
        <is>
          <t>IRAM 3517-2:2020 Res. 349/07 art. 28</t>
        </is>
      </c>
      <c r="J265" s="32" t="inlineStr">
        <is>
          <t>No</t>
        </is>
      </c>
      <c r="K265" s="17" t="n"/>
      <c r="L265" s="17" t="n"/>
    </row>
    <row r="266">
      <c r="A266" s="32" t="inlineStr">
        <is>
          <t>RK-SALESK6-A</t>
        </is>
      </c>
      <c r="B266" s="32" t="inlineStr">
        <is>
          <t>FL_MAT_SALESK_6l</t>
        </is>
      </c>
      <c r="C266" s="32" t="inlineStr">
        <is>
          <t>Extintor Sales K 6 l</t>
        </is>
      </c>
      <c r="D266" s="17" t="inlineStr">
        <is>
          <t>A - Extintor descargado</t>
        </is>
      </c>
      <c r="E266" s="17" t="inlineStr">
        <is>
          <t>Si hubo PH: oblea de vencimiento de PH + «PH» y fecha grabados en el tubo de pesca (CO₂: fecha y logo estampados en la ojiva)</t>
        </is>
      </c>
      <c r="F266" s="32" t="n">
        <v>1</v>
      </c>
      <c r="G266" s="32" t="inlineStr">
        <is>
          <t>u</t>
        </is>
      </c>
      <c r="H266" s="17" t="inlineStr">
        <is>
          <t>Proceso</t>
        </is>
      </c>
      <c r="I266" s="17" t="inlineStr">
        <is>
          <t>IRAM 3517-2:2020 Res. 349/07 art. 29 · IRAM 3517-2</t>
        </is>
      </c>
      <c r="J266" s="32" t="inlineStr">
        <is>
          <t>No</t>
        </is>
      </c>
      <c r="K266" s="17" t="n"/>
      <c r="L266" s="17" t="n"/>
    </row>
    <row r="267">
      <c r="A267" s="37" t="inlineStr">
        <is>
          <t>RK-SALESK6-A</t>
        </is>
      </c>
      <c r="B267" s="37" t="inlineStr">
        <is>
          <t>FL_MAT_SALESK_6l</t>
        </is>
      </c>
      <c r="C267" s="37" t="inlineStr">
        <is>
          <t>Extintor Sales K 6 l</t>
        </is>
      </c>
      <c r="D267" s="18" t="inlineStr">
        <is>
          <t>A - Extintor descargado</t>
        </is>
      </c>
      <c r="E267" s="18" t="inlineStr">
        <is>
          <t>Junta tórica de asiento del cuello</t>
        </is>
      </c>
      <c r="F267" s="37" t="n">
        <v>1</v>
      </c>
      <c r="G267" s="37" t="inlineStr">
        <is>
          <t>u</t>
        </is>
      </c>
      <c r="H267" s="18" t="inlineStr">
        <is>
          <t>Nuevo (R: cambio sistemático)</t>
        </is>
      </c>
      <c r="I267" s="18" t="inlineStr"/>
      <c r="J267" s="37" t="inlineStr">
        <is>
          <t>Sí</t>
        </is>
      </c>
      <c r="K267" s="18" t="inlineStr">
        <is>
          <t>Argensold</t>
        </is>
      </c>
      <c r="L267" s="18" t="inlineStr">
        <is>
          <t>Matafuegos Iglesias</t>
        </is>
      </c>
    </row>
    <row r="268">
      <c r="A268" s="32" t="inlineStr">
        <is>
          <t>RK-SALESK6-A</t>
        </is>
      </c>
      <c r="B268" s="32" t="inlineStr">
        <is>
          <t>FL_MAT_SALESK_6l</t>
        </is>
      </c>
      <c r="C268" s="32" t="inlineStr">
        <is>
          <t>Extintor Sales K 6 l</t>
        </is>
      </c>
      <c r="D268" s="17" t="inlineStr">
        <is>
          <t>A - Extintor descargado</t>
        </is>
      </c>
      <c r="E268" s="17" t="inlineStr">
        <is>
          <t>Gas impulsor: N₂</t>
        </is>
      </c>
      <c r="F268" s="32" t="n">
        <v>0.0306</v>
      </c>
      <c r="G268" s="32" t="inlineStr">
        <is>
          <t>kg</t>
        </is>
      </c>
      <c r="H268" s="17" t="inlineStr">
        <is>
          <t>Nuevo</t>
        </is>
      </c>
      <c r="I268" s="17" t="inlineStr">
        <is>
          <t>IRAM 3517-2:2020 9.4.9 tabla 2</t>
        </is>
      </c>
      <c r="J268" s="32" t="inlineStr">
        <is>
          <t>Sí</t>
        </is>
      </c>
      <c r="K268" s="17" t="inlineStr">
        <is>
          <t>Air Liquide Argentina - sucursal Piñeyro</t>
        </is>
      </c>
      <c r="L268" s="17" t="inlineStr">
        <is>
          <t>Gogniat</t>
        </is>
      </c>
    </row>
    <row r="269">
      <c r="A269" s="37" t="inlineStr">
        <is>
          <t>RK-SALESK6-B</t>
        </is>
      </c>
      <c r="B269" s="37" t="inlineStr">
        <is>
          <t>FL_MAT_SALESK_6l</t>
        </is>
      </c>
      <c r="C269" s="37" t="inlineStr">
        <is>
          <t>Extintor Sales K 6 l</t>
        </is>
      </c>
      <c r="D269" s="18" t="inlineStr">
        <is>
          <t>B - Mantenimiento (PH cada 2 años en inoxidables y AFFF)</t>
        </is>
      </c>
      <c r="E269" s="18" t="inlineStr">
        <is>
          <t>Acetato de potasio - DEMSA Kitchen (IRAM 3697)</t>
        </is>
      </c>
      <c r="F269" s="37" t="n">
        <v>6.09</v>
      </c>
      <c r="G269" s="37" t="inlineStr">
        <is>
          <t>L</t>
        </is>
      </c>
      <c r="H269" s="18" t="inlineStr">
        <is>
          <t>Nuevo (R: la carga líquida no se recupera; confirmar vida útil del concentrado con el fabricante)</t>
        </is>
      </c>
      <c r="I269" s="18" t="inlineStr">
        <is>
          <t>IRAM 3517-2:2020 9.9</t>
        </is>
      </c>
      <c r="J269" s="37" t="inlineStr">
        <is>
          <t>Sí</t>
        </is>
      </c>
      <c r="K269" s="18" t="inlineStr">
        <is>
          <t>Polvex S.R.L. / Sancibrao</t>
        </is>
      </c>
      <c r="L269" s="18" t="inlineStr">
        <is>
          <t>DEM S.A. (DEMSA)</t>
        </is>
      </c>
    </row>
    <row r="270">
      <c r="A270" s="32" t="inlineStr">
        <is>
          <t>RK-SALESK6-B</t>
        </is>
      </c>
      <c r="B270" s="32" t="inlineStr">
        <is>
          <t>FL_MAT_SALESK_6l</t>
        </is>
      </c>
      <c r="C270" s="32" t="inlineStr">
        <is>
          <t>Extintor Sales K 6 l</t>
        </is>
      </c>
      <c r="D270" s="17" t="inlineStr">
        <is>
          <t>B - Mantenimiento (PH cada 2 años en inoxidables y AFFF)</t>
        </is>
      </c>
      <c r="E270" s="17" t="inlineStr">
        <is>
          <t>Precinto plástico numerado, color, con nombre del recargador</t>
        </is>
      </c>
      <c r="F270" s="32" t="n">
        <v>1</v>
      </c>
      <c r="G270" s="32" t="inlineStr">
        <is>
          <t>u</t>
        </is>
      </c>
      <c r="H270" s="17" t="inlineStr">
        <is>
          <t>Nuevo</t>
        </is>
      </c>
      <c r="I270" s="17" t="inlineStr">
        <is>
          <t>IRAM 3517-2:2020 9.4.13</t>
        </is>
      </c>
      <c r="J270" s="32" t="inlineStr">
        <is>
          <t>Sí</t>
        </is>
      </c>
      <c r="K270" s="17" t="inlineStr">
        <is>
          <t>SonFuertes (vía Papelera Damián)</t>
        </is>
      </c>
      <c r="L270" s="17" t="inlineStr">
        <is>
          <t>Precinter S.R.L.</t>
        </is>
      </c>
    </row>
    <row r="271">
      <c r="A271" s="32" t="inlineStr">
        <is>
          <t>RK-SALESK6-B</t>
        </is>
      </c>
      <c r="B271" s="32" t="inlineStr">
        <is>
          <t>FL_MAT_SALESK_6l</t>
        </is>
      </c>
      <c r="C271" s="32" t="inlineStr">
        <is>
          <t>Extintor Sales K 6 l</t>
        </is>
      </c>
      <c r="D271" s="17" t="inlineStr">
        <is>
          <t>B - Mantenimiento (PH cada 2 años en inoxidables y AFFF)</t>
        </is>
      </c>
      <c r="E271" s="17" t="inlineStr">
        <is>
          <t>Marbete (anillo, color del año)</t>
        </is>
      </c>
      <c r="F271" s="32" t="n">
        <v>1</v>
      </c>
      <c r="G271" s="32" t="inlineStr">
        <is>
          <t>u</t>
        </is>
      </c>
      <c r="H271" s="17" t="inlineStr">
        <is>
          <t>Nuevo</t>
        </is>
      </c>
      <c r="I271" s="17" t="inlineStr">
        <is>
          <t>IRAM 3517-2:2020 9.6 · anexo E</t>
        </is>
      </c>
      <c r="J271" s="32" t="inlineStr">
        <is>
          <t>Sí</t>
        </is>
      </c>
      <c r="K271" s="17" t="inlineStr">
        <is>
          <t>Astuprint</t>
        </is>
      </c>
      <c r="L271" s="17" t="inlineStr">
        <is>
          <t>Multilabel Argentina S.A.</t>
        </is>
      </c>
    </row>
    <row r="272">
      <c r="A272" s="32" t="inlineStr">
        <is>
          <t>RK-SALESK6-B</t>
        </is>
      </c>
      <c r="B272" s="32" t="inlineStr">
        <is>
          <t>FL_MAT_SALESK_6l</t>
        </is>
      </c>
      <c r="C272" s="32" t="inlineStr">
        <is>
          <t>Extintor Sales K 6 l</t>
        </is>
      </c>
      <c r="D272" s="17" t="inlineStr">
        <is>
          <t>B - Mantenimiento (PH cada 2 años en inoxidables y AFFF)</t>
        </is>
      </c>
      <c r="E272" s="17" t="inlineStr">
        <is>
          <t>Etiqueta de servicio del recargador (extintor n°, serie, próxima recarga y PH)</t>
        </is>
      </c>
      <c r="F272" s="32" t="n">
        <v>1</v>
      </c>
      <c r="G272" s="32" t="inlineStr">
        <is>
          <t>u</t>
        </is>
      </c>
      <c r="H272" s="17" t="inlineStr">
        <is>
          <t>Nuevo</t>
        </is>
      </c>
      <c r="I272" s="17" t="inlineStr">
        <is>
          <t>IRAM 3517-2:2020 9.4.14 · relevado Suyai/Firegram</t>
        </is>
      </c>
      <c r="J272" s="32" t="inlineStr">
        <is>
          <t>Sí</t>
        </is>
      </c>
      <c r="K272" s="17" t="inlineStr">
        <is>
          <t>Astuprint</t>
        </is>
      </c>
      <c r="L272" s="17" t="inlineStr">
        <is>
          <t>Multilabel Argentina S.A.</t>
        </is>
      </c>
    </row>
    <row r="273">
      <c r="A273" s="32" t="inlineStr">
        <is>
          <t>RK-SALESK6-B</t>
        </is>
      </c>
      <c r="B273" s="32" t="inlineStr">
        <is>
          <t>FL_MAT_SALESK_6l</t>
        </is>
      </c>
      <c r="C273" s="32" t="inlineStr">
        <is>
          <t>Extintor Sales K 6 l</t>
        </is>
      </c>
      <c r="D273" s="17" t="inlineStr">
        <is>
          <t>B - Mantenimiento (PH cada 2 años en inoxidables y AFFF)</t>
        </is>
      </c>
      <c r="E273" s="17" t="inlineStr">
        <is>
          <t>Oblea PBA de recarga Ø46 + estampilla precinto 1" × 200 mm válvula-cuerpo</t>
        </is>
      </c>
      <c r="F273" s="32" t="n">
        <v>1</v>
      </c>
      <c r="G273" s="32" t="inlineStr">
        <is>
          <t>u</t>
        </is>
      </c>
      <c r="H273" s="17" t="inlineStr">
        <is>
          <t>Nuevo (venta en PBA)</t>
        </is>
      </c>
      <c r="I273" s="17" t="inlineStr">
        <is>
          <t>IRAM 3517-2:2020 Res. OPDS 522/07</t>
        </is>
      </c>
      <c r="J273" s="32" t="inlineStr">
        <is>
          <t>Sí</t>
        </is>
      </c>
      <c r="K273" s="17" t="inlineStr">
        <is>
          <t>Ministerio de Ambiente PBA (ex OPDS)</t>
        </is>
      </c>
      <c r="L273" s="17" t="inlineStr">
        <is>
          <t>-</t>
        </is>
      </c>
    </row>
    <row r="274">
      <c r="A274" s="32" t="inlineStr">
        <is>
          <t>RK-SALESK6-B</t>
        </is>
      </c>
      <c r="B274" s="32" t="inlineStr">
        <is>
          <t>FL_MAT_SALESK_6l</t>
        </is>
      </c>
      <c r="C274" s="32" t="inlineStr">
        <is>
          <t>Extintor Sales K 6 l</t>
        </is>
      </c>
      <c r="D274" s="17" t="inlineStr">
        <is>
          <t>B - Mantenimiento (PH cada 2 años en inoxidables y AFFF)</t>
        </is>
      </c>
      <c r="E274" s="17" t="inlineStr">
        <is>
          <t>Tarjeta de identificación AGC (módulo papel con QR + etiqueta AGC)</t>
        </is>
      </c>
      <c r="F274" s="32" t="n">
        <v>1</v>
      </c>
      <c r="G274" s="32" t="inlineStr">
        <is>
          <t>u</t>
        </is>
      </c>
      <c r="H274" s="17" t="inlineStr">
        <is>
          <t>Nuevo (destino CABA)</t>
        </is>
      </c>
      <c r="I274" s="17" t="inlineStr">
        <is>
          <t>IRAM 3517-2:2020 Ord. 40.473 art. 6 · Res. AGC 32/15</t>
        </is>
      </c>
      <c r="J274" s="32" t="inlineStr">
        <is>
          <t>Sí</t>
        </is>
      </c>
      <c r="K274" s="17" t="inlineStr">
        <is>
          <t>Agencia Gubernamental de Control (CABA)</t>
        </is>
      </c>
      <c r="L274" s="17" t="inlineStr">
        <is>
          <t>-</t>
        </is>
      </c>
    </row>
    <row r="275">
      <c r="A275" s="32" t="inlineStr">
        <is>
          <t>RK-SALESK6-B</t>
        </is>
      </c>
      <c r="B275" s="32" t="inlineStr">
        <is>
          <t>FL_MAT_SALESK_6l</t>
        </is>
      </c>
      <c r="C275" s="32" t="inlineStr">
        <is>
          <t>Extintor Sales K 6 l</t>
        </is>
      </c>
      <c r="D275" s="17" t="inlineStr">
        <is>
          <t>B - Mantenimiento (PH cada 2 años en inoxidables y AFFF)</t>
        </is>
      </c>
      <c r="E275" s="17" t="inlineStr">
        <is>
          <t>Tarjeta de identificación DPS de revisión / recarga</t>
        </is>
      </c>
      <c r="F275" s="32" t="n">
        <v>1</v>
      </c>
      <c r="G275" s="32" t="inlineStr">
        <is>
          <t>u</t>
        </is>
      </c>
      <c r="H275" s="17" t="inlineStr">
        <is>
          <t>Nuevo (PBA)</t>
        </is>
      </c>
      <c r="I275" s="17" t="inlineStr">
        <is>
          <t>IRAM 3517-2:2020 Res. 349/07 art. 21</t>
        </is>
      </c>
      <c r="J275" s="32" t="inlineStr">
        <is>
          <t>Sí</t>
        </is>
      </c>
      <c r="K275" s="17" t="inlineStr">
        <is>
          <t>Ministerio de Ambiente PBA (ex OPDS)</t>
        </is>
      </c>
      <c r="L275" s="17" t="inlineStr">
        <is>
          <t>-</t>
        </is>
      </c>
    </row>
    <row r="276">
      <c r="A276" s="32" t="inlineStr">
        <is>
          <t>RK-SALESK6-B</t>
        </is>
      </c>
      <c r="B276" s="32" t="inlineStr">
        <is>
          <t>FL_MAT_SALESK_6l</t>
        </is>
      </c>
      <c r="C276" s="32" t="inlineStr">
        <is>
          <t>Extintor Sales K 6 l</t>
        </is>
      </c>
      <c r="D276" s="17" t="inlineStr">
        <is>
          <t>B - Mantenimiento (PH cada 2 años en inoxidables y AFFF)</t>
        </is>
      </c>
      <c r="E276" s="17" t="inlineStr">
        <is>
          <t>Grabado de la fecha del servicio en el tubo de pesca (lápiz vibratorio; en polvo, marcador indeleble)</t>
        </is>
      </c>
      <c r="F276" s="32" t="n">
        <v>1</v>
      </c>
      <c r="G276" s="32" t="inlineStr">
        <is>
          <t>u</t>
        </is>
      </c>
      <c r="H276" s="17" t="inlineStr">
        <is>
          <t>Proceso</t>
        </is>
      </c>
      <c r="I276" s="17" t="inlineStr">
        <is>
          <t>IRAM 3517-2:2020 Res. 349/07 art. 28</t>
        </is>
      </c>
      <c r="J276" s="32" t="inlineStr">
        <is>
          <t>No</t>
        </is>
      </c>
      <c r="K276" s="17" t="n"/>
      <c r="L276" s="17" t="n"/>
    </row>
    <row r="277">
      <c r="A277" s="32" t="inlineStr">
        <is>
          <t>RK-SALESK6-B</t>
        </is>
      </c>
      <c r="B277" s="32" t="inlineStr">
        <is>
          <t>FL_MAT_SALESK_6l</t>
        </is>
      </c>
      <c r="C277" s="32" t="inlineStr">
        <is>
          <t>Extintor Sales K 6 l</t>
        </is>
      </c>
      <c r="D277" s="17" t="inlineStr">
        <is>
          <t>B - Mantenimiento (PH cada 2 años en inoxidables y AFFF)</t>
        </is>
      </c>
      <c r="E277" s="17" t="inlineStr">
        <is>
          <t>Si hubo PH: oblea de vencimiento de PH + «PH» y fecha grabados en el tubo de pesca (CO₂: fecha y logo estampados en la ojiva)</t>
        </is>
      </c>
      <c r="F277" s="32" t="n">
        <v>1</v>
      </c>
      <c r="G277" s="32" t="inlineStr">
        <is>
          <t>u</t>
        </is>
      </c>
      <c r="H277" s="17" t="inlineStr">
        <is>
          <t>Proceso</t>
        </is>
      </c>
      <c r="I277" s="17" t="inlineStr">
        <is>
          <t>IRAM 3517-2:2020 Res. 349/07 art. 29 · IRAM 3517-2</t>
        </is>
      </c>
      <c r="J277" s="32" t="inlineStr">
        <is>
          <t>No</t>
        </is>
      </c>
      <c r="K277" s="17" t="n"/>
      <c r="L277" s="17" t="n"/>
    </row>
    <row r="278">
      <c r="A278" s="37" t="inlineStr">
        <is>
          <t>RK-SALESK6-B</t>
        </is>
      </c>
      <c r="B278" s="37" t="inlineStr">
        <is>
          <t>FL_MAT_SALESK_6l</t>
        </is>
      </c>
      <c r="C278" s="37" t="inlineStr">
        <is>
          <t>Extintor Sales K 6 l</t>
        </is>
      </c>
      <c r="D278" s="18" t="inlineStr">
        <is>
          <t>B - Mantenimiento (PH cada 2 años en inoxidables y AFFF)</t>
        </is>
      </c>
      <c r="E278" s="18" t="inlineStr">
        <is>
          <t>Junta tórica de asiento del cuello</t>
        </is>
      </c>
      <c r="F278" s="37" t="n">
        <v>1</v>
      </c>
      <c r="G278" s="37" t="inlineStr">
        <is>
          <t>u</t>
        </is>
      </c>
      <c r="H278" s="18" t="inlineStr">
        <is>
          <t>Nuevo (R: cambio sistemático)</t>
        </is>
      </c>
      <c r="I278" s="18" t="inlineStr"/>
      <c r="J278" s="37" t="inlineStr">
        <is>
          <t>Sí</t>
        </is>
      </c>
      <c r="K278" s="18" t="inlineStr">
        <is>
          <t>Argensold</t>
        </is>
      </c>
      <c r="L278" s="18" t="inlineStr">
        <is>
          <t>Matafuegos Iglesias</t>
        </is>
      </c>
    </row>
    <row r="279">
      <c r="A279" s="32" t="inlineStr">
        <is>
          <t>RK-SALESK6-B</t>
        </is>
      </c>
      <c r="B279" s="32" t="inlineStr">
        <is>
          <t>FL_MAT_SALESK_6l</t>
        </is>
      </c>
      <c r="C279" s="32" t="inlineStr">
        <is>
          <t>Extintor Sales K 6 l</t>
        </is>
      </c>
      <c r="D279" s="17" t="inlineStr">
        <is>
          <t>B - Mantenimiento (PH cada 2 años en inoxidables y AFFF)</t>
        </is>
      </c>
      <c r="E279" s="17" t="inlineStr">
        <is>
          <t>Gas impulsor: N₂</t>
        </is>
      </c>
      <c r="F279" s="32" t="n">
        <v>0.0306</v>
      </c>
      <c r="G279" s="32" t="inlineStr">
        <is>
          <t>kg</t>
        </is>
      </c>
      <c r="H279" s="17" t="inlineStr">
        <is>
          <t>Nuevo</t>
        </is>
      </c>
      <c r="I279" s="17" t="inlineStr">
        <is>
          <t>IRAM 3517-2:2020 9.4.9 tabla 2</t>
        </is>
      </c>
      <c r="J279" s="32" t="inlineStr">
        <is>
          <t>Sí</t>
        </is>
      </c>
      <c r="K279" s="17" t="inlineStr">
        <is>
          <t>Air Liquide Argentina - sucursal Piñeyro</t>
        </is>
      </c>
      <c r="L279" s="17" t="inlineStr">
        <is>
          <t>Gogniat</t>
        </is>
      </c>
    </row>
    <row r="280">
      <c r="A280" s="32" t="inlineStr">
        <is>
          <t>RK-SALESK6-I</t>
        </is>
      </c>
      <c r="B280" s="32" t="inlineStr">
        <is>
          <t>FL_MAT_SALESK_6l</t>
        </is>
      </c>
      <c r="C280" s="32" t="inlineStr">
        <is>
          <t>Extintor Sales K 6 l</t>
        </is>
      </c>
      <c r="D280" s="17" t="inlineStr">
        <is>
          <t>Según inspección (consumo estadístico a definir)</t>
        </is>
      </c>
      <c r="E280" s="17" t="inlineStr">
        <is>
          <t>Manómetro / manguera / tobera / kit de válvula</t>
        </is>
      </c>
      <c r="F280" s="32" t="inlineStr">
        <is>
          <t>-</t>
        </is>
      </c>
      <c r="G280" s="32" t="inlineStr">
        <is>
          <t>u</t>
        </is>
      </c>
      <c r="H280" s="17" t="inlineStr">
        <is>
          <t>Recambio sólo si falla</t>
        </is>
      </c>
      <c r="I280" s="17" t="inlineStr">
        <is>
          <t>IRAM 3517-2:2020 9.4.11 (cada manguera vuelve a su extintor)</t>
        </is>
      </c>
      <c r="J280" s="32" t="inlineStr">
        <is>
          <t>Sí</t>
        </is>
      </c>
      <c r="K280" s="17" t="inlineStr">
        <is>
          <t>Polvex S.R.L. / Sancibrao</t>
        </is>
      </c>
      <c r="L280" s="17" t="inlineStr">
        <is>
          <t>Yukon / MatafuegosYa S.R.L.</t>
        </is>
      </c>
    </row>
    <row r="281">
      <c r="A281" s="32" t="inlineStr">
        <is>
          <t>RK-CO22-A</t>
        </is>
      </c>
      <c r="B281" s="32" t="inlineStr">
        <is>
          <t>FL_MAT_CO2_2kg</t>
        </is>
      </c>
      <c r="C281" s="32" t="inlineStr">
        <is>
          <t>Extintor CO₂ 2 kg</t>
        </is>
      </c>
      <c r="D281" s="17" t="inlineStr">
        <is>
          <t>A - Extintor descargado</t>
        </is>
      </c>
      <c r="E281" s="17" t="inlineStr">
        <is>
          <t>Dióxido de carbono (IRAM 41170)</t>
        </is>
      </c>
      <c r="F281" s="32" t="n">
        <v>2</v>
      </c>
      <c r="G281" s="32" t="inlineStr">
        <is>
          <t>kg</t>
        </is>
      </c>
      <c r="H281" s="17" t="inlineStr">
        <is>
          <t>Nuevo (trasvase de batería o tanque criogénico)</t>
        </is>
      </c>
      <c r="I281" s="17" t="inlineStr">
        <is>
          <t>IRAM 3517-2:2020 4.4.1 l) trasvasador; 9.9.1.11 calidad del CO₂</t>
        </is>
      </c>
      <c r="J281" s="32" t="inlineStr">
        <is>
          <t>Sí</t>
        </is>
      </c>
      <c r="K281" s="17" t="inlineStr">
        <is>
          <t>Air Liquide Argentina - sucursal Piñeyro</t>
        </is>
      </c>
      <c r="L281" s="17" t="inlineStr">
        <is>
          <t>Gogniat</t>
        </is>
      </c>
    </row>
    <row r="282">
      <c r="A282" s="32" t="inlineStr">
        <is>
          <t>RK-CO22-A</t>
        </is>
      </c>
      <c r="B282" s="32" t="inlineStr">
        <is>
          <t>FL_MAT_CO2_2kg</t>
        </is>
      </c>
      <c r="C282" s="32" t="inlineStr">
        <is>
          <t>Extintor CO₂ 2 kg</t>
        </is>
      </c>
      <c r="D282" s="17" t="inlineStr">
        <is>
          <t>A - Extintor descargado</t>
        </is>
      </c>
      <c r="E282" s="17" t="inlineStr">
        <is>
          <t>Precinto plástico numerado, color, con nombre del recargador</t>
        </is>
      </c>
      <c r="F282" s="32" t="n">
        <v>1</v>
      </c>
      <c r="G282" s="32" t="inlineStr">
        <is>
          <t>u</t>
        </is>
      </c>
      <c r="H282" s="17" t="inlineStr">
        <is>
          <t>Nuevo</t>
        </is>
      </c>
      <c r="I282" s="17" t="inlineStr">
        <is>
          <t>IRAM 3517-2:2020 9.4.13</t>
        </is>
      </c>
      <c r="J282" s="32" t="inlineStr">
        <is>
          <t>Sí</t>
        </is>
      </c>
      <c r="K282" s="17" t="inlineStr">
        <is>
          <t>SonFuertes (vía Papelera Damián)</t>
        </is>
      </c>
      <c r="L282" s="17" t="inlineStr">
        <is>
          <t>Precinter S.R.L.</t>
        </is>
      </c>
    </row>
    <row r="283">
      <c r="A283" s="32" t="inlineStr">
        <is>
          <t>RK-CO22-A</t>
        </is>
      </c>
      <c r="B283" s="32" t="inlineStr">
        <is>
          <t>FL_MAT_CO2_2kg</t>
        </is>
      </c>
      <c r="C283" s="32" t="inlineStr">
        <is>
          <t>Extintor CO₂ 2 kg</t>
        </is>
      </c>
      <c r="D283" s="17" t="inlineStr">
        <is>
          <t>A - Extintor descargado</t>
        </is>
      </c>
      <c r="E283" s="17" t="inlineStr">
        <is>
          <t>Marbete (anillo, color del año)</t>
        </is>
      </c>
      <c r="F283" s="32" t="n">
        <v>1</v>
      </c>
      <c r="G283" s="32" t="inlineStr">
        <is>
          <t>u</t>
        </is>
      </c>
      <c r="H283" s="17" t="inlineStr">
        <is>
          <t>Nuevo</t>
        </is>
      </c>
      <c r="I283" s="17" t="inlineStr">
        <is>
          <t>IRAM 3517-2:2020 9.6 · anexo E</t>
        </is>
      </c>
      <c r="J283" s="32" t="inlineStr">
        <is>
          <t>Sí</t>
        </is>
      </c>
      <c r="K283" s="17" t="inlineStr">
        <is>
          <t>Astuprint</t>
        </is>
      </c>
      <c r="L283" s="17" t="inlineStr">
        <is>
          <t>Multilabel Argentina S.A.</t>
        </is>
      </c>
    </row>
    <row r="284">
      <c r="A284" s="32" t="inlineStr">
        <is>
          <t>RK-CO22-A</t>
        </is>
      </c>
      <c r="B284" s="32" t="inlineStr">
        <is>
          <t>FL_MAT_CO2_2kg</t>
        </is>
      </c>
      <c r="C284" s="32" t="inlineStr">
        <is>
          <t>Extintor CO₂ 2 kg</t>
        </is>
      </c>
      <c r="D284" s="17" t="inlineStr">
        <is>
          <t>A - Extintor descargado</t>
        </is>
      </c>
      <c r="E284" s="17" t="inlineStr">
        <is>
          <t>Etiqueta de servicio del recargador (extintor n°, serie, próxima recarga y PH)</t>
        </is>
      </c>
      <c r="F284" s="32" t="n">
        <v>1</v>
      </c>
      <c r="G284" s="32" t="inlineStr">
        <is>
          <t>u</t>
        </is>
      </c>
      <c r="H284" s="17" t="inlineStr">
        <is>
          <t>Nuevo</t>
        </is>
      </c>
      <c r="I284" s="17" t="inlineStr">
        <is>
          <t>IRAM 3517-2:2020 9.4.14 · relevado Suyai/Firegram</t>
        </is>
      </c>
      <c r="J284" s="32" t="inlineStr">
        <is>
          <t>Sí</t>
        </is>
      </c>
      <c r="K284" s="17" t="inlineStr">
        <is>
          <t>Astuprint</t>
        </is>
      </c>
      <c r="L284" s="17" t="inlineStr">
        <is>
          <t>Multilabel Argentina S.A.</t>
        </is>
      </c>
    </row>
    <row r="285">
      <c r="A285" s="32" t="inlineStr">
        <is>
          <t>RK-CO22-A</t>
        </is>
      </c>
      <c r="B285" s="32" t="inlineStr">
        <is>
          <t>FL_MAT_CO2_2kg</t>
        </is>
      </c>
      <c r="C285" s="32" t="inlineStr">
        <is>
          <t>Extintor CO₂ 2 kg</t>
        </is>
      </c>
      <c r="D285" s="17" t="inlineStr">
        <is>
          <t>A - Extintor descargado</t>
        </is>
      </c>
      <c r="E285" s="17" t="inlineStr">
        <is>
          <t>Oblea PBA de recarga Ø46 + estampilla precinto 1" × 200 mm válvula-cuerpo</t>
        </is>
      </c>
      <c r="F285" s="32" t="n">
        <v>1</v>
      </c>
      <c r="G285" s="32" t="inlineStr">
        <is>
          <t>u</t>
        </is>
      </c>
      <c r="H285" s="17" t="inlineStr">
        <is>
          <t>Nuevo (venta en PBA)</t>
        </is>
      </c>
      <c r="I285" s="17" t="inlineStr">
        <is>
          <t>IRAM 3517-2:2020 Res. OPDS 522/07</t>
        </is>
      </c>
      <c r="J285" s="32" t="inlineStr">
        <is>
          <t>Sí</t>
        </is>
      </c>
      <c r="K285" s="17" t="inlineStr">
        <is>
          <t>Ministerio de Ambiente PBA (ex OPDS)</t>
        </is>
      </c>
      <c r="L285" s="17" t="inlineStr">
        <is>
          <t>-</t>
        </is>
      </c>
    </row>
    <row r="286">
      <c r="A286" s="32" t="inlineStr">
        <is>
          <t>RK-CO22-A</t>
        </is>
      </c>
      <c r="B286" s="32" t="inlineStr">
        <is>
          <t>FL_MAT_CO2_2kg</t>
        </is>
      </c>
      <c r="C286" s="32" t="inlineStr">
        <is>
          <t>Extintor CO₂ 2 kg</t>
        </is>
      </c>
      <c r="D286" s="17" t="inlineStr">
        <is>
          <t>A - Extintor descargado</t>
        </is>
      </c>
      <c r="E286" s="17" t="inlineStr">
        <is>
          <t>Tarjeta de identificación AGC (módulo papel con QR + etiqueta AGC)</t>
        </is>
      </c>
      <c r="F286" s="32" t="n">
        <v>1</v>
      </c>
      <c r="G286" s="32" t="inlineStr">
        <is>
          <t>u</t>
        </is>
      </c>
      <c r="H286" s="17" t="inlineStr">
        <is>
          <t>Nuevo (destino CABA)</t>
        </is>
      </c>
      <c r="I286" s="17" t="inlineStr">
        <is>
          <t>IRAM 3517-2:2020 Ord. 40.473 art. 6 · Res. AGC 32/15</t>
        </is>
      </c>
      <c r="J286" s="32" t="inlineStr">
        <is>
          <t>Sí</t>
        </is>
      </c>
      <c r="K286" s="17" t="inlineStr">
        <is>
          <t>Agencia Gubernamental de Control (CABA)</t>
        </is>
      </c>
      <c r="L286" s="17" t="inlineStr">
        <is>
          <t>-</t>
        </is>
      </c>
    </row>
    <row r="287">
      <c r="A287" s="32" t="inlineStr">
        <is>
          <t>RK-CO22-A</t>
        </is>
      </c>
      <c r="B287" s="32" t="inlineStr">
        <is>
          <t>FL_MAT_CO2_2kg</t>
        </is>
      </c>
      <c r="C287" s="32" t="inlineStr">
        <is>
          <t>Extintor CO₂ 2 kg</t>
        </is>
      </c>
      <c r="D287" s="17" t="inlineStr">
        <is>
          <t>A - Extintor descargado</t>
        </is>
      </c>
      <c r="E287" s="17" t="inlineStr">
        <is>
          <t>Tarjeta de identificación DPS de revisión / recarga</t>
        </is>
      </c>
      <c r="F287" s="32" t="n">
        <v>1</v>
      </c>
      <c r="G287" s="32" t="inlineStr">
        <is>
          <t>u</t>
        </is>
      </c>
      <c r="H287" s="17" t="inlineStr">
        <is>
          <t>Nuevo (PBA)</t>
        </is>
      </c>
      <c r="I287" s="17" t="inlineStr">
        <is>
          <t>IRAM 3517-2:2020 Res. 349/07 art. 21</t>
        </is>
      </c>
      <c r="J287" s="32" t="inlineStr">
        <is>
          <t>Sí</t>
        </is>
      </c>
      <c r="K287" s="17" t="inlineStr">
        <is>
          <t>Ministerio de Ambiente PBA (ex OPDS)</t>
        </is>
      </c>
      <c r="L287" s="17" t="inlineStr">
        <is>
          <t>-</t>
        </is>
      </c>
    </row>
    <row r="288">
      <c r="A288" s="32" t="inlineStr">
        <is>
          <t>RK-CO22-A</t>
        </is>
      </c>
      <c r="B288" s="32" t="inlineStr">
        <is>
          <t>FL_MAT_CO2_2kg</t>
        </is>
      </c>
      <c r="C288" s="32" t="inlineStr">
        <is>
          <t>Extintor CO₂ 2 kg</t>
        </is>
      </c>
      <c r="D288" s="17" t="inlineStr">
        <is>
          <t>A - Extintor descargado</t>
        </is>
      </c>
      <c r="E288" s="17" t="inlineStr">
        <is>
          <t>Grabado de la fecha del servicio en el tubo de pesca (lápiz vibratorio; en polvo, marcador indeleble)</t>
        </is>
      </c>
      <c r="F288" s="32" t="n">
        <v>1</v>
      </c>
      <c r="G288" s="32" t="inlineStr">
        <is>
          <t>u</t>
        </is>
      </c>
      <c r="H288" s="17" t="inlineStr">
        <is>
          <t>Proceso</t>
        </is>
      </c>
      <c r="I288" s="17" t="inlineStr">
        <is>
          <t>IRAM 3517-2:2020 Res. 349/07 art. 28</t>
        </is>
      </c>
      <c r="J288" s="32" t="inlineStr">
        <is>
          <t>No</t>
        </is>
      </c>
      <c r="K288" s="17" t="n"/>
      <c r="L288" s="17" t="n"/>
    </row>
    <row r="289">
      <c r="A289" s="32" t="inlineStr">
        <is>
          <t>RK-CO22-A</t>
        </is>
      </c>
      <c r="B289" s="32" t="inlineStr">
        <is>
          <t>FL_MAT_CO2_2kg</t>
        </is>
      </c>
      <c r="C289" s="32" t="inlineStr">
        <is>
          <t>Extintor CO₂ 2 kg</t>
        </is>
      </c>
      <c r="D289" s="17" t="inlineStr">
        <is>
          <t>A - Extintor descargado</t>
        </is>
      </c>
      <c r="E289" s="17" t="inlineStr">
        <is>
          <t>Si hubo PH: oblea de vencimiento de PH + «PH» y fecha grabados en el tubo de pesca (CO₂: fecha y logo estampados en la ojiva)</t>
        </is>
      </c>
      <c r="F289" s="32" t="n">
        <v>1</v>
      </c>
      <c r="G289" s="32" t="inlineStr">
        <is>
          <t>u</t>
        </is>
      </c>
      <c r="H289" s="17" t="inlineStr">
        <is>
          <t>Proceso</t>
        </is>
      </c>
      <c r="I289" s="17" t="inlineStr">
        <is>
          <t>IRAM 3517-2:2020 Res. 349/07 art. 29 · IRAM 3517-2</t>
        </is>
      </c>
      <c r="J289" s="32" t="inlineStr">
        <is>
          <t>No</t>
        </is>
      </c>
      <c r="K289" s="17" t="n"/>
      <c r="L289" s="17" t="n"/>
    </row>
    <row r="290">
      <c r="A290" s="37" t="inlineStr">
        <is>
          <t>RK-CO22-A</t>
        </is>
      </c>
      <c r="B290" s="37" t="inlineStr">
        <is>
          <t>FL_MAT_CO2_2kg</t>
        </is>
      </c>
      <c r="C290" s="37" t="inlineStr">
        <is>
          <t>Extintor CO₂ 2 kg</t>
        </is>
      </c>
      <c r="D290" s="18" t="inlineStr">
        <is>
          <t>A - Extintor descargado</t>
        </is>
      </c>
      <c r="E290" s="18" t="inlineStr">
        <is>
          <t>Junta tórica de asiento del cuello</t>
        </is>
      </c>
      <c r="F290" s="37" t="n">
        <v>1</v>
      </c>
      <c r="G290" s="37" t="inlineStr">
        <is>
          <t>u</t>
        </is>
      </c>
      <c r="H290" s="18" t="inlineStr">
        <is>
          <t>Nuevo (R: cambio sistemático)</t>
        </is>
      </c>
      <c r="I290" s="18" t="inlineStr"/>
      <c r="J290" s="37" t="inlineStr">
        <is>
          <t>Sí</t>
        </is>
      </c>
      <c r="K290" s="18" t="inlineStr">
        <is>
          <t>Argensold</t>
        </is>
      </c>
      <c r="L290" s="18" t="inlineStr">
        <is>
          <t>Matafuegos Iglesias</t>
        </is>
      </c>
    </row>
    <row r="291">
      <c r="A291" s="32" t="inlineStr">
        <is>
          <t>RK-CO22-B</t>
        </is>
      </c>
      <c r="B291" s="32" t="inlineStr">
        <is>
          <t>FL_MAT_CO2_2kg</t>
        </is>
      </c>
      <c r="C291" s="32" t="inlineStr">
        <is>
          <t>Extintor CO₂ 2 kg</t>
        </is>
      </c>
      <c r="D291" s="17" t="inlineStr">
        <is>
          <t>B - Mantenimiento con vaciado (PH cada 5 años)</t>
        </is>
      </c>
      <c r="E291" s="17" t="inlineStr">
        <is>
          <t>Dióxido de carbono (IRAM 41170) recuperado</t>
        </is>
      </c>
      <c r="F291" s="32" t="n">
        <v>2</v>
      </c>
      <c r="G291" s="32" t="inlineStr">
        <is>
          <t>kg</t>
        </is>
      </c>
      <c r="H291" s="17" t="inlineStr">
        <is>
          <t>Recuperación en circuito cerrado recomendada</t>
        </is>
      </c>
      <c r="I291" s="17" t="inlineStr">
        <is>
          <t>IRAM 3517-2:2020 9.4.18</t>
        </is>
      </c>
      <c r="J291" s="32" t="inlineStr">
        <is>
          <t>No</t>
        </is>
      </c>
      <c r="K291" s="17" t="n"/>
      <c r="L291" s="17" t="n"/>
    </row>
    <row r="292">
      <c r="A292" s="32" t="inlineStr">
        <is>
          <t>RK-CO22-B</t>
        </is>
      </c>
      <c r="B292" s="32" t="inlineStr">
        <is>
          <t>FL_MAT_CO2_2kg</t>
        </is>
      </c>
      <c r="C292" s="32" t="inlineStr">
        <is>
          <t>Extintor CO₂ 2 kg</t>
        </is>
      </c>
      <c r="D292" s="17" t="inlineStr">
        <is>
          <t>B - Mantenimiento con vaciado (PH cada 5 años)</t>
        </is>
      </c>
      <c r="E292" s="17" t="inlineStr">
        <is>
          <t>Disco de seguridad</t>
        </is>
      </c>
      <c r="F292" s="32" t="n">
        <v>1</v>
      </c>
      <c r="G292" s="32" t="inlineStr">
        <is>
          <t>u</t>
        </is>
      </c>
      <c r="H292" s="17" t="inlineStr">
        <is>
          <t>Nuevo</t>
        </is>
      </c>
      <c r="I292" s="17" t="inlineStr">
        <is>
          <t>IRAM 3517-2:2020 9.4.17 dispositivos</t>
        </is>
      </c>
      <c r="J292" s="32" t="inlineStr">
        <is>
          <t>Sí</t>
        </is>
      </c>
      <c r="K292" s="17" t="inlineStr">
        <is>
          <t>Polvex S.R.L. / Sancibrao</t>
        </is>
      </c>
      <c r="L292" s="17" t="inlineStr">
        <is>
          <t>Yukon / MatafuegosYa S.R.L.</t>
        </is>
      </c>
    </row>
    <row r="293">
      <c r="A293" s="32" t="inlineStr">
        <is>
          <t>RK-CO22-B</t>
        </is>
      </c>
      <c r="B293" s="32" t="inlineStr">
        <is>
          <t>FL_MAT_CO2_2kg</t>
        </is>
      </c>
      <c r="C293" s="32" t="inlineStr">
        <is>
          <t>Extintor CO₂ 2 kg</t>
        </is>
      </c>
      <c r="D293" s="17" t="inlineStr">
        <is>
          <t>B - Mantenimiento con vaciado (PH cada 5 años)</t>
        </is>
      </c>
      <c r="E293" s="17" t="inlineStr">
        <is>
          <t>Precinto plástico numerado, color, con nombre del recargador</t>
        </is>
      </c>
      <c r="F293" s="32" t="n">
        <v>1</v>
      </c>
      <c r="G293" s="32" t="inlineStr">
        <is>
          <t>u</t>
        </is>
      </c>
      <c r="H293" s="17" t="inlineStr">
        <is>
          <t>Nuevo</t>
        </is>
      </c>
      <c r="I293" s="17" t="inlineStr">
        <is>
          <t>IRAM 3517-2:2020 9.4.13</t>
        </is>
      </c>
      <c r="J293" s="32" t="inlineStr">
        <is>
          <t>Sí</t>
        </is>
      </c>
      <c r="K293" s="17" t="inlineStr">
        <is>
          <t>SonFuertes (vía Papelera Damián)</t>
        </is>
      </c>
      <c r="L293" s="17" t="inlineStr">
        <is>
          <t>Precinter S.R.L.</t>
        </is>
      </c>
    </row>
    <row r="294">
      <c r="A294" s="32" t="inlineStr">
        <is>
          <t>RK-CO22-B</t>
        </is>
      </c>
      <c r="B294" s="32" t="inlineStr">
        <is>
          <t>FL_MAT_CO2_2kg</t>
        </is>
      </c>
      <c r="C294" s="32" t="inlineStr">
        <is>
          <t>Extintor CO₂ 2 kg</t>
        </is>
      </c>
      <c r="D294" s="17" t="inlineStr">
        <is>
          <t>B - Mantenimiento con vaciado (PH cada 5 años)</t>
        </is>
      </c>
      <c r="E294" s="17" t="inlineStr">
        <is>
          <t>Marbete (anillo, color del año)</t>
        </is>
      </c>
      <c r="F294" s="32" t="n">
        <v>1</v>
      </c>
      <c r="G294" s="32" t="inlineStr">
        <is>
          <t>u</t>
        </is>
      </c>
      <c r="H294" s="17" t="inlineStr">
        <is>
          <t>Nuevo</t>
        </is>
      </c>
      <c r="I294" s="17" t="inlineStr">
        <is>
          <t>IRAM 3517-2:2020 9.6 · anexo E</t>
        </is>
      </c>
      <c r="J294" s="32" t="inlineStr">
        <is>
          <t>Sí</t>
        </is>
      </c>
      <c r="K294" s="17" t="inlineStr">
        <is>
          <t>Astuprint</t>
        </is>
      </c>
      <c r="L294" s="17" t="inlineStr">
        <is>
          <t>Multilabel Argentina S.A.</t>
        </is>
      </c>
    </row>
    <row r="295">
      <c r="A295" s="32" t="inlineStr">
        <is>
          <t>RK-CO22-B</t>
        </is>
      </c>
      <c r="B295" s="32" t="inlineStr">
        <is>
          <t>FL_MAT_CO2_2kg</t>
        </is>
      </c>
      <c r="C295" s="32" t="inlineStr">
        <is>
          <t>Extintor CO₂ 2 kg</t>
        </is>
      </c>
      <c r="D295" s="17" t="inlineStr">
        <is>
          <t>B - Mantenimiento con vaciado (PH cada 5 años)</t>
        </is>
      </c>
      <c r="E295" s="17" t="inlineStr">
        <is>
          <t>Etiqueta de servicio del recargador (extintor n°, serie, próxima recarga y PH)</t>
        </is>
      </c>
      <c r="F295" s="32" t="n">
        <v>1</v>
      </c>
      <c r="G295" s="32" t="inlineStr">
        <is>
          <t>u</t>
        </is>
      </c>
      <c r="H295" s="17" t="inlineStr">
        <is>
          <t>Nuevo</t>
        </is>
      </c>
      <c r="I295" s="17" t="inlineStr">
        <is>
          <t>IRAM 3517-2:2020 9.4.14 · relevado Suyai/Firegram</t>
        </is>
      </c>
      <c r="J295" s="32" t="inlineStr">
        <is>
          <t>Sí</t>
        </is>
      </c>
      <c r="K295" s="17" t="inlineStr">
        <is>
          <t>Astuprint</t>
        </is>
      </c>
      <c r="L295" s="17" t="inlineStr">
        <is>
          <t>Multilabel Argentina S.A.</t>
        </is>
      </c>
    </row>
    <row r="296">
      <c r="A296" s="32" t="inlineStr">
        <is>
          <t>RK-CO22-B</t>
        </is>
      </c>
      <c r="B296" s="32" t="inlineStr">
        <is>
          <t>FL_MAT_CO2_2kg</t>
        </is>
      </c>
      <c r="C296" s="32" t="inlineStr">
        <is>
          <t>Extintor CO₂ 2 kg</t>
        </is>
      </c>
      <c r="D296" s="17" t="inlineStr">
        <is>
          <t>B - Mantenimiento con vaciado (PH cada 5 años)</t>
        </is>
      </c>
      <c r="E296" s="17" t="inlineStr">
        <is>
          <t>Oblea PBA de recarga Ø46 + estampilla precinto 1" × 200 mm válvula-cuerpo</t>
        </is>
      </c>
      <c r="F296" s="32" t="n">
        <v>1</v>
      </c>
      <c r="G296" s="32" t="inlineStr">
        <is>
          <t>u</t>
        </is>
      </c>
      <c r="H296" s="17" t="inlineStr">
        <is>
          <t>Nuevo (venta en PBA)</t>
        </is>
      </c>
      <c r="I296" s="17" t="inlineStr">
        <is>
          <t>IRAM 3517-2:2020 Res. OPDS 522/07</t>
        </is>
      </c>
      <c r="J296" s="32" t="inlineStr">
        <is>
          <t>Sí</t>
        </is>
      </c>
      <c r="K296" s="17" t="inlineStr">
        <is>
          <t>Ministerio de Ambiente PBA (ex OPDS)</t>
        </is>
      </c>
      <c r="L296" s="17" t="inlineStr">
        <is>
          <t>-</t>
        </is>
      </c>
    </row>
    <row r="297">
      <c r="A297" s="32" t="inlineStr">
        <is>
          <t>RK-CO22-B</t>
        </is>
      </c>
      <c r="B297" s="32" t="inlineStr">
        <is>
          <t>FL_MAT_CO2_2kg</t>
        </is>
      </c>
      <c r="C297" s="32" t="inlineStr">
        <is>
          <t>Extintor CO₂ 2 kg</t>
        </is>
      </c>
      <c r="D297" s="17" t="inlineStr">
        <is>
          <t>B - Mantenimiento con vaciado (PH cada 5 años)</t>
        </is>
      </c>
      <c r="E297" s="17" t="inlineStr">
        <is>
          <t>Tarjeta de identificación AGC (módulo papel con QR + etiqueta AGC)</t>
        </is>
      </c>
      <c r="F297" s="32" t="n">
        <v>1</v>
      </c>
      <c r="G297" s="32" t="inlineStr">
        <is>
          <t>u</t>
        </is>
      </c>
      <c r="H297" s="17" t="inlineStr">
        <is>
          <t>Nuevo (destino CABA)</t>
        </is>
      </c>
      <c r="I297" s="17" t="inlineStr">
        <is>
          <t>IRAM 3517-2:2020 Ord. 40.473 art. 6 · Res. AGC 32/15</t>
        </is>
      </c>
      <c r="J297" s="32" t="inlineStr">
        <is>
          <t>Sí</t>
        </is>
      </c>
      <c r="K297" s="17" t="inlineStr">
        <is>
          <t>Agencia Gubernamental de Control (CABA)</t>
        </is>
      </c>
      <c r="L297" s="17" t="inlineStr">
        <is>
          <t>-</t>
        </is>
      </c>
    </row>
    <row r="298">
      <c r="A298" s="32" t="inlineStr">
        <is>
          <t>RK-CO22-B</t>
        </is>
      </c>
      <c r="B298" s="32" t="inlineStr">
        <is>
          <t>FL_MAT_CO2_2kg</t>
        </is>
      </c>
      <c r="C298" s="32" t="inlineStr">
        <is>
          <t>Extintor CO₂ 2 kg</t>
        </is>
      </c>
      <c r="D298" s="17" t="inlineStr">
        <is>
          <t>B - Mantenimiento con vaciado (PH cada 5 años)</t>
        </is>
      </c>
      <c r="E298" s="17" t="inlineStr">
        <is>
          <t>Tarjeta de identificación DPS de revisión / recarga</t>
        </is>
      </c>
      <c r="F298" s="32" t="n">
        <v>1</v>
      </c>
      <c r="G298" s="32" t="inlineStr">
        <is>
          <t>u</t>
        </is>
      </c>
      <c r="H298" s="17" t="inlineStr">
        <is>
          <t>Nuevo (PBA)</t>
        </is>
      </c>
      <c r="I298" s="17" t="inlineStr">
        <is>
          <t>IRAM 3517-2:2020 Res. 349/07 art. 21</t>
        </is>
      </c>
      <c r="J298" s="32" t="inlineStr">
        <is>
          <t>Sí</t>
        </is>
      </c>
      <c r="K298" s="17" t="inlineStr">
        <is>
          <t>Ministerio de Ambiente PBA (ex OPDS)</t>
        </is>
      </c>
      <c r="L298" s="17" t="inlineStr">
        <is>
          <t>-</t>
        </is>
      </c>
    </row>
    <row r="299">
      <c r="A299" s="32" t="inlineStr">
        <is>
          <t>RK-CO22-B</t>
        </is>
      </c>
      <c r="B299" s="32" t="inlineStr">
        <is>
          <t>FL_MAT_CO2_2kg</t>
        </is>
      </c>
      <c r="C299" s="32" t="inlineStr">
        <is>
          <t>Extintor CO₂ 2 kg</t>
        </is>
      </c>
      <c r="D299" s="17" t="inlineStr">
        <is>
          <t>B - Mantenimiento con vaciado (PH cada 5 años)</t>
        </is>
      </c>
      <c r="E299" s="17" t="inlineStr">
        <is>
          <t>Grabado de la fecha del servicio en el tubo de pesca (lápiz vibratorio; en polvo, marcador indeleble)</t>
        </is>
      </c>
      <c r="F299" s="32" t="n">
        <v>1</v>
      </c>
      <c r="G299" s="32" t="inlineStr">
        <is>
          <t>u</t>
        </is>
      </c>
      <c r="H299" s="17" t="inlineStr">
        <is>
          <t>Proceso</t>
        </is>
      </c>
      <c r="I299" s="17" t="inlineStr">
        <is>
          <t>IRAM 3517-2:2020 Res. 349/07 art. 28</t>
        </is>
      </c>
      <c r="J299" s="32" t="inlineStr">
        <is>
          <t>No</t>
        </is>
      </c>
      <c r="K299" s="17" t="n"/>
      <c r="L299" s="17" t="n"/>
    </row>
    <row r="300">
      <c r="A300" s="32" t="inlineStr">
        <is>
          <t>RK-CO22-B</t>
        </is>
      </c>
      <c r="B300" s="32" t="inlineStr">
        <is>
          <t>FL_MAT_CO2_2kg</t>
        </is>
      </c>
      <c r="C300" s="32" t="inlineStr">
        <is>
          <t>Extintor CO₂ 2 kg</t>
        </is>
      </c>
      <c r="D300" s="17" t="inlineStr">
        <is>
          <t>B - Mantenimiento con vaciado (PH cada 5 años)</t>
        </is>
      </c>
      <c r="E300" s="17" t="inlineStr">
        <is>
          <t>Si hubo PH: oblea de vencimiento de PH + «PH» y fecha grabados en el tubo de pesca (CO₂: fecha y logo estampados en la ojiva)</t>
        </is>
      </c>
      <c r="F300" s="32" t="n">
        <v>1</v>
      </c>
      <c r="G300" s="32" t="inlineStr">
        <is>
          <t>u</t>
        </is>
      </c>
      <c r="H300" s="17" t="inlineStr">
        <is>
          <t>Proceso</t>
        </is>
      </c>
      <c r="I300" s="17" t="inlineStr">
        <is>
          <t>IRAM 3517-2:2020 Res. 349/07 art. 29 · IRAM 3517-2</t>
        </is>
      </c>
      <c r="J300" s="32" t="inlineStr">
        <is>
          <t>No</t>
        </is>
      </c>
      <c r="K300" s="17" t="n"/>
      <c r="L300" s="17" t="n"/>
    </row>
    <row r="301">
      <c r="A301" s="37" t="inlineStr">
        <is>
          <t>RK-CO22-B</t>
        </is>
      </c>
      <c r="B301" s="37" t="inlineStr">
        <is>
          <t>FL_MAT_CO2_2kg</t>
        </is>
      </c>
      <c r="C301" s="37" t="inlineStr">
        <is>
          <t>Extintor CO₂ 2 kg</t>
        </is>
      </c>
      <c r="D301" s="18" t="inlineStr">
        <is>
          <t>B - Mantenimiento con vaciado (PH cada 5 años)</t>
        </is>
      </c>
      <c r="E301" s="18" t="inlineStr">
        <is>
          <t>Junta tórica de asiento del cuello</t>
        </is>
      </c>
      <c r="F301" s="37" t="n">
        <v>1</v>
      </c>
      <c r="G301" s="37" t="inlineStr">
        <is>
          <t>u</t>
        </is>
      </c>
      <c r="H301" s="18" t="inlineStr">
        <is>
          <t>Nuevo (R: cambio sistemático)</t>
        </is>
      </c>
      <c r="I301" s="18" t="inlineStr"/>
      <c r="J301" s="37" t="inlineStr">
        <is>
          <t>Sí</t>
        </is>
      </c>
      <c r="K301" s="18" t="inlineStr">
        <is>
          <t>Argensold</t>
        </is>
      </c>
      <c r="L301" s="18" t="inlineStr">
        <is>
          <t>Matafuegos Iglesias</t>
        </is>
      </c>
    </row>
    <row r="302">
      <c r="A302" s="32" t="inlineStr">
        <is>
          <t>RK-CO22-I</t>
        </is>
      </c>
      <c r="B302" s="32" t="inlineStr">
        <is>
          <t>FL_MAT_CO2_2kg</t>
        </is>
      </c>
      <c r="C302" s="32" t="inlineStr">
        <is>
          <t>Extintor CO₂ 2 kg</t>
        </is>
      </c>
      <c r="D302" s="17" t="inlineStr">
        <is>
          <t>Según inspección (consumo estadístico a definir)</t>
        </is>
      </c>
      <c r="E302" s="17" t="inlineStr">
        <is>
          <t>Manómetro / manguera / tobera / kit de válvula</t>
        </is>
      </c>
      <c r="F302" s="32" t="inlineStr">
        <is>
          <t>-</t>
        </is>
      </c>
      <c r="G302" s="32" t="inlineStr">
        <is>
          <t>u</t>
        </is>
      </c>
      <c r="H302" s="17" t="inlineStr">
        <is>
          <t>Recambio sólo si falla</t>
        </is>
      </c>
      <c r="I302" s="17" t="inlineStr">
        <is>
          <t>IRAM 3517-2:2020 9.4.11 (cada manguera vuelve a su extintor)</t>
        </is>
      </c>
      <c r="J302" s="32" t="inlineStr">
        <is>
          <t>Sí</t>
        </is>
      </c>
      <c r="K302" s="17" t="inlineStr">
        <is>
          <t>Polvex S.R.L. / Sancibrao</t>
        </is>
      </c>
      <c r="L302" s="17" t="inlineStr">
        <is>
          <t>Yukon / MatafuegosYa S.R.L.</t>
        </is>
      </c>
    </row>
    <row r="303">
      <c r="A303" s="32" t="inlineStr">
        <is>
          <t>RK-CO25-A</t>
        </is>
      </c>
      <c r="B303" s="32" t="inlineStr">
        <is>
          <t>FL_MAT_CO2_5kg</t>
        </is>
      </c>
      <c r="C303" s="32" t="inlineStr">
        <is>
          <t>Extintor CO₂ 5 kg</t>
        </is>
      </c>
      <c r="D303" s="17" t="inlineStr">
        <is>
          <t>A - Extintor descargado</t>
        </is>
      </c>
      <c r="E303" s="17" t="inlineStr">
        <is>
          <t>Dióxido de carbono (IRAM 41170)</t>
        </is>
      </c>
      <c r="F303" s="32" t="n">
        <v>5</v>
      </c>
      <c r="G303" s="32" t="inlineStr">
        <is>
          <t>kg</t>
        </is>
      </c>
      <c r="H303" s="17" t="inlineStr">
        <is>
          <t>Nuevo (trasvase de batería o tanque criogénico)</t>
        </is>
      </c>
      <c r="I303" s="17" t="inlineStr">
        <is>
          <t>IRAM 3517-2:2020 4.4.1 l) trasvasador; 9.9.1.11 calidad del CO₂</t>
        </is>
      </c>
      <c r="J303" s="32" t="inlineStr">
        <is>
          <t>Sí</t>
        </is>
      </c>
      <c r="K303" s="17" t="inlineStr">
        <is>
          <t>Air Liquide Argentina - sucursal Piñeyro</t>
        </is>
      </c>
      <c r="L303" s="17" t="inlineStr">
        <is>
          <t>Gogniat</t>
        </is>
      </c>
    </row>
    <row r="304">
      <c r="A304" s="32" t="inlineStr">
        <is>
          <t>RK-CO25-A</t>
        </is>
      </c>
      <c r="B304" s="32" t="inlineStr">
        <is>
          <t>FL_MAT_CO2_5kg</t>
        </is>
      </c>
      <c r="C304" s="32" t="inlineStr">
        <is>
          <t>Extintor CO₂ 5 kg</t>
        </is>
      </c>
      <c r="D304" s="17" t="inlineStr">
        <is>
          <t>A - Extintor descargado</t>
        </is>
      </c>
      <c r="E304" s="17" t="inlineStr">
        <is>
          <t>Precinto plástico numerado, color, con nombre del recargador</t>
        </is>
      </c>
      <c r="F304" s="32" t="n">
        <v>1</v>
      </c>
      <c r="G304" s="32" t="inlineStr">
        <is>
          <t>u</t>
        </is>
      </c>
      <c r="H304" s="17" t="inlineStr">
        <is>
          <t>Nuevo</t>
        </is>
      </c>
      <c r="I304" s="17" t="inlineStr">
        <is>
          <t>IRAM 3517-2:2020 9.4.13</t>
        </is>
      </c>
      <c r="J304" s="32" t="inlineStr">
        <is>
          <t>Sí</t>
        </is>
      </c>
      <c r="K304" s="17" t="inlineStr">
        <is>
          <t>SonFuertes (vía Papelera Damián)</t>
        </is>
      </c>
      <c r="L304" s="17" t="inlineStr">
        <is>
          <t>Precinter S.R.L.</t>
        </is>
      </c>
    </row>
    <row r="305">
      <c r="A305" s="32" t="inlineStr">
        <is>
          <t>RK-CO25-A</t>
        </is>
      </c>
      <c r="B305" s="32" t="inlineStr">
        <is>
          <t>FL_MAT_CO2_5kg</t>
        </is>
      </c>
      <c r="C305" s="32" t="inlineStr">
        <is>
          <t>Extintor CO₂ 5 kg</t>
        </is>
      </c>
      <c r="D305" s="17" t="inlineStr">
        <is>
          <t>A - Extintor descargado</t>
        </is>
      </c>
      <c r="E305" s="17" t="inlineStr">
        <is>
          <t>Marbete (anillo, color del año)</t>
        </is>
      </c>
      <c r="F305" s="32" t="n">
        <v>1</v>
      </c>
      <c r="G305" s="32" t="inlineStr">
        <is>
          <t>u</t>
        </is>
      </c>
      <c r="H305" s="17" t="inlineStr">
        <is>
          <t>Nuevo</t>
        </is>
      </c>
      <c r="I305" s="17" t="inlineStr">
        <is>
          <t>IRAM 3517-2:2020 9.6 · anexo E</t>
        </is>
      </c>
      <c r="J305" s="32" t="inlineStr">
        <is>
          <t>Sí</t>
        </is>
      </c>
      <c r="K305" s="17" t="inlineStr">
        <is>
          <t>Astuprint</t>
        </is>
      </c>
      <c r="L305" s="17" t="inlineStr">
        <is>
          <t>Multilabel Argentina S.A.</t>
        </is>
      </c>
    </row>
    <row r="306">
      <c r="A306" s="32" t="inlineStr">
        <is>
          <t>RK-CO25-A</t>
        </is>
      </c>
      <c r="B306" s="32" t="inlineStr">
        <is>
          <t>FL_MAT_CO2_5kg</t>
        </is>
      </c>
      <c r="C306" s="32" t="inlineStr">
        <is>
          <t>Extintor CO₂ 5 kg</t>
        </is>
      </c>
      <c r="D306" s="17" t="inlineStr">
        <is>
          <t>A - Extintor descargado</t>
        </is>
      </c>
      <c r="E306" s="17" t="inlineStr">
        <is>
          <t>Etiqueta de servicio del recargador (extintor n°, serie, próxima recarga y PH)</t>
        </is>
      </c>
      <c r="F306" s="32" t="n">
        <v>1</v>
      </c>
      <c r="G306" s="32" t="inlineStr">
        <is>
          <t>u</t>
        </is>
      </c>
      <c r="H306" s="17" t="inlineStr">
        <is>
          <t>Nuevo</t>
        </is>
      </c>
      <c r="I306" s="17" t="inlineStr">
        <is>
          <t>IRAM 3517-2:2020 9.4.14 · relevado Suyai/Firegram</t>
        </is>
      </c>
      <c r="J306" s="32" t="inlineStr">
        <is>
          <t>Sí</t>
        </is>
      </c>
      <c r="K306" s="17" t="inlineStr">
        <is>
          <t>Astuprint</t>
        </is>
      </c>
      <c r="L306" s="17" t="inlineStr">
        <is>
          <t>Multilabel Argentina S.A.</t>
        </is>
      </c>
    </row>
    <row r="307">
      <c r="A307" s="32" t="inlineStr">
        <is>
          <t>RK-CO25-A</t>
        </is>
      </c>
      <c r="B307" s="32" t="inlineStr">
        <is>
          <t>FL_MAT_CO2_5kg</t>
        </is>
      </c>
      <c r="C307" s="32" t="inlineStr">
        <is>
          <t>Extintor CO₂ 5 kg</t>
        </is>
      </c>
      <c r="D307" s="17" t="inlineStr">
        <is>
          <t>A - Extintor descargado</t>
        </is>
      </c>
      <c r="E307" s="17" t="inlineStr">
        <is>
          <t>Oblea PBA de recarga Ø46 + estampilla precinto 1" × 200 mm válvula-cuerpo</t>
        </is>
      </c>
      <c r="F307" s="32" t="n">
        <v>1</v>
      </c>
      <c r="G307" s="32" t="inlineStr">
        <is>
          <t>u</t>
        </is>
      </c>
      <c r="H307" s="17" t="inlineStr">
        <is>
          <t>Nuevo (venta en PBA)</t>
        </is>
      </c>
      <c r="I307" s="17" t="inlineStr">
        <is>
          <t>IRAM 3517-2:2020 Res. OPDS 522/07</t>
        </is>
      </c>
      <c r="J307" s="32" t="inlineStr">
        <is>
          <t>Sí</t>
        </is>
      </c>
      <c r="K307" s="17" t="inlineStr">
        <is>
          <t>Ministerio de Ambiente PBA (ex OPDS)</t>
        </is>
      </c>
      <c r="L307" s="17" t="inlineStr">
        <is>
          <t>-</t>
        </is>
      </c>
    </row>
    <row r="308">
      <c r="A308" s="32" t="inlineStr">
        <is>
          <t>RK-CO25-A</t>
        </is>
      </c>
      <c r="B308" s="32" t="inlineStr">
        <is>
          <t>FL_MAT_CO2_5kg</t>
        </is>
      </c>
      <c r="C308" s="32" t="inlineStr">
        <is>
          <t>Extintor CO₂ 5 kg</t>
        </is>
      </c>
      <c r="D308" s="17" t="inlineStr">
        <is>
          <t>A - Extintor descargado</t>
        </is>
      </c>
      <c r="E308" s="17" t="inlineStr">
        <is>
          <t>Tarjeta de identificación AGC (módulo papel con QR + etiqueta AGC)</t>
        </is>
      </c>
      <c r="F308" s="32" t="n">
        <v>1</v>
      </c>
      <c r="G308" s="32" t="inlineStr">
        <is>
          <t>u</t>
        </is>
      </c>
      <c r="H308" s="17" t="inlineStr">
        <is>
          <t>Nuevo (destino CABA)</t>
        </is>
      </c>
      <c r="I308" s="17" t="inlineStr">
        <is>
          <t>IRAM 3517-2:2020 Ord. 40.473 art. 6 · Res. AGC 32/15</t>
        </is>
      </c>
      <c r="J308" s="32" t="inlineStr">
        <is>
          <t>Sí</t>
        </is>
      </c>
      <c r="K308" s="17" t="inlineStr">
        <is>
          <t>Agencia Gubernamental de Control (CABA)</t>
        </is>
      </c>
      <c r="L308" s="17" t="inlineStr">
        <is>
          <t>-</t>
        </is>
      </c>
    </row>
    <row r="309">
      <c r="A309" s="32" t="inlineStr">
        <is>
          <t>RK-CO25-A</t>
        </is>
      </c>
      <c r="B309" s="32" t="inlineStr">
        <is>
          <t>FL_MAT_CO2_5kg</t>
        </is>
      </c>
      <c r="C309" s="32" t="inlineStr">
        <is>
          <t>Extintor CO₂ 5 kg</t>
        </is>
      </c>
      <c r="D309" s="17" t="inlineStr">
        <is>
          <t>A - Extintor descargado</t>
        </is>
      </c>
      <c r="E309" s="17" t="inlineStr">
        <is>
          <t>Tarjeta de identificación DPS de revisión / recarga</t>
        </is>
      </c>
      <c r="F309" s="32" t="n">
        <v>1</v>
      </c>
      <c r="G309" s="32" t="inlineStr">
        <is>
          <t>u</t>
        </is>
      </c>
      <c r="H309" s="17" t="inlineStr">
        <is>
          <t>Nuevo (PBA)</t>
        </is>
      </c>
      <c r="I309" s="17" t="inlineStr">
        <is>
          <t>IRAM 3517-2:2020 Res. 349/07 art. 21</t>
        </is>
      </c>
      <c r="J309" s="32" t="inlineStr">
        <is>
          <t>Sí</t>
        </is>
      </c>
      <c r="K309" s="17" t="inlineStr">
        <is>
          <t>Ministerio de Ambiente PBA (ex OPDS)</t>
        </is>
      </c>
      <c r="L309" s="17" t="inlineStr">
        <is>
          <t>-</t>
        </is>
      </c>
    </row>
    <row r="310">
      <c r="A310" s="32" t="inlineStr">
        <is>
          <t>RK-CO25-A</t>
        </is>
      </c>
      <c r="B310" s="32" t="inlineStr">
        <is>
          <t>FL_MAT_CO2_5kg</t>
        </is>
      </c>
      <c r="C310" s="32" t="inlineStr">
        <is>
          <t>Extintor CO₂ 5 kg</t>
        </is>
      </c>
      <c r="D310" s="17" t="inlineStr">
        <is>
          <t>A - Extintor descargado</t>
        </is>
      </c>
      <c r="E310" s="17" t="inlineStr">
        <is>
          <t>Grabado de la fecha del servicio en el tubo de pesca (lápiz vibratorio; en polvo, marcador indeleble)</t>
        </is>
      </c>
      <c r="F310" s="32" t="n">
        <v>1</v>
      </c>
      <c r="G310" s="32" t="inlineStr">
        <is>
          <t>u</t>
        </is>
      </c>
      <c r="H310" s="17" t="inlineStr">
        <is>
          <t>Proceso</t>
        </is>
      </c>
      <c r="I310" s="17" t="inlineStr">
        <is>
          <t>IRAM 3517-2:2020 Res. 349/07 art. 28</t>
        </is>
      </c>
      <c r="J310" s="32" t="inlineStr">
        <is>
          <t>No</t>
        </is>
      </c>
      <c r="K310" s="17" t="n"/>
      <c r="L310" s="17" t="n"/>
    </row>
    <row r="311">
      <c r="A311" s="32" t="inlineStr">
        <is>
          <t>RK-CO25-A</t>
        </is>
      </c>
      <c r="B311" s="32" t="inlineStr">
        <is>
          <t>FL_MAT_CO2_5kg</t>
        </is>
      </c>
      <c r="C311" s="32" t="inlineStr">
        <is>
          <t>Extintor CO₂ 5 kg</t>
        </is>
      </c>
      <c r="D311" s="17" t="inlineStr">
        <is>
          <t>A - Extintor descargado</t>
        </is>
      </c>
      <c r="E311" s="17" t="inlineStr">
        <is>
          <t>Si hubo PH: oblea de vencimiento de PH + «PH» y fecha grabados en el tubo de pesca (CO₂: fecha y logo estampados en la ojiva)</t>
        </is>
      </c>
      <c r="F311" s="32" t="n">
        <v>1</v>
      </c>
      <c r="G311" s="32" t="inlineStr">
        <is>
          <t>u</t>
        </is>
      </c>
      <c r="H311" s="17" t="inlineStr">
        <is>
          <t>Proceso</t>
        </is>
      </c>
      <c r="I311" s="17" t="inlineStr">
        <is>
          <t>IRAM 3517-2:2020 Res. 349/07 art. 29 · IRAM 3517-2</t>
        </is>
      </c>
      <c r="J311" s="32" t="inlineStr">
        <is>
          <t>No</t>
        </is>
      </c>
      <c r="K311" s="17" t="n"/>
      <c r="L311" s="17" t="n"/>
    </row>
    <row r="312">
      <c r="A312" s="37" t="inlineStr">
        <is>
          <t>RK-CO25-A</t>
        </is>
      </c>
      <c r="B312" s="37" t="inlineStr">
        <is>
          <t>FL_MAT_CO2_5kg</t>
        </is>
      </c>
      <c r="C312" s="37" t="inlineStr">
        <is>
          <t>Extintor CO₂ 5 kg</t>
        </is>
      </c>
      <c r="D312" s="18" t="inlineStr">
        <is>
          <t>A - Extintor descargado</t>
        </is>
      </c>
      <c r="E312" s="18" t="inlineStr">
        <is>
          <t>Junta tórica de asiento del cuello</t>
        </is>
      </c>
      <c r="F312" s="37" t="n">
        <v>1</v>
      </c>
      <c r="G312" s="37" t="inlineStr">
        <is>
          <t>u</t>
        </is>
      </c>
      <c r="H312" s="18" t="inlineStr">
        <is>
          <t>Nuevo (R: cambio sistemático)</t>
        </is>
      </c>
      <c r="I312" s="18" t="inlineStr"/>
      <c r="J312" s="37" t="inlineStr">
        <is>
          <t>Sí</t>
        </is>
      </c>
      <c r="K312" s="18" t="inlineStr">
        <is>
          <t>Argensold</t>
        </is>
      </c>
      <c r="L312" s="18" t="inlineStr">
        <is>
          <t>Matafuegos Iglesias</t>
        </is>
      </c>
    </row>
    <row r="313">
      <c r="A313" s="32" t="inlineStr">
        <is>
          <t>RK-CO25-B</t>
        </is>
      </c>
      <c r="B313" s="32" t="inlineStr">
        <is>
          <t>FL_MAT_CO2_5kg</t>
        </is>
      </c>
      <c r="C313" s="32" t="inlineStr">
        <is>
          <t>Extintor CO₂ 5 kg</t>
        </is>
      </c>
      <c r="D313" s="17" t="inlineStr">
        <is>
          <t>B - Mantenimiento con vaciado (PH cada 5 años)</t>
        </is>
      </c>
      <c r="E313" s="17" t="inlineStr">
        <is>
          <t>Dióxido de carbono (IRAM 41170) recuperado</t>
        </is>
      </c>
      <c r="F313" s="32" t="n">
        <v>5</v>
      </c>
      <c r="G313" s="32" t="inlineStr">
        <is>
          <t>kg</t>
        </is>
      </c>
      <c r="H313" s="17" t="inlineStr">
        <is>
          <t>Recuperación en circuito cerrado recomendada</t>
        </is>
      </c>
      <c r="I313" s="17" t="inlineStr">
        <is>
          <t>IRAM 3517-2:2020 9.4.18</t>
        </is>
      </c>
      <c r="J313" s="32" t="inlineStr">
        <is>
          <t>No</t>
        </is>
      </c>
      <c r="K313" s="17" t="n"/>
      <c r="L313" s="17" t="n"/>
    </row>
    <row r="314">
      <c r="A314" s="32" t="inlineStr">
        <is>
          <t>RK-CO25-B</t>
        </is>
      </c>
      <c r="B314" s="32" t="inlineStr">
        <is>
          <t>FL_MAT_CO2_5kg</t>
        </is>
      </c>
      <c r="C314" s="32" t="inlineStr">
        <is>
          <t>Extintor CO₂ 5 kg</t>
        </is>
      </c>
      <c r="D314" s="17" t="inlineStr">
        <is>
          <t>B - Mantenimiento con vaciado (PH cada 5 años)</t>
        </is>
      </c>
      <c r="E314" s="17" t="inlineStr">
        <is>
          <t>Disco de seguridad</t>
        </is>
      </c>
      <c r="F314" s="32" t="n">
        <v>1</v>
      </c>
      <c r="G314" s="32" t="inlineStr">
        <is>
          <t>u</t>
        </is>
      </c>
      <c r="H314" s="17" t="inlineStr">
        <is>
          <t>Nuevo</t>
        </is>
      </c>
      <c r="I314" s="17" t="inlineStr">
        <is>
          <t>IRAM 3517-2:2020 9.4.17 dispositivos</t>
        </is>
      </c>
      <c r="J314" s="32" t="inlineStr">
        <is>
          <t>Sí</t>
        </is>
      </c>
      <c r="K314" s="17" t="inlineStr">
        <is>
          <t>Polvex S.R.L. / Sancibrao</t>
        </is>
      </c>
      <c r="L314" s="17" t="inlineStr">
        <is>
          <t>Yukon / MatafuegosYa S.R.L.</t>
        </is>
      </c>
    </row>
    <row r="315">
      <c r="A315" s="32" t="inlineStr">
        <is>
          <t>RK-CO25-B</t>
        </is>
      </c>
      <c r="B315" s="32" t="inlineStr">
        <is>
          <t>FL_MAT_CO2_5kg</t>
        </is>
      </c>
      <c r="C315" s="32" t="inlineStr">
        <is>
          <t>Extintor CO₂ 5 kg</t>
        </is>
      </c>
      <c r="D315" s="17" t="inlineStr">
        <is>
          <t>B - Mantenimiento con vaciado (PH cada 5 años)</t>
        </is>
      </c>
      <c r="E315" s="17" t="inlineStr">
        <is>
          <t>Precinto plástico numerado, color, con nombre del recargador</t>
        </is>
      </c>
      <c r="F315" s="32" t="n">
        <v>1</v>
      </c>
      <c r="G315" s="32" t="inlineStr">
        <is>
          <t>u</t>
        </is>
      </c>
      <c r="H315" s="17" t="inlineStr">
        <is>
          <t>Nuevo</t>
        </is>
      </c>
      <c r="I315" s="17" t="inlineStr">
        <is>
          <t>IRAM 3517-2:2020 9.4.13</t>
        </is>
      </c>
      <c r="J315" s="32" t="inlineStr">
        <is>
          <t>Sí</t>
        </is>
      </c>
      <c r="K315" s="17" t="inlineStr">
        <is>
          <t>SonFuertes (vía Papelera Damián)</t>
        </is>
      </c>
      <c r="L315" s="17" t="inlineStr">
        <is>
          <t>Precinter S.R.L.</t>
        </is>
      </c>
    </row>
    <row r="316">
      <c r="A316" s="32" t="inlineStr">
        <is>
          <t>RK-CO25-B</t>
        </is>
      </c>
      <c r="B316" s="32" t="inlineStr">
        <is>
          <t>FL_MAT_CO2_5kg</t>
        </is>
      </c>
      <c r="C316" s="32" t="inlineStr">
        <is>
          <t>Extintor CO₂ 5 kg</t>
        </is>
      </c>
      <c r="D316" s="17" t="inlineStr">
        <is>
          <t>B - Mantenimiento con vaciado (PH cada 5 años)</t>
        </is>
      </c>
      <c r="E316" s="17" t="inlineStr">
        <is>
          <t>Marbete (anillo, color del año)</t>
        </is>
      </c>
      <c r="F316" s="32" t="n">
        <v>1</v>
      </c>
      <c r="G316" s="32" t="inlineStr">
        <is>
          <t>u</t>
        </is>
      </c>
      <c r="H316" s="17" t="inlineStr">
        <is>
          <t>Nuevo</t>
        </is>
      </c>
      <c r="I316" s="17" t="inlineStr">
        <is>
          <t>IRAM 3517-2:2020 9.6 · anexo E</t>
        </is>
      </c>
      <c r="J316" s="32" t="inlineStr">
        <is>
          <t>Sí</t>
        </is>
      </c>
      <c r="K316" s="17" t="inlineStr">
        <is>
          <t>Astuprint</t>
        </is>
      </c>
      <c r="L316" s="17" t="inlineStr">
        <is>
          <t>Multilabel Argentina S.A.</t>
        </is>
      </c>
    </row>
    <row r="317">
      <c r="A317" s="32" t="inlineStr">
        <is>
          <t>RK-CO25-B</t>
        </is>
      </c>
      <c r="B317" s="32" t="inlineStr">
        <is>
          <t>FL_MAT_CO2_5kg</t>
        </is>
      </c>
      <c r="C317" s="32" t="inlineStr">
        <is>
          <t>Extintor CO₂ 5 kg</t>
        </is>
      </c>
      <c r="D317" s="17" t="inlineStr">
        <is>
          <t>B - Mantenimiento con vaciado (PH cada 5 años)</t>
        </is>
      </c>
      <c r="E317" s="17" t="inlineStr">
        <is>
          <t>Etiqueta de servicio del recargador (extintor n°, serie, próxima recarga y PH)</t>
        </is>
      </c>
      <c r="F317" s="32" t="n">
        <v>1</v>
      </c>
      <c r="G317" s="32" t="inlineStr">
        <is>
          <t>u</t>
        </is>
      </c>
      <c r="H317" s="17" t="inlineStr">
        <is>
          <t>Nuevo</t>
        </is>
      </c>
      <c r="I317" s="17" t="inlineStr">
        <is>
          <t>IRAM 3517-2:2020 9.4.14 · relevado Suyai/Firegram</t>
        </is>
      </c>
      <c r="J317" s="32" t="inlineStr">
        <is>
          <t>Sí</t>
        </is>
      </c>
      <c r="K317" s="17" t="inlineStr">
        <is>
          <t>Astuprint</t>
        </is>
      </c>
      <c r="L317" s="17" t="inlineStr">
        <is>
          <t>Multilabel Argentina S.A.</t>
        </is>
      </c>
    </row>
    <row r="318">
      <c r="A318" s="32" t="inlineStr">
        <is>
          <t>RK-CO25-B</t>
        </is>
      </c>
      <c r="B318" s="32" t="inlineStr">
        <is>
          <t>FL_MAT_CO2_5kg</t>
        </is>
      </c>
      <c r="C318" s="32" t="inlineStr">
        <is>
          <t>Extintor CO₂ 5 kg</t>
        </is>
      </c>
      <c r="D318" s="17" t="inlineStr">
        <is>
          <t>B - Mantenimiento con vaciado (PH cada 5 años)</t>
        </is>
      </c>
      <c r="E318" s="17" t="inlineStr">
        <is>
          <t>Oblea PBA de recarga Ø46 + estampilla precinto 1" × 200 mm válvula-cuerpo</t>
        </is>
      </c>
      <c r="F318" s="32" t="n">
        <v>1</v>
      </c>
      <c r="G318" s="32" t="inlineStr">
        <is>
          <t>u</t>
        </is>
      </c>
      <c r="H318" s="17" t="inlineStr">
        <is>
          <t>Nuevo (venta en PBA)</t>
        </is>
      </c>
      <c r="I318" s="17" t="inlineStr">
        <is>
          <t>IRAM 3517-2:2020 Res. OPDS 522/07</t>
        </is>
      </c>
      <c r="J318" s="32" t="inlineStr">
        <is>
          <t>Sí</t>
        </is>
      </c>
      <c r="K318" s="17" t="inlineStr">
        <is>
          <t>Ministerio de Ambiente PBA (ex OPDS)</t>
        </is>
      </c>
      <c r="L318" s="17" t="inlineStr">
        <is>
          <t>-</t>
        </is>
      </c>
    </row>
    <row r="319">
      <c r="A319" s="32" t="inlineStr">
        <is>
          <t>RK-CO25-B</t>
        </is>
      </c>
      <c r="B319" s="32" t="inlineStr">
        <is>
          <t>FL_MAT_CO2_5kg</t>
        </is>
      </c>
      <c r="C319" s="32" t="inlineStr">
        <is>
          <t>Extintor CO₂ 5 kg</t>
        </is>
      </c>
      <c r="D319" s="17" t="inlineStr">
        <is>
          <t>B - Mantenimiento con vaciado (PH cada 5 años)</t>
        </is>
      </c>
      <c r="E319" s="17" t="inlineStr">
        <is>
          <t>Tarjeta de identificación AGC (módulo papel con QR + etiqueta AGC)</t>
        </is>
      </c>
      <c r="F319" s="32" t="n">
        <v>1</v>
      </c>
      <c r="G319" s="32" t="inlineStr">
        <is>
          <t>u</t>
        </is>
      </c>
      <c r="H319" s="17" t="inlineStr">
        <is>
          <t>Nuevo (destino CABA)</t>
        </is>
      </c>
      <c r="I319" s="17" t="inlineStr">
        <is>
          <t>IRAM 3517-2:2020 Ord. 40.473 art. 6 · Res. AGC 32/15</t>
        </is>
      </c>
      <c r="J319" s="32" t="inlineStr">
        <is>
          <t>Sí</t>
        </is>
      </c>
      <c r="K319" s="17" t="inlineStr">
        <is>
          <t>Agencia Gubernamental de Control (CABA)</t>
        </is>
      </c>
      <c r="L319" s="17" t="inlineStr">
        <is>
          <t>-</t>
        </is>
      </c>
    </row>
    <row r="320">
      <c r="A320" s="32" t="inlineStr">
        <is>
          <t>RK-CO25-B</t>
        </is>
      </c>
      <c r="B320" s="32" t="inlineStr">
        <is>
          <t>FL_MAT_CO2_5kg</t>
        </is>
      </c>
      <c r="C320" s="32" t="inlineStr">
        <is>
          <t>Extintor CO₂ 5 kg</t>
        </is>
      </c>
      <c r="D320" s="17" t="inlineStr">
        <is>
          <t>B - Mantenimiento con vaciado (PH cada 5 años)</t>
        </is>
      </c>
      <c r="E320" s="17" t="inlineStr">
        <is>
          <t>Tarjeta de identificación DPS de revisión / recarga</t>
        </is>
      </c>
      <c r="F320" s="32" t="n">
        <v>1</v>
      </c>
      <c r="G320" s="32" t="inlineStr">
        <is>
          <t>u</t>
        </is>
      </c>
      <c r="H320" s="17" t="inlineStr">
        <is>
          <t>Nuevo (PBA)</t>
        </is>
      </c>
      <c r="I320" s="17" t="inlineStr">
        <is>
          <t>IRAM 3517-2:2020 Res. 349/07 art. 21</t>
        </is>
      </c>
      <c r="J320" s="32" t="inlineStr">
        <is>
          <t>Sí</t>
        </is>
      </c>
      <c r="K320" s="17" t="inlineStr">
        <is>
          <t>Ministerio de Ambiente PBA (ex OPDS)</t>
        </is>
      </c>
      <c r="L320" s="17" t="inlineStr">
        <is>
          <t>-</t>
        </is>
      </c>
    </row>
    <row r="321">
      <c r="A321" s="32" t="inlineStr">
        <is>
          <t>RK-CO25-B</t>
        </is>
      </c>
      <c r="B321" s="32" t="inlineStr">
        <is>
          <t>FL_MAT_CO2_5kg</t>
        </is>
      </c>
      <c r="C321" s="32" t="inlineStr">
        <is>
          <t>Extintor CO₂ 5 kg</t>
        </is>
      </c>
      <c r="D321" s="17" t="inlineStr">
        <is>
          <t>B - Mantenimiento con vaciado (PH cada 5 años)</t>
        </is>
      </c>
      <c r="E321" s="17" t="inlineStr">
        <is>
          <t>Grabado de la fecha del servicio en el tubo de pesca (lápiz vibratorio; en polvo, marcador indeleble)</t>
        </is>
      </c>
      <c r="F321" s="32" t="n">
        <v>1</v>
      </c>
      <c r="G321" s="32" t="inlineStr">
        <is>
          <t>u</t>
        </is>
      </c>
      <c r="H321" s="17" t="inlineStr">
        <is>
          <t>Proceso</t>
        </is>
      </c>
      <c r="I321" s="17" t="inlineStr">
        <is>
          <t>IRAM 3517-2:2020 Res. 349/07 art. 28</t>
        </is>
      </c>
      <c r="J321" s="32" t="inlineStr">
        <is>
          <t>No</t>
        </is>
      </c>
      <c r="K321" s="17" t="n"/>
      <c r="L321" s="17" t="n"/>
    </row>
    <row r="322">
      <c r="A322" s="32" t="inlineStr">
        <is>
          <t>RK-CO25-B</t>
        </is>
      </c>
      <c r="B322" s="32" t="inlineStr">
        <is>
          <t>FL_MAT_CO2_5kg</t>
        </is>
      </c>
      <c r="C322" s="32" t="inlineStr">
        <is>
          <t>Extintor CO₂ 5 kg</t>
        </is>
      </c>
      <c r="D322" s="17" t="inlineStr">
        <is>
          <t>B - Mantenimiento con vaciado (PH cada 5 años)</t>
        </is>
      </c>
      <c r="E322" s="17" t="inlineStr">
        <is>
          <t>Si hubo PH: oblea de vencimiento de PH + «PH» y fecha grabados en el tubo de pesca (CO₂: fecha y logo estampados en la ojiva)</t>
        </is>
      </c>
      <c r="F322" s="32" t="n">
        <v>1</v>
      </c>
      <c r="G322" s="32" t="inlineStr">
        <is>
          <t>u</t>
        </is>
      </c>
      <c r="H322" s="17" t="inlineStr">
        <is>
          <t>Proceso</t>
        </is>
      </c>
      <c r="I322" s="17" t="inlineStr">
        <is>
          <t>IRAM 3517-2:2020 Res. 349/07 art. 29 · IRAM 3517-2</t>
        </is>
      </c>
      <c r="J322" s="32" t="inlineStr">
        <is>
          <t>No</t>
        </is>
      </c>
      <c r="K322" s="17" t="n"/>
      <c r="L322" s="17" t="n"/>
    </row>
    <row r="323">
      <c r="A323" s="37" t="inlineStr">
        <is>
          <t>RK-CO25-B</t>
        </is>
      </c>
      <c r="B323" s="37" t="inlineStr">
        <is>
          <t>FL_MAT_CO2_5kg</t>
        </is>
      </c>
      <c r="C323" s="37" t="inlineStr">
        <is>
          <t>Extintor CO₂ 5 kg</t>
        </is>
      </c>
      <c r="D323" s="18" t="inlineStr">
        <is>
          <t>B - Mantenimiento con vaciado (PH cada 5 años)</t>
        </is>
      </c>
      <c r="E323" s="18" t="inlineStr">
        <is>
          <t>Junta tórica de asiento del cuello</t>
        </is>
      </c>
      <c r="F323" s="37" t="n">
        <v>1</v>
      </c>
      <c r="G323" s="37" t="inlineStr">
        <is>
          <t>u</t>
        </is>
      </c>
      <c r="H323" s="18" t="inlineStr">
        <is>
          <t>Nuevo (R: cambio sistemático)</t>
        </is>
      </c>
      <c r="I323" s="18" t="inlineStr"/>
      <c r="J323" s="37" t="inlineStr">
        <is>
          <t>Sí</t>
        </is>
      </c>
      <c r="K323" s="18" t="inlineStr">
        <is>
          <t>Argensold</t>
        </is>
      </c>
      <c r="L323" s="18" t="inlineStr">
        <is>
          <t>Matafuegos Iglesias</t>
        </is>
      </c>
    </row>
    <row r="324">
      <c r="A324" s="32" t="inlineStr">
        <is>
          <t>RK-CO25-I</t>
        </is>
      </c>
      <c r="B324" s="32" t="inlineStr">
        <is>
          <t>FL_MAT_CO2_5kg</t>
        </is>
      </c>
      <c r="C324" s="32" t="inlineStr">
        <is>
          <t>Extintor CO₂ 5 kg</t>
        </is>
      </c>
      <c r="D324" s="17" t="inlineStr">
        <is>
          <t>Según inspección (consumo estadístico a definir)</t>
        </is>
      </c>
      <c r="E324" s="17" t="inlineStr">
        <is>
          <t>Manómetro / manguera / tobera / kit de válvula</t>
        </is>
      </c>
      <c r="F324" s="32" t="inlineStr">
        <is>
          <t>-</t>
        </is>
      </c>
      <c r="G324" s="32" t="inlineStr">
        <is>
          <t>u</t>
        </is>
      </c>
      <c r="H324" s="17" t="inlineStr">
        <is>
          <t>Recambio sólo si falla</t>
        </is>
      </c>
      <c r="I324" s="17" t="inlineStr">
        <is>
          <t>IRAM 3517-2:2020 9.4.11 (cada manguera vuelve a su extintor)</t>
        </is>
      </c>
      <c r="J324" s="32" t="inlineStr">
        <is>
          <t>Sí</t>
        </is>
      </c>
      <c r="K324" s="17" t="inlineStr">
        <is>
          <t>Polvex S.R.L. / Sancibrao</t>
        </is>
      </c>
      <c r="L324" s="17" t="inlineStr">
        <is>
          <t>Yukon / MatafuegosYa S.R.L.</t>
        </is>
      </c>
    </row>
    <row r="325">
      <c r="A325" s="39" t="inlineStr">
        <is>
          <t>RK-HCFCHFC5-A</t>
        </is>
      </c>
      <c r="B325" s="39" t="inlineStr">
        <is>
          <t>FL_MAT_HCFC-HFC_5kg</t>
        </is>
      </c>
      <c r="C325" s="39" t="inlineStr">
        <is>
          <t>Extintor HCFC/HFC 5 kg</t>
        </is>
      </c>
      <c r="D325" s="19" t="inlineStr">
        <is>
          <t>A - Extintor descargado</t>
        </is>
      </c>
      <c r="E325" s="19" t="inlineStr">
        <is>
          <t>HCFC 123 / HFC 236fa (agente limpio)</t>
        </is>
      </c>
      <c r="F325" s="39" t="n">
        <v>5</v>
      </c>
      <c r="G325" s="39" t="inlineStr">
        <is>
          <t>kg</t>
        </is>
      </c>
      <c r="H325" s="19" t="inlineStr">
        <is>
          <t>Nuevo o reciclado certificado</t>
        </is>
      </c>
      <c r="I325" s="19" t="inlineStr">
        <is>
          <t>IRAM 3517-2:2020 9.9 tabla 6 · IRAM 3526</t>
        </is>
      </c>
      <c r="J325" s="39" t="inlineStr">
        <is>
          <t>Sí</t>
        </is>
      </c>
      <c r="K325" s="19" t="inlineStr">
        <is>
          <t>-</t>
        </is>
      </c>
      <c r="L325" s="19" t="inlineStr">
        <is>
          <t>-</t>
        </is>
      </c>
    </row>
    <row r="326">
      <c r="A326" s="32" t="inlineStr">
        <is>
          <t>RK-HCFCHFC5-A</t>
        </is>
      </c>
      <c r="B326" s="32" t="inlineStr">
        <is>
          <t>FL_MAT_HCFC-HFC_5kg</t>
        </is>
      </c>
      <c r="C326" s="32" t="inlineStr">
        <is>
          <t>Extintor HCFC/HFC 5 kg</t>
        </is>
      </c>
      <c r="D326" s="17" t="inlineStr">
        <is>
          <t>A - Extintor descargado</t>
        </is>
      </c>
      <c r="E326" s="17" t="inlineStr">
        <is>
          <t>Precinto plástico numerado, color, con nombre del recargador</t>
        </is>
      </c>
      <c r="F326" s="32" t="n">
        <v>1</v>
      </c>
      <c r="G326" s="32" t="inlineStr">
        <is>
          <t>u</t>
        </is>
      </c>
      <c r="H326" s="17" t="inlineStr">
        <is>
          <t>Nuevo</t>
        </is>
      </c>
      <c r="I326" s="17" t="inlineStr">
        <is>
          <t>IRAM 3517-2:2020 9.4.13</t>
        </is>
      </c>
      <c r="J326" s="32" t="inlineStr">
        <is>
          <t>Sí</t>
        </is>
      </c>
      <c r="K326" s="17" t="inlineStr">
        <is>
          <t>SonFuertes (vía Papelera Damián)</t>
        </is>
      </c>
      <c r="L326" s="17" t="inlineStr">
        <is>
          <t>Precinter S.R.L.</t>
        </is>
      </c>
    </row>
    <row r="327">
      <c r="A327" s="32" t="inlineStr">
        <is>
          <t>RK-HCFCHFC5-A</t>
        </is>
      </c>
      <c r="B327" s="32" t="inlineStr">
        <is>
          <t>FL_MAT_HCFC-HFC_5kg</t>
        </is>
      </c>
      <c r="C327" s="32" t="inlineStr">
        <is>
          <t>Extintor HCFC/HFC 5 kg</t>
        </is>
      </c>
      <c r="D327" s="17" t="inlineStr">
        <is>
          <t>A - Extintor descargado</t>
        </is>
      </c>
      <c r="E327" s="17" t="inlineStr">
        <is>
          <t>Marbete (anillo, color del año)</t>
        </is>
      </c>
      <c r="F327" s="32" t="n">
        <v>1</v>
      </c>
      <c r="G327" s="32" t="inlineStr">
        <is>
          <t>u</t>
        </is>
      </c>
      <c r="H327" s="17" t="inlineStr">
        <is>
          <t>Nuevo</t>
        </is>
      </c>
      <c r="I327" s="17" t="inlineStr">
        <is>
          <t>IRAM 3517-2:2020 9.6 · anexo E</t>
        </is>
      </c>
      <c r="J327" s="32" t="inlineStr">
        <is>
          <t>Sí</t>
        </is>
      </c>
      <c r="K327" s="17" t="inlineStr">
        <is>
          <t>Astuprint</t>
        </is>
      </c>
      <c r="L327" s="17" t="inlineStr">
        <is>
          <t>Multilabel Argentina S.A.</t>
        </is>
      </c>
    </row>
    <row r="328">
      <c r="A328" s="32" t="inlineStr">
        <is>
          <t>RK-HCFCHFC5-A</t>
        </is>
      </c>
      <c r="B328" s="32" t="inlineStr">
        <is>
          <t>FL_MAT_HCFC-HFC_5kg</t>
        </is>
      </c>
      <c r="C328" s="32" t="inlineStr">
        <is>
          <t>Extintor HCFC/HFC 5 kg</t>
        </is>
      </c>
      <c r="D328" s="17" t="inlineStr">
        <is>
          <t>A - Extintor descargado</t>
        </is>
      </c>
      <c r="E328" s="17" t="inlineStr">
        <is>
          <t>Etiqueta de servicio del recargador (extintor n°, serie, próxima recarga y PH)</t>
        </is>
      </c>
      <c r="F328" s="32" t="n">
        <v>1</v>
      </c>
      <c r="G328" s="32" t="inlineStr">
        <is>
          <t>u</t>
        </is>
      </c>
      <c r="H328" s="17" t="inlineStr">
        <is>
          <t>Nuevo</t>
        </is>
      </c>
      <c r="I328" s="17" t="inlineStr">
        <is>
          <t>IRAM 3517-2:2020 9.4.14 · relevado Suyai/Firegram</t>
        </is>
      </c>
      <c r="J328" s="32" t="inlineStr">
        <is>
          <t>Sí</t>
        </is>
      </c>
      <c r="K328" s="17" t="inlineStr">
        <is>
          <t>Astuprint</t>
        </is>
      </c>
      <c r="L328" s="17" t="inlineStr">
        <is>
          <t>Multilabel Argentina S.A.</t>
        </is>
      </c>
    </row>
    <row r="329">
      <c r="A329" s="32" t="inlineStr">
        <is>
          <t>RK-HCFCHFC5-A</t>
        </is>
      </c>
      <c r="B329" s="32" t="inlineStr">
        <is>
          <t>FL_MAT_HCFC-HFC_5kg</t>
        </is>
      </c>
      <c r="C329" s="32" t="inlineStr">
        <is>
          <t>Extintor HCFC/HFC 5 kg</t>
        </is>
      </c>
      <c r="D329" s="17" t="inlineStr">
        <is>
          <t>A - Extintor descargado</t>
        </is>
      </c>
      <c r="E329" s="17" t="inlineStr">
        <is>
          <t>Oblea PBA de recarga Ø46 + estampilla precinto 1" × 200 mm válvula-cuerpo</t>
        </is>
      </c>
      <c r="F329" s="32" t="n">
        <v>1</v>
      </c>
      <c r="G329" s="32" t="inlineStr">
        <is>
          <t>u</t>
        </is>
      </c>
      <c r="H329" s="17" t="inlineStr">
        <is>
          <t>Nuevo (venta en PBA)</t>
        </is>
      </c>
      <c r="I329" s="17" t="inlineStr">
        <is>
          <t>IRAM 3517-2:2020 Res. OPDS 522/07</t>
        </is>
      </c>
      <c r="J329" s="32" t="inlineStr">
        <is>
          <t>Sí</t>
        </is>
      </c>
      <c r="K329" s="17" t="inlineStr">
        <is>
          <t>Ministerio de Ambiente PBA (ex OPDS)</t>
        </is>
      </c>
      <c r="L329" s="17" t="inlineStr">
        <is>
          <t>-</t>
        </is>
      </c>
    </row>
    <row r="330">
      <c r="A330" s="32" t="inlineStr">
        <is>
          <t>RK-HCFCHFC5-A</t>
        </is>
      </c>
      <c r="B330" s="32" t="inlineStr">
        <is>
          <t>FL_MAT_HCFC-HFC_5kg</t>
        </is>
      </c>
      <c r="C330" s="32" t="inlineStr">
        <is>
          <t>Extintor HCFC/HFC 5 kg</t>
        </is>
      </c>
      <c r="D330" s="17" t="inlineStr">
        <is>
          <t>A - Extintor descargado</t>
        </is>
      </c>
      <c r="E330" s="17" t="inlineStr">
        <is>
          <t>Tarjeta de identificación AGC (módulo papel con QR + etiqueta AGC)</t>
        </is>
      </c>
      <c r="F330" s="32" t="n">
        <v>1</v>
      </c>
      <c r="G330" s="32" t="inlineStr">
        <is>
          <t>u</t>
        </is>
      </c>
      <c r="H330" s="17" t="inlineStr">
        <is>
          <t>Nuevo (destino CABA)</t>
        </is>
      </c>
      <c r="I330" s="17" t="inlineStr">
        <is>
          <t>IRAM 3517-2:2020 Ord. 40.473 art. 6 · Res. AGC 32/15</t>
        </is>
      </c>
      <c r="J330" s="32" t="inlineStr">
        <is>
          <t>Sí</t>
        </is>
      </c>
      <c r="K330" s="17" t="inlineStr">
        <is>
          <t>Agencia Gubernamental de Control (CABA)</t>
        </is>
      </c>
      <c r="L330" s="17" t="inlineStr">
        <is>
          <t>-</t>
        </is>
      </c>
    </row>
    <row r="331">
      <c r="A331" s="32" t="inlineStr">
        <is>
          <t>RK-HCFCHFC5-A</t>
        </is>
      </c>
      <c r="B331" s="32" t="inlineStr">
        <is>
          <t>FL_MAT_HCFC-HFC_5kg</t>
        </is>
      </c>
      <c r="C331" s="32" t="inlineStr">
        <is>
          <t>Extintor HCFC/HFC 5 kg</t>
        </is>
      </c>
      <c r="D331" s="17" t="inlineStr">
        <is>
          <t>A - Extintor descargado</t>
        </is>
      </c>
      <c r="E331" s="17" t="inlineStr">
        <is>
          <t>Tarjeta de identificación DPS de revisión / recarga</t>
        </is>
      </c>
      <c r="F331" s="32" t="n">
        <v>1</v>
      </c>
      <c r="G331" s="32" t="inlineStr">
        <is>
          <t>u</t>
        </is>
      </c>
      <c r="H331" s="17" t="inlineStr">
        <is>
          <t>Nuevo (PBA)</t>
        </is>
      </c>
      <c r="I331" s="17" t="inlineStr">
        <is>
          <t>IRAM 3517-2:2020 Res. 349/07 art. 21</t>
        </is>
      </c>
      <c r="J331" s="32" t="inlineStr">
        <is>
          <t>Sí</t>
        </is>
      </c>
      <c r="K331" s="17" t="inlineStr">
        <is>
          <t>Ministerio de Ambiente PBA (ex OPDS)</t>
        </is>
      </c>
      <c r="L331" s="17" t="inlineStr">
        <is>
          <t>-</t>
        </is>
      </c>
    </row>
    <row r="332">
      <c r="A332" s="32" t="inlineStr">
        <is>
          <t>RK-HCFCHFC5-A</t>
        </is>
      </c>
      <c r="B332" s="32" t="inlineStr">
        <is>
          <t>FL_MAT_HCFC-HFC_5kg</t>
        </is>
      </c>
      <c r="C332" s="32" t="inlineStr">
        <is>
          <t>Extintor HCFC/HFC 5 kg</t>
        </is>
      </c>
      <c r="D332" s="17" t="inlineStr">
        <is>
          <t>A - Extintor descargado</t>
        </is>
      </c>
      <c r="E332" s="17" t="inlineStr">
        <is>
          <t>Grabado de la fecha del servicio en el tubo de pesca (lápiz vibratorio; en polvo, marcador indeleble)</t>
        </is>
      </c>
      <c r="F332" s="32" t="n">
        <v>1</v>
      </c>
      <c r="G332" s="32" t="inlineStr">
        <is>
          <t>u</t>
        </is>
      </c>
      <c r="H332" s="17" t="inlineStr">
        <is>
          <t>Proceso</t>
        </is>
      </c>
      <c r="I332" s="17" t="inlineStr">
        <is>
          <t>IRAM 3517-2:2020 Res. 349/07 art. 28</t>
        </is>
      </c>
      <c r="J332" s="32" t="inlineStr">
        <is>
          <t>No</t>
        </is>
      </c>
      <c r="K332" s="17" t="n"/>
      <c r="L332" s="17" t="n"/>
    </row>
    <row r="333">
      <c r="A333" s="32" t="inlineStr">
        <is>
          <t>RK-HCFCHFC5-A</t>
        </is>
      </c>
      <c r="B333" s="32" t="inlineStr">
        <is>
          <t>FL_MAT_HCFC-HFC_5kg</t>
        </is>
      </c>
      <c r="C333" s="32" t="inlineStr">
        <is>
          <t>Extintor HCFC/HFC 5 kg</t>
        </is>
      </c>
      <c r="D333" s="17" t="inlineStr">
        <is>
          <t>A - Extintor descargado</t>
        </is>
      </c>
      <c r="E333" s="17" t="inlineStr">
        <is>
          <t>Si hubo PH: oblea de vencimiento de PH + «PH» y fecha grabados en el tubo de pesca (CO₂: fecha y logo estampados en la ojiva)</t>
        </is>
      </c>
      <c r="F333" s="32" t="n">
        <v>1</v>
      </c>
      <c r="G333" s="32" t="inlineStr">
        <is>
          <t>u</t>
        </is>
      </c>
      <c r="H333" s="17" t="inlineStr">
        <is>
          <t>Proceso</t>
        </is>
      </c>
      <c r="I333" s="17" t="inlineStr">
        <is>
          <t>IRAM 3517-2:2020 Res. 349/07 art. 29 · IRAM 3517-2</t>
        </is>
      </c>
      <c r="J333" s="32" t="inlineStr">
        <is>
          <t>No</t>
        </is>
      </c>
      <c r="K333" s="17" t="n"/>
      <c r="L333" s="17" t="n"/>
    </row>
    <row r="334">
      <c r="A334" s="37" t="inlineStr">
        <is>
          <t>RK-HCFCHFC5-A</t>
        </is>
      </c>
      <c r="B334" s="37" t="inlineStr">
        <is>
          <t>FL_MAT_HCFC-HFC_5kg</t>
        </is>
      </c>
      <c r="C334" s="37" t="inlineStr">
        <is>
          <t>Extintor HCFC/HFC 5 kg</t>
        </is>
      </c>
      <c r="D334" s="18" t="inlineStr">
        <is>
          <t>A - Extintor descargado</t>
        </is>
      </c>
      <c r="E334" s="18" t="inlineStr">
        <is>
          <t>Junta tórica de asiento del cuello</t>
        </is>
      </c>
      <c r="F334" s="37" t="n">
        <v>1</v>
      </c>
      <c r="G334" s="37" t="inlineStr">
        <is>
          <t>u</t>
        </is>
      </c>
      <c r="H334" s="18" t="inlineStr">
        <is>
          <t>Nuevo (R: cambio sistemático)</t>
        </is>
      </c>
      <c r="I334" s="18" t="inlineStr"/>
      <c r="J334" s="37" t="inlineStr">
        <is>
          <t>Sí</t>
        </is>
      </c>
      <c r="K334" s="18" t="inlineStr">
        <is>
          <t>Argensold</t>
        </is>
      </c>
      <c r="L334" s="18" t="inlineStr">
        <is>
          <t>Matafuegos Iglesias</t>
        </is>
      </c>
    </row>
    <row r="335">
      <c r="A335" s="32" t="inlineStr">
        <is>
          <t>RK-HCFCHFC5-A</t>
        </is>
      </c>
      <c r="B335" s="32" t="inlineStr">
        <is>
          <t>FL_MAT_HCFC-HFC_5kg</t>
        </is>
      </c>
      <c r="C335" s="32" t="inlineStr">
        <is>
          <t>Extintor HCFC/HFC 5 kg</t>
        </is>
      </c>
      <c r="D335" s="17" t="inlineStr">
        <is>
          <t>A - Extintor descargado</t>
        </is>
      </c>
      <c r="E335" s="17" t="inlineStr">
        <is>
          <t>Gas impulsor: Argón</t>
        </is>
      </c>
      <c r="F335" s="32" t="n">
        <v>0.0388</v>
      </c>
      <c r="G335" s="32" t="inlineStr">
        <is>
          <t>kg</t>
        </is>
      </c>
      <c r="H335" s="17" t="inlineStr">
        <is>
          <t>Nuevo</t>
        </is>
      </c>
      <c r="I335" s="17" t="inlineStr">
        <is>
          <t>IRAM 3517-2:2020 9.4.9 tabla 2</t>
        </is>
      </c>
      <c r="J335" s="32" t="inlineStr">
        <is>
          <t>Sí</t>
        </is>
      </c>
      <c r="K335" s="17" t="inlineStr">
        <is>
          <t>Air Liquide Argentina - sucursal Piñeyro</t>
        </is>
      </c>
      <c r="L335" s="17" t="inlineStr">
        <is>
          <t>Gogniat</t>
        </is>
      </c>
    </row>
    <row r="336">
      <c r="A336" s="32" t="inlineStr">
        <is>
          <t>RK-HCFCHFC5-B</t>
        </is>
      </c>
      <c r="B336" s="32" t="inlineStr">
        <is>
          <t>FL_MAT_HCFC-HFC_5kg</t>
        </is>
      </c>
      <c r="C336" s="32" t="inlineStr">
        <is>
          <t>Extintor HCFC/HFC 5 kg</t>
        </is>
      </c>
      <c r="D336" s="17" t="inlineStr">
        <is>
          <t>B - Mantenimiento con vaciado (control interior, PH)</t>
        </is>
      </c>
      <c r="E336" s="17" t="inlineStr">
        <is>
          <t>HCFC 123 / HFC 236fa (agente limpio) recuperado</t>
        </is>
      </c>
      <c r="F336" s="32" t="n">
        <v>4.85</v>
      </c>
      <c r="G336" s="32" t="inlineStr">
        <is>
          <t>kg</t>
        </is>
      </c>
      <c r="H336" s="17" t="inlineStr">
        <is>
          <t>Recuperado en circuito cerrado (no se ventea)</t>
        </is>
      </c>
      <c r="I336" s="17" t="inlineStr">
        <is>
          <t>IRAM 3517-2:2020 4.4.1 z) recuperación de gases limpios en sistema cerrado</t>
        </is>
      </c>
      <c r="J336" s="32" t="inlineStr">
        <is>
          <t>No</t>
        </is>
      </c>
      <c r="K336" s="17" t="n"/>
      <c r="L336" s="17" t="n"/>
    </row>
    <row r="337">
      <c r="A337" s="39" t="inlineStr">
        <is>
          <t>RK-HCFCHFC5-B</t>
        </is>
      </c>
      <c r="B337" s="39" t="inlineStr">
        <is>
          <t>FL_MAT_HCFC-HFC_5kg</t>
        </is>
      </c>
      <c r="C337" s="39" t="inlineStr">
        <is>
          <t>Extintor HCFC/HFC 5 kg</t>
        </is>
      </c>
      <c r="D337" s="19" t="inlineStr">
        <is>
          <t>B - Mantenimiento con vaciado (control interior, PH)</t>
        </is>
      </c>
      <c r="E337" s="19" t="inlineStr">
        <is>
          <t>HCFC 123 / HFC 236fa (agente limpio)</t>
        </is>
      </c>
      <c r="F337" s="39" t="n">
        <v>0.15</v>
      </c>
      <c r="G337" s="39" t="inlineStr">
        <is>
          <t>kg</t>
        </is>
      </c>
      <c r="H337" s="19" t="inlineStr">
        <is>
          <t>Nuevo o reciclado: reposición = carga objetivo − límite inferior de 0 / -3 % (cota superior)</t>
        </is>
      </c>
      <c r="I337" s="19" t="inlineStr">
        <is>
          <t>El agente fuera de especificación va a regeneración o destrucción por gestor habilitado · 9.4.12 tabla 3</t>
        </is>
      </c>
      <c r="J337" s="39" t="inlineStr">
        <is>
          <t>Sí</t>
        </is>
      </c>
      <c r="K337" s="19" t="inlineStr">
        <is>
          <t>-</t>
        </is>
      </c>
      <c r="L337" s="19" t="inlineStr">
        <is>
          <t>-</t>
        </is>
      </c>
    </row>
    <row r="338">
      <c r="A338" s="32" t="inlineStr">
        <is>
          <t>RK-HCFCHFC5-B</t>
        </is>
      </c>
      <c r="B338" s="32" t="inlineStr">
        <is>
          <t>FL_MAT_HCFC-HFC_5kg</t>
        </is>
      </c>
      <c r="C338" s="32" t="inlineStr">
        <is>
          <t>Extintor HCFC/HFC 5 kg</t>
        </is>
      </c>
      <c r="D338" s="17" t="inlineStr">
        <is>
          <t>B - Mantenimiento con vaciado (control interior, PH)</t>
        </is>
      </c>
      <c r="E338" s="17" t="inlineStr">
        <is>
          <t>Precinto plástico numerado, color, con nombre del recargador</t>
        </is>
      </c>
      <c r="F338" s="32" t="n">
        <v>1</v>
      </c>
      <c r="G338" s="32" t="inlineStr">
        <is>
          <t>u</t>
        </is>
      </c>
      <c r="H338" s="17" t="inlineStr">
        <is>
          <t>Nuevo</t>
        </is>
      </c>
      <c r="I338" s="17" t="inlineStr">
        <is>
          <t>IRAM 3517-2:2020 9.4.13</t>
        </is>
      </c>
      <c r="J338" s="32" t="inlineStr">
        <is>
          <t>Sí</t>
        </is>
      </c>
      <c r="K338" s="17" t="inlineStr">
        <is>
          <t>SonFuertes (vía Papelera Damián)</t>
        </is>
      </c>
      <c r="L338" s="17" t="inlineStr">
        <is>
          <t>Precinter S.R.L.</t>
        </is>
      </c>
    </row>
    <row r="339">
      <c r="A339" s="32" t="inlineStr">
        <is>
          <t>RK-HCFCHFC5-B</t>
        </is>
      </c>
      <c r="B339" s="32" t="inlineStr">
        <is>
          <t>FL_MAT_HCFC-HFC_5kg</t>
        </is>
      </c>
      <c r="C339" s="32" t="inlineStr">
        <is>
          <t>Extintor HCFC/HFC 5 kg</t>
        </is>
      </c>
      <c r="D339" s="17" t="inlineStr">
        <is>
          <t>B - Mantenimiento con vaciado (control interior, PH)</t>
        </is>
      </c>
      <c r="E339" s="17" t="inlineStr">
        <is>
          <t>Marbete (anillo, color del año)</t>
        </is>
      </c>
      <c r="F339" s="32" t="n">
        <v>1</v>
      </c>
      <c r="G339" s="32" t="inlineStr">
        <is>
          <t>u</t>
        </is>
      </c>
      <c r="H339" s="17" t="inlineStr">
        <is>
          <t>Nuevo</t>
        </is>
      </c>
      <c r="I339" s="17" t="inlineStr">
        <is>
          <t>IRAM 3517-2:2020 9.6 · anexo E</t>
        </is>
      </c>
      <c r="J339" s="32" t="inlineStr">
        <is>
          <t>Sí</t>
        </is>
      </c>
      <c r="K339" s="17" t="inlineStr">
        <is>
          <t>Astuprint</t>
        </is>
      </c>
      <c r="L339" s="17" t="inlineStr">
        <is>
          <t>Multilabel Argentina S.A.</t>
        </is>
      </c>
    </row>
    <row r="340">
      <c r="A340" s="32" t="inlineStr">
        <is>
          <t>RK-HCFCHFC5-B</t>
        </is>
      </c>
      <c r="B340" s="32" t="inlineStr">
        <is>
          <t>FL_MAT_HCFC-HFC_5kg</t>
        </is>
      </c>
      <c r="C340" s="32" t="inlineStr">
        <is>
          <t>Extintor HCFC/HFC 5 kg</t>
        </is>
      </c>
      <c r="D340" s="17" t="inlineStr">
        <is>
          <t>B - Mantenimiento con vaciado (control interior, PH)</t>
        </is>
      </c>
      <c r="E340" s="17" t="inlineStr">
        <is>
          <t>Etiqueta de servicio del recargador (extintor n°, serie, próxima recarga y PH)</t>
        </is>
      </c>
      <c r="F340" s="32" t="n">
        <v>1</v>
      </c>
      <c r="G340" s="32" t="inlineStr">
        <is>
          <t>u</t>
        </is>
      </c>
      <c r="H340" s="17" t="inlineStr">
        <is>
          <t>Nuevo</t>
        </is>
      </c>
      <c r="I340" s="17" t="inlineStr">
        <is>
          <t>IRAM 3517-2:2020 9.4.14 · relevado Suyai/Firegram</t>
        </is>
      </c>
      <c r="J340" s="32" t="inlineStr">
        <is>
          <t>Sí</t>
        </is>
      </c>
      <c r="K340" s="17" t="inlineStr">
        <is>
          <t>Astuprint</t>
        </is>
      </c>
      <c r="L340" s="17" t="inlineStr">
        <is>
          <t>Multilabel Argentina S.A.</t>
        </is>
      </c>
    </row>
    <row r="341">
      <c r="A341" s="32" t="inlineStr">
        <is>
          <t>RK-HCFCHFC5-B</t>
        </is>
      </c>
      <c r="B341" s="32" t="inlineStr">
        <is>
          <t>FL_MAT_HCFC-HFC_5kg</t>
        </is>
      </c>
      <c r="C341" s="32" t="inlineStr">
        <is>
          <t>Extintor HCFC/HFC 5 kg</t>
        </is>
      </c>
      <c r="D341" s="17" t="inlineStr">
        <is>
          <t>B - Mantenimiento con vaciado (control interior, PH)</t>
        </is>
      </c>
      <c r="E341" s="17" t="inlineStr">
        <is>
          <t>Oblea PBA de recarga Ø46 + estampilla precinto 1" × 200 mm válvula-cuerpo</t>
        </is>
      </c>
      <c r="F341" s="32" t="n">
        <v>1</v>
      </c>
      <c r="G341" s="32" t="inlineStr">
        <is>
          <t>u</t>
        </is>
      </c>
      <c r="H341" s="17" t="inlineStr">
        <is>
          <t>Nuevo (venta en PBA)</t>
        </is>
      </c>
      <c r="I341" s="17" t="inlineStr">
        <is>
          <t>IRAM 3517-2:2020 Res. OPDS 522/07</t>
        </is>
      </c>
      <c r="J341" s="32" t="inlineStr">
        <is>
          <t>Sí</t>
        </is>
      </c>
      <c r="K341" s="17" t="inlineStr">
        <is>
          <t>Ministerio de Ambiente PBA (ex OPDS)</t>
        </is>
      </c>
      <c r="L341" s="17" t="inlineStr">
        <is>
          <t>-</t>
        </is>
      </c>
    </row>
    <row r="342">
      <c r="A342" s="32" t="inlineStr">
        <is>
          <t>RK-HCFCHFC5-B</t>
        </is>
      </c>
      <c r="B342" s="32" t="inlineStr">
        <is>
          <t>FL_MAT_HCFC-HFC_5kg</t>
        </is>
      </c>
      <c r="C342" s="32" t="inlineStr">
        <is>
          <t>Extintor HCFC/HFC 5 kg</t>
        </is>
      </c>
      <c r="D342" s="17" t="inlineStr">
        <is>
          <t>B - Mantenimiento con vaciado (control interior, PH)</t>
        </is>
      </c>
      <c r="E342" s="17" t="inlineStr">
        <is>
          <t>Tarjeta de identificación AGC (módulo papel con QR + etiqueta AGC)</t>
        </is>
      </c>
      <c r="F342" s="32" t="n">
        <v>1</v>
      </c>
      <c r="G342" s="32" t="inlineStr">
        <is>
          <t>u</t>
        </is>
      </c>
      <c r="H342" s="17" t="inlineStr">
        <is>
          <t>Nuevo (destino CABA)</t>
        </is>
      </c>
      <c r="I342" s="17" t="inlineStr">
        <is>
          <t>IRAM 3517-2:2020 Ord. 40.473 art. 6 · Res. AGC 32/15</t>
        </is>
      </c>
      <c r="J342" s="32" t="inlineStr">
        <is>
          <t>Sí</t>
        </is>
      </c>
      <c r="K342" s="17" t="inlineStr">
        <is>
          <t>Agencia Gubernamental de Control (CABA)</t>
        </is>
      </c>
      <c r="L342" s="17" t="inlineStr">
        <is>
          <t>-</t>
        </is>
      </c>
    </row>
    <row r="343">
      <c r="A343" s="32" t="inlineStr">
        <is>
          <t>RK-HCFCHFC5-B</t>
        </is>
      </c>
      <c r="B343" s="32" t="inlineStr">
        <is>
          <t>FL_MAT_HCFC-HFC_5kg</t>
        </is>
      </c>
      <c r="C343" s="32" t="inlineStr">
        <is>
          <t>Extintor HCFC/HFC 5 kg</t>
        </is>
      </c>
      <c r="D343" s="17" t="inlineStr">
        <is>
          <t>B - Mantenimiento con vaciado (control interior, PH)</t>
        </is>
      </c>
      <c r="E343" s="17" t="inlineStr">
        <is>
          <t>Tarjeta de identificación DPS de revisión / recarga</t>
        </is>
      </c>
      <c r="F343" s="32" t="n">
        <v>1</v>
      </c>
      <c r="G343" s="32" t="inlineStr">
        <is>
          <t>u</t>
        </is>
      </c>
      <c r="H343" s="17" t="inlineStr">
        <is>
          <t>Nuevo (PBA)</t>
        </is>
      </c>
      <c r="I343" s="17" t="inlineStr">
        <is>
          <t>IRAM 3517-2:2020 Res. 349/07 art. 21</t>
        </is>
      </c>
      <c r="J343" s="32" t="inlineStr">
        <is>
          <t>Sí</t>
        </is>
      </c>
      <c r="K343" s="17" t="inlineStr">
        <is>
          <t>Ministerio de Ambiente PBA (ex OPDS)</t>
        </is>
      </c>
      <c r="L343" s="17" t="inlineStr">
        <is>
          <t>-</t>
        </is>
      </c>
    </row>
    <row r="344">
      <c r="A344" s="32" t="inlineStr">
        <is>
          <t>RK-HCFCHFC5-B</t>
        </is>
      </c>
      <c r="B344" s="32" t="inlineStr">
        <is>
          <t>FL_MAT_HCFC-HFC_5kg</t>
        </is>
      </c>
      <c r="C344" s="32" t="inlineStr">
        <is>
          <t>Extintor HCFC/HFC 5 kg</t>
        </is>
      </c>
      <c r="D344" s="17" t="inlineStr">
        <is>
          <t>B - Mantenimiento con vaciado (control interior, PH)</t>
        </is>
      </c>
      <c r="E344" s="17" t="inlineStr">
        <is>
          <t>Grabado de la fecha del servicio en el tubo de pesca (lápiz vibratorio; en polvo, marcador indeleble)</t>
        </is>
      </c>
      <c r="F344" s="32" t="n">
        <v>1</v>
      </c>
      <c r="G344" s="32" t="inlineStr">
        <is>
          <t>u</t>
        </is>
      </c>
      <c r="H344" s="17" t="inlineStr">
        <is>
          <t>Proceso</t>
        </is>
      </c>
      <c r="I344" s="17" t="inlineStr">
        <is>
          <t>IRAM 3517-2:2020 Res. 349/07 art. 28</t>
        </is>
      </c>
      <c r="J344" s="32" t="inlineStr">
        <is>
          <t>No</t>
        </is>
      </c>
      <c r="K344" s="17" t="n"/>
      <c r="L344" s="17" t="n"/>
    </row>
    <row r="345">
      <c r="A345" s="32" t="inlineStr">
        <is>
          <t>RK-HCFCHFC5-B</t>
        </is>
      </c>
      <c r="B345" s="32" t="inlineStr">
        <is>
          <t>FL_MAT_HCFC-HFC_5kg</t>
        </is>
      </c>
      <c r="C345" s="32" t="inlineStr">
        <is>
          <t>Extintor HCFC/HFC 5 kg</t>
        </is>
      </c>
      <c r="D345" s="17" t="inlineStr">
        <is>
          <t>B - Mantenimiento con vaciado (control interior, PH)</t>
        </is>
      </c>
      <c r="E345" s="17" t="inlineStr">
        <is>
          <t>Si hubo PH: oblea de vencimiento de PH + «PH» y fecha grabados en el tubo de pesca (CO₂: fecha y logo estampados en la ojiva)</t>
        </is>
      </c>
      <c r="F345" s="32" t="n">
        <v>1</v>
      </c>
      <c r="G345" s="32" t="inlineStr">
        <is>
          <t>u</t>
        </is>
      </c>
      <c r="H345" s="17" t="inlineStr">
        <is>
          <t>Proceso</t>
        </is>
      </c>
      <c r="I345" s="17" t="inlineStr">
        <is>
          <t>IRAM 3517-2:2020 Res. 349/07 art. 29 · IRAM 3517-2</t>
        </is>
      </c>
      <c r="J345" s="32" t="inlineStr">
        <is>
          <t>No</t>
        </is>
      </c>
      <c r="K345" s="17" t="n"/>
      <c r="L345" s="17" t="n"/>
    </row>
    <row r="346">
      <c r="A346" s="37" t="inlineStr">
        <is>
          <t>RK-HCFCHFC5-B</t>
        </is>
      </c>
      <c r="B346" s="37" t="inlineStr">
        <is>
          <t>FL_MAT_HCFC-HFC_5kg</t>
        </is>
      </c>
      <c r="C346" s="37" t="inlineStr">
        <is>
          <t>Extintor HCFC/HFC 5 kg</t>
        </is>
      </c>
      <c r="D346" s="18" t="inlineStr">
        <is>
          <t>B - Mantenimiento con vaciado (control interior, PH)</t>
        </is>
      </c>
      <c r="E346" s="18" t="inlineStr">
        <is>
          <t>Junta tórica de asiento del cuello</t>
        </is>
      </c>
      <c r="F346" s="37" t="n">
        <v>1</v>
      </c>
      <c r="G346" s="37" t="inlineStr">
        <is>
          <t>u</t>
        </is>
      </c>
      <c r="H346" s="18" t="inlineStr">
        <is>
          <t>Nuevo (R: cambio sistemático)</t>
        </is>
      </c>
      <c r="I346" s="18" t="inlineStr"/>
      <c r="J346" s="37" t="inlineStr">
        <is>
          <t>Sí</t>
        </is>
      </c>
      <c r="K346" s="18" t="inlineStr">
        <is>
          <t>Argensold</t>
        </is>
      </c>
      <c r="L346" s="18" t="inlineStr">
        <is>
          <t>Matafuegos Iglesias</t>
        </is>
      </c>
    </row>
    <row r="347">
      <c r="A347" s="32" t="inlineStr">
        <is>
          <t>RK-HCFCHFC5-B</t>
        </is>
      </c>
      <c r="B347" s="32" t="inlineStr">
        <is>
          <t>FL_MAT_HCFC-HFC_5kg</t>
        </is>
      </c>
      <c r="C347" s="32" t="inlineStr">
        <is>
          <t>Extintor HCFC/HFC 5 kg</t>
        </is>
      </c>
      <c r="D347" s="17" t="inlineStr">
        <is>
          <t>B - Mantenimiento con vaciado (control interior, PH)</t>
        </is>
      </c>
      <c r="E347" s="17" t="inlineStr">
        <is>
          <t>Gas impulsor: Argón</t>
        </is>
      </c>
      <c r="F347" s="32" t="n">
        <v>0.0388</v>
      </c>
      <c r="G347" s="32" t="inlineStr">
        <is>
          <t>kg</t>
        </is>
      </c>
      <c r="H347" s="17" t="inlineStr">
        <is>
          <t>Nuevo</t>
        </is>
      </c>
      <c r="I347" s="17" t="inlineStr">
        <is>
          <t>IRAM 3517-2:2020 9.4.9 tabla 2</t>
        </is>
      </c>
      <c r="J347" s="32" t="inlineStr">
        <is>
          <t>Sí</t>
        </is>
      </c>
      <c r="K347" s="17" t="inlineStr">
        <is>
          <t>Air Liquide Argentina - sucursal Piñeyro</t>
        </is>
      </c>
      <c r="L347" s="17" t="inlineStr">
        <is>
          <t>Gogniat</t>
        </is>
      </c>
    </row>
    <row r="348">
      <c r="A348" s="32" t="inlineStr">
        <is>
          <t>RK-HCFCHFC5-I</t>
        </is>
      </c>
      <c r="B348" s="32" t="inlineStr">
        <is>
          <t>FL_MAT_HCFC-HFC_5kg</t>
        </is>
      </c>
      <c r="C348" s="32" t="inlineStr">
        <is>
          <t>Extintor HCFC/HFC 5 kg</t>
        </is>
      </c>
      <c r="D348" s="17" t="inlineStr">
        <is>
          <t>Según inspección (consumo estadístico a definir)</t>
        </is>
      </c>
      <c r="E348" s="17" t="inlineStr">
        <is>
          <t>Manómetro / manguera / tobera / kit de válvula</t>
        </is>
      </c>
      <c r="F348" s="32" t="inlineStr">
        <is>
          <t>-</t>
        </is>
      </c>
      <c r="G348" s="32" t="inlineStr">
        <is>
          <t>u</t>
        </is>
      </c>
      <c r="H348" s="17" t="inlineStr">
        <is>
          <t>Recambio sólo si falla</t>
        </is>
      </c>
      <c r="I348" s="17" t="inlineStr">
        <is>
          <t>IRAM 3517-2:2020 9.4.11 (cada manguera vuelve a su extintor)</t>
        </is>
      </c>
      <c r="J348" s="32" t="inlineStr">
        <is>
          <t>Sí</t>
        </is>
      </c>
      <c r="K348" s="17" t="inlineStr">
        <is>
          <t>Polvex S.R.L. / Sancibrao</t>
        </is>
      </c>
      <c r="L348" s="17" t="inlineStr">
        <is>
          <t>Yukon / MatafuegosYa S.R.L.</t>
        </is>
      </c>
    </row>
    <row r="349">
      <c r="A349" s="41" t="inlineStr">
        <is>
          <t>RK-CLASED9-A</t>
        </is>
      </c>
      <c r="B349" s="41" t="inlineStr">
        <is>
          <t>FL_MAT_CLASED_9l</t>
        </is>
      </c>
      <c r="C349" s="41" t="inlineStr">
        <is>
          <t>Extintor Clase D 9 l</t>
        </is>
      </c>
      <c r="D349" s="42" t="inlineStr">
        <is>
          <t>A - Extintor descargado (uso o descarga parcial)</t>
        </is>
      </c>
      <c r="E349" s="42" t="inlineStr">
        <is>
          <t>Polvo para metales combustibles clase D</t>
        </is>
      </c>
      <c r="F349" s="41" t="n">
        <v>9.15</v>
      </c>
      <c r="G349" s="41" t="inlineStr">
        <is>
          <t>kg</t>
        </is>
      </c>
      <c r="H349" s="42" t="inlineStr">
        <is>
          <t>Nuevo 100 %</t>
        </is>
      </c>
      <c r="I349" s="42" t="inlineStr">
        <is>
          <t>IRAM 3517-2:2020 9.9.1.4: el polvo de un extintor accionado no se reutiliza</t>
        </is>
      </c>
      <c r="J349" s="41" t="inlineStr">
        <is>
          <t>Sí</t>
        </is>
      </c>
      <c r="K349" s="42" t="inlineStr">
        <is>
          <t>DEM S.A. (DEMSA)</t>
        </is>
      </c>
      <c r="L349" s="42" t="inlineStr">
        <is>
          <t>-</t>
        </is>
      </c>
    </row>
    <row r="350">
      <c r="A350" s="32" t="inlineStr">
        <is>
          <t>RK-CLASED9-A</t>
        </is>
      </c>
      <c r="B350" s="32" t="inlineStr">
        <is>
          <t>FL_MAT_CLASED_9l</t>
        </is>
      </c>
      <c r="C350" s="32" t="inlineStr">
        <is>
          <t>Extintor Clase D 9 l</t>
        </is>
      </c>
      <c r="D350" s="17" t="inlineStr">
        <is>
          <t>A - Extintor descargado (uso o descarga parcial)</t>
        </is>
      </c>
      <c r="E350" s="17" t="inlineStr">
        <is>
          <t>Precinto plástico numerado, color, con nombre del recargador</t>
        </is>
      </c>
      <c r="F350" s="32" t="n">
        <v>1</v>
      </c>
      <c r="G350" s="32" t="inlineStr">
        <is>
          <t>u</t>
        </is>
      </c>
      <c r="H350" s="17" t="inlineStr">
        <is>
          <t>Nuevo</t>
        </is>
      </c>
      <c r="I350" s="17" t="inlineStr">
        <is>
          <t>IRAM 3517-2:2020 9.4.13</t>
        </is>
      </c>
      <c r="J350" s="32" t="inlineStr">
        <is>
          <t>Sí</t>
        </is>
      </c>
      <c r="K350" s="17" t="inlineStr">
        <is>
          <t>SonFuertes (vía Papelera Damián)</t>
        </is>
      </c>
      <c r="L350" s="17" t="inlineStr">
        <is>
          <t>Precinter S.R.L.</t>
        </is>
      </c>
    </row>
    <row r="351">
      <c r="A351" s="32" t="inlineStr">
        <is>
          <t>RK-CLASED9-A</t>
        </is>
      </c>
      <c r="B351" s="32" t="inlineStr">
        <is>
          <t>FL_MAT_CLASED_9l</t>
        </is>
      </c>
      <c r="C351" s="32" t="inlineStr">
        <is>
          <t>Extintor Clase D 9 l</t>
        </is>
      </c>
      <c r="D351" s="17" t="inlineStr">
        <is>
          <t>A - Extintor descargado (uso o descarga parcial)</t>
        </is>
      </c>
      <c r="E351" s="17" t="inlineStr">
        <is>
          <t>Marbete (anillo, color del año)</t>
        </is>
      </c>
      <c r="F351" s="32" t="n">
        <v>1</v>
      </c>
      <c r="G351" s="32" t="inlineStr">
        <is>
          <t>u</t>
        </is>
      </c>
      <c r="H351" s="17" t="inlineStr">
        <is>
          <t>Nuevo</t>
        </is>
      </c>
      <c r="I351" s="17" t="inlineStr">
        <is>
          <t>IRAM 3517-2:2020 9.6 · anexo E</t>
        </is>
      </c>
      <c r="J351" s="32" t="inlineStr">
        <is>
          <t>Sí</t>
        </is>
      </c>
      <c r="K351" s="17" t="inlineStr">
        <is>
          <t>Astuprint</t>
        </is>
      </c>
      <c r="L351" s="17" t="inlineStr">
        <is>
          <t>Multilabel Argentina S.A.</t>
        </is>
      </c>
    </row>
    <row r="352">
      <c r="A352" s="32" t="inlineStr">
        <is>
          <t>RK-CLASED9-A</t>
        </is>
      </c>
      <c r="B352" s="32" t="inlineStr">
        <is>
          <t>FL_MAT_CLASED_9l</t>
        </is>
      </c>
      <c r="C352" s="32" t="inlineStr">
        <is>
          <t>Extintor Clase D 9 l</t>
        </is>
      </c>
      <c r="D352" s="17" t="inlineStr">
        <is>
          <t>A - Extintor descargado (uso o descarga parcial)</t>
        </is>
      </c>
      <c r="E352" s="17" t="inlineStr">
        <is>
          <t>Etiqueta de servicio del recargador (extintor n°, serie, próxima recarga y PH)</t>
        </is>
      </c>
      <c r="F352" s="32" t="n">
        <v>1</v>
      </c>
      <c r="G352" s="32" t="inlineStr">
        <is>
          <t>u</t>
        </is>
      </c>
      <c r="H352" s="17" t="inlineStr">
        <is>
          <t>Nuevo</t>
        </is>
      </c>
      <c r="I352" s="17" t="inlineStr">
        <is>
          <t>IRAM 3517-2:2020 9.4.14 · relevado Suyai/Firegram</t>
        </is>
      </c>
      <c r="J352" s="32" t="inlineStr">
        <is>
          <t>Sí</t>
        </is>
      </c>
      <c r="K352" s="17" t="inlineStr">
        <is>
          <t>Astuprint</t>
        </is>
      </c>
      <c r="L352" s="17" t="inlineStr">
        <is>
          <t>Multilabel Argentina S.A.</t>
        </is>
      </c>
    </row>
    <row r="353">
      <c r="A353" s="32" t="inlineStr">
        <is>
          <t>RK-CLASED9-A</t>
        </is>
      </c>
      <c r="B353" s="32" t="inlineStr">
        <is>
          <t>FL_MAT_CLASED_9l</t>
        </is>
      </c>
      <c r="C353" s="32" t="inlineStr">
        <is>
          <t>Extintor Clase D 9 l</t>
        </is>
      </c>
      <c r="D353" s="17" t="inlineStr">
        <is>
          <t>A - Extintor descargado (uso o descarga parcial)</t>
        </is>
      </c>
      <c r="E353" s="17" t="inlineStr">
        <is>
          <t>Oblea PBA de recarga Ø46 + estampilla precinto 1" × 200 mm válvula-cuerpo</t>
        </is>
      </c>
      <c r="F353" s="32" t="n">
        <v>1</v>
      </c>
      <c r="G353" s="32" t="inlineStr">
        <is>
          <t>u</t>
        </is>
      </c>
      <c r="H353" s="17" t="inlineStr">
        <is>
          <t>Nuevo (venta en PBA)</t>
        </is>
      </c>
      <c r="I353" s="17" t="inlineStr">
        <is>
          <t>IRAM 3517-2:2020 Res. OPDS 522/07</t>
        </is>
      </c>
      <c r="J353" s="32" t="inlineStr">
        <is>
          <t>Sí</t>
        </is>
      </c>
      <c r="K353" s="17" t="inlineStr">
        <is>
          <t>Ministerio de Ambiente PBA (ex OPDS)</t>
        </is>
      </c>
      <c r="L353" s="17" t="inlineStr">
        <is>
          <t>-</t>
        </is>
      </c>
    </row>
    <row r="354">
      <c r="A354" s="32" t="inlineStr">
        <is>
          <t>RK-CLASED9-A</t>
        </is>
      </c>
      <c r="B354" s="32" t="inlineStr">
        <is>
          <t>FL_MAT_CLASED_9l</t>
        </is>
      </c>
      <c r="C354" s="32" t="inlineStr">
        <is>
          <t>Extintor Clase D 9 l</t>
        </is>
      </c>
      <c r="D354" s="17" t="inlineStr">
        <is>
          <t>A - Extintor descargado (uso o descarga parcial)</t>
        </is>
      </c>
      <c r="E354" s="17" t="inlineStr">
        <is>
          <t>Tarjeta de identificación AGC (módulo papel con QR + etiqueta AGC)</t>
        </is>
      </c>
      <c r="F354" s="32" t="n">
        <v>1</v>
      </c>
      <c r="G354" s="32" t="inlineStr">
        <is>
          <t>u</t>
        </is>
      </c>
      <c r="H354" s="17" t="inlineStr">
        <is>
          <t>Nuevo (destino CABA)</t>
        </is>
      </c>
      <c r="I354" s="17" t="inlineStr">
        <is>
          <t>IRAM 3517-2:2020 Ord. 40.473 art. 6 · Res. AGC 32/15</t>
        </is>
      </c>
      <c r="J354" s="32" t="inlineStr">
        <is>
          <t>Sí</t>
        </is>
      </c>
      <c r="K354" s="17" t="inlineStr">
        <is>
          <t>Agencia Gubernamental de Control (CABA)</t>
        </is>
      </c>
      <c r="L354" s="17" t="inlineStr">
        <is>
          <t>-</t>
        </is>
      </c>
    </row>
    <row r="355">
      <c r="A355" s="32" t="inlineStr">
        <is>
          <t>RK-CLASED9-A</t>
        </is>
      </c>
      <c r="B355" s="32" t="inlineStr">
        <is>
          <t>FL_MAT_CLASED_9l</t>
        </is>
      </c>
      <c r="C355" s="32" t="inlineStr">
        <is>
          <t>Extintor Clase D 9 l</t>
        </is>
      </c>
      <c r="D355" s="17" t="inlineStr">
        <is>
          <t>A - Extintor descargado (uso o descarga parcial)</t>
        </is>
      </c>
      <c r="E355" s="17" t="inlineStr">
        <is>
          <t>Tarjeta de identificación DPS de revisión / recarga</t>
        </is>
      </c>
      <c r="F355" s="32" t="n">
        <v>1</v>
      </c>
      <c r="G355" s="32" t="inlineStr">
        <is>
          <t>u</t>
        </is>
      </c>
      <c r="H355" s="17" t="inlineStr">
        <is>
          <t>Nuevo (PBA)</t>
        </is>
      </c>
      <c r="I355" s="17" t="inlineStr">
        <is>
          <t>IRAM 3517-2:2020 Res. 349/07 art. 21</t>
        </is>
      </c>
      <c r="J355" s="32" t="inlineStr">
        <is>
          <t>Sí</t>
        </is>
      </c>
      <c r="K355" s="17" t="inlineStr">
        <is>
          <t>Ministerio de Ambiente PBA (ex OPDS)</t>
        </is>
      </c>
      <c r="L355" s="17" t="inlineStr">
        <is>
          <t>-</t>
        </is>
      </c>
    </row>
    <row r="356">
      <c r="A356" s="32" t="inlineStr">
        <is>
          <t>RK-CLASED9-A</t>
        </is>
      </c>
      <c r="B356" s="32" t="inlineStr">
        <is>
          <t>FL_MAT_CLASED_9l</t>
        </is>
      </c>
      <c r="C356" s="32" t="inlineStr">
        <is>
          <t>Extintor Clase D 9 l</t>
        </is>
      </c>
      <c r="D356" s="17" t="inlineStr">
        <is>
          <t>A - Extintor descargado (uso o descarga parcial)</t>
        </is>
      </c>
      <c r="E356" s="17" t="inlineStr">
        <is>
          <t>Grabado de la fecha del servicio en el tubo de pesca (lápiz vibratorio; en polvo, marcador indeleble)</t>
        </is>
      </c>
      <c r="F356" s="32" t="n">
        <v>1</v>
      </c>
      <c r="G356" s="32" t="inlineStr">
        <is>
          <t>u</t>
        </is>
      </c>
      <c r="H356" s="17" t="inlineStr">
        <is>
          <t>Proceso</t>
        </is>
      </c>
      <c r="I356" s="17" t="inlineStr">
        <is>
          <t>IRAM 3517-2:2020 Res. 349/07 art. 28</t>
        </is>
      </c>
      <c r="J356" s="32" t="inlineStr">
        <is>
          <t>No</t>
        </is>
      </c>
      <c r="K356" s="17" t="n"/>
      <c r="L356" s="17" t="n"/>
    </row>
    <row r="357">
      <c r="A357" s="32" t="inlineStr">
        <is>
          <t>RK-CLASED9-A</t>
        </is>
      </c>
      <c r="B357" s="32" t="inlineStr">
        <is>
          <t>FL_MAT_CLASED_9l</t>
        </is>
      </c>
      <c r="C357" s="32" t="inlineStr">
        <is>
          <t>Extintor Clase D 9 l</t>
        </is>
      </c>
      <c r="D357" s="17" t="inlineStr">
        <is>
          <t>A - Extintor descargado (uso o descarga parcial)</t>
        </is>
      </c>
      <c r="E357" s="17" t="inlineStr">
        <is>
          <t>Si hubo PH: oblea de vencimiento de PH + «PH» y fecha grabados en el tubo de pesca (CO₂: fecha y logo estampados en la ojiva)</t>
        </is>
      </c>
      <c r="F357" s="32" t="n">
        <v>1</v>
      </c>
      <c r="G357" s="32" t="inlineStr">
        <is>
          <t>u</t>
        </is>
      </c>
      <c r="H357" s="17" t="inlineStr">
        <is>
          <t>Proceso</t>
        </is>
      </c>
      <c r="I357" s="17" t="inlineStr">
        <is>
          <t>IRAM 3517-2:2020 Res. 349/07 art. 29 · IRAM 3517-2</t>
        </is>
      </c>
      <c r="J357" s="32" t="inlineStr">
        <is>
          <t>No</t>
        </is>
      </c>
      <c r="K357" s="17" t="n"/>
      <c r="L357" s="17" t="n"/>
    </row>
    <row r="358">
      <c r="A358" s="37" t="inlineStr">
        <is>
          <t>RK-CLASED9-A</t>
        </is>
      </c>
      <c r="B358" s="37" t="inlineStr">
        <is>
          <t>FL_MAT_CLASED_9l</t>
        </is>
      </c>
      <c r="C358" s="37" t="inlineStr">
        <is>
          <t>Extintor Clase D 9 l</t>
        </is>
      </c>
      <c r="D358" s="18" t="inlineStr">
        <is>
          <t>A - Extintor descargado (uso o descarga parcial)</t>
        </is>
      </c>
      <c r="E358" s="18" t="inlineStr">
        <is>
          <t>Junta tórica de asiento del cuello</t>
        </is>
      </c>
      <c r="F358" s="37" t="n">
        <v>1</v>
      </c>
      <c r="G358" s="37" t="inlineStr">
        <is>
          <t>u</t>
        </is>
      </c>
      <c r="H358" s="18" t="inlineStr">
        <is>
          <t>Nuevo (R: cambio sistemático)</t>
        </is>
      </c>
      <c r="I358" s="18" t="inlineStr"/>
      <c r="J358" s="37" t="inlineStr">
        <is>
          <t>Sí</t>
        </is>
      </c>
      <c r="K358" s="18" t="inlineStr">
        <is>
          <t>Argensold</t>
        </is>
      </c>
      <c r="L358" s="18" t="inlineStr">
        <is>
          <t>Matafuegos Iglesias</t>
        </is>
      </c>
    </row>
    <row r="359">
      <c r="A359" s="32" t="inlineStr">
        <is>
          <t>RK-CLASED9-A</t>
        </is>
      </c>
      <c r="B359" s="32" t="inlineStr">
        <is>
          <t>FL_MAT_CLASED_9l</t>
        </is>
      </c>
      <c r="C359" s="32" t="inlineStr">
        <is>
          <t>Extintor Clase D 9 l</t>
        </is>
      </c>
      <c r="D359" s="17" t="inlineStr">
        <is>
          <t>A - Extintor descargado (uso o descarga parcial)</t>
        </is>
      </c>
      <c r="E359" s="17" t="inlineStr">
        <is>
          <t>Gas impulsor: N₂</t>
        </is>
      </c>
      <c r="F359" s="32" t="n">
        <v>0.0604</v>
      </c>
      <c r="G359" s="32" t="inlineStr">
        <is>
          <t>kg</t>
        </is>
      </c>
      <c r="H359" s="17" t="inlineStr">
        <is>
          <t>Nuevo</t>
        </is>
      </c>
      <c r="I359" s="17" t="inlineStr">
        <is>
          <t>IRAM 3517-2:2020 9.4.9 tabla 2</t>
        </is>
      </c>
      <c r="J359" s="32" t="inlineStr">
        <is>
          <t>Sí</t>
        </is>
      </c>
      <c r="K359" s="17" t="inlineStr">
        <is>
          <t>Air Liquide Argentina - sucursal Piñeyro</t>
        </is>
      </c>
      <c r="L359" s="17" t="inlineStr">
        <is>
          <t>Gogniat</t>
        </is>
      </c>
    </row>
    <row r="360">
      <c r="A360" s="32" t="inlineStr">
        <is>
          <t>RK-CLASED9-B</t>
        </is>
      </c>
      <c r="B360" s="32" t="inlineStr">
        <is>
          <t>FL_MAT_CLASED_9l</t>
        </is>
      </c>
      <c r="C360" s="32" t="inlineStr">
        <is>
          <t>Extintor Clase D 9 l</t>
        </is>
      </c>
      <c r="D360" s="17" t="inlineStr">
        <is>
          <t>B - Mantenimiento con apertura sin descarga (control interior, PH)</t>
        </is>
      </c>
      <c r="E360" s="17" t="inlineStr">
        <is>
          <t>Polvo para metales combustibles clase D recuperado</t>
        </is>
      </c>
      <c r="F360" s="32" t="n">
        <v>9</v>
      </c>
      <c r="G360" s="32" t="inlineStr">
        <is>
          <t>kg</t>
        </is>
      </c>
      <c r="H360" s="17" t="inlineStr">
        <is>
          <t>Recuperado en sistema cerrado</t>
        </is>
      </c>
      <c r="I360" s="17" t="inlineStr">
        <is>
          <t>IRAM 3517-2:2020 4.4.1 y) sistema cerrado de recuperación con inspección; 9.9.3 control (puffer IRAM 3672, fusión IRAM 3569 en ABC)</t>
        </is>
      </c>
      <c r="J360" s="32" t="inlineStr">
        <is>
          <t>No</t>
        </is>
      </c>
      <c r="K360" s="17" t="n"/>
      <c r="L360" s="17" t="n"/>
    </row>
    <row r="361">
      <c r="A361" s="41" t="inlineStr">
        <is>
          <t>RK-CLASED9-B</t>
        </is>
      </c>
      <c r="B361" s="41" t="inlineStr">
        <is>
          <t>FL_MAT_CLASED_9l</t>
        </is>
      </c>
      <c r="C361" s="41" t="inlineStr">
        <is>
          <t>Extintor Clase D 9 l</t>
        </is>
      </c>
      <c r="D361" s="42" t="inlineStr">
        <is>
          <t>B - Mantenimiento con apertura sin descarga (control interior, PH)</t>
        </is>
      </c>
      <c r="E361" s="42" t="inlineStr">
        <is>
          <t>Polvo para metales combustibles clase D</t>
        </is>
      </c>
      <c r="F361" s="41" t="n">
        <v>0.15</v>
      </c>
      <c r="G361" s="41" t="inlineStr">
        <is>
          <t>kg</t>
        </is>
      </c>
      <c r="H361" s="42" t="inlineStr">
        <is>
          <t>Nuevo: reposición = carga objetivo − límite inferior de 0 / +300 g (cota superior)</t>
        </is>
      </c>
      <c r="I361" s="42" t="inlineStr">
        <is>
          <t>IRAM 3517-2:2020 9.4.12 tabla 3 · anexo F; mismo tipo y marca (prohibido mezclar ABC con BC, 9.9.1.6)</t>
        </is>
      </c>
      <c r="J361" s="41" t="inlineStr">
        <is>
          <t>Sí</t>
        </is>
      </c>
      <c r="K361" s="42" t="inlineStr">
        <is>
          <t>DEM S.A. (DEMSA)</t>
        </is>
      </c>
      <c r="L361" s="42" t="inlineStr">
        <is>
          <t>-</t>
        </is>
      </c>
    </row>
    <row r="362">
      <c r="A362" s="32" t="inlineStr">
        <is>
          <t>RK-CLASED9-B</t>
        </is>
      </c>
      <c r="B362" s="32" t="inlineStr">
        <is>
          <t>FL_MAT_CLASED_9l</t>
        </is>
      </c>
      <c r="C362" s="32" t="inlineStr">
        <is>
          <t>Extintor Clase D 9 l</t>
        </is>
      </c>
      <c r="D362" s="17" t="inlineStr">
        <is>
          <t>B - Mantenimiento con apertura sin descarga (control interior, PH)</t>
        </is>
      </c>
      <c r="E362" s="17" t="inlineStr">
        <is>
          <t>Precinto plástico numerado, color, con nombre del recargador</t>
        </is>
      </c>
      <c r="F362" s="32" t="n">
        <v>1</v>
      </c>
      <c r="G362" s="32" t="inlineStr">
        <is>
          <t>u</t>
        </is>
      </c>
      <c r="H362" s="17" t="inlineStr">
        <is>
          <t>Nuevo</t>
        </is>
      </c>
      <c r="I362" s="17" t="inlineStr">
        <is>
          <t>IRAM 3517-2:2020 9.4.13</t>
        </is>
      </c>
      <c r="J362" s="32" t="inlineStr">
        <is>
          <t>Sí</t>
        </is>
      </c>
      <c r="K362" s="17" t="inlineStr">
        <is>
          <t>SonFuertes (vía Papelera Damián)</t>
        </is>
      </c>
      <c r="L362" s="17" t="inlineStr">
        <is>
          <t>Precinter S.R.L.</t>
        </is>
      </c>
    </row>
    <row r="363">
      <c r="A363" s="32" t="inlineStr">
        <is>
          <t>RK-CLASED9-B</t>
        </is>
      </c>
      <c r="B363" s="32" t="inlineStr">
        <is>
          <t>FL_MAT_CLASED_9l</t>
        </is>
      </c>
      <c r="C363" s="32" t="inlineStr">
        <is>
          <t>Extintor Clase D 9 l</t>
        </is>
      </c>
      <c r="D363" s="17" t="inlineStr">
        <is>
          <t>B - Mantenimiento con apertura sin descarga (control interior, PH)</t>
        </is>
      </c>
      <c r="E363" s="17" t="inlineStr">
        <is>
          <t>Marbete (anillo, color del año)</t>
        </is>
      </c>
      <c r="F363" s="32" t="n">
        <v>1</v>
      </c>
      <c r="G363" s="32" t="inlineStr">
        <is>
          <t>u</t>
        </is>
      </c>
      <c r="H363" s="17" t="inlineStr">
        <is>
          <t>Nuevo</t>
        </is>
      </c>
      <c r="I363" s="17" t="inlineStr">
        <is>
          <t>IRAM 3517-2:2020 9.6 · anexo E</t>
        </is>
      </c>
      <c r="J363" s="32" t="inlineStr">
        <is>
          <t>Sí</t>
        </is>
      </c>
      <c r="K363" s="17" t="inlineStr">
        <is>
          <t>Astuprint</t>
        </is>
      </c>
      <c r="L363" s="17" t="inlineStr">
        <is>
          <t>Multilabel Argentina S.A.</t>
        </is>
      </c>
    </row>
    <row r="364">
      <c r="A364" s="32" t="inlineStr">
        <is>
          <t>RK-CLASED9-B</t>
        </is>
      </c>
      <c r="B364" s="32" t="inlineStr">
        <is>
          <t>FL_MAT_CLASED_9l</t>
        </is>
      </c>
      <c r="C364" s="32" t="inlineStr">
        <is>
          <t>Extintor Clase D 9 l</t>
        </is>
      </c>
      <c r="D364" s="17" t="inlineStr">
        <is>
          <t>B - Mantenimiento con apertura sin descarga (control interior, PH)</t>
        </is>
      </c>
      <c r="E364" s="17" t="inlineStr">
        <is>
          <t>Etiqueta de servicio del recargador (extintor n°, serie, próxima recarga y PH)</t>
        </is>
      </c>
      <c r="F364" s="32" t="n">
        <v>1</v>
      </c>
      <c r="G364" s="32" t="inlineStr">
        <is>
          <t>u</t>
        </is>
      </c>
      <c r="H364" s="17" t="inlineStr">
        <is>
          <t>Nuevo</t>
        </is>
      </c>
      <c r="I364" s="17" t="inlineStr">
        <is>
          <t>IRAM 3517-2:2020 9.4.14 · relevado Suyai/Firegram</t>
        </is>
      </c>
      <c r="J364" s="32" t="inlineStr">
        <is>
          <t>Sí</t>
        </is>
      </c>
      <c r="K364" s="17" t="inlineStr">
        <is>
          <t>Astuprint</t>
        </is>
      </c>
      <c r="L364" s="17" t="inlineStr">
        <is>
          <t>Multilabel Argentina S.A.</t>
        </is>
      </c>
    </row>
    <row r="365">
      <c r="A365" s="32" t="inlineStr">
        <is>
          <t>RK-CLASED9-B</t>
        </is>
      </c>
      <c r="B365" s="32" t="inlineStr">
        <is>
          <t>FL_MAT_CLASED_9l</t>
        </is>
      </c>
      <c r="C365" s="32" t="inlineStr">
        <is>
          <t>Extintor Clase D 9 l</t>
        </is>
      </c>
      <c r="D365" s="17" t="inlineStr">
        <is>
          <t>B - Mantenimiento con apertura sin descarga (control interior, PH)</t>
        </is>
      </c>
      <c r="E365" s="17" t="inlineStr">
        <is>
          <t>Oblea PBA de recarga Ø46 + estampilla precinto 1" × 200 mm válvula-cuerpo</t>
        </is>
      </c>
      <c r="F365" s="32" t="n">
        <v>1</v>
      </c>
      <c r="G365" s="32" t="inlineStr">
        <is>
          <t>u</t>
        </is>
      </c>
      <c r="H365" s="17" t="inlineStr">
        <is>
          <t>Nuevo (venta en PBA)</t>
        </is>
      </c>
      <c r="I365" s="17" t="inlineStr">
        <is>
          <t>IRAM 3517-2:2020 Res. OPDS 522/07</t>
        </is>
      </c>
      <c r="J365" s="32" t="inlineStr">
        <is>
          <t>Sí</t>
        </is>
      </c>
      <c r="K365" s="17" t="inlineStr">
        <is>
          <t>Ministerio de Ambiente PBA (ex OPDS)</t>
        </is>
      </c>
      <c r="L365" s="17" t="inlineStr">
        <is>
          <t>-</t>
        </is>
      </c>
    </row>
    <row r="366">
      <c r="A366" s="32" t="inlineStr">
        <is>
          <t>RK-CLASED9-B</t>
        </is>
      </c>
      <c r="B366" s="32" t="inlineStr">
        <is>
          <t>FL_MAT_CLASED_9l</t>
        </is>
      </c>
      <c r="C366" s="32" t="inlineStr">
        <is>
          <t>Extintor Clase D 9 l</t>
        </is>
      </c>
      <c r="D366" s="17" t="inlineStr">
        <is>
          <t>B - Mantenimiento con apertura sin descarga (control interior, PH)</t>
        </is>
      </c>
      <c r="E366" s="17" t="inlineStr">
        <is>
          <t>Tarjeta de identificación AGC (módulo papel con QR + etiqueta AGC)</t>
        </is>
      </c>
      <c r="F366" s="32" t="n">
        <v>1</v>
      </c>
      <c r="G366" s="32" t="inlineStr">
        <is>
          <t>u</t>
        </is>
      </c>
      <c r="H366" s="17" t="inlineStr">
        <is>
          <t>Nuevo (destino CABA)</t>
        </is>
      </c>
      <c r="I366" s="17" t="inlineStr">
        <is>
          <t>IRAM 3517-2:2020 Ord. 40.473 art. 6 · Res. AGC 32/15</t>
        </is>
      </c>
      <c r="J366" s="32" t="inlineStr">
        <is>
          <t>Sí</t>
        </is>
      </c>
      <c r="K366" s="17" t="inlineStr">
        <is>
          <t>Agencia Gubernamental de Control (CABA)</t>
        </is>
      </c>
      <c r="L366" s="17" t="inlineStr">
        <is>
          <t>-</t>
        </is>
      </c>
    </row>
    <row r="367">
      <c r="A367" s="32" t="inlineStr">
        <is>
          <t>RK-CLASED9-B</t>
        </is>
      </c>
      <c r="B367" s="32" t="inlineStr">
        <is>
          <t>FL_MAT_CLASED_9l</t>
        </is>
      </c>
      <c r="C367" s="32" t="inlineStr">
        <is>
          <t>Extintor Clase D 9 l</t>
        </is>
      </c>
      <c r="D367" s="17" t="inlineStr">
        <is>
          <t>B - Mantenimiento con apertura sin descarga (control interior, PH)</t>
        </is>
      </c>
      <c r="E367" s="17" t="inlineStr">
        <is>
          <t>Tarjeta de identificación DPS de revisión / recarga</t>
        </is>
      </c>
      <c r="F367" s="32" t="n">
        <v>1</v>
      </c>
      <c r="G367" s="32" t="inlineStr">
        <is>
          <t>u</t>
        </is>
      </c>
      <c r="H367" s="17" t="inlineStr">
        <is>
          <t>Nuevo (PBA)</t>
        </is>
      </c>
      <c r="I367" s="17" t="inlineStr">
        <is>
          <t>IRAM 3517-2:2020 Res. 349/07 art. 21</t>
        </is>
      </c>
      <c r="J367" s="32" t="inlineStr">
        <is>
          <t>Sí</t>
        </is>
      </c>
      <c r="K367" s="17" t="inlineStr">
        <is>
          <t>Ministerio de Ambiente PBA (ex OPDS)</t>
        </is>
      </c>
      <c r="L367" s="17" t="inlineStr">
        <is>
          <t>-</t>
        </is>
      </c>
    </row>
    <row r="368">
      <c r="A368" s="32" t="inlineStr">
        <is>
          <t>RK-CLASED9-B</t>
        </is>
      </c>
      <c r="B368" s="32" t="inlineStr">
        <is>
          <t>FL_MAT_CLASED_9l</t>
        </is>
      </c>
      <c r="C368" s="32" t="inlineStr">
        <is>
          <t>Extintor Clase D 9 l</t>
        </is>
      </c>
      <c r="D368" s="17" t="inlineStr">
        <is>
          <t>B - Mantenimiento con apertura sin descarga (control interior, PH)</t>
        </is>
      </c>
      <c r="E368" s="17" t="inlineStr">
        <is>
          <t>Grabado de la fecha del servicio en el tubo de pesca (lápiz vibratorio; en polvo, marcador indeleble)</t>
        </is>
      </c>
      <c r="F368" s="32" t="n">
        <v>1</v>
      </c>
      <c r="G368" s="32" t="inlineStr">
        <is>
          <t>u</t>
        </is>
      </c>
      <c r="H368" s="17" t="inlineStr">
        <is>
          <t>Proceso</t>
        </is>
      </c>
      <c r="I368" s="17" t="inlineStr">
        <is>
          <t>IRAM 3517-2:2020 Res. 349/07 art. 28</t>
        </is>
      </c>
      <c r="J368" s="32" t="inlineStr">
        <is>
          <t>No</t>
        </is>
      </c>
      <c r="K368" s="17" t="n"/>
      <c r="L368" s="17" t="n"/>
    </row>
    <row r="369">
      <c r="A369" s="32" t="inlineStr">
        <is>
          <t>RK-CLASED9-B</t>
        </is>
      </c>
      <c r="B369" s="32" t="inlineStr">
        <is>
          <t>FL_MAT_CLASED_9l</t>
        </is>
      </c>
      <c r="C369" s="32" t="inlineStr">
        <is>
          <t>Extintor Clase D 9 l</t>
        </is>
      </c>
      <c r="D369" s="17" t="inlineStr">
        <is>
          <t>B - Mantenimiento con apertura sin descarga (control interior, PH)</t>
        </is>
      </c>
      <c r="E369" s="17" t="inlineStr">
        <is>
          <t>Si hubo PH: oblea de vencimiento de PH + «PH» y fecha grabados en el tubo de pesca (CO₂: fecha y logo estampados en la ojiva)</t>
        </is>
      </c>
      <c r="F369" s="32" t="n">
        <v>1</v>
      </c>
      <c r="G369" s="32" t="inlineStr">
        <is>
          <t>u</t>
        </is>
      </c>
      <c r="H369" s="17" t="inlineStr">
        <is>
          <t>Proceso</t>
        </is>
      </c>
      <c r="I369" s="17" t="inlineStr">
        <is>
          <t>IRAM 3517-2:2020 Res. 349/07 art. 29 · IRAM 3517-2</t>
        </is>
      </c>
      <c r="J369" s="32" t="inlineStr">
        <is>
          <t>No</t>
        </is>
      </c>
      <c r="K369" s="17" t="n"/>
      <c r="L369" s="17" t="n"/>
    </row>
    <row r="370">
      <c r="A370" s="37" t="inlineStr">
        <is>
          <t>RK-CLASED9-B</t>
        </is>
      </c>
      <c r="B370" s="37" t="inlineStr">
        <is>
          <t>FL_MAT_CLASED_9l</t>
        </is>
      </c>
      <c r="C370" s="37" t="inlineStr">
        <is>
          <t>Extintor Clase D 9 l</t>
        </is>
      </c>
      <c r="D370" s="18" t="inlineStr">
        <is>
          <t>B - Mantenimiento con apertura sin descarga (control interior, PH)</t>
        </is>
      </c>
      <c r="E370" s="18" t="inlineStr">
        <is>
          <t>Junta tórica de asiento del cuello</t>
        </is>
      </c>
      <c r="F370" s="37" t="n">
        <v>1</v>
      </c>
      <c r="G370" s="37" t="inlineStr">
        <is>
          <t>u</t>
        </is>
      </c>
      <c r="H370" s="18" t="inlineStr">
        <is>
          <t>Nuevo (R: cambio sistemático)</t>
        </is>
      </c>
      <c r="I370" s="18" t="inlineStr"/>
      <c r="J370" s="37" t="inlineStr">
        <is>
          <t>Sí</t>
        </is>
      </c>
      <c r="K370" s="18" t="inlineStr">
        <is>
          <t>Argensold</t>
        </is>
      </c>
      <c r="L370" s="18" t="inlineStr">
        <is>
          <t>Matafuegos Iglesias</t>
        </is>
      </c>
    </row>
    <row r="371">
      <c r="A371" s="32" t="inlineStr">
        <is>
          <t>RK-CLASED9-B</t>
        </is>
      </c>
      <c r="B371" s="32" t="inlineStr">
        <is>
          <t>FL_MAT_CLASED_9l</t>
        </is>
      </c>
      <c r="C371" s="32" t="inlineStr">
        <is>
          <t>Extintor Clase D 9 l</t>
        </is>
      </c>
      <c r="D371" s="17" t="inlineStr">
        <is>
          <t>B - Mantenimiento con apertura sin descarga (control interior, PH)</t>
        </is>
      </c>
      <c r="E371" s="17" t="inlineStr">
        <is>
          <t>Gas impulsor: N₂</t>
        </is>
      </c>
      <c r="F371" s="32" t="n">
        <v>0.0604</v>
      </c>
      <c r="G371" s="32" t="inlineStr">
        <is>
          <t>kg</t>
        </is>
      </c>
      <c r="H371" s="17" t="inlineStr">
        <is>
          <t>Nuevo</t>
        </is>
      </c>
      <c r="I371" s="17" t="inlineStr">
        <is>
          <t>IRAM 3517-2:2020 9.4.9 tabla 2</t>
        </is>
      </c>
      <c r="J371" s="32" t="inlineStr">
        <is>
          <t>Sí</t>
        </is>
      </c>
      <c r="K371" s="17" t="inlineStr">
        <is>
          <t>Air Liquide Argentina - sucursal Piñeyro</t>
        </is>
      </c>
      <c r="L371" s="17" t="inlineStr">
        <is>
          <t>Gogniat</t>
        </is>
      </c>
    </row>
    <row r="372">
      <c r="A372" s="41" t="inlineStr">
        <is>
          <t>RK-CLASED9-C</t>
        </is>
      </c>
      <c r="B372" s="41" t="inlineStr">
        <is>
          <t>FL_MAT_CLASED_9l</t>
        </is>
      </c>
      <c r="C372" s="41" t="inlineStr">
        <is>
          <t>Extintor Clase D 9 l</t>
        </is>
      </c>
      <c r="D372" s="42" t="inlineStr">
        <is>
          <t>C - Cambio obligatorio de polvo (versión anterior de la IRAM 3569)</t>
        </is>
      </c>
      <c r="E372" s="42" t="inlineStr">
        <is>
          <t>Polvo para metales combustibles clase D</t>
        </is>
      </c>
      <c r="F372" s="41" t="n">
        <v>9.15</v>
      </c>
      <c r="G372" s="41" t="inlineStr">
        <is>
          <t>kg</t>
        </is>
      </c>
      <c r="H372" s="42" t="inlineStr">
        <is>
          <t>Nuevo 100 %; el viejo va a residuos (RC-IR)</t>
        </is>
      </c>
      <c r="I372" s="42" t="inlineStr">
        <is>
          <t>IRAM 3517-2:2020 9.9.4</t>
        </is>
      </c>
      <c r="J372" s="41" t="inlineStr">
        <is>
          <t>Sí</t>
        </is>
      </c>
      <c r="K372" s="42" t="inlineStr">
        <is>
          <t>DEM S.A. (DEMSA)</t>
        </is>
      </c>
      <c r="L372" s="42" t="inlineStr">
        <is>
          <t>-</t>
        </is>
      </c>
    </row>
    <row r="373">
      <c r="A373" s="32" t="inlineStr">
        <is>
          <t>RK-CLASED9-C</t>
        </is>
      </c>
      <c r="B373" s="32" t="inlineStr">
        <is>
          <t>FL_MAT_CLASED_9l</t>
        </is>
      </c>
      <c r="C373" s="32" t="inlineStr">
        <is>
          <t>Extintor Clase D 9 l</t>
        </is>
      </c>
      <c r="D373" s="17" t="inlineStr">
        <is>
          <t>C - Cambio obligatorio de polvo (versión anterior de la IRAM 3569)</t>
        </is>
      </c>
      <c r="E373" s="17" t="inlineStr">
        <is>
          <t>Precinto plástico numerado, color, con nombre del recargador</t>
        </is>
      </c>
      <c r="F373" s="32" t="n">
        <v>1</v>
      </c>
      <c r="G373" s="32" t="inlineStr">
        <is>
          <t>u</t>
        </is>
      </c>
      <c r="H373" s="17" t="inlineStr">
        <is>
          <t>Nuevo</t>
        </is>
      </c>
      <c r="I373" s="17" t="inlineStr">
        <is>
          <t>IRAM 3517-2:2020 9.4.13</t>
        </is>
      </c>
      <c r="J373" s="32" t="inlineStr">
        <is>
          <t>Sí</t>
        </is>
      </c>
      <c r="K373" s="17" t="inlineStr">
        <is>
          <t>SonFuertes (vía Papelera Damián)</t>
        </is>
      </c>
      <c r="L373" s="17" t="inlineStr">
        <is>
          <t>Precinter S.R.L.</t>
        </is>
      </c>
    </row>
    <row r="374">
      <c r="A374" s="32" t="inlineStr">
        <is>
          <t>RK-CLASED9-C</t>
        </is>
      </c>
      <c r="B374" s="32" t="inlineStr">
        <is>
          <t>FL_MAT_CLASED_9l</t>
        </is>
      </c>
      <c r="C374" s="32" t="inlineStr">
        <is>
          <t>Extintor Clase D 9 l</t>
        </is>
      </c>
      <c r="D374" s="17" t="inlineStr">
        <is>
          <t>C - Cambio obligatorio de polvo (versión anterior de la IRAM 3569)</t>
        </is>
      </c>
      <c r="E374" s="17" t="inlineStr">
        <is>
          <t>Marbete (anillo, color del año)</t>
        </is>
      </c>
      <c r="F374" s="32" t="n">
        <v>1</v>
      </c>
      <c r="G374" s="32" t="inlineStr">
        <is>
          <t>u</t>
        </is>
      </c>
      <c r="H374" s="17" t="inlineStr">
        <is>
          <t>Nuevo</t>
        </is>
      </c>
      <c r="I374" s="17" t="inlineStr">
        <is>
          <t>IRAM 3517-2:2020 9.6 · anexo E</t>
        </is>
      </c>
      <c r="J374" s="32" t="inlineStr">
        <is>
          <t>Sí</t>
        </is>
      </c>
      <c r="K374" s="17" t="inlineStr">
        <is>
          <t>Astuprint</t>
        </is>
      </c>
      <c r="L374" s="17" t="inlineStr">
        <is>
          <t>Multilabel Argentina S.A.</t>
        </is>
      </c>
    </row>
    <row r="375">
      <c r="A375" s="32" t="inlineStr">
        <is>
          <t>RK-CLASED9-C</t>
        </is>
      </c>
      <c r="B375" s="32" t="inlineStr">
        <is>
          <t>FL_MAT_CLASED_9l</t>
        </is>
      </c>
      <c r="C375" s="32" t="inlineStr">
        <is>
          <t>Extintor Clase D 9 l</t>
        </is>
      </c>
      <c r="D375" s="17" t="inlineStr">
        <is>
          <t>C - Cambio obligatorio de polvo (versión anterior de la IRAM 3569)</t>
        </is>
      </c>
      <c r="E375" s="17" t="inlineStr">
        <is>
          <t>Etiqueta de servicio del recargador (extintor n°, serie, próxima recarga y PH)</t>
        </is>
      </c>
      <c r="F375" s="32" t="n">
        <v>1</v>
      </c>
      <c r="G375" s="32" t="inlineStr">
        <is>
          <t>u</t>
        </is>
      </c>
      <c r="H375" s="17" t="inlineStr">
        <is>
          <t>Nuevo</t>
        </is>
      </c>
      <c r="I375" s="17" t="inlineStr">
        <is>
          <t>IRAM 3517-2:2020 9.4.14 · relevado Suyai/Firegram</t>
        </is>
      </c>
      <c r="J375" s="32" t="inlineStr">
        <is>
          <t>Sí</t>
        </is>
      </c>
      <c r="K375" s="17" t="inlineStr">
        <is>
          <t>Astuprint</t>
        </is>
      </c>
      <c r="L375" s="17" t="inlineStr">
        <is>
          <t>Multilabel Argentina S.A.</t>
        </is>
      </c>
    </row>
    <row r="376">
      <c r="A376" s="32" t="inlineStr">
        <is>
          <t>RK-CLASED9-C</t>
        </is>
      </c>
      <c r="B376" s="32" t="inlineStr">
        <is>
          <t>FL_MAT_CLASED_9l</t>
        </is>
      </c>
      <c r="C376" s="32" t="inlineStr">
        <is>
          <t>Extintor Clase D 9 l</t>
        </is>
      </c>
      <c r="D376" s="17" t="inlineStr">
        <is>
          <t>C - Cambio obligatorio de polvo (versión anterior de la IRAM 3569)</t>
        </is>
      </c>
      <c r="E376" s="17" t="inlineStr">
        <is>
          <t>Oblea PBA de recarga Ø46 + estampilla precinto 1" × 200 mm válvula-cuerpo</t>
        </is>
      </c>
      <c r="F376" s="32" t="n">
        <v>1</v>
      </c>
      <c r="G376" s="32" t="inlineStr">
        <is>
          <t>u</t>
        </is>
      </c>
      <c r="H376" s="17" t="inlineStr">
        <is>
          <t>Nuevo (venta en PBA)</t>
        </is>
      </c>
      <c r="I376" s="17" t="inlineStr">
        <is>
          <t>IRAM 3517-2:2020 Res. OPDS 522/07</t>
        </is>
      </c>
      <c r="J376" s="32" t="inlineStr">
        <is>
          <t>Sí</t>
        </is>
      </c>
      <c r="K376" s="17" t="inlineStr">
        <is>
          <t>Ministerio de Ambiente PBA (ex OPDS)</t>
        </is>
      </c>
      <c r="L376" s="17" t="inlineStr">
        <is>
          <t>-</t>
        </is>
      </c>
    </row>
    <row r="377">
      <c r="A377" s="32" t="inlineStr">
        <is>
          <t>RK-CLASED9-C</t>
        </is>
      </c>
      <c r="B377" s="32" t="inlineStr">
        <is>
          <t>FL_MAT_CLASED_9l</t>
        </is>
      </c>
      <c r="C377" s="32" t="inlineStr">
        <is>
          <t>Extintor Clase D 9 l</t>
        </is>
      </c>
      <c r="D377" s="17" t="inlineStr">
        <is>
          <t>C - Cambio obligatorio de polvo (versión anterior de la IRAM 3569)</t>
        </is>
      </c>
      <c r="E377" s="17" t="inlineStr">
        <is>
          <t>Tarjeta de identificación AGC (módulo papel con QR + etiqueta AGC)</t>
        </is>
      </c>
      <c r="F377" s="32" t="n">
        <v>1</v>
      </c>
      <c r="G377" s="32" t="inlineStr">
        <is>
          <t>u</t>
        </is>
      </c>
      <c r="H377" s="17" t="inlineStr">
        <is>
          <t>Nuevo (destino CABA)</t>
        </is>
      </c>
      <c r="I377" s="17" t="inlineStr">
        <is>
          <t>IRAM 3517-2:2020 Ord. 40.473 art. 6 · Res. AGC 32/15</t>
        </is>
      </c>
      <c r="J377" s="32" t="inlineStr">
        <is>
          <t>Sí</t>
        </is>
      </c>
      <c r="K377" s="17" t="inlineStr">
        <is>
          <t>Agencia Gubernamental de Control (CABA)</t>
        </is>
      </c>
      <c r="L377" s="17" t="inlineStr">
        <is>
          <t>-</t>
        </is>
      </c>
    </row>
    <row r="378">
      <c r="A378" s="32" t="inlineStr">
        <is>
          <t>RK-CLASED9-C</t>
        </is>
      </c>
      <c r="B378" s="32" t="inlineStr">
        <is>
          <t>FL_MAT_CLASED_9l</t>
        </is>
      </c>
      <c r="C378" s="32" t="inlineStr">
        <is>
          <t>Extintor Clase D 9 l</t>
        </is>
      </c>
      <c r="D378" s="17" t="inlineStr">
        <is>
          <t>C - Cambio obligatorio de polvo (versión anterior de la IRAM 3569)</t>
        </is>
      </c>
      <c r="E378" s="17" t="inlineStr">
        <is>
          <t>Tarjeta de identificación DPS de revisión / recarga</t>
        </is>
      </c>
      <c r="F378" s="32" t="n">
        <v>1</v>
      </c>
      <c r="G378" s="32" t="inlineStr">
        <is>
          <t>u</t>
        </is>
      </c>
      <c r="H378" s="17" t="inlineStr">
        <is>
          <t>Nuevo (PBA)</t>
        </is>
      </c>
      <c r="I378" s="17" t="inlineStr">
        <is>
          <t>IRAM 3517-2:2020 Res. 349/07 art. 21</t>
        </is>
      </c>
      <c r="J378" s="32" t="inlineStr">
        <is>
          <t>Sí</t>
        </is>
      </c>
      <c r="K378" s="17" t="inlineStr">
        <is>
          <t>Ministerio de Ambiente PBA (ex OPDS)</t>
        </is>
      </c>
      <c r="L378" s="17" t="inlineStr">
        <is>
          <t>-</t>
        </is>
      </c>
    </row>
    <row r="379">
      <c r="A379" s="32" t="inlineStr">
        <is>
          <t>RK-CLASED9-C</t>
        </is>
      </c>
      <c r="B379" s="32" t="inlineStr">
        <is>
          <t>FL_MAT_CLASED_9l</t>
        </is>
      </c>
      <c r="C379" s="32" t="inlineStr">
        <is>
          <t>Extintor Clase D 9 l</t>
        </is>
      </c>
      <c r="D379" s="17" t="inlineStr">
        <is>
          <t>C - Cambio obligatorio de polvo (versión anterior de la IRAM 3569)</t>
        </is>
      </c>
      <c r="E379" s="17" t="inlineStr">
        <is>
          <t>Grabado de la fecha del servicio en el tubo de pesca (lápiz vibratorio; en polvo, marcador indeleble)</t>
        </is>
      </c>
      <c r="F379" s="32" t="n">
        <v>1</v>
      </c>
      <c r="G379" s="32" t="inlineStr">
        <is>
          <t>u</t>
        </is>
      </c>
      <c r="H379" s="17" t="inlineStr">
        <is>
          <t>Proceso</t>
        </is>
      </c>
      <c r="I379" s="17" t="inlineStr">
        <is>
          <t>IRAM 3517-2:2020 Res. 349/07 art. 28</t>
        </is>
      </c>
      <c r="J379" s="32" t="inlineStr">
        <is>
          <t>No</t>
        </is>
      </c>
      <c r="K379" s="17" t="n"/>
      <c r="L379" s="17" t="n"/>
    </row>
    <row r="380">
      <c r="A380" s="32" t="inlineStr">
        <is>
          <t>RK-CLASED9-C</t>
        </is>
      </c>
      <c r="B380" s="32" t="inlineStr">
        <is>
          <t>FL_MAT_CLASED_9l</t>
        </is>
      </c>
      <c r="C380" s="32" t="inlineStr">
        <is>
          <t>Extintor Clase D 9 l</t>
        </is>
      </c>
      <c r="D380" s="17" t="inlineStr">
        <is>
          <t>C - Cambio obligatorio de polvo (versión anterior de la IRAM 3569)</t>
        </is>
      </c>
      <c r="E380" s="17" t="inlineStr">
        <is>
          <t>Si hubo PH: oblea de vencimiento de PH + «PH» y fecha grabados en el tubo de pesca (CO₂: fecha y logo estampados en la ojiva)</t>
        </is>
      </c>
      <c r="F380" s="32" t="n">
        <v>1</v>
      </c>
      <c r="G380" s="32" t="inlineStr">
        <is>
          <t>u</t>
        </is>
      </c>
      <c r="H380" s="17" t="inlineStr">
        <is>
          <t>Proceso</t>
        </is>
      </c>
      <c r="I380" s="17" t="inlineStr">
        <is>
          <t>IRAM 3517-2:2020 Res. 349/07 art. 29 · IRAM 3517-2</t>
        </is>
      </c>
      <c r="J380" s="32" t="inlineStr">
        <is>
          <t>No</t>
        </is>
      </c>
      <c r="K380" s="17" t="n"/>
      <c r="L380" s="17" t="n"/>
    </row>
    <row r="381">
      <c r="A381" s="37" t="inlineStr">
        <is>
          <t>RK-CLASED9-C</t>
        </is>
      </c>
      <c r="B381" s="37" t="inlineStr">
        <is>
          <t>FL_MAT_CLASED_9l</t>
        </is>
      </c>
      <c r="C381" s="37" t="inlineStr">
        <is>
          <t>Extintor Clase D 9 l</t>
        </is>
      </c>
      <c r="D381" s="18" t="inlineStr">
        <is>
          <t>C - Cambio obligatorio de polvo (versión anterior de la IRAM 3569)</t>
        </is>
      </c>
      <c r="E381" s="18" t="inlineStr">
        <is>
          <t>Junta tórica de asiento del cuello</t>
        </is>
      </c>
      <c r="F381" s="37" t="n">
        <v>1</v>
      </c>
      <c r="G381" s="37" t="inlineStr">
        <is>
          <t>u</t>
        </is>
      </c>
      <c r="H381" s="18" t="inlineStr">
        <is>
          <t>Nuevo (R: cambio sistemático)</t>
        </is>
      </c>
      <c r="I381" s="18" t="inlineStr"/>
      <c r="J381" s="37" t="inlineStr">
        <is>
          <t>Sí</t>
        </is>
      </c>
      <c r="K381" s="18" t="inlineStr">
        <is>
          <t>Argensold</t>
        </is>
      </c>
      <c r="L381" s="18" t="inlineStr">
        <is>
          <t>Matafuegos Iglesias</t>
        </is>
      </c>
    </row>
    <row r="382">
      <c r="A382" s="32" t="inlineStr">
        <is>
          <t>RK-CLASED9-C</t>
        </is>
      </c>
      <c r="B382" s="32" t="inlineStr">
        <is>
          <t>FL_MAT_CLASED_9l</t>
        </is>
      </c>
      <c r="C382" s="32" t="inlineStr">
        <is>
          <t>Extintor Clase D 9 l</t>
        </is>
      </c>
      <c r="D382" s="17" t="inlineStr">
        <is>
          <t>C - Cambio obligatorio de polvo (versión anterior de la IRAM 3569)</t>
        </is>
      </c>
      <c r="E382" s="17" t="inlineStr">
        <is>
          <t>Gas impulsor: N₂</t>
        </is>
      </c>
      <c r="F382" s="32" t="n">
        <v>0.0604</v>
      </c>
      <c r="G382" s="32" t="inlineStr">
        <is>
          <t>kg</t>
        </is>
      </c>
      <c r="H382" s="17" t="inlineStr">
        <is>
          <t>Nuevo</t>
        </is>
      </c>
      <c r="I382" s="17" t="inlineStr">
        <is>
          <t>IRAM 3517-2:2020 9.4.9 tabla 2</t>
        </is>
      </c>
      <c r="J382" s="32" t="inlineStr">
        <is>
          <t>Sí</t>
        </is>
      </c>
      <c r="K382" s="17" t="inlineStr">
        <is>
          <t>Air Liquide Argentina - sucursal Piñeyro</t>
        </is>
      </c>
      <c r="L382" s="17" t="inlineStr">
        <is>
          <t>Gogniat</t>
        </is>
      </c>
    </row>
    <row r="383">
      <c r="A383" s="32" t="inlineStr">
        <is>
          <t>RK-CLASED9-I</t>
        </is>
      </c>
      <c r="B383" s="32" t="inlineStr">
        <is>
          <t>FL_MAT_CLASED_9l</t>
        </is>
      </c>
      <c r="C383" s="32" t="inlineStr">
        <is>
          <t>Extintor Clase D 9 l</t>
        </is>
      </c>
      <c r="D383" s="17" t="inlineStr">
        <is>
          <t>Según inspección (consumo estadístico a definir)</t>
        </is>
      </c>
      <c r="E383" s="17" t="inlineStr">
        <is>
          <t>Manómetro / manguera / tobera / kit de válvula</t>
        </is>
      </c>
      <c r="F383" s="32" t="inlineStr">
        <is>
          <t>-</t>
        </is>
      </c>
      <c r="G383" s="32" t="inlineStr">
        <is>
          <t>u</t>
        </is>
      </c>
      <c r="H383" s="17" t="inlineStr">
        <is>
          <t>Recambio sólo si falla</t>
        </is>
      </c>
      <c r="I383" s="17" t="inlineStr">
        <is>
          <t>IRAM 3517-2:2020 9.4.11 (cada manguera vuelve a su extintor)</t>
        </is>
      </c>
      <c r="J383" s="32" t="inlineStr">
        <is>
          <t>Sí</t>
        </is>
      </c>
      <c r="K383" s="17" t="inlineStr">
        <is>
          <t>Polvex S.R.L. / Sancibrao</t>
        </is>
      </c>
      <c r="L383" s="17" t="inlineStr">
        <is>
          <t>Yukon / MatafuegosYa S.R.L.</t>
        </is>
      </c>
    </row>
    <row r="384">
      <c r="A384" s="32" t="inlineStr">
        <is>
          <t>RK-ABC25-A</t>
        </is>
      </c>
      <c r="B384" s="32" t="inlineStr">
        <is>
          <t>FL_MAT_ABC_25kg</t>
        </is>
      </c>
      <c r="C384" s="32" t="inlineStr">
        <is>
          <t>Extintor ABC 25 kg sobre ruedas</t>
        </is>
      </c>
      <c r="D384" s="17" t="inlineStr">
        <is>
          <t>A - Extintor descargado (uso o descarga parcial)</t>
        </is>
      </c>
      <c r="E384" s="17" t="inlineStr">
        <is>
          <t>Polvo químico seco ABC 90 (Sello IRAM 3569)</t>
        </is>
      </c>
      <c r="F384" s="32" t="n">
        <v>25</v>
      </c>
      <c r="G384" s="32" t="inlineStr">
        <is>
          <t>kg</t>
        </is>
      </c>
      <c r="H384" s="17" t="inlineStr">
        <is>
          <t>Nuevo 100 %</t>
        </is>
      </c>
      <c r="I384" s="17" t="inlineStr">
        <is>
          <t>IRAM 3517-2:2020 9.9.1.4: el polvo de un extintor accionado no se reutiliza</t>
        </is>
      </c>
      <c r="J384" s="32" t="inlineStr">
        <is>
          <t>Sí</t>
        </is>
      </c>
      <c r="K384" s="17" t="inlineStr">
        <is>
          <t>DEM S.A. (DEMSA)</t>
        </is>
      </c>
      <c r="L384" s="17" t="inlineStr">
        <is>
          <t>Polvex S.R.L. / Sancibrao</t>
        </is>
      </c>
    </row>
    <row r="385">
      <c r="A385" s="32" t="inlineStr">
        <is>
          <t>RK-ABC25-A</t>
        </is>
      </c>
      <c r="B385" s="32" t="inlineStr">
        <is>
          <t>FL_MAT_ABC_25kg</t>
        </is>
      </c>
      <c r="C385" s="32" t="inlineStr">
        <is>
          <t>Extintor ABC 25 kg sobre ruedas</t>
        </is>
      </c>
      <c r="D385" s="17" t="inlineStr">
        <is>
          <t>A - Extintor descargado (uso o descarga parcial)</t>
        </is>
      </c>
      <c r="E385" s="17" t="inlineStr">
        <is>
          <t>Precinto plástico numerado, color, con nombre del recargador</t>
        </is>
      </c>
      <c r="F385" s="32" t="n">
        <v>1</v>
      </c>
      <c r="G385" s="32" t="inlineStr">
        <is>
          <t>u</t>
        </is>
      </c>
      <c r="H385" s="17" t="inlineStr">
        <is>
          <t>Nuevo</t>
        </is>
      </c>
      <c r="I385" s="17" t="inlineStr">
        <is>
          <t>IRAM 3517-2:2020 9.4.13</t>
        </is>
      </c>
      <c r="J385" s="32" t="inlineStr">
        <is>
          <t>Sí</t>
        </is>
      </c>
      <c r="K385" s="17" t="inlineStr">
        <is>
          <t>SonFuertes (vía Papelera Damián)</t>
        </is>
      </c>
      <c r="L385" s="17" t="inlineStr">
        <is>
          <t>Precinter S.R.L.</t>
        </is>
      </c>
    </row>
    <row r="386">
      <c r="A386" s="32" t="inlineStr">
        <is>
          <t>RK-ABC25-A</t>
        </is>
      </c>
      <c r="B386" s="32" t="inlineStr">
        <is>
          <t>FL_MAT_ABC_25kg</t>
        </is>
      </c>
      <c r="C386" s="32" t="inlineStr">
        <is>
          <t>Extintor ABC 25 kg sobre ruedas</t>
        </is>
      </c>
      <c r="D386" s="17" t="inlineStr">
        <is>
          <t>A - Extintor descargado (uso o descarga parcial)</t>
        </is>
      </c>
      <c r="E386" s="17" t="inlineStr">
        <is>
          <t>Marbete (anillo, color del año)</t>
        </is>
      </c>
      <c r="F386" s="32" t="n">
        <v>1</v>
      </c>
      <c r="G386" s="32" t="inlineStr">
        <is>
          <t>u</t>
        </is>
      </c>
      <c r="H386" s="17" t="inlineStr">
        <is>
          <t>Nuevo</t>
        </is>
      </c>
      <c r="I386" s="17" t="inlineStr">
        <is>
          <t>IRAM 3517-2:2020 9.6 · anexo E</t>
        </is>
      </c>
      <c r="J386" s="32" t="inlineStr">
        <is>
          <t>Sí</t>
        </is>
      </c>
      <c r="K386" s="17" t="inlineStr">
        <is>
          <t>Astuprint</t>
        </is>
      </c>
      <c r="L386" s="17" t="inlineStr">
        <is>
          <t>Multilabel Argentina S.A.</t>
        </is>
      </c>
    </row>
    <row r="387">
      <c r="A387" s="32" t="inlineStr">
        <is>
          <t>RK-ABC25-A</t>
        </is>
      </c>
      <c r="B387" s="32" t="inlineStr">
        <is>
          <t>FL_MAT_ABC_25kg</t>
        </is>
      </c>
      <c r="C387" s="32" t="inlineStr">
        <is>
          <t>Extintor ABC 25 kg sobre ruedas</t>
        </is>
      </c>
      <c r="D387" s="17" t="inlineStr">
        <is>
          <t>A - Extintor descargado (uso o descarga parcial)</t>
        </is>
      </c>
      <c r="E387" s="17" t="inlineStr">
        <is>
          <t>Etiqueta de servicio del recargador (extintor n°, serie, próxima recarga y PH)</t>
        </is>
      </c>
      <c r="F387" s="32" t="n">
        <v>1</v>
      </c>
      <c r="G387" s="32" t="inlineStr">
        <is>
          <t>u</t>
        </is>
      </c>
      <c r="H387" s="17" t="inlineStr">
        <is>
          <t>Nuevo</t>
        </is>
      </c>
      <c r="I387" s="17" t="inlineStr">
        <is>
          <t>IRAM 3517-2:2020 9.4.14 · relevado Suyai/Firegram</t>
        </is>
      </c>
      <c r="J387" s="32" t="inlineStr">
        <is>
          <t>Sí</t>
        </is>
      </c>
      <c r="K387" s="17" t="inlineStr">
        <is>
          <t>Astuprint</t>
        </is>
      </c>
      <c r="L387" s="17" t="inlineStr">
        <is>
          <t>Multilabel Argentina S.A.</t>
        </is>
      </c>
    </row>
    <row r="388">
      <c r="A388" s="32" t="inlineStr">
        <is>
          <t>RK-ABC25-A</t>
        </is>
      </c>
      <c r="B388" s="32" t="inlineStr">
        <is>
          <t>FL_MAT_ABC_25kg</t>
        </is>
      </c>
      <c r="C388" s="32" t="inlineStr">
        <is>
          <t>Extintor ABC 25 kg sobre ruedas</t>
        </is>
      </c>
      <c r="D388" s="17" t="inlineStr">
        <is>
          <t>A - Extintor descargado (uso o descarga parcial)</t>
        </is>
      </c>
      <c r="E388" s="17" t="inlineStr">
        <is>
          <t>Oblea PBA de recarga Ø46 + estampilla precinto 1" × 200 mm válvula-cuerpo</t>
        </is>
      </c>
      <c r="F388" s="32" t="n">
        <v>1</v>
      </c>
      <c r="G388" s="32" t="inlineStr">
        <is>
          <t>u</t>
        </is>
      </c>
      <c r="H388" s="17" t="inlineStr">
        <is>
          <t>Nuevo (venta en PBA)</t>
        </is>
      </c>
      <c r="I388" s="17" t="inlineStr">
        <is>
          <t>IRAM 3517-2:2020 Res. OPDS 522/07</t>
        </is>
      </c>
      <c r="J388" s="32" t="inlineStr">
        <is>
          <t>Sí</t>
        </is>
      </c>
      <c r="K388" s="17" t="inlineStr">
        <is>
          <t>Ministerio de Ambiente PBA (ex OPDS)</t>
        </is>
      </c>
      <c r="L388" s="17" t="inlineStr">
        <is>
          <t>-</t>
        </is>
      </c>
    </row>
    <row r="389">
      <c r="A389" s="32" t="inlineStr">
        <is>
          <t>RK-ABC25-A</t>
        </is>
      </c>
      <c r="B389" s="32" t="inlineStr">
        <is>
          <t>FL_MAT_ABC_25kg</t>
        </is>
      </c>
      <c r="C389" s="32" t="inlineStr">
        <is>
          <t>Extintor ABC 25 kg sobre ruedas</t>
        </is>
      </c>
      <c r="D389" s="17" t="inlineStr">
        <is>
          <t>A - Extintor descargado (uso o descarga parcial)</t>
        </is>
      </c>
      <c r="E389" s="17" t="inlineStr">
        <is>
          <t>Tarjeta de identificación AGC (módulo papel con QR + etiqueta AGC)</t>
        </is>
      </c>
      <c r="F389" s="32" t="n">
        <v>1</v>
      </c>
      <c r="G389" s="32" t="inlineStr">
        <is>
          <t>u</t>
        </is>
      </c>
      <c r="H389" s="17" t="inlineStr">
        <is>
          <t>Nuevo (destino CABA)</t>
        </is>
      </c>
      <c r="I389" s="17" t="inlineStr">
        <is>
          <t>IRAM 3517-2:2020 Ord. 40.473 art. 6 · Res. AGC 32/15</t>
        </is>
      </c>
      <c r="J389" s="32" t="inlineStr">
        <is>
          <t>Sí</t>
        </is>
      </c>
      <c r="K389" s="17" t="inlineStr">
        <is>
          <t>Agencia Gubernamental de Control (CABA)</t>
        </is>
      </c>
      <c r="L389" s="17" t="inlineStr">
        <is>
          <t>-</t>
        </is>
      </c>
    </row>
    <row r="390">
      <c r="A390" s="32" t="inlineStr">
        <is>
          <t>RK-ABC25-A</t>
        </is>
      </c>
      <c r="B390" s="32" t="inlineStr">
        <is>
          <t>FL_MAT_ABC_25kg</t>
        </is>
      </c>
      <c r="C390" s="32" t="inlineStr">
        <is>
          <t>Extintor ABC 25 kg sobre ruedas</t>
        </is>
      </c>
      <c r="D390" s="17" t="inlineStr">
        <is>
          <t>A - Extintor descargado (uso o descarga parcial)</t>
        </is>
      </c>
      <c r="E390" s="17" t="inlineStr">
        <is>
          <t>Tarjeta de identificación DPS de revisión / recarga</t>
        </is>
      </c>
      <c r="F390" s="32" t="n">
        <v>1</v>
      </c>
      <c r="G390" s="32" t="inlineStr">
        <is>
          <t>u</t>
        </is>
      </c>
      <c r="H390" s="17" t="inlineStr">
        <is>
          <t>Nuevo (PBA)</t>
        </is>
      </c>
      <c r="I390" s="17" t="inlineStr">
        <is>
          <t>IRAM 3517-2:2020 Res. 349/07 art. 21</t>
        </is>
      </c>
      <c r="J390" s="32" t="inlineStr">
        <is>
          <t>Sí</t>
        </is>
      </c>
      <c r="K390" s="17" t="inlineStr">
        <is>
          <t>Ministerio de Ambiente PBA (ex OPDS)</t>
        </is>
      </c>
      <c r="L390" s="17" t="inlineStr">
        <is>
          <t>-</t>
        </is>
      </c>
    </row>
    <row r="391">
      <c r="A391" s="32" t="inlineStr">
        <is>
          <t>RK-ABC25-A</t>
        </is>
      </c>
      <c r="B391" s="32" t="inlineStr">
        <is>
          <t>FL_MAT_ABC_25kg</t>
        </is>
      </c>
      <c r="C391" s="32" t="inlineStr">
        <is>
          <t>Extintor ABC 25 kg sobre ruedas</t>
        </is>
      </c>
      <c r="D391" s="17" t="inlineStr">
        <is>
          <t>A - Extintor descargado (uso o descarga parcial)</t>
        </is>
      </c>
      <c r="E391" s="17" t="inlineStr">
        <is>
          <t>Grabado de la fecha del servicio en el tubo de pesca (lápiz vibratorio; en polvo, marcador indeleble)</t>
        </is>
      </c>
      <c r="F391" s="32" t="n">
        <v>1</v>
      </c>
      <c r="G391" s="32" t="inlineStr">
        <is>
          <t>u</t>
        </is>
      </c>
      <c r="H391" s="17" t="inlineStr">
        <is>
          <t>Proceso</t>
        </is>
      </c>
      <c r="I391" s="17" t="inlineStr">
        <is>
          <t>IRAM 3517-2:2020 Res. 349/07 art. 28</t>
        </is>
      </c>
      <c r="J391" s="32" t="inlineStr">
        <is>
          <t>No</t>
        </is>
      </c>
      <c r="K391" s="17" t="n"/>
      <c r="L391" s="17" t="n"/>
    </row>
    <row r="392">
      <c r="A392" s="32" t="inlineStr">
        <is>
          <t>RK-ABC25-A</t>
        </is>
      </c>
      <c r="B392" s="32" t="inlineStr">
        <is>
          <t>FL_MAT_ABC_25kg</t>
        </is>
      </c>
      <c r="C392" s="32" t="inlineStr">
        <is>
          <t>Extintor ABC 25 kg sobre ruedas</t>
        </is>
      </c>
      <c r="D392" s="17" t="inlineStr">
        <is>
          <t>A - Extintor descargado (uso o descarga parcial)</t>
        </is>
      </c>
      <c r="E392" s="17" t="inlineStr">
        <is>
          <t>Si hubo PH: oblea de vencimiento de PH + «PH» y fecha grabados en el tubo de pesca (CO₂: fecha y logo estampados en la ojiva)</t>
        </is>
      </c>
      <c r="F392" s="32" t="n">
        <v>1</v>
      </c>
      <c r="G392" s="32" t="inlineStr">
        <is>
          <t>u</t>
        </is>
      </c>
      <c r="H392" s="17" t="inlineStr">
        <is>
          <t>Proceso</t>
        </is>
      </c>
      <c r="I392" s="17" t="inlineStr">
        <is>
          <t>IRAM 3517-2:2020 Res. 349/07 art. 29 · IRAM 3517-2</t>
        </is>
      </c>
      <c r="J392" s="32" t="inlineStr">
        <is>
          <t>No</t>
        </is>
      </c>
      <c r="K392" s="17" t="n"/>
      <c r="L392" s="17" t="n"/>
    </row>
    <row r="393">
      <c r="A393" s="37" t="inlineStr">
        <is>
          <t>RK-ABC25-A</t>
        </is>
      </c>
      <c r="B393" s="37" t="inlineStr">
        <is>
          <t>FL_MAT_ABC_25kg</t>
        </is>
      </c>
      <c r="C393" s="37" t="inlineStr">
        <is>
          <t>Extintor ABC 25 kg sobre ruedas</t>
        </is>
      </c>
      <c r="D393" s="18" t="inlineStr">
        <is>
          <t>A - Extintor descargado (uso o descarga parcial)</t>
        </is>
      </c>
      <c r="E393" s="18" t="inlineStr">
        <is>
          <t>Junta tórica de asiento del cuello</t>
        </is>
      </c>
      <c r="F393" s="37" t="n">
        <v>1</v>
      </c>
      <c r="G393" s="37" t="inlineStr">
        <is>
          <t>u</t>
        </is>
      </c>
      <c r="H393" s="18" t="inlineStr">
        <is>
          <t>Nuevo (R: cambio sistemático)</t>
        </is>
      </c>
      <c r="I393" s="18" t="inlineStr"/>
      <c r="J393" s="37" t="inlineStr">
        <is>
          <t>Sí</t>
        </is>
      </c>
      <c r="K393" s="18" t="inlineStr">
        <is>
          <t>Argensold</t>
        </is>
      </c>
      <c r="L393" s="18" t="inlineStr">
        <is>
          <t>Matafuegos Iglesias</t>
        </is>
      </c>
    </row>
    <row r="394">
      <c r="A394" s="32" t="inlineStr">
        <is>
          <t>RK-ABC25-A</t>
        </is>
      </c>
      <c r="B394" s="32" t="inlineStr">
        <is>
          <t>FL_MAT_ABC_25kg</t>
        </is>
      </c>
      <c r="C394" s="32" t="inlineStr">
        <is>
          <t>Extintor ABC 25 kg sobre ruedas</t>
        </is>
      </c>
      <c r="D394" s="17" t="inlineStr">
        <is>
          <t>A - Extintor descargado (uso o descarga parcial)</t>
        </is>
      </c>
      <c r="E394" s="17" t="inlineStr">
        <is>
          <t>Gas impulsor: N₂</t>
        </is>
      </c>
      <c r="F394" s="32" t="n">
        <v>0.2013</v>
      </c>
      <c r="G394" s="32" t="inlineStr">
        <is>
          <t>kg</t>
        </is>
      </c>
      <c r="H394" s="17" t="inlineStr">
        <is>
          <t>Nuevo</t>
        </is>
      </c>
      <c r="I394" s="17" t="inlineStr">
        <is>
          <t>IRAM 3517-2:2020 9.4.9 tabla 2</t>
        </is>
      </c>
      <c r="J394" s="32" t="inlineStr">
        <is>
          <t>Sí</t>
        </is>
      </c>
      <c r="K394" s="17" t="inlineStr">
        <is>
          <t>Air Liquide Argentina - sucursal Piñeyro</t>
        </is>
      </c>
      <c r="L394" s="17" t="inlineStr">
        <is>
          <t>Gogniat</t>
        </is>
      </c>
    </row>
    <row r="395">
      <c r="A395" s="32" t="inlineStr">
        <is>
          <t>RK-ABC25-B</t>
        </is>
      </c>
      <c r="B395" s="32" t="inlineStr">
        <is>
          <t>FL_MAT_ABC_25kg</t>
        </is>
      </c>
      <c r="C395" s="32" t="inlineStr">
        <is>
          <t>Extintor ABC 25 kg sobre ruedas</t>
        </is>
      </c>
      <c r="D395" s="17" t="inlineStr">
        <is>
          <t>B - Mantenimiento con apertura sin descarga (control interior, PH)</t>
        </is>
      </c>
      <c r="E395" s="17" t="inlineStr">
        <is>
          <t>Polvo químico seco ABC 90 (Sello IRAM 3569) recuperado</t>
        </is>
      </c>
      <c r="F395" s="32" t="n">
        <v>24.25</v>
      </c>
      <c r="G395" s="32" t="inlineStr">
        <is>
          <t>kg</t>
        </is>
      </c>
      <c r="H395" s="17" t="inlineStr">
        <is>
          <t>Recuperado en sistema cerrado</t>
        </is>
      </c>
      <c r="I395" s="17" t="inlineStr">
        <is>
          <t>IRAM 3517-2:2020 4.4.1 y) sistema cerrado de recuperación con inspección; 9.9.3 control (puffer IRAM 3672, fusión IRAM 3569 en ABC)</t>
        </is>
      </c>
      <c r="J395" s="32" t="inlineStr">
        <is>
          <t>No</t>
        </is>
      </c>
      <c r="K395" s="17" t="n"/>
      <c r="L395" s="17" t="n"/>
    </row>
    <row r="396">
      <c r="A396" s="32" t="inlineStr">
        <is>
          <t>RK-ABC25-B</t>
        </is>
      </c>
      <c r="B396" s="32" t="inlineStr">
        <is>
          <t>FL_MAT_ABC_25kg</t>
        </is>
      </c>
      <c r="C396" s="32" t="inlineStr">
        <is>
          <t>Extintor ABC 25 kg sobre ruedas</t>
        </is>
      </c>
      <c r="D396" s="17" t="inlineStr">
        <is>
          <t>B - Mantenimiento con apertura sin descarga (control interior, PH)</t>
        </is>
      </c>
      <c r="E396" s="17" t="inlineStr">
        <is>
          <t>Polvo químico seco ABC 90 (Sello IRAM 3569)</t>
        </is>
      </c>
      <c r="F396" s="32" t="n">
        <v>0.75</v>
      </c>
      <c r="G396" s="32" t="inlineStr">
        <is>
          <t>kg</t>
        </is>
      </c>
      <c r="H396" s="17" t="inlineStr">
        <is>
          <t>Nuevo: reposición = carga objetivo − límite inferior de ± 3 % (cota superior)</t>
        </is>
      </c>
      <c r="I396" s="17" t="inlineStr">
        <is>
          <t>IRAM 3517-2:2020 9.4.12 tabla 3 · anexo F; mismo tipo y marca (prohibido mezclar ABC con BC, 9.9.1.6)</t>
        </is>
      </c>
      <c r="J396" s="32" t="inlineStr">
        <is>
          <t>Sí</t>
        </is>
      </c>
      <c r="K396" s="17" t="inlineStr">
        <is>
          <t>DEM S.A. (DEMSA)</t>
        </is>
      </c>
      <c r="L396" s="17" t="inlineStr">
        <is>
          <t>Polvex S.R.L. / Sancibrao</t>
        </is>
      </c>
    </row>
    <row r="397">
      <c r="A397" s="32" t="inlineStr">
        <is>
          <t>RK-ABC25-B</t>
        </is>
      </c>
      <c r="B397" s="32" t="inlineStr">
        <is>
          <t>FL_MAT_ABC_25kg</t>
        </is>
      </c>
      <c r="C397" s="32" t="inlineStr">
        <is>
          <t>Extintor ABC 25 kg sobre ruedas</t>
        </is>
      </c>
      <c r="D397" s="17" t="inlineStr">
        <is>
          <t>B - Mantenimiento con apertura sin descarga (control interior, PH)</t>
        </is>
      </c>
      <c r="E397" s="17" t="inlineStr">
        <is>
          <t>Precinto plástico numerado, color, con nombre del recargador</t>
        </is>
      </c>
      <c r="F397" s="32" t="n">
        <v>1</v>
      </c>
      <c r="G397" s="32" t="inlineStr">
        <is>
          <t>u</t>
        </is>
      </c>
      <c r="H397" s="17" t="inlineStr">
        <is>
          <t>Nuevo</t>
        </is>
      </c>
      <c r="I397" s="17" t="inlineStr">
        <is>
          <t>IRAM 3517-2:2020 9.4.13</t>
        </is>
      </c>
      <c r="J397" s="32" t="inlineStr">
        <is>
          <t>Sí</t>
        </is>
      </c>
      <c r="K397" s="17" t="inlineStr">
        <is>
          <t>SonFuertes (vía Papelera Damián)</t>
        </is>
      </c>
      <c r="L397" s="17" t="inlineStr">
        <is>
          <t>Precinter S.R.L.</t>
        </is>
      </c>
    </row>
    <row r="398">
      <c r="A398" s="32" t="inlineStr">
        <is>
          <t>RK-ABC25-B</t>
        </is>
      </c>
      <c r="B398" s="32" t="inlineStr">
        <is>
          <t>FL_MAT_ABC_25kg</t>
        </is>
      </c>
      <c r="C398" s="32" t="inlineStr">
        <is>
          <t>Extintor ABC 25 kg sobre ruedas</t>
        </is>
      </c>
      <c r="D398" s="17" t="inlineStr">
        <is>
          <t>B - Mantenimiento con apertura sin descarga (control interior, PH)</t>
        </is>
      </c>
      <c r="E398" s="17" t="inlineStr">
        <is>
          <t>Marbete (anillo, color del año)</t>
        </is>
      </c>
      <c r="F398" s="32" t="n">
        <v>1</v>
      </c>
      <c r="G398" s="32" t="inlineStr">
        <is>
          <t>u</t>
        </is>
      </c>
      <c r="H398" s="17" t="inlineStr">
        <is>
          <t>Nuevo</t>
        </is>
      </c>
      <c r="I398" s="17" t="inlineStr">
        <is>
          <t>IRAM 3517-2:2020 9.6 · anexo E</t>
        </is>
      </c>
      <c r="J398" s="32" t="inlineStr">
        <is>
          <t>Sí</t>
        </is>
      </c>
      <c r="K398" s="17" t="inlineStr">
        <is>
          <t>Astuprint</t>
        </is>
      </c>
      <c r="L398" s="17" t="inlineStr">
        <is>
          <t>Multilabel Argentina S.A.</t>
        </is>
      </c>
    </row>
    <row r="399">
      <c r="A399" s="32" t="inlineStr">
        <is>
          <t>RK-ABC25-B</t>
        </is>
      </c>
      <c r="B399" s="32" t="inlineStr">
        <is>
          <t>FL_MAT_ABC_25kg</t>
        </is>
      </c>
      <c r="C399" s="32" t="inlineStr">
        <is>
          <t>Extintor ABC 25 kg sobre ruedas</t>
        </is>
      </c>
      <c r="D399" s="17" t="inlineStr">
        <is>
          <t>B - Mantenimiento con apertura sin descarga (control interior, PH)</t>
        </is>
      </c>
      <c r="E399" s="17" t="inlineStr">
        <is>
          <t>Etiqueta de servicio del recargador (extintor n°, serie, próxima recarga y PH)</t>
        </is>
      </c>
      <c r="F399" s="32" t="n">
        <v>1</v>
      </c>
      <c r="G399" s="32" t="inlineStr">
        <is>
          <t>u</t>
        </is>
      </c>
      <c r="H399" s="17" t="inlineStr">
        <is>
          <t>Nuevo</t>
        </is>
      </c>
      <c r="I399" s="17" t="inlineStr">
        <is>
          <t>IRAM 3517-2:2020 9.4.14 · relevado Suyai/Firegram</t>
        </is>
      </c>
      <c r="J399" s="32" t="inlineStr">
        <is>
          <t>Sí</t>
        </is>
      </c>
      <c r="K399" s="17" t="inlineStr">
        <is>
          <t>Astuprint</t>
        </is>
      </c>
      <c r="L399" s="17" t="inlineStr">
        <is>
          <t>Multilabel Argentina S.A.</t>
        </is>
      </c>
    </row>
    <row r="400">
      <c r="A400" s="32" t="inlineStr">
        <is>
          <t>RK-ABC25-B</t>
        </is>
      </c>
      <c r="B400" s="32" t="inlineStr">
        <is>
          <t>FL_MAT_ABC_25kg</t>
        </is>
      </c>
      <c r="C400" s="32" t="inlineStr">
        <is>
          <t>Extintor ABC 25 kg sobre ruedas</t>
        </is>
      </c>
      <c r="D400" s="17" t="inlineStr">
        <is>
          <t>B - Mantenimiento con apertura sin descarga (control interior, PH)</t>
        </is>
      </c>
      <c r="E400" s="17" t="inlineStr">
        <is>
          <t>Oblea PBA de recarga Ø46 + estampilla precinto 1" × 200 mm válvula-cuerpo</t>
        </is>
      </c>
      <c r="F400" s="32" t="n">
        <v>1</v>
      </c>
      <c r="G400" s="32" t="inlineStr">
        <is>
          <t>u</t>
        </is>
      </c>
      <c r="H400" s="17" t="inlineStr">
        <is>
          <t>Nuevo (venta en PBA)</t>
        </is>
      </c>
      <c r="I400" s="17" t="inlineStr">
        <is>
          <t>IRAM 3517-2:2020 Res. OPDS 522/07</t>
        </is>
      </c>
      <c r="J400" s="32" t="inlineStr">
        <is>
          <t>Sí</t>
        </is>
      </c>
      <c r="K400" s="17" t="inlineStr">
        <is>
          <t>Ministerio de Ambiente PBA (ex OPDS)</t>
        </is>
      </c>
      <c r="L400" s="17" t="inlineStr">
        <is>
          <t>-</t>
        </is>
      </c>
    </row>
    <row r="401">
      <c r="A401" s="32" t="inlineStr">
        <is>
          <t>RK-ABC25-B</t>
        </is>
      </c>
      <c r="B401" s="32" t="inlineStr">
        <is>
          <t>FL_MAT_ABC_25kg</t>
        </is>
      </c>
      <c r="C401" s="32" t="inlineStr">
        <is>
          <t>Extintor ABC 25 kg sobre ruedas</t>
        </is>
      </c>
      <c r="D401" s="17" t="inlineStr">
        <is>
          <t>B - Mantenimiento con apertura sin descarga (control interior, PH)</t>
        </is>
      </c>
      <c r="E401" s="17" t="inlineStr">
        <is>
          <t>Tarjeta de identificación AGC (módulo papel con QR + etiqueta AGC)</t>
        </is>
      </c>
      <c r="F401" s="32" t="n">
        <v>1</v>
      </c>
      <c r="G401" s="32" t="inlineStr">
        <is>
          <t>u</t>
        </is>
      </c>
      <c r="H401" s="17" t="inlineStr">
        <is>
          <t>Nuevo (destino CABA)</t>
        </is>
      </c>
      <c r="I401" s="17" t="inlineStr">
        <is>
          <t>IRAM 3517-2:2020 Ord. 40.473 art. 6 · Res. AGC 32/15</t>
        </is>
      </c>
      <c r="J401" s="32" t="inlineStr">
        <is>
          <t>Sí</t>
        </is>
      </c>
      <c r="K401" s="17" t="inlineStr">
        <is>
          <t>Agencia Gubernamental de Control (CABA)</t>
        </is>
      </c>
      <c r="L401" s="17" t="inlineStr">
        <is>
          <t>-</t>
        </is>
      </c>
    </row>
    <row r="402">
      <c r="A402" s="32" t="inlineStr">
        <is>
          <t>RK-ABC25-B</t>
        </is>
      </c>
      <c r="B402" s="32" t="inlineStr">
        <is>
          <t>FL_MAT_ABC_25kg</t>
        </is>
      </c>
      <c r="C402" s="32" t="inlineStr">
        <is>
          <t>Extintor ABC 25 kg sobre ruedas</t>
        </is>
      </c>
      <c r="D402" s="17" t="inlineStr">
        <is>
          <t>B - Mantenimiento con apertura sin descarga (control interior, PH)</t>
        </is>
      </c>
      <c r="E402" s="17" t="inlineStr">
        <is>
          <t>Tarjeta de identificación DPS de revisión / recarga</t>
        </is>
      </c>
      <c r="F402" s="32" t="n">
        <v>1</v>
      </c>
      <c r="G402" s="32" t="inlineStr">
        <is>
          <t>u</t>
        </is>
      </c>
      <c r="H402" s="17" t="inlineStr">
        <is>
          <t>Nuevo (PBA)</t>
        </is>
      </c>
      <c r="I402" s="17" t="inlineStr">
        <is>
          <t>IRAM 3517-2:2020 Res. 349/07 art. 21</t>
        </is>
      </c>
      <c r="J402" s="32" t="inlineStr">
        <is>
          <t>Sí</t>
        </is>
      </c>
      <c r="K402" s="17" t="inlineStr">
        <is>
          <t>Ministerio de Ambiente PBA (ex OPDS)</t>
        </is>
      </c>
      <c r="L402" s="17" t="inlineStr">
        <is>
          <t>-</t>
        </is>
      </c>
    </row>
    <row r="403">
      <c r="A403" s="32" t="inlineStr">
        <is>
          <t>RK-ABC25-B</t>
        </is>
      </c>
      <c r="B403" s="32" t="inlineStr">
        <is>
          <t>FL_MAT_ABC_25kg</t>
        </is>
      </c>
      <c r="C403" s="32" t="inlineStr">
        <is>
          <t>Extintor ABC 25 kg sobre ruedas</t>
        </is>
      </c>
      <c r="D403" s="17" t="inlineStr">
        <is>
          <t>B - Mantenimiento con apertura sin descarga (control interior, PH)</t>
        </is>
      </c>
      <c r="E403" s="17" t="inlineStr">
        <is>
          <t>Grabado de la fecha del servicio en el tubo de pesca (lápiz vibratorio; en polvo, marcador indeleble)</t>
        </is>
      </c>
      <c r="F403" s="32" t="n">
        <v>1</v>
      </c>
      <c r="G403" s="32" t="inlineStr">
        <is>
          <t>u</t>
        </is>
      </c>
      <c r="H403" s="17" t="inlineStr">
        <is>
          <t>Proceso</t>
        </is>
      </c>
      <c r="I403" s="17" t="inlineStr">
        <is>
          <t>IRAM 3517-2:2020 Res. 349/07 art. 28</t>
        </is>
      </c>
      <c r="J403" s="32" t="inlineStr">
        <is>
          <t>No</t>
        </is>
      </c>
      <c r="K403" s="17" t="n"/>
      <c r="L403" s="17" t="n"/>
    </row>
    <row r="404">
      <c r="A404" s="32" t="inlineStr">
        <is>
          <t>RK-ABC25-B</t>
        </is>
      </c>
      <c r="B404" s="32" t="inlineStr">
        <is>
          <t>FL_MAT_ABC_25kg</t>
        </is>
      </c>
      <c r="C404" s="32" t="inlineStr">
        <is>
          <t>Extintor ABC 25 kg sobre ruedas</t>
        </is>
      </c>
      <c r="D404" s="17" t="inlineStr">
        <is>
          <t>B - Mantenimiento con apertura sin descarga (control interior, PH)</t>
        </is>
      </c>
      <c r="E404" s="17" t="inlineStr">
        <is>
          <t>Si hubo PH: oblea de vencimiento de PH + «PH» y fecha grabados en el tubo de pesca (CO₂: fecha y logo estampados en la ojiva)</t>
        </is>
      </c>
      <c r="F404" s="32" t="n">
        <v>1</v>
      </c>
      <c r="G404" s="32" t="inlineStr">
        <is>
          <t>u</t>
        </is>
      </c>
      <c r="H404" s="17" t="inlineStr">
        <is>
          <t>Proceso</t>
        </is>
      </c>
      <c r="I404" s="17" t="inlineStr">
        <is>
          <t>IRAM 3517-2:2020 Res. 349/07 art. 29 · IRAM 3517-2</t>
        </is>
      </c>
      <c r="J404" s="32" t="inlineStr">
        <is>
          <t>No</t>
        </is>
      </c>
      <c r="K404" s="17" t="n"/>
      <c r="L404" s="17" t="n"/>
    </row>
    <row r="405">
      <c r="A405" s="37" t="inlineStr">
        <is>
          <t>RK-ABC25-B</t>
        </is>
      </c>
      <c r="B405" s="37" t="inlineStr">
        <is>
          <t>FL_MAT_ABC_25kg</t>
        </is>
      </c>
      <c r="C405" s="37" t="inlineStr">
        <is>
          <t>Extintor ABC 25 kg sobre ruedas</t>
        </is>
      </c>
      <c r="D405" s="18" t="inlineStr">
        <is>
          <t>B - Mantenimiento con apertura sin descarga (control interior, PH)</t>
        </is>
      </c>
      <c r="E405" s="18" t="inlineStr">
        <is>
          <t>Junta tórica de asiento del cuello</t>
        </is>
      </c>
      <c r="F405" s="37" t="n">
        <v>1</v>
      </c>
      <c r="G405" s="37" t="inlineStr">
        <is>
          <t>u</t>
        </is>
      </c>
      <c r="H405" s="18" t="inlineStr">
        <is>
          <t>Nuevo (R: cambio sistemático)</t>
        </is>
      </c>
      <c r="I405" s="18" t="inlineStr"/>
      <c r="J405" s="37" t="inlineStr">
        <is>
          <t>Sí</t>
        </is>
      </c>
      <c r="K405" s="18" t="inlineStr">
        <is>
          <t>Argensold</t>
        </is>
      </c>
      <c r="L405" s="18" t="inlineStr">
        <is>
          <t>Matafuegos Iglesias</t>
        </is>
      </c>
    </row>
    <row r="406">
      <c r="A406" s="32" t="inlineStr">
        <is>
          <t>RK-ABC25-B</t>
        </is>
      </c>
      <c r="B406" s="32" t="inlineStr">
        <is>
          <t>FL_MAT_ABC_25kg</t>
        </is>
      </c>
      <c r="C406" s="32" t="inlineStr">
        <is>
          <t>Extintor ABC 25 kg sobre ruedas</t>
        </is>
      </c>
      <c r="D406" s="17" t="inlineStr">
        <is>
          <t>B - Mantenimiento con apertura sin descarga (control interior, PH)</t>
        </is>
      </c>
      <c r="E406" s="17" t="inlineStr">
        <is>
          <t>Gas impulsor: N₂</t>
        </is>
      </c>
      <c r="F406" s="32" t="n">
        <v>0.2013</v>
      </c>
      <c r="G406" s="32" t="inlineStr">
        <is>
          <t>kg</t>
        </is>
      </c>
      <c r="H406" s="17" t="inlineStr">
        <is>
          <t>Nuevo</t>
        </is>
      </c>
      <c r="I406" s="17" t="inlineStr">
        <is>
          <t>IRAM 3517-2:2020 9.4.9 tabla 2</t>
        </is>
      </c>
      <c r="J406" s="32" t="inlineStr">
        <is>
          <t>Sí</t>
        </is>
      </c>
      <c r="K406" s="17" t="inlineStr">
        <is>
          <t>Air Liquide Argentina - sucursal Piñeyro</t>
        </is>
      </c>
      <c r="L406" s="17" t="inlineStr">
        <is>
          <t>Gogniat</t>
        </is>
      </c>
    </row>
    <row r="407">
      <c r="A407" s="32" t="inlineStr">
        <is>
          <t>RK-ABC25-C</t>
        </is>
      </c>
      <c r="B407" s="32" t="inlineStr">
        <is>
          <t>FL_MAT_ABC_25kg</t>
        </is>
      </c>
      <c r="C407" s="32" t="inlineStr">
        <is>
          <t>Extintor ABC 25 kg sobre ruedas</t>
        </is>
      </c>
      <c r="D407" s="17" t="inlineStr">
        <is>
          <t>C - Cambio obligatorio de polvo (versión anterior de la IRAM 3569)</t>
        </is>
      </c>
      <c r="E407" s="17" t="inlineStr">
        <is>
          <t>Polvo químico seco ABC 90 (Sello IRAM 3569)</t>
        </is>
      </c>
      <c r="F407" s="32" t="n">
        <v>25</v>
      </c>
      <c r="G407" s="32" t="inlineStr">
        <is>
          <t>kg</t>
        </is>
      </c>
      <c r="H407" s="17" t="inlineStr">
        <is>
          <t>Nuevo 100 %; el viejo va a residuos (RC-IR)</t>
        </is>
      </c>
      <c r="I407" s="17" t="inlineStr">
        <is>
          <t>IRAM 3517-2:2020 9.9.4</t>
        </is>
      </c>
      <c r="J407" s="32" t="inlineStr">
        <is>
          <t>Sí</t>
        </is>
      </c>
      <c r="K407" s="17" t="inlineStr">
        <is>
          <t>DEM S.A. (DEMSA)</t>
        </is>
      </c>
      <c r="L407" s="17" t="inlineStr">
        <is>
          <t>Polvex S.R.L. / Sancibrao</t>
        </is>
      </c>
    </row>
    <row r="408">
      <c r="A408" s="32" t="inlineStr">
        <is>
          <t>RK-ABC25-C</t>
        </is>
      </c>
      <c r="B408" s="32" t="inlineStr">
        <is>
          <t>FL_MAT_ABC_25kg</t>
        </is>
      </c>
      <c r="C408" s="32" t="inlineStr">
        <is>
          <t>Extintor ABC 25 kg sobre ruedas</t>
        </is>
      </c>
      <c r="D408" s="17" t="inlineStr">
        <is>
          <t>C - Cambio obligatorio de polvo (versión anterior de la IRAM 3569)</t>
        </is>
      </c>
      <c r="E408" s="17" t="inlineStr">
        <is>
          <t>Precinto plástico numerado, color, con nombre del recargador</t>
        </is>
      </c>
      <c r="F408" s="32" t="n">
        <v>1</v>
      </c>
      <c r="G408" s="32" t="inlineStr">
        <is>
          <t>u</t>
        </is>
      </c>
      <c r="H408" s="17" t="inlineStr">
        <is>
          <t>Nuevo</t>
        </is>
      </c>
      <c r="I408" s="17" t="inlineStr">
        <is>
          <t>IRAM 3517-2:2020 9.4.13</t>
        </is>
      </c>
      <c r="J408" s="32" t="inlineStr">
        <is>
          <t>Sí</t>
        </is>
      </c>
      <c r="K408" s="17" t="inlineStr">
        <is>
          <t>SonFuertes (vía Papelera Damián)</t>
        </is>
      </c>
      <c r="L408" s="17" t="inlineStr">
        <is>
          <t>Precinter S.R.L.</t>
        </is>
      </c>
    </row>
    <row r="409">
      <c r="A409" s="32" t="inlineStr">
        <is>
          <t>RK-ABC25-C</t>
        </is>
      </c>
      <c r="B409" s="32" t="inlineStr">
        <is>
          <t>FL_MAT_ABC_25kg</t>
        </is>
      </c>
      <c r="C409" s="32" t="inlineStr">
        <is>
          <t>Extintor ABC 25 kg sobre ruedas</t>
        </is>
      </c>
      <c r="D409" s="17" t="inlineStr">
        <is>
          <t>C - Cambio obligatorio de polvo (versión anterior de la IRAM 3569)</t>
        </is>
      </c>
      <c r="E409" s="17" t="inlineStr">
        <is>
          <t>Marbete (anillo, color del año)</t>
        </is>
      </c>
      <c r="F409" s="32" t="n">
        <v>1</v>
      </c>
      <c r="G409" s="32" t="inlineStr">
        <is>
          <t>u</t>
        </is>
      </c>
      <c r="H409" s="17" t="inlineStr">
        <is>
          <t>Nuevo</t>
        </is>
      </c>
      <c r="I409" s="17" t="inlineStr">
        <is>
          <t>IRAM 3517-2:2020 9.6 · anexo E</t>
        </is>
      </c>
      <c r="J409" s="32" t="inlineStr">
        <is>
          <t>Sí</t>
        </is>
      </c>
      <c r="K409" s="17" t="inlineStr">
        <is>
          <t>Astuprint</t>
        </is>
      </c>
      <c r="L409" s="17" t="inlineStr">
        <is>
          <t>Multilabel Argentina S.A.</t>
        </is>
      </c>
    </row>
    <row r="410">
      <c r="A410" s="32" t="inlineStr">
        <is>
          <t>RK-ABC25-C</t>
        </is>
      </c>
      <c r="B410" s="32" t="inlineStr">
        <is>
          <t>FL_MAT_ABC_25kg</t>
        </is>
      </c>
      <c r="C410" s="32" t="inlineStr">
        <is>
          <t>Extintor ABC 25 kg sobre ruedas</t>
        </is>
      </c>
      <c r="D410" s="17" t="inlineStr">
        <is>
          <t>C - Cambio obligatorio de polvo (versión anterior de la IRAM 3569)</t>
        </is>
      </c>
      <c r="E410" s="17" t="inlineStr">
        <is>
          <t>Etiqueta de servicio del recargador (extintor n°, serie, próxima recarga y PH)</t>
        </is>
      </c>
      <c r="F410" s="32" t="n">
        <v>1</v>
      </c>
      <c r="G410" s="32" t="inlineStr">
        <is>
          <t>u</t>
        </is>
      </c>
      <c r="H410" s="17" t="inlineStr">
        <is>
          <t>Nuevo</t>
        </is>
      </c>
      <c r="I410" s="17" t="inlineStr">
        <is>
          <t>IRAM 3517-2:2020 9.4.14 · relevado Suyai/Firegram</t>
        </is>
      </c>
      <c r="J410" s="32" t="inlineStr">
        <is>
          <t>Sí</t>
        </is>
      </c>
      <c r="K410" s="17" t="inlineStr">
        <is>
          <t>Astuprint</t>
        </is>
      </c>
      <c r="L410" s="17" t="inlineStr">
        <is>
          <t>Multilabel Argentina S.A.</t>
        </is>
      </c>
    </row>
    <row r="411">
      <c r="A411" s="32" t="inlineStr">
        <is>
          <t>RK-ABC25-C</t>
        </is>
      </c>
      <c r="B411" s="32" t="inlineStr">
        <is>
          <t>FL_MAT_ABC_25kg</t>
        </is>
      </c>
      <c r="C411" s="32" t="inlineStr">
        <is>
          <t>Extintor ABC 25 kg sobre ruedas</t>
        </is>
      </c>
      <c r="D411" s="17" t="inlineStr">
        <is>
          <t>C - Cambio obligatorio de polvo (versión anterior de la IRAM 3569)</t>
        </is>
      </c>
      <c r="E411" s="17" t="inlineStr">
        <is>
          <t>Oblea PBA de recarga Ø46 + estampilla precinto 1" × 200 mm válvula-cuerpo</t>
        </is>
      </c>
      <c r="F411" s="32" t="n">
        <v>1</v>
      </c>
      <c r="G411" s="32" t="inlineStr">
        <is>
          <t>u</t>
        </is>
      </c>
      <c r="H411" s="17" t="inlineStr">
        <is>
          <t>Nuevo (venta en PBA)</t>
        </is>
      </c>
      <c r="I411" s="17" t="inlineStr">
        <is>
          <t>IRAM 3517-2:2020 Res. OPDS 522/07</t>
        </is>
      </c>
      <c r="J411" s="32" t="inlineStr">
        <is>
          <t>Sí</t>
        </is>
      </c>
      <c r="K411" s="17" t="inlineStr">
        <is>
          <t>Ministerio de Ambiente PBA (ex OPDS)</t>
        </is>
      </c>
      <c r="L411" s="17" t="inlineStr">
        <is>
          <t>-</t>
        </is>
      </c>
    </row>
    <row r="412">
      <c r="A412" s="32" t="inlineStr">
        <is>
          <t>RK-ABC25-C</t>
        </is>
      </c>
      <c r="B412" s="32" t="inlineStr">
        <is>
          <t>FL_MAT_ABC_25kg</t>
        </is>
      </c>
      <c r="C412" s="32" t="inlineStr">
        <is>
          <t>Extintor ABC 25 kg sobre ruedas</t>
        </is>
      </c>
      <c r="D412" s="17" t="inlineStr">
        <is>
          <t>C - Cambio obligatorio de polvo (versión anterior de la IRAM 3569)</t>
        </is>
      </c>
      <c r="E412" s="17" t="inlineStr">
        <is>
          <t>Tarjeta de identificación AGC (módulo papel con QR + etiqueta AGC)</t>
        </is>
      </c>
      <c r="F412" s="32" t="n">
        <v>1</v>
      </c>
      <c r="G412" s="32" t="inlineStr">
        <is>
          <t>u</t>
        </is>
      </c>
      <c r="H412" s="17" t="inlineStr">
        <is>
          <t>Nuevo (destino CABA)</t>
        </is>
      </c>
      <c r="I412" s="17" t="inlineStr">
        <is>
          <t>IRAM 3517-2:2020 Ord. 40.473 art. 6 · Res. AGC 32/15</t>
        </is>
      </c>
      <c r="J412" s="32" t="inlineStr">
        <is>
          <t>Sí</t>
        </is>
      </c>
      <c r="K412" s="17" t="inlineStr">
        <is>
          <t>Agencia Gubernamental de Control (CABA)</t>
        </is>
      </c>
      <c r="L412" s="17" t="inlineStr">
        <is>
          <t>-</t>
        </is>
      </c>
    </row>
    <row r="413">
      <c r="A413" s="32" t="inlineStr">
        <is>
          <t>RK-ABC25-C</t>
        </is>
      </c>
      <c r="B413" s="32" t="inlineStr">
        <is>
          <t>FL_MAT_ABC_25kg</t>
        </is>
      </c>
      <c r="C413" s="32" t="inlineStr">
        <is>
          <t>Extintor ABC 25 kg sobre ruedas</t>
        </is>
      </c>
      <c r="D413" s="17" t="inlineStr">
        <is>
          <t>C - Cambio obligatorio de polvo (versión anterior de la IRAM 3569)</t>
        </is>
      </c>
      <c r="E413" s="17" t="inlineStr">
        <is>
          <t>Tarjeta de identificación DPS de revisión / recarga</t>
        </is>
      </c>
      <c r="F413" s="32" t="n">
        <v>1</v>
      </c>
      <c r="G413" s="32" t="inlineStr">
        <is>
          <t>u</t>
        </is>
      </c>
      <c r="H413" s="17" t="inlineStr">
        <is>
          <t>Nuevo (PBA)</t>
        </is>
      </c>
      <c r="I413" s="17" t="inlineStr">
        <is>
          <t>IRAM 3517-2:2020 Res. 349/07 art. 21</t>
        </is>
      </c>
      <c r="J413" s="32" t="inlineStr">
        <is>
          <t>Sí</t>
        </is>
      </c>
      <c r="K413" s="17" t="inlineStr">
        <is>
          <t>Ministerio de Ambiente PBA (ex OPDS)</t>
        </is>
      </c>
      <c r="L413" s="17" t="inlineStr">
        <is>
          <t>-</t>
        </is>
      </c>
    </row>
    <row r="414">
      <c r="A414" s="32" t="inlineStr">
        <is>
          <t>RK-ABC25-C</t>
        </is>
      </c>
      <c r="B414" s="32" t="inlineStr">
        <is>
          <t>FL_MAT_ABC_25kg</t>
        </is>
      </c>
      <c r="C414" s="32" t="inlineStr">
        <is>
          <t>Extintor ABC 25 kg sobre ruedas</t>
        </is>
      </c>
      <c r="D414" s="17" t="inlineStr">
        <is>
          <t>C - Cambio obligatorio de polvo (versión anterior de la IRAM 3569)</t>
        </is>
      </c>
      <c r="E414" s="17" t="inlineStr">
        <is>
          <t>Grabado de la fecha del servicio en el tubo de pesca (lápiz vibratorio; en polvo, marcador indeleble)</t>
        </is>
      </c>
      <c r="F414" s="32" t="n">
        <v>1</v>
      </c>
      <c r="G414" s="32" t="inlineStr">
        <is>
          <t>u</t>
        </is>
      </c>
      <c r="H414" s="17" t="inlineStr">
        <is>
          <t>Proceso</t>
        </is>
      </c>
      <c r="I414" s="17" t="inlineStr">
        <is>
          <t>IRAM 3517-2:2020 Res. 349/07 art. 28</t>
        </is>
      </c>
      <c r="J414" s="32" t="inlineStr">
        <is>
          <t>No</t>
        </is>
      </c>
      <c r="K414" s="17" t="n"/>
      <c r="L414" s="17" t="n"/>
    </row>
    <row r="415">
      <c r="A415" s="32" t="inlineStr">
        <is>
          <t>RK-ABC25-C</t>
        </is>
      </c>
      <c r="B415" s="32" t="inlineStr">
        <is>
          <t>FL_MAT_ABC_25kg</t>
        </is>
      </c>
      <c r="C415" s="32" t="inlineStr">
        <is>
          <t>Extintor ABC 25 kg sobre ruedas</t>
        </is>
      </c>
      <c r="D415" s="17" t="inlineStr">
        <is>
          <t>C - Cambio obligatorio de polvo (versión anterior de la IRAM 3569)</t>
        </is>
      </c>
      <c r="E415" s="17" t="inlineStr">
        <is>
          <t>Si hubo PH: oblea de vencimiento de PH + «PH» y fecha grabados en el tubo de pesca (CO₂: fecha y logo estampados en la ojiva)</t>
        </is>
      </c>
      <c r="F415" s="32" t="n">
        <v>1</v>
      </c>
      <c r="G415" s="32" t="inlineStr">
        <is>
          <t>u</t>
        </is>
      </c>
      <c r="H415" s="17" t="inlineStr">
        <is>
          <t>Proceso</t>
        </is>
      </c>
      <c r="I415" s="17" t="inlineStr">
        <is>
          <t>IRAM 3517-2:2020 Res. 349/07 art. 29 · IRAM 3517-2</t>
        </is>
      </c>
      <c r="J415" s="32" t="inlineStr">
        <is>
          <t>No</t>
        </is>
      </c>
      <c r="K415" s="17" t="n"/>
      <c r="L415" s="17" t="n"/>
    </row>
    <row r="416">
      <c r="A416" s="37" t="inlineStr">
        <is>
          <t>RK-ABC25-C</t>
        </is>
      </c>
      <c r="B416" s="37" t="inlineStr">
        <is>
          <t>FL_MAT_ABC_25kg</t>
        </is>
      </c>
      <c r="C416" s="37" t="inlineStr">
        <is>
          <t>Extintor ABC 25 kg sobre ruedas</t>
        </is>
      </c>
      <c r="D416" s="18" t="inlineStr">
        <is>
          <t>C - Cambio obligatorio de polvo (versión anterior de la IRAM 3569)</t>
        </is>
      </c>
      <c r="E416" s="18" t="inlineStr">
        <is>
          <t>Junta tórica de asiento del cuello</t>
        </is>
      </c>
      <c r="F416" s="37" t="n">
        <v>1</v>
      </c>
      <c r="G416" s="37" t="inlineStr">
        <is>
          <t>u</t>
        </is>
      </c>
      <c r="H416" s="18" t="inlineStr">
        <is>
          <t>Nuevo (R: cambio sistemático)</t>
        </is>
      </c>
      <c r="I416" s="18" t="inlineStr"/>
      <c r="J416" s="37" t="inlineStr">
        <is>
          <t>Sí</t>
        </is>
      </c>
      <c r="K416" s="18" t="inlineStr">
        <is>
          <t>Argensold</t>
        </is>
      </c>
      <c r="L416" s="18" t="inlineStr">
        <is>
          <t>Matafuegos Iglesias</t>
        </is>
      </c>
    </row>
    <row r="417">
      <c r="A417" s="32" t="inlineStr">
        <is>
          <t>RK-ABC25-C</t>
        </is>
      </c>
      <c r="B417" s="32" t="inlineStr">
        <is>
          <t>FL_MAT_ABC_25kg</t>
        </is>
      </c>
      <c r="C417" s="32" t="inlineStr">
        <is>
          <t>Extintor ABC 25 kg sobre ruedas</t>
        </is>
      </c>
      <c r="D417" s="17" t="inlineStr">
        <is>
          <t>C - Cambio obligatorio de polvo (versión anterior de la IRAM 3569)</t>
        </is>
      </c>
      <c r="E417" s="17" t="inlineStr">
        <is>
          <t>Gas impulsor: N₂</t>
        </is>
      </c>
      <c r="F417" s="32" t="n">
        <v>0.2013</v>
      </c>
      <c r="G417" s="32" t="inlineStr">
        <is>
          <t>kg</t>
        </is>
      </c>
      <c r="H417" s="17" t="inlineStr">
        <is>
          <t>Nuevo</t>
        </is>
      </c>
      <c r="I417" s="17" t="inlineStr">
        <is>
          <t>IRAM 3517-2:2020 9.4.9 tabla 2</t>
        </is>
      </c>
      <c r="J417" s="32" t="inlineStr">
        <is>
          <t>Sí</t>
        </is>
      </c>
      <c r="K417" s="17" t="inlineStr">
        <is>
          <t>Air Liquide Argentina - sucursal Piñeyro</t>
        </is>
      </c>
      <c r="L417" s="17" t="inlineStr">
        <is>
          <t>Gogniat</t>
        </is>
      </c>
    </row>
    <row r="418">
      <c r="A418" s="32" t="inlineStr">
        <is>
          <t>RK-ABC25-I</t>
        </is>
      </c>
      <c r="B418" s="32" t="inlineStr">
        <is>
          <t>FL_MAT_ABC_25kg</t>
        </is>
      </c>
      <c r="C418" s="32" t="inlineStr">
        <is>
          <t>Extintor ABC 25 kg sobre ruedas</t>
        </is>
      </c>
      <c r="D418" s="17" t="inlineStr">
        <is>
          <t>Según inspección (consumo estadístico a definir)</t>
        </is>
      </c>
      <c r="E418" s="17" t="inlineStr">
        <is>
          <t>Manómetro / manguera / tobera / kit de válvula</t>
        </is>
      </c>
      <c r="F418" s="32" t="inlineStr">
        <is>
          <t>-</t>
        </is>
      </c>
      <c r="G418" s="32" t="inlineStr">
        <is>
          <t>u</t>
        </is>
      </c>
      <c r="H418" s="17" t="inlineStr">
        <is>
          <t>Recambio sólo si falla</t>
        </is>
      </c>
      <c r="I418" s="17" t="inlineStr">
        <is>
          <t>IRAM 3517-2:2020 9.4.11 (cada manguera vuelve a su extintor)</t>
        </is>
      </c>
      <c r="J418" s="32" t="inlineStr">
        <is>
          <t>Sí</t>
        </is>
      </c>
      <c r="K418" s="17" t="inlineStr">
        <is>
          <t>Polvex S.R.L. / Sancibrao</t>
        </is>
      </c>
      <c r="L418" s="17" t="inlineStr">
        <is>
          <t>Yukon / MatafuegosYa S.R.L.</t>
        </is>
      </c>
    </row>
    <row r="419">
      <c r="A419" s="32" t="inlineStr">
        <is>
          <t>RK-ABC50-A</t>
        </is>
      </c>
      <c r="B419" s="32" t="inlineStr">
        <is>
          <t>FL_MAT_ABC_50kg</t>
        </is>
      </c>
      <c r="C419" s="32" t="inlineStr">
        <is>
          <t>Extintor ABC 50 kg sobre ruedas</t>
        </is>
      </c>
      <c r="D419" s="17" t="inlineStr">
        <is>
          <t>A - Extintor descargado (uso o descarga parcial)</t>
        </is>
      </c>
      <c r="E419" s="17" t="inlineStr">
        <is>
          <t>Polvo químico seco ABC 90 (Sello IRAM 3569)</t>
        </is>
      </c>
      <c r="F419" s="32" t="n">
        <v>50</v>
      </c>
      <c r="G419" s="32" t="inlineStr">
        <is>
          <t>kg</t>
        </is>
      </c>
      <c r="H419" s="17" t="inlineStr">
        <is>
          <t>Nuevo 100 %</t>
        </is>
      </c>
      <c r="I419" s="17" t="inlineStr">
        <is>
          <t>IRAM 3517-2:2020 9.9.1.4: el polvo de un extintor accionado no se reutiliza</t>
        </is>
      </c>
      <c r="J419" s="32" t="inlineStr">
        <is>
          <t>Sí</t>
        </is>
      </c>
      <c r="K419" s="17" t="inlineStr">
        <is>
          <t>DEM S.A. (DEMSA)</t>
        </is>
      </c>
      <c r="L419" s="17" t="inlineStr">
        <is>
          <t>Polvex S.R.L. / Sancibrao</t>
        </is>
      </c>
    </row>
    <row r="420">
      <c r="A420" s="32" t="inlineStr">
        <is>
          <t>RK-ABC50-A</t>
        </is>
      </c>
      <c r="B420" s="32" t="inlineStr">
        <is>
          <t>FL_MAT_ABC_50kg</t>
        </is>
      </c>
      <c r="C420" s="32" t="inlineStr">
        <is>
          <t>Extintor ABC 50 kg sobre ruedas</t>
        </is>
      </c>
      <c r="D420" s="17" t="inlineStr">
        <is>
          <t>A - Extintor descargado (uso o descarga parcial)</t>
        </is>
      </c>
      <c r="E420" s="17" t="inlineStr">
        <is>
          <t>Precinto plástico numerado, color, con nombre del recargador</t>
        </is>
      </c>
      <c r="F420" s="32" t="n">
        <v>1</v>
      </c>
      <c r="G420" s="32" t="inlineStr">
        <is>
          <t>u</t>
        </is>
      </c>
      <c r="H420" s="17" t="inlineStr">
        <is>
          <t>Nuevo</t>
        </is>
      </c>
      <c r="I420" s="17" t="inlineStr">
        <is>
          <t>IRAM 3517-2:2020 9.4.13</t>
        </is>
      </c>
      <c r="J420" s="32" t="inlineStr">
        <is>
          <t>Sí</t>
        </is>
      </c>
      <c r="K420" s="17" t="inlineStr">
        <is>
          <t>SonFuertes (vía Papelera Damián)</t>
        </is>
      </c>
      <c r="L420" s="17" t="inlineStr">
        <is>
          <t>Precinter S.R.L.</t>
        </is>
      </c>
    </row>
    <row r="421">
      <c r="A421" s="32" t="inlineStr">
        <is>
          <t>RK-ABC50-A</t>
        </is>
      </c>
      <c r="B421" s="32" t="inlineStr">
        <is>
          <t>FL_MAT_ABC_50kg</t>
        </is>
      </c>
      <c r="C421" s="32" t="inlineStr">
        <is>
          <t>Extintor ABC 50 kg sobre ruedas</t>
        </is>
      </c>
      <c r="D421" s="17" t="inlineStr">
        <is>
          <t>A - Extintor descargado (uso o descarga parcial)</t>
        </is>
      </c>
      <c r="E421" s="17" t="inlineStr">
        <is>
          <t>Marbete (anillo, color del año)</t>
        </is>
      </c>
      <c r="F421" s="32" t="n">
        <v>1</v>
      </c>
      <c r="G421" s="32" t="inlineStr">
        <is>
          <t>u</t>
        </is>
      </c>
      <c r="H421" s="17" t="inlineStr">
        <is>
          <t>Nuevo</t>
        </is>
      </c>
      <c r="I421" s="17" t="inlineStr">
        <is>
          <t>IRAM 3517-2:2020 9.6 · anexo E</t>
        </is>
      </c>
      <c r="J421" s="32" t="inlineStr">
        <is>
          <t>Sí</t>
        </is>
      </c>
      <c r="K421" s="17" t="inlineStr">
        <is>
          <t>Astuprint</t>
        </is>
      </c>
      <c r="L421" s="17" t="inlineStr">
        <is>
          <t>Multilabel Argentina S.A.</t>
        </is>
      </c>
    </row>
    <row r="422">
      <c r="A422" s="32" t="inlineStr">
        <is>
          <t>RK-ABC50-A</t>
        </is>
      </c>
      <c r="B422" s="32" t="inlineStr">
        <is>
          <t>FL_MAT_ABC_50kg</t>
        </is>
      </c>
      <c r="C422" s="32" t="inlineStr">
        <is>
          <t>Extintor ABC 50 kg sobre ruedas</t>
        </is>
      </c>
      <c r="D422" s="17" t="inlineStr">
        <is>
          <t>A - Extintor descargado (uso o descarga parcial)</t>
        </is>
      </c>
      <c r="E422" s="17" t="inlineStr">
        <is>
          <t>Etiqueta de servicio del recargador (extintor n°, serie, próxima recarga y PH)</t>
        </is>
      </c>
      <c r="F422" s="32" t="n">
        <v>1</v>
      </c>
      <c r="G422" s="32" t="inlineStr">
        <is>
          <t>u</t>
        </is>
      </c>
      <c r="H422" s="17" t="inlineStr">
        <is>
          <t>Nuevo</t>
        </is>
      </c>
      <c r="I422" s="17" t="inlineStr">
        <is>
          <t>IRAM 3517-2:2020 9.4.14 · relevado Suyai/Firegram</t>
        </is>
      </c>
      <c r="J422" s="32" t="inlineStr">
        <is>
          <t>Sí</t>
        </is>
      </c>
      <c r="K422" s="17" t="inlineStr">
        <is>
          <t>Astuprint</t>
        </is>
      </c>
      <c r="L422" s="17" t="inlineStr">
        <is>
          <t>Multilabel Argentina S.A.</t>
        </is>
      </c>
    </row>
    <row r="423">
      <c r="A423" s="32" t="inlineStr">
        <is>
          <t>RK-ABC50-A</t>
        </is>
      </c>
      <c r="B423" s="32" t="inlineStr">
        <is>
          <t>FL_MAT_ABC_50kg</t>
        </is>
      </c>
      <c r="C423" s="32" t="inlineStr">
        <is>
          <t>Extintor ABC 50 kg sobre ruedas</t>
        </is>
      </c>
      <c r="D423" s="17" t="inlineStr">
        <is>
          <t>A - Extintor descargado (uso o descarga parcial)</t>
        </is>
      </c>
      <c r="E423" s="17" t="inlineStr">
        <is>
          <t>Oblea PBA de recarga Ø46 + estampilla precinto 1" × 200 mm válvula-cuerpo</t>
        </is>
      </c>
      <c r="F423" s="32" t="n">
        <v>1</v>
      </c>
      <c r="G423" s="32" t="inlineStr">
        <is>
          <t>u</t>
        </is>
      </c>
      <c r="H423" s="17" t="inlineStr">
        <is>
          <t>Nuevo (venta en PBA)</t>
        </is>
      </c>
      <c r="I423" s="17" t="inlineStr">
        <is>
          <t>IRAM 3517-2:2020 Res. OPDS 522/07</t>
        </is>
      </c>
      <c r="J423" s="32" t="inlineStr">
        <is>
          <t>Sí</t>
        </is>
      </c>
      <c r="K423" s="17" t="inlineStr">
        <is>
          <t>Ministerio de Ambiente PBA (ex OPDS)</t>
        </is>
      </c>
      <c r="L423" s="17" t="inlineStr">
        <is>
          <t>-</t>
        </is>
      </c>
    </row>
    <row r="424">
      <c r="A424" s="32" t="inlineStr">
        <is>
          <t>RK-ABC50-A</t>
        </is>
      </c>
      <c r="B424" s="32" t="inlineStr">
        <is>
          <t>FL_MAT_ABC_50kg</t>
        </is>
      </c>
      <c r="C424" s="32" t="inlineStr">
        <is>
          <t>Extintor ABC 50 kg sobre ruedas</t>
        </is>
      </c>
      <c r="D424" s="17" t="inlineStr">
        <is>
          <t>A - Extintor descargado (uso o descarga parcial)</t>
        </is>
      </c>
      <c r="E424" s="17" t="inlineStr">
        <is>
          <t>Tarjeta de identificación AGC (módulo papel con QR + etiqueta AGC)</t>
        </is>
      </c>
      <c r="F424" s="32" t="n">
        <v>1</v>
      </c>
      <c r="G424" s="32" t="inlineStr">
        <is>
          <t>u</t>
        </is>
      </c>
      <c r="H424" s="17" t="inlineStr">
        <is>
          <t>Nuevo (destino CABA)</t>
        </is>
      </c>
      <c r="I424" s="17" t="inlineStr">
        <is>
          <t>IRAM 3517-2:2020 Ord. 40.473 art. 6 · Res. AGC 32/15</t>
        </is>
      </c>
      <c r="J424" s="32" t="inlineStr">
        <is>
          <t>Sí</t>
        </is>
      </c>
      <c r="K424" s="17" t="inlineStr">
        <is>
          <t>Agencia Gubernamental de Control (CABA)</t>
        </is>
      </c>
      <c r="L424" s="17" t="inlineStr">
        <is>
          <t>-</t>
        </is>
      </c>
    </row>
    <row r="425">
      <c r="A425" s="32" t="inlineStr">
        <is>
          <t>RK-ABC50-A</t>
        </is>
      </c>
      <c r="B425" s="32" t="inlineStr">
        <is>
          <t>FL_MAT_ABC_50kg</t>
        </is>
      </c>
      <c r="C425" s="32" t="inlineStr">
        <is>
          <t>Extintor ABC 50 kg sobre ruedas</t>
        </is>
      </c>
      <c r="D425" s="17" t="inlineStr">
        <is>
          <t>A - Extintor descargado (uso o descarga parcial)</t>
        </is>
      </c>
      <c r="E425" s="17" t="inlineStr">
        <is>
          <t>Tarjeta de identificación DPS de revisión / recarga</t>
        </is>
      </c>
      <c r="F425" s="32" t="n">
        <v>1</v>
      </c>
      <c r="G425" s="32" t="inlineStr">
        <is>
          <t>u</t>
        </is>
      </c>
      <c r="H425" s="17" t="inlineStr">
        <is>
          <t>Nuevo (PBA)</t>
        </is>
      </c>
      <c r="I425" s="17" t="inlineStr">
        <is>
          <t>IRAM 3517-2:2020 Res. 349/07 art. 21</t>
        </is>
      </c>
      <c r="J425" s="32" t="inlineStr">
        <is>
          <t>Sí</t>
        </is>
      </c>
      <c r="K425" s="17" t="inlineStr">
        <is>
          <t>Ministerio de Ambiente PBA (ex OPDS)</t>
        </is>
      </c>
      <c r="L425" s="17" t="inlineStr">
        <is>
          <t>-</t>
        </is>
      </c>
    </row>
    <row r="426">
      <c r="A426" s="32" t="inlineStr">
        <is>
          <t>RK-ABC50-A</t>
        </is>
      </c>
      <c r="B426" s="32" t="inlineStr">
        <is>
          <t>FL_MAT_ABC_50kg</t>
        </is>
      </c>
      <c r="C426" s="32" t="inlineStr">
        <is>
          <t>Extintor ABC 50 kg sobre ruedas</t>
        </is>
      </c>
      <c r="D426" s="17" t="inlineStr">
        <is>
          <t>A - Extintor descargado (uso o descarga parcial)</t>
        </is>
      </c>
      <c r="E426" s="17" t="inlineStr">
        <is>
          <t>Grabado de la fecha del servicio en el tubo de pesca (lápiz vibratorio; en polvo, marcador indeleble)</t>
        </is>
      </c>
      <c r="F426" s="32" t="n">
        <v>1</v>
      </c>
      <c r="G426" s="32" t="inlineStr">
        <is>
          <t>u</t>
        </is>
      </c>
      <c r="H426" s="17" t="inlineStr">
        <is>
          <t>Proceso</t>
        </is>
      </c>
      <c r="I426" s="17" t="inlineStr">
        <is>
          <t>IRAM 3517-2:2020 Res. 349/07 art. 28</t>
        </is>
      </c>
      <c r="J426" s="32" t="inlineStr">
        <is>
          <t>No</t>
        </is>
      </c>
      <c r="K426" s="17" t="n"/>
      <c r="L426" s="17" t="n"/>
    </row>
    <row r="427">
      <c r="A427" s="32" t="inlineStr">
        <is>
          <t>RK-ABC50-A</t>
        </is>
      </c>
      <c r="B427" s="32" t="inlineStr">
        <is>
          <t>FL_MAT_ABC_50kg</t>
        </is>
      </c>
      <c r="C427" s="32" t="inlineStr">
        <is>
          <t>Extintor ABC 50 kg sobre ruedas</t>
        </is>
      </c>
      <c r="D427" s="17" t="inlineStr">
        <is>
          <t>A - Extintor descargado (uso o descarga parcial)</t>
        </is>
      </c>
      <c r="E427" s="17" t="inlineStr">
        <is>
          <t>Si hubo PH: oblea de vencimiento de PH + «PH» y fecha grabados en el tubo de pesca (CO₂: fecha y logo estampados en la ojiva)</t>
        </is>
      </c>
      <c r="F427" s="32" t="n">
        <v>1</v>
      </c>
      <c r="G427" s="32" t="inlineStr">
        <is>
          <t>u</t>
        </is>
      </c>
      <c r="H427" s="17" t="inlineStr">
        <is>
          <t>Proceso</t>
        </is>
      </c>
      <c r="I427" s="17" t="inlineStr">
        <is>
          <t>IRAM 3517-2:2020 Res. 349/07 art. 29 · IRAM 3517-2</t>
        </is>
      </c>
      <c r="J427" s="32" t="inlineStr">
        <is>
          <t>No</t>
        </is>
      </c>
      <c r="K427" s="17" t="n"/>
      <c r="L427" s="17" t="n"/>
    </row>
    <row r="428">
      <c r="A428" s="37" t="inlineStr">
        <is>
          <t>RK-ABC50-A</t>
        </is>
      </c>
      <c r="B428" s="37" t="inlineStr">
        <is>
          <t>FL_MAT_ABC_50kg</t>
        </is>
      </c>
      <c r="C428" s="37" t="inlineStr">
        <is>
          <t>Extintor ABC 50 kg sobre ruedas</t>
        </is>
      </c>
      <c r="D428" s="18" t="inlineStr">
        <is>
          <t>A - Extintor descargado (uso o descarga parcial)</t>
        </is>
      </c>
      <c r="E428" s="18" t="inlineStr">
        <is>
          <t>Junta tórica de asiento del cuello</t>
        </is>
      </c>
      <c r="F428" s="37" t="n">
        <v>1</v>
      </c>
      <c r="G428" s="37" t="inlineStr">
        <is>
          <t>u</t>
        </is>
      </c>
      <c r="H428" s="18" t="inlineStr">
        <is>
          <t>Nuevo (R: cambio sistemático)</t>
        </is>
      </c>
      <c r="I428" s="18" t="inlineStr"/>
      <c r="J428" s="37" t="inlineStr">
        <is>
          <t>Sí</t>
        </is>
      </c>
      <c r="K428" s="18" t="inlineStr">
        <is>
          <t>Argensold</t>
        </is>
      </c>
      <c r="L428" s="18" t="inlineStr">
        <is>
          <t>Matafuegos Iglesias</t>
        </is>
      </c>
    </row>
    <row r="429">
      <c r="A429" s="32" t="inlineStr">
        <is>
          <t>RK-ABC50-A</t>
        </is>
      </c>
      <c r="B429" s="32" t="inlineStr">
        <is>
          <t>FL_MAT_ABC_50kg</t>
        </is>
      </c>
      <c r="C429" s="32" t="inlineStr">
        <is>
          <t>Extintor ABC 50 kg sobre ruedas</t>
        </is>
      </c>
      <c r="D429" s="17" t="inlineStr">
        <is>
          <t>A - Extintor descargado (uso o descarga parcial)</t>
        </is>
      </c>
      <c r="E429" s="17" t="inlineStr">
        <is>
          <t>Gas impulsor: N₂</t>
        </is>
      </c>
      <c r="F429" s="32" t="n">
        <v>0.2819</v>
      </c>
      <c r="G429" s="32" t="inlineStr">
        <is>
          <t>kg</t>
        </is>
      </c>
      <c r="H429" s="17" t="inlineStr">
        <is>
          <t>Nuevo</t>
        </is>
      </c>
      <c r="I429" s="17" t="inlineStr">
        <is>
          <t>IRAM 3517-2:2020 9.4.9 tabla 2</t>
        </is>
      </c>
      <c r="J429" s="32" t="inlineStr">
        <is>
          <t>Sí</t>
        </is>
      </c>
      <c r="K429" s="17" t="inlineStr">
        <is>
          <t>Air Liquide Argentina - sucursal Piñeyro</t>
        </is>
      </c>
      <c r="L429" s="17" t="inlineStr">
        <is>
          <t>Gogniat</t>
        </is>
      </c>
    </row>
    <row r="430">
      <c r="A430" s="32" t="inlineStr">
        <is>
          <t>RK-ABC50-B</t>
        </is>
      </c>
      <c r="B430" s="32" t="inlineStr">
        <is>
          <t>FL_MAT_ABC_50kg</t>
        </is>
      </c>
      <c r="C430" s="32" t="inlineStr">
        <is>
          <t>Extintor ABC 50 kg sobre ruedas</t>
        </is>
      </c>
      <c r="D430" s="17" t="inlineStr">
        <is>
          <t>B - Mantenimiento con apertura sin descarga (control interior, PH)</t>
        </is>
      </c>
      <c r="E430" s="17" t="inlineStr">
        <is>
          <t>Polvo químico seco ABC 90 (Sello IRAM 3569) recuperado</t>
        </is>
      </c>
      <c r="F430" s="32" t="n">
        <v>48.5</v>
      </c>
      <c r="G430" s="32" t="inlineStr">
        <is>
          <t>kg</t>
        </is>
      </c>
      <c r="H430" s="17" t="inlineStr">
        <is>
          <t>Recuperado en sistema cerrado</t>
        </is>
      </c>
      <c r="I430" s="17" t="inlineStr">
        <is>
          <t>IRAM 3517-2:2020 4.4.1 y) sistema cerrado de recuperación con inspección; 9.9.3 control (puffer IRAM 3672, fusión IRAM 3569 en ABC)</t>
        </is>
      </c>
      <c r="J430" s="32" t="inlineStr">
        <is>
          <t>No</t>
        </is>
      </c>
      <c r="K430" s="17" t="n"/>
      <c r="L430" s="17" t="n"/>
    </row>
    <row r="431">
      <c r="A431" s="32" t="inlineStr">
        <is>
          <t>RK-ABC50-B</t>
        </is>
      </c>
      <c r="B431" s="32" t="inlineStr">
        <is>
          <t>FL_MAT_ABC_50kg</t>
        </is>
      </c>
      <c r="C431" s="32" t="inlineStr">
        <is>
          <t>Extintor ABC 50 kg sobre ruedas</t>
        </is>
      </c>
      <c r="D431" s="17" t="inlineStr">
        <is>
          <t>B - Mantenimiento con apertura sin descarga (control interior, PH)</t>
        </is>
      </c>
      <c r="E431" s="17" t="inlineStr">
        <is>
          <t>Polvo químico seco ABC 90 (Sello IRAM 3569)</t>
        </is>
      </c>
      <c r="F431" s="32" t="n">
        <v>1.5</v>
      </c>
      <c r="G431" s="32" t="inlineStr">
        <is>
          <t>kg</t>
        </is>
      </c>
      <c r="H431" s="17" t="inlineStr">
        <is>
          <t>Nuevo: reposición = carga objetivo − límite inferior de ± 3 % (cota superior)</t>
        </is>
      </c>
      <c r="I431" s="17" t="inlineStr">
        <is>
          <t>IRAM 3517-2:2020 9.4.12 tabla 3 · anexo F; mismo tipo y marca (prohibido mezclar ABC con BC, 9.9.1.6)</t>
        </is>
      </c>
      <c r="J431" s="32" t="inlineStr">
        <is>
          <t>Sí</t>
        </is>
      </c>
      <c r="K431" s="17" t="inlineStr">
        <is>
          <t>DEM S.A. (DEMSA)</t>
        </is>
      </c>
      <c r="L431" s="17" t="inlineStr">
        <is>
          <t>Polvex S.R.L. / Sancibrao</t>
        </is>
      </c>
    </row>
    <row r="432">
      <c r="A432" s="32" t="inlineStr">
        <is>
          <t>RK-ABC50-B</t>
        </is>
      </c>
      <c r="B432" s="32" t="inlineStr">
        <is>
          <t>FL_MAT_ABC_50kg</t>
        </is>
      </c>
      <c r="C432" s="32" t="inlineStr">
        <is>
          <t>Extintor ABC 50 kg sobre ruedas</t>
        </is>
      </c>
      <c r="D432" s="17" t="inlineStr">
        <is>
          <t>B - Mantenimiento con apertura sin descarga (control interior, PH)</t>
        </is>
      </c>
      <c r="E432" s="17" t="inlineStr">
        <is>
          <t>Precinto plástico numerado, color, con nombre del recargador</t>
        </is>
      </c>
      <c r="F432" s="32" t="n">
        <v>1</v>
      </c>
      <c r="G432" s="32" t="inlineStr">
        <is>
          <t>u</t>
        </is>
      </c>
      <c r="H432" s="17" t="inlineStr">
        <is>
          <t>Nuevo</t>
        </is>
      </c>
      <c r="I432" s="17" t="inlineStr">
        <is>
          <t>IRAM 3517-2:2020 9.4.13</t>
        </is>
      </c>
      <c r="J432" s="32" t="inlineStr">
        <is>
          <t>Sí</t>
        </is>
      </c>
      <c r="K432" s="17" t="inlineStr">
        <is>
          <t>SonFuertes (vía Papelera Damián)</t>
        </is>
      </c>
      <c r="L432" s="17" t="inlineStr">
        <is>
          <t>Precinter S.R.L.</t>
        </is>
      </c>
    </row>
    <row r="433">
      <c r="A433" s="32" t="inlineStr">
        <is>
          <t>RK-ABC50-B</t>
        </is>
      </c>
      <c r="B433" s="32" t="inlineStr">
        <is>
          <t>FL_MAT_ABC_50kg</t>
        </is>
      </c>
      <c r="C433" s="32" t="inlineStr">
        <is>
          <t>Extintor ABC 50 kg sobre ruedas</t>
        </is>
      </c>
      <c r="D433" s="17" t="inlineStr">
        <is>
          <t>B - Mantenimiento con apertura sin descarga (control interior, PH)</t>
        </is>
      </c>
      <c r="E433" s="17" t="inlineStr">
        <is>
          <t>Marbete (anillo, color del año)</t>
        </is>
      </c>
      <c r="F433" s="32" t="n">
        <v>1</v>
      </c>
      <c r="G433" s="32" t="inlineStr">
        <is>
          <t>u</t>
        </is>
      </c>
      <c r="H433" s="17" t="inlineStr">
        <is>
          <t>Nuevo</t>
        </is>
      </c>
      <c r="I433" s="17" t="inlineStr">
        <is>
          <t>IRAM 3517-2:2020 9.6 · anexo E</t>
        </is>
      </c>
      <c r="J433" s="32" t="inlineStr">
        <is>
          <t>Sí</t>
        </is>
      </c>
      <c r="K433" s="17" t="inlineStr">
        <is>
          <t>Astuprint</t>
        </is>
      </c>
      <c r="L433" s="17" t="inlineStr">
        <is>
          <t>Multilabel Argentina S.A.</t>
        </is>
      </c>
    </row>
    <row r="434">
      <c r="A434" s="32" t="inlineStr">
        <is>
          <t>RK-ABC50-B</t>
        </is>
      </c>
      <c r="B434" s="32" t="inlineStr">
        <is>
          <t>FL_MAT_ABC_50kg</t>
        </is>
      </c>
      <c r="C434" s="32" t="inlineStr">
        <is>
          <t>Extintor ABC 50 kg sobre ruedas</t>
        </is>
      </c>
      <c r="D434" s="17" t="inlineStr">
        <is>
          <t>B - Mantenimiento con apertura sin descarga (control interior, PH)</t>
        </is>
      </c>
      <c r="E434" s="17" t="inlineStr">
        <is>
          <t>Etiqueta de servicio del recargador (extintor n°, serie, próxima recarga y PH)</t>
        </is>
      </c>
      <c r="F434" s="32" t="n">
        <v>1</v>
      </c>
      <c r="G434" s="32" t="inlineStr">
        <is>
          <t>u</t>
        </is>
      </c>
      <c r="H434" s="17" t="inlineStr">
        <is>
          <t>Nuevo</t>
        </is>
      </c>
      <c r="I434" s="17" t="inlineStr">
        <is>
          <t>IRAM 3517-2:2020 9.4.14 · relevado Suyai/Firegram</t>
        </is>
      </c>
      <c r="J434" s="32" t="inlineStr">
        <is>
          <t>Sí</t>
        </is>
      </c>
      <c r="K434" s="17" t="inlineStr">
        <is>
          <t>Astuprint</t>
        </is>
      </c>
      <c r="L434" s="17" t="inlineStr">
        <is>
          <t>Multilabel Argentina S.A.</t>
        </is>
      </c>
    </row>
    <row r="435">
      <c r="A435" s="32" t="inlineStr">
        <is>
          <t>RK-ABC50-B</t>
        </is>
      </c>
      <c r="B435" s="32" t="inlineStr">
        <is>
          <t>FL_MAT_ABC_50kg</t>
        </is>
      </c>
      <c r="C435" s="32" t="inlineStr">
        <is>
          <t>Extintor ABC 50 kg sobre ruedas</t>
        </is>
      </c>
      <c r="D435" s="17" t="inlineStr">
        <is>
          <t>B - Mantenimiento con apertura sin descarga (control interior, PH)</t>
        </is>
      </c>
      <c r="E435" s="17" t="inlineStr">
        <is>
          <t>Oblea PBA de recarga Ø46 + estampilla precinto 1" × 200 mm válvula-cuerpo</t>
        </is>
      </c>
      <c r="F435" s="32" t="n">
        <v>1</v>
      </c>
      <c r="G435" s="32" t="inlineStr">
        <is>
          <t>u</t>
        </is>
      </c>
      <c r="H435" s="17" t="inlineStr">
        <is>
          <t>Nuevo (venta en PBA)</t>
        </is>
      </c>
      <c r="I435" s="17" t="inlineStr">
        <is>
          <t>IRAM 3517-2:2020 Res. OPDS 522/07</t>
        </is>
      </c>
      <c r="J435" s="32" t="inlineStr">
        <is>
          <t>Sí</t>
        </is>
      </c>
      <c r="K435" s="17" t="inlineStr">
        <is>
          <t>Ministerio de Ambiente PBA (ex OPDS)</t>
        </is>
      </c>
      <c r="L435" s="17" t="inlineStr">
        <is>
          <t>-</t>
        </is>
      </c>
    </row>
    <row r="436">
      <c r="A436" s="32" t="inlineStr">
        <is>
          <t>RK-ABC50-B</t>
        </is>
      </c>
      <c r="B436" s="32" t="inlineStr">
        <is>
          <t>FL_MAT_ABC_50kg</t>
        </is>
      </c>
      <c r="C436" s="32" t="inlineStr">
        <is>
          <t>Extintor ABC 50 kg sobre ruedas</t>
        </is>
      </c>
      <c r="D436" s="17" t="inlineStr">
        <is>
          <t>B - Mantenimiento con apertura sin descarga (control interior, PH)</t>
        </is>
      </c>
      <c r="E436" s="17" t="inlineStr">
        <is>
          <t>Tarjeta de identificación AGC (módulo papel con QR + etiqueta AGC)</t>
        </is>
      </c>
      <c r="F436" s="32" t="n">
        <v>1</v>
      </c>
      <c r="G436" s="32" t="inlineStr">
        <is>
          <t>u</t>
        </is>
      </c>
      <c r="H436" s="17" t="inlineStr">
        <is>
          <t>Nuevo (destino CABA)</t>
        </is>
      </c>
      <c r="I436" s="17" t="inlineStr">
        <is>
          <t>IRAM 3517-2:2020 Ord. 40.473 art. 6 · Res. AGC 32/15</t>
        </is>
      </c>
      <c r="J436" s="32" t="inlineStr">
        <is>
          <t>Sí</t>
        </is>
      </c>
      <c r="K436" s="17" t="inlineStr">
        <is>
          <t>Agencia Gubernamental de Control (CABA)</t>
        </is>
      </c>
      <c r="L436" s="17" t="inlineStr">
        <is>
          <t>-</t>
        </is>
      </c>
    </row>
    <row r="437">
      <c r="A437" s="32" t="inlineStr">
        <is>
          <t>RK-ABC50-B</t>
        </is>
      </c>
      <c r="B437" s="32" t="inlineStr">
        <is>
          <t>FL_MAT_ABC_50kg</t>
        </is>
      </c>
      <c r="C437" s="32" t="inlineStr">
        <is>
          <t>Extintor ABC 50 kg sobre ruedas</t>
        </is>
      </c>
      <c r="D437" s="17" t="inlineStr">
        <is>
          <t>B - Mantenimiento con apertura sin descarga (control interior, PH)</t>
        </is>
      </c>
      <c r="E437" s="17" t="inlineStr">
        <is>
          <t>Tarjeta de identificación DPS de revisión / recarga</t>
        </is>
      </c>
      <c r="F437" s="32" t="n">
        <v>1</v>
      </c>
      <c r="G437" s="32" t="inlineStr">
        <is>
          <t>u</t>
        </is>
      </c>
      <c r="H437" s="17" t="inlineStr">
        <is>
          <t>Nuevo (PBA)</t>
        </is>
      </c>
      <c r="I437" s="17" t="inlineStr">
        <is>
          <t>IRAM 3517-2:2020 Res. 349/07 art. 21</t>
        </is>
      </c>
      <c r="J437" s="32" t="inlineStr">
        <is>
          <t>Sí</t>
        </is>
      </c>
      <c r="K437" s="17" t="inlineStr">
        <is>
          <t>Ministerio de Ambiente PBA (ex OPDS)</t>
        </is>
      </c>
      <c r="L437" s="17" t="inlineStr">
        <is>
          <t>-</t>
        </is>
      </c>
    </row>
    <row r="438">
      <c r="A438" s="32" t="inlineStr">
        <is>
          <t>RK-ABC50-B</t>
        </is>
      </c>
      <c r="B438" s="32" t="inlineStr">
        <is>
          <t>FL_MAT_ABC_50kg</t>
        </is>
      </c>
      <c r="C438" s="32" t="inlineStr">
        <is>
          <t>Extintor ABC 50 kg sobre ruedas</t>
        </is>
      </c>
      <c r="D438" s="17" t="inlineStr">
        <is>
          <t>B - Mantenimiento con apertura sin descarga (control interior, PH)</t>
        </is>
      </c>
      <c r="E438" s="17" t="inlineStr">
        <is>
          <t>Grabado de la fecha del servicio en el tubo de pesca (lápiz vibratorio; en polvo, marcador indeleble)</t>
        </is>
      </c>
      <c r="F438" s="32" t="n">
        <v>1</v>
      </c>
      <c r="G438" s="32" t="inlineStr">
        <is>
          <t>u</t>
        </is>
      </c>
      <c r="H438" s="17" t="inlineStr">
        <is>
          <t>Proceso</t>
        </is>
      </c>
      <c r="I438" s="17" t="inlineStr">
        <is>
          <t>IRAM 3517-2:2020 Res. 349/07 art. 28</t>
        </is>
      </c>
      <c r="J438" s="32" t="inlineStr">
        <is>
          <t>No</t>
        </is>
      </c>
      <c r="K438" s="17" t="n"/>
      <c r="L438" s="17" t="n"/>
    </row>
    <row r="439">
      <c r="A439" s="32" t="inlineStr">
        <is>
          <t>RK-ABC50-B</t>
        </is>
      </c>
      <c r="B439" s="32" t="inlineStr">
        <is>
          <t>FL_MAT_ABC_50kg</t>
        </is>
      </c>
      <c r="C439" s="32" t="inlineStr">
        <is>
          <t>Extintor ABC 50 kg sobre ruedas</t>
        </is>
      </c>
      <c r="D439" s="17" t="inlineStr">
        <is>
          <t>B - Mantenimiento con apertura sin descarga (control interior, PH)</t>
        </is>
      </c>
      <c r="E439" s="17" t="inlineStr">
        <is>
          <t>Si hubo PH: oblea de vencimiento de PH + «PH» y fecha grabados en el tubo de pesca (CO₂: fecha y logo estampados en la ojiva)</t>
        </is>
      </c>
      <c r="F439" s="32" t="n">
        <v>1</v>
      </c>
      <c r="G439" s="32" t="inlineStr">
        <is>
          <t>u</t>
        </is>
      </c>
      <c r="H439" s="17" t="inlineStr">
        <is>
          <t>Proceso</t>
        </is>
      </c>
      <c r="I439" s="17" t="inlineStr">
        <is>
          <t>IRAM 3517-2:2020 Res. 349/07 art. 29 · IRAM 3517-2</t>
        </is>
      </c>
      <c r="J439" s="32" t="inlineStr">
        <is>
          <t>No</t>
        </is>
      </c>
      <c r="K439" s="17" t="n"/>
      <c r="L439" s="17" t="n"/>
    </row>
    <row r="440">
      <c r="A440" s="37" t="inlineStr">
        <is>
          <t>RK-ABC50-B</t>
        </is>
      </c>
      <c r="B440" s="37" t="inlineStr">
        <is>
          <t>FL_MAT_ABC_50kg</t>
        </is>
      </c>
      <c r="C440" s="37" t="inlineStr">
        <is>
          <t>Extintor ABC 50 kg sobre ruedas</t>
        </is>
      </c>
      <c r="D440" s="18" t="inlineStr">
        <is>
          <t>B - Mantenimiento con apertura sin descarga (control interior, PH)</t>
        </is>
      </c>
      <c r="E440" s="18" t="inlineStr">
        <is>
          <t>Junta tórica de asiento del cuello</t>
        </is>
      </c>
      <c r="F440" s="37" t="n">
        <v>1</v>
      </c>
      <c r="G440" s="37" t="inlineStr">
        <is>
          <t>u</t>
        </is>
      </c>
      <c r="H440" s="18" t="inlineStr">
        <is>
          <t>Nuevo (R: cambio sistemático)</t>
        </is>
      </c>
      <c r="I440" s="18" t="inlineStr"/>
      <c r="J440" s="37" t="inlineStr">
        <is>
          <t>Sí</t>
        </is>
      </c>
      <c r="K440" s="18" t="inlineStr">
        <is>
          <t>Argensold</t>
        </is>
      </c>
      <c r="L440" s="18" t="inlineStr">
        <is>
          <t>Matafuegos Iglesias</t>
        </is>
      </c>
    </row>
    <row r="441">
      <c r="A441" s="32" t="inlineStr">
        <is>
          <t>RK-ABC50-B</t>
        </is>
      </c>
      <c r="B441" s="32" t="inlineStr">
        <is>
          <t>FL_MAT_ABC_50kg</t>
        </is>
      </c>
      <c r="C441" s="32" t="inlineStr">
        <is>
          <t>Extintor ABC 50 kg sobre ruedas</t>
        </is>
      </c>
      <c r="D441" s="17" t="inlineStr">
        <is>
          <t>B - Mantenimiento con apertura sin descarga (control interior, PH)</t>
        </is>
      </c>
      <c r="E441" s="17" t="inlineStr">
        <is>
          <t>Gas impulsor: N₂</t>
        </is>
      </c>
      <c r="F441" s="32" t="n">
        <v>0.2819</v>
      </c>
      <c r="G441" s="32" t="inlineStr">
        <is>
          <t>kg</t>
        </is>
      </c>
      <c r="H441" s="17" t="inlineStr">
        <is>
          <t>Nuevo</t>
        </is>
      </c>
      <c r="I441" s="17" t="inlineStr">
        <is>
          <t>IRAM 3517-2:2020 9.4.9 tabla 2</t>
        </is>
      </c>
      <c r="J441" s="32" t="inlineStr">
        <is>
          <t>Sí</t>
        </is>
      </c>
      <c r="K441" s="17" t="inlineStr">
        <is>
          <t>Air Liquide Argentina - sucursal Piñeyro</t>
        </is>
      </c>
      <c r="L441" s="17" t="inlineStr">
        <is>
          <t>Gogniat</t>
        </is>
      </c>
    </row>
    <row r="442">
      <c r="A442" s="32" t="inlineStr">
        <is>
          <t>RK-ABC50-C</t>
        </is>
      </c>
      <c r="B442" s="32" t="inlineStr">
        <is>
          <t>FL_MAT_ABC_50kg</t>
        </is>
      </c>
      <c r="C442" s="32" t="inlineStr">
        <is>
          <t>Extintor ABC 50 kg sobre ruedas</t>
        </is>
      </c>
      <c r="D442" s="17" t="inlineStr">
        <is>
          <t>C - Cambio obligatorio de polvo (versión anterior de la IRAM 3569)</t>
        </is>
      </c>
      <c r="E442" s="17" t="inlineStr">
        <is>
          <t>Polvo químico seco ABC 90 (Sello IRAM 3569)</t>
        </is>
      </c>
      <c r="F442" s="32" t="n">
        <v>50</v>
      </c>
      <c r="G442" s="32" t="inlineStr">
        <is>
          <t>kg</t>
        </is>
      </c>
      <c r="H442" s="17" t="inlineStr">
        <is>
          <t>Nuevo 100 %; el viejo va a residuos (RC-IR)</t>
        </is>
      </c>
      <c r="I442" s="17" t="inlineStr">
        <is>
          <t>IRAM 3517-2:2020 9.9.4</t>
        </is>
      </c>
      <c r="J442" s="32" t="inlineStr">
        <is>
          <t>Sí</t>
        </is>
      </c>
      <c r="K442" s="17" t="inlineStr">
        <is>
          <t>DEM S.A. (DEMSA)</t>
        </is>
      </c>
      <c r="L442" s="17" t="inlineStr">
        <is>
          <t>Polvex S.R.L. / Sancibrao</t>
        </is>
      </c>
    </row>
    <row r="443">
      <c r="A443" s="32" t="inlineStr">
        <is>
          <t>RK-ABC50-C</t>
        </is>
      </c>
      <c r="B443" s="32" t="inlineStr">
        <is>
          <t>FL_MAT_ABC_50kg</t>
        </is>
      </c>
      <c r="C443" s="32" t="inlineStr">
        <is>
          <t>Extintor ABC 50 kg sobre ruedas</t>
        </is>
      </c>
      <c r="D443" s="17" t="inlineStr">
        <is>
          <t>C - Cambio obligatorio de polvo (versión anterior de la IRAM 3569)</t>
        </is>
      </c>
      <c r="E443" s="17" t="inlineStr">
        <is>
          <t>Precinto plástico numerado, color, con nombre del recargador</t>
        </is>
      </c>
      <c r="F443" s="32" t="n">
        <v>1</v>
      </c>
      <c r="G443" s="32" t="inlineStr">
        <is>
          <t>u</t>
        </is>
      </c>
      <c r="H443" s="17" t="inlineStr">
        <is>
          <t>Nuevo</t>
        </is>
      </c>
      <c r="I443" s="17" t="inlineStr">
        <is>
          <t>IRAM 3517-2:2020 9.4.13</t>
        </is>
      </c>
      <c r="J443" s="32" t="inlineStr">
        <is>
          <t>Sí</t>
        </is>
      </c>
      <c r="K443" s="17" t="inlineStr">
        <is>
          <t>SonFuertes (vía Papelera Damián)</t>
        </is>
      </c>
      <c r="L443" s="17" t="inlineStr">
        <is>
          <t>Precinter S.R.L.</t>
        </is>
      </c>
    </row>
    <row r="444">
      <c r="A444" s="32" t="inlineStr">
        <is>
          <t>RK-ABC50-C</t>
        </is>
      </c>
      <c r="B444" s="32" t="inlineStr">
        <is>
          <t>FL_MAT_ABC_50kg</t>
        </is>
      </c>
      <c r="C444" s="32" t="inlineStr">
        <is>
          <t>Extintor ABC 50 kg sobre ruedas</t>
        </is>
      </c>
      <c r="D444" s="17" t="inlineStr">
        <is>
          <t>C - Cambio obligatorio de polvo (versión anterior de la IRAM 3569)</t>
        </is>
      </c>
      <c r="E444" s="17" t="inlineStr">
        <is>
          <t>Marbete (anillo, color del año)</t>
        </is>
      </c>
      <c r="F444" s="32" t="n">
        <v>1</v>
      </c>
      <c r="G444" s="32" t="inlineStr">
        <is>
          <t>u</t>
        </is>
      </c>
      <c r="H444" s="17" t="inlineStr">
        <is>
          <t>Nuevo</t>
        </is>
      </c>
      <c r="I444" s="17" t="inlineStr">
        <is>
          <t>IRAM 3517-2:2020 9.6 · anexo E</t>
        </is>
      </c>
      <c r="J444" s="32" t="inlineStr">
        <is>
          <t>Sí</t>
        </is>
      </c>
      <c r="K444" s="17" t="inlineStr">
        <is>
          <t>Astuprint</t>
        </is>
      </c>
      <c r="L444" s="17" t="inlineStr">
        <is>
          <t>Multilabel Argentina S.A.</t>
        </is>
      </c>
    </row>
    <row r="445">
      <c r="A445" s="32" t="inlineStr">
        <is>
          <t>RK-ABC50-C</t>
        </is>
      </c>
      <c r="B445" s="32" t="inlineStr">
        <is>
          <t>FL_MAT_ABC_50kg</t>
        </is>
      </c>
      <c r="C445" s="32" t="inlineStr">
        <is>
          <t>Extintor ABC 50 kg sobre ruedas</t>
        </is>
      </c>
      <c r="D445" s="17" t="inlineStr">
        <is>
          <t>C - Cambio obligatorio de polvo (versión anterior de la IRAM 3569)</t>
        </is>
      </c>
      <c r="E445" s="17" t="inlineStr">
        <is>
          <t>Etiqueta de servicio del recargador (extintor n°, serie, próxima recarga y PH)</t>
        </is>
      </c>
      <c r="F445" s="32" t="n">
        <v>1</v>
      </c>
      <c r="G445" s="32" t="inlineStr">
        <is>
          <t>u</t>
        </is>
      </c>
      <c r="H445" s="17" t="inlineStr">
        <is>
          <t>Nuevo</t>
        </is>
      </c>
      <c r="I445" s="17" t="inlineStr">
        <is>
          <t>IRAM 3517-2:2020 9.4.14 · relevado Suyai/Firegram</t>
        </is>
      </c>
      <c r="J445" s="32" t="inlineStr">
        <is>
          <t>Sí</t>
        </is>
      </c>
      <c r="K445" s="17" t="inlineStr">
        <is>
          <t>Astuprint</t>
        </is>
      </c>
      <c r="L445" s="17" t="inlineStr">
        <is>
          <t>Multilabel Argentina S.A.</t>
        </is>
      </c>
    </row>
    <row r="446">
      <c r="A446" s="32" t="inlineStr">
        <is>
          <t>RK-ABC50-C</t>
        </is>
      </c>
      <c r="B446" s="32" t="inlineStr">
        <is>
          <t>FL_MAT_ABC_50kg</t>
        </is>
      </c>
      <c r="C446" s="32" t="inlineStr">
        <is>
          <t>Extintor ABC 50 kg sobre ruedas</t>
        </is>
      </c>
      <c r="D446" s="17" t="inlineStr">
        <is>
          <t>C - Cambio obligatorio de polvo (versión anterior de la IRAM 3569)</t>
        </is>
      </c>
      <c r="E446" s="17" t="inlineStr">
        <is>
          <t>Oblea PBA de recarga Ø46 + estampilla precinto 1" × 200 mm válvula-cuerpo</t>
        </is>
      </c>
      <c r="F446" s="32" t="n">
        <v>1</v>
      </c>
      <c r="G446" s="32" t="inlineStr">
        <is>
          <t>u</t>
        </is>
      </c>
      <c r="H446" s="17" t="inlineStr">
        <is>
          <t>Nuevo (venta en PBA)</t>
        </is>
      </c>
      <c r="I446" s="17" t="inlineStr">
        <is>
          <t>IRAM 3517-2:2020 Res. OPDS 522/07</t>
        </is>
      </c>
      <c r="J446" s="32" t="inlineStr">
        <is>
          <t>Sí</t>
        </is>
      </c>
      <c r="K446" s="17" t="inlineStr">
        <is>
          <t>Ministerio de Ambiente PBA (ex OPDS)</t>
        </is>
      </c>
      <c r="L446" s="17" t="inlineStr">
        <is>
          <t>-</t>
        </is>
      </c>
    </row>
    <row r="447">
      <c r="A447" s="32" t="inlineStr">
        <is>
          <t>RK-ABC50-C</t>
        </is>
      </c>
      <c r="B447" s="32" t="inlineStr">
        <is>
          <t>FL_MAT_ABC_50kg</t>
        </is>
      </c>
      <c r="C447" s="32" t="inlineStr">
        <is>
          <t>Extintor ABC 50 kg sobre ruedas</t>
        </is>
      </c>
      <c r="D447" s="17" t="inlineStr">
        <is>
          <t>C - Cambio obligatorio de polvo (versión anterior de la IRAM 3569)</t>
        </is>
      </c>
      <c r="E447" s="17" t="inlineStr">
        <is>
          <t>Tarjeta de identificación AGC (módulo papel con QR + etiqueta AGC)</t>
        </is>
      </c>
      <c r="F447" s="32" t="n">
        <v>1</v>
      </c>
      <c r="G447" s="32" t="inlineStr">
        <is>
          <t>u</t>
        </is>
      </c>
      <c r="H447" s="17" t="inlineStr">
        <is>
          <t>Nuevo (destino CABA)</t>
        </is>
      </c>
      <c r="I447" s="17" t="inlineStr">
        <is>
          <t>IRAM 3517-2:2020 Ord. 40.473 art. 6 · Res. AGC 32/15</t>
        </is>
      </c>
      <c r="J447" s="32" t="inlineStr">
        <is>
          <t>Sí</t>
        </is>
      </c>
      <c r="K447" s="17" t="inlineStr">
        <is>
          <t>Agencia Gubernamental de Control (CABA)</t>
        </is>
      </c>
      <c r="L447" s="17" t="inlineStr">
        <is>
          <t>-</t>
        </is>
      </c>
    </row>
    <row r="448">
      <c r="A448" s="32" t="inlineStr">
        <is>
          <t>RK-ABC50-C</t>
        </is>
      </c>
      <c r="B448" s="32" t="inlineStr">
        <is>
          <t>FL_MAT_ABC_50kg</t>
        </is>
      </c>
      <c r="C448" s="32" t="inlineStr">
        <is>
          <t>Extintor ABC 50 kg sobre ruedas</t>
        </is>
      </c>
      <c r="D448" s="17" t="inlineStr">
        <is>
          <t>C - Cambio obligatorio de polvo (versión anterior de la IRAM 3569)</t>
        </is>
      </c>
      <c r="E448" s="17" t="inlineStr">
        <is>
          <t>Tarjeta de identificación DPS de revisión / recarga</t>
        </is>
      </c>
      <c r="F448" s="32" t="n">
        <v>1</v>
      </c>
      <c r="G448" s="32" t="inlineStr">
        <is>
          <t>u</t>
        </is>
      </c>
      <c r="H448" s="17" t="inlineStr">
        <is>
          <t>Nuevo (PBA)</t>
        </is>
      </c>
      <c r="I448" s="17" t="inlineStr">
        <is>
          <t>IRAM 3517-2:2020 Res. 349/07 art. 21</t>
        </is>
      </c>
      <c r="J448" s="32" t="inlineStr">
        <is>
          <t>Sí</t>
        </is>
      </c>
      <c r="K448" s="17" t="inlineStr">
        <is>
          <t>Ministerio de Ambiente PBA (ex OPDS)</t>
        </is>
      </c>
      <c r="L448" s="17" t="inlineStr">
        <is>
          <t>-</t>
        </is>
      </c>
    </row>
    <row r="449">
      <c r="A449" s="32" t="inlineStr">
        <is>
          <t>RK-ABC50-C</t>
        </is>
      </c>
      <c r="B449" s="32" t="inlineStr">
        <is>
          <t>FL_MAT_ABC_50kg</t>
        </is>
      </c>
      <c r="C449" s="32" t="inlineStr">
        <is>
          <t>Extintor ABC 50 kg sobre ruedas</t>
        </is>
      </c>
      <c r="D449" s="17" t="inlineStr">
        <is>
          <t>C - Cambio obligatorio de polvo (versión anterior de la IRAM 3569)</t>
        </is>
      </c>
      <c r="E449" s="17" t="inlineStr">
        <is>
          <t>Grabado de la fecha del servicio en el tubo de pesca (lápiz vibratorio; en polvo, marcador indeleble)</t>
        </is>
      </c>
      <c r="F449" s="32" t="n">
        <v>1</v>
      </c>
      <c r="G449" s="32" t="inlineStr">
        <is>
          <t>u</t>
        </is>
      </c>
      <c r="H449" s="17" t="inlineStr">
        <is>
          <t>Proceso</t>
        </is>
      </c>
      <c r="I449" s="17" t="inlineStr">
        <is>
          <t>IRAM 3517-2:2020 Res. 349/07 art. 28</t>
        </is>
      </c>
      <c r="J449" s="32" t="inlineStr">
        <is>
          <t>No</t>
        </is>
      </c>
      <c r="K449" s="17" t="n"/>
      <c r="L449" s="17" t="n"/>
    </row>
    <row r="450">
      <c r="A450" s="32" t="inlineStr">
        <is>
          <t>RK-ABC50-C</t>
        </is>
      </c>
      <c r="B450" s="32" t="inlineStr">
        <is>
          <t>FL_MAT_ABC_50kg</t>
        </is>
      </c>
      <c r="C450" s="32" t="inlineStr">
        <is>
          <t>Extintor ABC 50 kg sobre ruedas</t>
        </is>
      </c>
      <c r="D450" s="17" t="inlineStr">
        <is>
          <t>C - Cambio obligatorio de polvo (versión anterior de la IRAM 3569)</t>
        </is>
      </c>
      <c r="E450" s="17" t="inlineStr">
        <is>
          <t>Si hubo PH: oblea de vencimiento de PH + «PH» y fecha grabados en el tubo de pesca (CO₂: fecha y logo estampados en la ojiva)</t>
        </is>
      </c>
      <c r="F450" s="32" t="n">
        <v>1</v>
      </c>
      <c r="G450" s="32" t="inlineStr">
        <is>
          <t>u</t>
        </is>
      </c>
      <c r="H450" s="17" t="inlineStr">
        <is>
          <t>Proceso</t>
        </is>
      </c>
      <c r="I450" s="17" t="inlineStr">
        <is>
          <t>IRAM 3517-2:2020 Res. 349/07 art. 29 · IRAM 3517-2</t>
        </is>
      </c>
      <c r="J450" s="32" t="inlineStr">
        <is>
          <t>No</t>
        </is>
      </c>
      <c r="K450" s="17" t="n"/>
      <c r="L450" s="17" t="n"/>
    </row>
    <row r="451">
      <c r="A451" s="37" t="inlineStr">
        <is>
          <t>RK-ABC50-C</t>
        </is>
      </c>
      <c r="B451" s="37" t="inlineStr">
        <is>
          <t>FL_MAT_ABC_50kg</t>
        </is>
      </c>
      <c r="C451" s="37" t="inlineStr">
        <is>
          <t>Extintor ABC 50 kg sobre ruedas</t>
        </is>
      </c>
      <c r="D451" s="18" t="inlineStr">
        <is>
          <t>C - Cambio obligatorio de polvo (versión anterior de la IRAM 3569)</t>
        </is>
      </c>
      <c r="E451" s="18" t="inlineStr">
        <is>
          <t>Junta tórica de asiento del cuello</t>
        </is>
      </c>
      <c r="F451" s="37" t="n">
        <v>1</v>
      </c>
      <c r="G451" s="37" t="inlineStr">
        <is>
          <t>u</t>
        </is>
      </c>
      <c r="H451" s="18" t="inlineStr">
        <is>
          <t>Nuevo (R: cambio sistemático)</t>
        </is>
      </c>
      <c r="I451" s="18" t="inlineStr"/>
      <c r="J451" s="37" t="inlineStr">
        <is>
          <t>Sí</t>
        </is>
      </c>
      <c r="K451" s="18" t="inlineStr">
        <is>
          <t>Argensold</t>
        </is>
      </c>
      <c r="L451" s="18" t="inlineStr">
        <is>
          <t>Matafuegos Iglesias</t>
        </is>
      </c>
    </row>
    <row r="452">
      <c r="A452" s="32" t="inlineStr">
        <is>
          <t>RK-ABC50-C</t>
        </is>
      </c>
      <c r="B452" s="32" t="inlineStr">
        <is>
          <t>FL_MAT_ABC_50kg</t>
        </is>
      </c>
      <c r="C452" s="32" t="inlineStr">
        <is>
          <t>Extintor ABC 50 kg sobre ruedas</t>
        </is>
      </c>
      <c r="D452" s="17" t="inlineStr">
        <is>
          <t>C - Cambio obligatorio de polvo (versión anterior de la IRAM 3569)</t>
        </is>
      </c>
      <c r="E452" s="17" t="inlineStr">
        <is>
          <t>Gas impulsor: N₂</t>
        </is>
      </c>
      <c r="F452" s="32" t="n">
        <v>0.2819</v>
      </c>
      <c r="G452" s="32" t="inlineStr">
        <is>
          <t>kg</t>
        </is>
      </c>
      <c r="H452" s="17" t="inlineStr">
        <is>
          <t>Nuevo</t>
        </is>
      </c>
      <c r="I452" s="17" t="inlineStr">
        <is>
          <t>IRAM 3517-2:2020 9.4.9 tabla 2</t>
        </is>
      </c>
      <c r="J452" s="32" t="inlineStr">
        <is>
          <t>Sí</t>
        </is>
      </c>
      <c r="K452" s="17" t="inlineStr">
        <is>
          <t>Air Liquide Argentina - sucursal Piñeyro</t>
        </is>
      </c>
      <c r="L452" s="17" t="inlineStr">
        <is>
          <t>Gogniat</t>
        </is>
      </c>
    </row>
    <row r="453">
      <c r="A453" s="32" t="inlineStr">
        <is>
          <t>RK-ABC50-I</t>
        </is>
      </c>
      <c r="B453" s="32" t="inlineStr">
        <is>
          <t>FL_MAT_ABC_50kg</t>
        </is>
      </c>
      <c r="C453" s="32" t="inlineStr">
        <is>
          <t>Extintor ABC 50 kg sobre ruedas</t>
        </is>
      </c>
      <c r="D453" s="17" t="inlineStr">
        <is>
          <t>Según inspección (consumo estadístico a definir)</t>
        </is>
      </c>
      <c r="E453" s="17" t="inlineStr">
        <is>
          <t>Manómetro / manguera / tobera / kit de válvula</t>
        </is>
      </c>
      <c r="F453" s="32" t="inlineStr">
        <is>
          <t>-</t>
        </is>
      </c>
      <c r="G453" s="32" t="inlineStr">
        <is>
          <t>u</t>
        </is>
      </c>
      <c r="H453" s="17" t="inlineStr">
        <is>
          <t>Recambio sólo si falla</t>
        </is>
      </c>
      <c r="I453" s="17" t="inlineStr">
        <is>
          <t>IRAM 3517-2:2020 9.4.11 (cada manguera vuelve a su extintor)</t>
        </is>
      </c>
      <c r="J453" s="32" t="inlineStr">
        <is>
          <t>Sí</t>
        </is>
      </c>
      <c r="K453" s="17" t="inlineStr">
        <is>
          <t>Polvex S.R.L. / Sancibrao</t>
        </is>
      </c>
      <c r="L453" s="17" t="inlineStr">
        <is>
          <t>Yukon / MatafuegosYa S.R.L.</t>
        </is>
      </c>
    </row>
    <row r="454">
      <c r="A454" s="32" t="inlineStr">
        <is>
          <t>RK-ABC70-A</t>
        </is>
      </c>
      <c r="B454" s="32" t="inlineStr">
        <is>
          <t>FL_MAT_ABC_70kg</t>
        </is>
      </c>
      <c r="C454" s="32" t="inlineStr">
        <is>
          <t>Extintor ABC 70 kg sobre ruedas</t>
        </is>
      </c>
      <c r="D454" s="17" t="inlineStr">
        <is>
          <t>A - Extintor descargado (uso o descarga parcial)</t>
        </is>
      </c>
      <c r="E454" s="17" t="inlineStr">
        <is>
          <t>Polvo químico seco ABC 90 (Sello IRAM 3569)</t>
        </is>
      </c>
      <c r="F454" s="32" t="n">
        <v>70</v>
      </c>
      <c r="G454" s="32" t="inlineStr">
        <is>
          <t>kg</t>
        </is>
      </c>
      <c r="H454" s="17" t="inlineStr">
        <is>
          <t>Nuevo 100 %</t>
        </is>
      </c>
      <c r="I454" s="17" t="inlineStr">
        <is>
          <t>IRAM 3517-2:2020 9.9.1.4: el polvo de un extintor accionado no se reutiliza</t>
        </is>
      </c>
      <c r="J454" s="32" t="inlineStr">
        <is>
          <t>Sí</t>
        </is>
      </c>
      <c r="K454" s="17" t="inlineStr">
        <is>
          <t>DEM S.A. (DEMSA)</t>
        </is>
      </c>
      <c r="L454" s="17" t="inlineStr">
        <is>
          <t>Polvex S.R.L. / Sancibrao</t>
        </is>
      </c>
    </row>
    <row r="455">
      <c r="A455" s="32" t="inlineStr">
        <is>
          <t>RK-ABC70-A</t>
        </is>
      </c>
      <c r="B455" s="32" t="inlineStr">
        <is>
          <t>FL_MAT_ABC_70kg</t>
        </is>
      </c>
      <c r="C455" s="32" t="inlineStr">
        <is>
          <t>Extintor ABC 70 kg sobre ruedas</t>
        </is>
      </c>
      <c r="D455" s="17" t="inlineStr">
        <is>
          <t>A - Extintor descargado (uso o descarga parcial)</t>
        </is>
      </c>
      <c r="E455" s="17" t="inlineStr">
        <is>
          <t>Precinto plástico numerado, color, con nombre del recargador</t>
        </is>
      </c>
      <c r="F455" s="32" t="n">
        <v>1</v>
      </c>
      <c r="G455" s="32" t="inlineStr">
        <is>
          <t>u</t>
        </is>
      </c>
      <c r="H455" s="17" t="inlineStr">
        <is>
          <t>Nuevo</t>
        </is>
      </c>
      <c r="I455" s="17" t="inlineStr">
        <is>
          <t>IRAM 3517-2:2020 9.4.13</t>
        </is>
      </c>
      <c r="J455" s="32" t="inlineStr">
        <is>
          <t>Sí</t>
        </is>
      </c>
      <c r="K455" s="17" t="inlineStr">
        <is>
          <t>SonFuertes (vía Papelera Damián)</t>
        </is>
      </c>
      <c r="L455" s="17" t="inlineStr">
        <is>
          <t>Precinter S.R.L.</t>
        </is>
      </c>
    </row>
    <row r="456">
      <c r="A456" s="32" t="inlineStr">
        <is>
          <t>RK-ABC70-A</t>
        </is>
      </c>
      <c r="B456" s="32" t="inlineStr">
        <is>
          <t>FL_MAT_ABC_70kg</t>
        </is>
      </c>
      <c r="C456" s="32" t="inlineStr">
        <is>
          <t>Extintor ABC 70 kg sobre ruedas</t>
        </is>
      </c>
      <c r="D456" s="17" t="inlineStr">
        <is>
          <t>A - Extintor descargado (uso o descarga parcial)</t>
        </is>
      </c>
      <c r="E456" s="17" t="inlineStr">
        <is>
          <t>Marbete (anillo, color del año)</t>
        </is>
      </c>
      <c r="F456" s="32" t="n">
        <v>1</v>
      </c>
      <c r="G456" s="32" t="inlineStr">
        <is>
          <t>u</t>
        </is>
      </c>
      <c r="H456" s="17" t="inlineStr">
        <is>
          <t>Nuevo</t>
        </is>
      </c>
      <c r="I456" s="17" t="inlineStr">
        <is>
          <t>IRAM 3517-2:2020 9.6 · anexo E</t>
        </is>
      </c>
      <c r="J456" s="32" t="inlineStr">
        <is>
          <t>Sí</t>
        </is>
      </c>
      <c r="K456" s="17" t="inlineStr">
        <is>
          <t>Astuprint</t>
        </is>
      </c>
      <c r="L456" s="17" t="inlineStr">
        <is>
          <t>Multilabel Argentina S.A.</t>
        </is>
      </c>
    </row>
    <row r="457">
      <c r="A457" s="32" t="inlineStr">
        <is>
          <t>RK-ABC70-A</t>
        </is>
      </c>
      <c r="B457" s="32" t="inlineStr">
        <is>
          <t>FL_MAT_ABC_70kg</t>
        </is>
      </c>
      <c r="C457" s="32" t="inlineStr">
        <is>
          <t>Extintor ABC 70 kg sobre ruedas</t>
        </is>
      </c>
      <c r="D457" s="17" t="inlineStr">
        <is>
          <t>A - Extintor descargado (uso o descarga parcial)</t>
        </is>
      </c>
      <c r="E457" s="17" t="inlineStr">
        <is>
          <t>Etiqueta de servicio del recargador (extintor n°, serie, próxima recarga y PH)</t>
        </is>
      </c>
      <c r="F457" s="32" t="n">
        <v>1</v>
      </c>
      <c r="G457" s="32" t="inlineStr">
        <is>
          <t>u</t>
        </is>
      </c>
      <c r="H457" s="17" t="inlineStr">
        <is>
          <t>Nuevo</t>
        </is>
      </c>
      <c r="I457" s="17" t="inlineStr">
        <is>
          <t>IRAM 3517-2:2020 9.4.14 · relevado Suyai/Firegram</t>
        </is>
      </c>
      <c r="J457" s="32" t="inlineStr">
        <is>
          <t>Sí</t>
        </is>
      </c>
      <c r="K457" s="17" t="inlineStr">
        <is>
          <t>Astuprint</t>
        </is>
      </c>
      <c r="L457" s="17" t="inlineStr">
        <is>
          <t>Multilabel Argentina S.A.</t>
        </is>
      </c>
    </row>
    <row r="458">
      <c r="A458" s="32" t="inlineStr">
        <is>
          <t>RK-ABC70-A</t>
        </is>
      </c>
      <c r="B458" s="32" t="inlineStr">
        <is>
          <t>FL_MAT_ABC_70kg</t>
        </is>
      </c>
      <c r="C458" s="32" t="inlineStr">
        <is>
          <t>Extintor ABC 70 kg sobre ruedas</t>
        </is>
      </c>
      <c r="D458" s="17" t="inlineStr">
        <is>
          <t>A - Extintor descargado (uso o descarga parcial)</t>
        </is>
      </c>
      <c r="E458" s="17" t="inlineStr">
        <is>
          <t>Oblea PBA de recarga Ø46 + estampilla precinto 1" × 200 mm válvula-cuerpo</t>
        </is>
      </c>
      <c r="F458" s="32" t="n">
        <v>1</v>
      </c>
      <c r="G458" s="32" t="inlineStr">
        <is>
          <t>u</t>
        </is>
      </c>
      <c r="H458" s="17" t="inlineStr">
        <is>
          <t>Nuevo (venta en PBA)</t>
        </is>
      </c>
      <c r="I458" s="17" t="inlineStr">
        <is>
          <t>IRAM 3517-2:2020 Res. OPDS 522/07</t>
        </is>
      </c>
      <c r="J458" s="32" t="inlineStr">
        <is>
          <t>Sí</t>
        </is>
      </c>
      <c r="K458" s="17" t="inlineStr">
        <is>
          <t>Ministerio de Ambiente PBA (ex OPDS)</t>
        </is>
      </c>
      <c r="L458" s="17" t="inlineStr">
        <is>
          <t>-</t>
        </is>
      </c>
    </row>
    <row r="459">
      <c r="A459" s="32" t="inlineStr">
        <is>
          <t>RK-ABC70-A</t>
        </is>
      </c>
      <c r="B459" s="32" t="inlineStr">
        <is>
          <t>FL_MAT_ABC_70kg</t>
        </is>
      </c>
      <c r="C459" s="32" t="inlineStr">
        <is>
          <t>Extintor ABC 70 kg sobre ruedas</t>
        </is>
      </c>
      <c r="D459" s="17" t="inlineStr">
        <is>
          <t>A - Extintor descargado (uso o descarga parcial)</t>
        </is>
      </c>
      <c r="E459" s="17" t="inlineStr">
        <is>
          <t>Tarjeta de identificación AGC (módulo papel con QR + etiqueta AGC)</t>
        </is>
      </c>
      <c r="F459" s="32" t="n">
        <v>1</v>
      </c>
      <c r="G459" s="32" t="inlineStr">
        <is>
          <t>u</t>
        </is>
      </c>
      <c r="H459" s="17" t="inlineStr">
        <is>
          <t>Nuevo (destino CABA)</t>
        </is>
      </c>
      <c r="I459" s="17" t="inlineStr">
        <is>
          <t>IRAM 3517-2:2020 Ord. 40.473 art. 6 · Res. AGC 32/15</t>
        </is>
      </c>
      <c r="J459" s="32" t="inlineStr">
        <is>
          <t>Sí</t>
        </is>
      </c>
      <c r="K459" s="17" t="inlineStr">
        <is>
          <t>Agencia Gubernamental de Control (CABA)</t>
        </is>
      </c>
      <c r="L459" s="17" t="inlineStr">
        <is>
          <t>-</t>
        </is>
      </c>
    </row>
    <row r="460">
      <c r="A460" s="32" t="inlineStr">
        <is>
          <t>RK-ABC70-A</t>
        </is>
      </c>
      <c r="B460" s="32" t="inlineStr">
        <is>
          <t>FL_MAT_ABC_70kg</t>
        </is>
      </c>
      <c r="C460" s="32" t="inlineStr">
        <is>
          <t>Extintor ABC 70 kg sobre ruedas</t>
        </is>
      </c>
      <c r="D460" s="17" t="inlineStr">
        <is>
          <t>A - Extintor descargado (uso o descarga parcial)</t>
        </is>
      </c>
      <c r="E460" s="17" t="inlineStr">
        <is>
          <t>Tarjeta de identificación DPS de revisión / recarga</t>
        </is>
      </c>
      <c r="F460" s="32" t="n">
        <v>1</v>
      </c>
      <c r="G460" s="32" t="inlineStr">
        <is>
          <t>u</t>
        </is>
      </c>
      <c r="H460" s="17" t="inlineStr">
        <is>
          <t>Nuevo (PBA)</t>
        </is>
      </c>
      <c r="I460" s="17" t="inlineStr">
        <is>
          <t>IRAM 3517-2:2020 Res. 349/07 art. 21</t>
        </is>
      </c>
      <c r="J460" s="32" t="inlineStr">
        <is>
          <t>Sí</t>
        </is>
      </c>
      <c r="K460" s="17" t="inlineStr">
        <is>
          <t>Ministerio de Ambiente PBA (ex OPDS)</t>
        </is>
      </c>
      <c r="L460" s="17" t="inlineStr">
        <is>
          <t>-</t>
        </is>
      </c>
    </row>
    <row r="461">
      <c r="A461" s="32" t="inlineStr">
        <is>
          <t>RK-ABC70-A</t>
        </is>
      </c>
      <c r="B461" s="32" t="inlineStr">
        <is>
          <t>FL_MAT_ABC_70kg</t>
        </is>
      </c>
      <c r="C461" s="32" t="inlineStr">
        <is>
          <t>Extintor ABC 70 kg sobre ruedas</t>
        </is>
      </c>
      <c r="D461" s="17" t="inlineStr">
        <is>
          <t>A - Extintor descargado (uso o descarga parcial)</t>
        </is>
      </c>
      <c r="E461" s="17" t="inlineStr">
        <is>
          <t>Grabado de la fecha del servicio en el tubo de pesca (lápiz vibratorio; en polvo, marcador indeleble)</t>
        </is>
      </c>
      <c r="F461" s="32" t="n">
        <v>1</v>
      </c>
      <c r="G461" s="32" t="inlineStr">
        <is>
          <t>u</t>
        </is>
      </c>
      <c r="H461" s="17" t="inlineStr">
        <is>
          <t>Proceso</t>
        </is>
      </c>
      <c r="I461" s="17" t="inlineStr">
        <is>
          <t>IRAM 3517-2:2020 Res. 349/07 art. 28</t>
        </is>
      </c>
      <c r="J461" s="32" t="inlineStr">
        <is>
          <t>No</t>
        </is>
      </c>
      <c r="K461" s="17" t="n"/>
      <c r="L461" s="17" t="n"/>
    </row>
    <row r="462">
      <c r="A462" s="32" t="inlineStr">
        <is>
          <t>RK-ABC70-A</t>
        </is>
      </c>
      <c r="B462" s="32" t="inlineStr">
        <is>
          <t>FL_MAT_ABC_70kg</t>
        </is>
      </c>
      <c r="C462" s="32" t="inlineStr">
        <is>
          <t>Extintor ABC 70 kg sobre ruedas</t>
        </is>
      </c>
      <c r="D462" s="17" t="inlineStr">
        <is>
          <t>A - Extintor descargado (uso o descarga parcial)</t>
        </is>
      </c>
      <c r="E462" s="17" t="inlineStr">
        <is>
          <t>Si hubo PH: oblea de vencimiento de PH + «PH» y fecha grabados en el tubo de pesca (CO₂: fecha y logo estampados en la ojiva)</t>
        </is>
      </c>
      <c r="F462" s="32" t="n">
        <v>1</v>
      </c>
      <c r="G462" s="32" t="inlineStr">
        <is>
          <t>u</t>
        </is>
      </c>
      <c r="H462" s="17" t="inlineStr">
        <is>
          <t>Proceso</t>
        </is>
      </c>
      <c r="I462" s="17" t="inlineStr">
        <is>
          <t>IRAM 3517-2:2020 Res. 349/07 art. 29 · IRAM 3517-2</t>
        </is>
      </c>
      <c r="J462" s="32" t="inlineStr">
        <is>
          <t>No</t>
        </is>
      </c>
      <c r="K462" s="17" t="n"/>
      <c r="L462" s="17" t="n"/>
    </row>
    <row r="463">
      <c r="A463" s="37" t="inlineStr">
        <is>
          <t>RK-ABC70-A</t>
        </is>
      </c>
      <c r="B463" s="37" t="inlineStr">
        <is>
          <t>FL_MAT_ABC_70kg</t>
        </is>
      </c>
      <c r="C463" s="37" t="inlineStr">
        <is>
          <t>Extintor ABC 70 kg sobre ruedas</t>
        </is>
      </c>
      <c r="D463" s="18" t="inlineStr">
        <is>
          <t>A - Extintor descargado (uso o descarga parcial)</t>
        </is>
      </c>
      <c r="E463" s="18" t="inlineStr">
        <is>
          <t>Junta tórica de asiento del cuello</t>
        </is>
      </c>
      <c r="F463" s="37" t="n">
        <v>1</v>
      </c>
      <c r="G463" s="37" t="inlineStr">
        <is>
          <t>u</t>
        </is>
      </c>
      <c r="H463" s="18" t="inlineStr">
        <is>
          <t>Nuevo (R: cambio sistemático)</t>
        </is>
      </c>
      <c r="I463" s="18" t="inlineStr"/>
      <c r="J463" s="37" t="inlineStr">
        <is>
          <t>Sí</t>
        </is>
      </c>
      <c r="K463" s="18" t="inlineStr">
        <is>
          <t>Argensold</t>
        </is>
      </c>
      <c r="L463" s="18" t="inlineStr">
        <is>
          <t>Matafuegos Iglesias</t>
        </is>
      </c>
    </row>
    <row r="464">
      <c r="A464" s="32" t="inlineStr">
        <is>
          <t>RK-ABC70-A</t>
        </is>
      </c>
      <c r="B464" s="32" t="inlineStr">
        <is>
          <t>FL_MAT_ABC_70kg</t>
        </is>
      </c>
      <c r="C464" s="32" t="inlineStr">
        <is>
          <t>Extintor ABC 70 kg sobre ruedas</t>
        </is>
      </c>
      <c r="D464" s="17" t="inlineStr">
        <is>
          <t>A - Extintor descargado (uso o descarga parcial)</t>
        </is>
      </c>
      <c r="E464" s="17" t="inlineStr">
        <is>
          <t>Gas impulsor: N₂</t>
        </is>
      </c>
      <c r="F464" s="32" t="n">
        <v>0.5581</v>
      </c>
      <c r="G464" s="32" t="inlineStr">
        <is>
          <t>kg</t>
        </is>
      </c>
      <c r="H464" s="17" t="inlineStr">
        <is>
          <t>Nuevo</t>
        </is>
      </c>
      <c r="I464" s="17" t="inlineStr">
        <is>
          <t>IRAM 3517-2:2020 9.4.9 tabla 2</t>
        </is>
      </c>
      <c r="J464" s="32" t="inlineStr">
        <is>
          <t>Sí</t>
        </is>
      </c>
      <c r="K464" s="17" t="inlineStr">
        <is>
          <t>Air Liquide Argentina - sucursal Piñeyro</t>
        </is>
      </c>
      <c r="L464" s="17" t="inlineStr">
        <is>
          <t>Gogniat</t>
        </is>
      </c>
    </row>
    <row r="465">
      <c r="A465" s="32" t="inlineStr">
        <is>
          <t>RK-ABC70-B</t>
        </is>
      </c>
      <c r="B465" s="32" t="inlineStr">
        <is>
          <t>FL_MAT_ABC_70kg</t>
        </is>
      </c>
      <c r="C465" s="32" t="inlineStr">
        <is>
          <t>Extintor ABC 70 kg sobre ruedas</t>
        </is>
      </c>
      <c r="D465" s="17" t="inlineStr">
        <is>
          <t>B - Mantenimiento con apertura sin descarga (control interior, PH)</t>
        </is>
      </c>
      <c r="E465" s="17" t="inlineStr">
        <is>
          <t>Polvo químico seco ABC 90 (Sello IRAM 3569) recuperado</t>
        </is>
      </c>
      <c r="F465" s="32" t="n">
        <v>67.90000000000001</v>
      </c>
      <c r="G465" s="32" t="inlineStr">
        <is>
          <t>kg</t>
        </is>
      </c>
      <c r="H465" s="17" t="inlineStr">
        <is>
          <t>Recuperado en sistema cerrado</t>
        </is>
      </c>
      <c r="I465" s="17" t="inlineStr">
        <is>
          <t>IRAM 3517-2:2020 4.4.1 y) sistema cerrado de recuperación con inspección; 9.9.3 control (puffer IRAM 3672, fusión IRAM 3569 en ABC)</t>
        </is>
      </c>
      <c r="J465" s="32" t="inlineStr">
        <is>
          <t>No</t>
        </is>
      </c>
      <c r="K465" s="17" t="n"/>
      <c r="L465" s="17" t="n"/>
    </row>
    <row r="466">
      <c r="A466" s="32" t="inlineStr">
        <is>
          <t>RK-ABC70-B</t>
        </is>
      </c>
      <c r="B466" s="32" t="inlineStr">
        <is>
          <t>FL_MAT_ABC_70kg</t>
        </is>
      </c>
      <c r="C466" s="32" t="inlineStr">
        <is>
          <t>Extintor ABC 70 kg sobre ruedas</t>
        </is>
      </c>
      <c r="D466" s="17" t="inlineStr">
        <is>
          <t>B - Mantenimiento con apertura sin descarga (control interior, PH)</t>
        </is>
      </c>
      <c r="E466" s="17" t="inlineStr">
        <is>
          <t>Polvo químico seco ABC 90 (Sello IRAM 3569)</t>
        </is>
      </c>
      <c r="F466" s="32" t="n">
        <v>2.1</v>
      </c>
      <c r="G466" s="32" t="inlineStr">
        <is>
          <t>kg</t>
        </is>
      </c>
      <c r="H466" s="17" t="inlineStr">
        <is>
          <t>Nuevo: reposición = carga objetivo − límite inferior de ± 3 % (cota superior)</t>
        </is>
      </c>
      <c r="I466" s="17" t="inlineStr">
        <is>
          <t>IRAM 3517-2:2020 9.4.12 tabla 3 · anexo F; mismo tipo y marca (prohibido mezclar ABC con BC, 9.9.1.6)</t>
        </is>
      </c>
      <c r="J466" s="32" t="inlineStr">
        <is>
          <t>Sí</t>
        </is>
      </c>
      <c r="K466" s="17" t="inlineStr">
        <is>
          <t>DEM S.A. (DEMSA)</t>
        </is>
      </c>
      <c r="L466" s="17" t="inlineStr">
        <is>
          <t>Polvex S.R.L. / Sancibrao</t>
        </is>
      </c>
    </row>
    <row r="467">
      <c r="A467" s="32" t="inlineStr">
        <is>
          <t>RK-ABC70-B</t>
        </is>
      </c>
      <c r="B467" s="32" t="inlineStr">
        <is>
          <t>FL_MAT_ABC_70kg</t>
        </is>
      </c>
      <c r="C467" s="32" t="inlineStr">
        <is>
          <t>Extintor ABC 70 kg sobre ruedas</t>
        </is>
      </c>
      <c r="D467" s="17" t="inlineStr">
        <is>
          <t>B - Mantenimiento con apertura sin descarga (control interior, PH)</t>
        </is>
      </c>
      <c r="E467" s="17" t="inlineStr">
        <is>
          <t>Precinto plástico numerado, color, con nombre del recargador</t>
        </is>
      </c>
      <c r="F467" s="32" t="n">
        <v>1</v>
      </c>
      <c r="G467" s="32" t="inlineStr">
        <is>
          <t>u</t>
        </is>
      </c>
      <c r="H467" s="17" t="inlineStr">
        <is>
          <t>Nuevo</t>
        </is>
      </c>
      <c r="I467" s="17" t="inlineStr">
        <is>
          <t>IRAM 3517-2:2020 9.4.13</t>
        </is>
      </c>
      <c r="J467" s="32" t="inlineStr">
        <is>
          <t>Sí</t>
        </is>
      </c>
      <c r="K467" s="17" t="inlineStr">
        <is>
          <t>SonFuertes (vía Papelera Damián)</t>
        </is>
      </c>
      <c r="L467" s="17" t="inlineStr">
        <is>
          <t>Precinter S.R.L.</t>
        </is>
      </c>
    </row>
    <row r="468">
      <c r="A468" s="32" t="inlineStr">
        <is>
          <t>RK-ABC70-B</t>
        </is>
      </c>
      <c r="B468" s="32" t="inlineStr">
        <is>
          <t>FL_MAT_ABC_70kg</t>
        </is>
      </c>
      <c r="C468" s="32" t="inlineStr">
        <is>
          <t>Extintor ABC 70 kg sobre ruedas</t>
        </is>
      </c>
      <c r="D468" s="17" t="inlineStr">
        <is>
          <t>B - Mantenimiento con apertura sin descarga (control interior, PH)</t>
        </is>
      </c>
      <c r="E468" s="17" t="inlineStr">
        <is>
          <t>Marbete (anillo, color del año)</t>
        </is>
      </c>
      <c r="F468" s="32" t="n">
        <v>1</v>
      </c>
      <c r="G468" s="32" t="inlineStr">
        <is>
          <t>u</t>
        </is>
      </c>
      <c r="H468" s="17" t="inlineStr">
        <is>
          <t>Nuevo</t>
        </is>
      </c>
      <c r="I468" s="17" t="inlineStr">
        <is>
          <t>IRAM 3517-2:2020 9.6 · anexo E</t>
        </is>
      </c>
      <c r="J468" s="32" t="inlineStr">
        <is>
          <t>Sí</t>
        </is>
      </c>
      <c r="K468" s="17" t="inlineStr">
        <is>
          <t>Astuprint</t>
        </is>
      </c>
      <c r="L468" s="17" t="inlineStr">
        <is>
          <t>Multilabel Argentina S.A.</t>
        </is>
      </c>
    </row>
    <row r="469">
      <c r="A469" s="32" t="inlineStr">
        <is>
          <t>RK-ABC70-B</t>
        </is>
      </c>
      <c r="B469" s="32" t="inlineStr">
        <is>
          <t>FL_MAT_ABC_70kg</t>
        </is>
      </c>
      <c r="C469" s="32" t="inlineStr">
        <is>
          <t>Extintor ABC 70 kg sobre ruedas</t>
        </is>
      </c>
      <c r="D469" s="17" t="inlineStr">
        <is>
          <t>B - Mantenimiento con apertura sin descarga (control interior, PH)</t>
        </is>
      </c>
      <c r="E469" s="17" t="inlineStr">
        <is>
          <t>Etiqueta de servicio del recargador (extintor n°, serie, próxima recarga y PH)</t>
        </is>
      </c>
      <c r="F469" s="32" t="n">
        <v>1</v>
      </c>
      <c r="G469" s="32" t="inlineStr">
        <is>
          <t>u</t>
        </is>
      </c>
      <c r="H469" s="17" t="inlineStr">
        <is>
          <t>Nuevo</t>
        </is>
      </c>
      <c r="I469" s="17" t="inlineStr">
        <is>
          <t>IRAM 3517-2:2020 9.4.14 · relevado Suyai/Firegram</t>
        </is>
      </c>
      <c r="J469" s="32" t="inlineStr">
        <is>
          <t>Sí</t>
        </is>
      </c>
      <c r="K469" s="17" t="inlineStr">
        <is>
          <t>Astuprint</t>
        </is>
      </c>
      <c r="L469" s="17" t="inlineStr">
        <is>
          <t>Multilabel Argentina S.A.</t>
        </is>
      </c>
    </row>
    <row r="470">
      <c r="A470" s="32" t="inlineStr">
        <is>
          <t>RK-ABC70-B</t>
        </is>
      </c>
      <c r="B470" s="32" t="inlineStr">
        <is>
          <t>FL_MAT_ABC_70kg</t>
        </is>
      </c>
      <c r="C470" s="32" t="inlineStr">
        <is>
          <t>Extintor ABC 70 kg sobre ruedas</t>
        </is>
      </c>
      <c r="D470" s="17" t="inlineStr">
        <is>
          <t>B - Mantenimiento con apertura sin descarga (control interior, PH)</t>
        </is>
      </c>
      <c r="E470" s="17" t="inlineStr">
        <is>
          <t>Oblea PBA de recarga Ø46 + estampilla precinto 1" × 200 mm válvula-cuerpo</t>
        </is>
      </c>
      <c r="F470" s="32" t="n">
        <v>1</v>
      </c>
      <c r="G470" s="32" t="inlineStr">
        <is>
          <t>u</t>
        </is>
      </c>
      <c r="H470" s="17" t="inlineStr">
        <is>
          <t>Nuevo (venta en PBA)</t>
        </is>
      </c>
      <c r="I470" s="17" t="inlineStr">
        <is>
          <t>IRAM 3517-2:2020 Res. OPDS 522/07</t>
        </is>
      </c>
      <c r="J470" s="32" t="inlineStr">
        <is>
          <t>Sí</t>
        </is>
      </c>
      <c r="K470" s="17" t="inlineStr">
        <is>
          <t>Ministerio de Ambiente PBA (ex OPDS)</t>
        </is>
      </c>
      <c r="L470" s="17" t="inlineStr">
        <is>
          <t>-</t>
        </is>
      </c>
    </row>
    <row r="471">
      <c r="A471" s="32" t="inlineStr">
        <is>
          <t>RK-ABC70-B</t>
        </is>
      </c>
      <c r="B471" s="32" t="inlineStr">
        <is>
          <t>FL_MAT_ABC_70kg</t>
        </is>
      </c>
      <c r="C471" s="32" t="inlineStr">
        <is>
          <t>Extintor ABC 70 kg sobre ruedas</t>
        </is>
      </c>
      <c r="D471" s="17" t="inlineStr">
        <is>
          <t>B - Mantenimiento con apertura sin descarga (control interior, PH)</t>
        </is>
      </c>
      <c r="E471" s="17" t="inlineStr">
        <is>
          <t>Tarjeta de identificación AGC (módulo papel con QR + etiqueta AGC)</t>
        </is>
      </c>
      <c r="F471" s="32" t="n">
        <v>1</v>
      </c>
      <c r="G471" s="32" t="inlineStr">
        <is>
          <t>u</t>
        </is>
      </c>
      <c r="H471" s="17" t="inlineStr">
        <is>
          <t>Nuevo (destino CABA)</t>
        </is>
      </c>
      <c r="I471" s="17" t="inlineStr">
        <is>
          <t>IRAM 3517-2:2020 Ord. 40.473 art. 6 · Res. AGC 32/15</t>
        </is>
      </c>
      <c r="J471" s="32" t="inlineStr">
        <is>
          <t>Sí</t>
        </is>
      </c>
      <c r="K471" s="17" t="inlineStr">
        <is>
          <t>Agencia Gubernamental de Control (CABA)</t>
        </is>
      </c>
      <c r="L471" s="17" t="inlineStr">
        <is>
          <t>-</t>
        </is>
      </c>
    </row>
    <row r="472">
      <c r="A472" s="32" t="inlineStr">
        <is>
          <t>RK-ABC70-B</t>
        </is>
      </c>
      <c r="B472" s="32" t="inlineStr">
        <is>
          <t>FL_MAT_ABC_70kg</t>
        </is>
      </c>
      <c r="C472" s="32" t="inlineStr">
        <is>
          <t>Extintor ABC 70 kg sobre ruedas</t>
        </is>
      </c>
      <c r="D472" s="17" t="inlineStr">
        <is>
          <t>B - Mantenimiento con apertura sin descarga (control interior, PH)</t>
        </is>
      </c>
      <c r="E472" s="17" t="inlineStr">
        <is>
          <t>Tarjeta de identificación DPS de revisión / recarga</t>
        </is>
      </c>
      <c r="F472" s="32" t="n">
        <v>1</v>
      </c>
      <c r="G472" s="32" t="inlineStr">
        <is>
          <t>u</t>
        </is>
      </c>
      <c r="H472" s="17" t="inlineStr">
        <is>
          <t>Nuevo (PBA)</t>
        </is>
      </c>
      <c r="I472" s="17" t="inlineStr">
        <is>
          <t>IRAM 3517-2:2020 Res. 349/07 art. 21</t>
        </is>
      </c>
      <c r="J472" s="32" t="inlineStr">
        <is>
          <t>Sí</t>
        </is>
      </c>
      <c r="K472" s="17" t="inlineStr">
        <is>
          <t>Ministerio de Ambiente PBA (ex OPDS)</t>
        </is>
      </c>
      <c r="L472" s="17" t="inlineStr">
        <is>
          <t>-</t>
        </is>
      </c>
    </row>
    <row r="473">
      <c r="A473" s="32" t="inlineStr">
        <is>
          <t>RK-ABC70-B</t>
        </is>
      </c>
      <c r="B473" s="32" t="inlineStr">
        <is>
          <t>FL_MAT_ABC_70kg</t>
        </is>
      </c>
      <c r="C473" s="32" t="inlineStr">
        <is>
          <t>Extintor ABC 70 kg sobre ruedas</t>
        </is>
      </c>
      <c r="D473" s="17" t="inlineStr">
        <is>
          <t>B - Mantenimiento con apertura sin descarga (control interior, PH)</t>
        </is>
      </c>
      <c r="E473" s="17" t="inlineStr">
        <is>
          <t>Grabado de la fecha del servicio en el tubo de pesca (lápiz vibratorio; en polvo, marcador indeleble)</t>
        </is>
      </c>
      <c r="F473" s="32" t="n">
        <v>1</v>
      </c>
      <c r="G473" s="32" t="inlineStr">
        <is>
          <t>u</t>
        </is>
      </c>
      <c r="H473" s="17" t="inlineStr">
        <is>
          <t>Proceso</t>
        </is>
      </c>
      <c r="I473" s="17" t="inlineStr">
        <is>
          <t>IRAM 3517-2:2020 Res. 349/07 art. 28</t>
        </is>
      </c>
      <c r="J473" s="32" t="inlineStr">
        <is>
          <t>No</t>
        </is>
      </c>
      <c r="K473" s="17" t="n"/>
      <c r="L473" s="17" t="n"/>
    </row>
    <row r="474">
      <c r="A474" s="32" t="inlineStr">
        <is>
          <t>RK-ABC70-B</t>
        </is>
      </c>
      <c r="B474" s="32" t="inlineStr">
        <is>
          <t>FL_MAT_ABC_70kg</t>
        </is>
      </c>
      <c r="C474" s="32" t="inlineStr">
        <is>
          <t>Extintor ABC 70 kg sobre ruedas</t>
        </is>
      </c>
      <c r="D474" s="17" t="inlineStr">
        <is>
          <t>B - Mantenimiento con apertura sin descarga (control interior, PH)</t>
        </is>
      </c>
      <c r="E474" s="17" t="inlineStr">
        <is>
          <t>Si hubo PH: oblea de vencimiento de PH + «PH» y fecha grabados en el tubo de pesca (CO₂: fecha y logo estampados en la ojiva)</t>
        </is>
      </c>
      <c r="F474" s="32" t="n">
        <v>1</v>
      </c>
      <c r="G474" s="32" t="inlineStr">
        <is>
          <t>u</t>
        </is>
      </c>
      <c r="H474" s="17" t="inlineStr">
        <is>
          <t>Proceso</t>
        </is>
      </c>
      <c r="I474" s="17" t="inlineStr">
        <is>
          <t>IRAM 3517-2:2020 Res. 349/07 art. 29 · IRAM 3517-2</t>
        </is>
      </c>
      <c r="J474" s="32" t="inlineStr">
        <is>
          <t>No</t>
        </is>
      </c>
      <c r="K474" s="17" t="n"/>
      <c r="L474" s="17" t="n"/>
    </row>
    <row r="475">
      <c r="A475" s="37" t="inlineStr">
        <is>
          <t>RK-ABC70-B</t>
        </is>
      </c>
      <c r="B475" s="37" t="inlineStr">
        <is>
          <t>FL_MAT_ABC_70kg</t>
        </is>
      </c>
      <c r="C475" s="37" t="inlineStr">
        <is>
          <t>Extintor ABC 70 kg sobre ruedas</t>
        </is>
      </c>
      <c r="D475" s="18" t="inlineStr">
        <is>
          <t>B - Mantenimiento con apertura sin descarga (control interior, PH)</t>
        </is>
      </c>
      <c r="E475" s="18" t="inlineStr">
        <is>
          <t>Junta tórica de asiento del cuello</t>
        </is>
      </c>
      <c r="F475" s="37" t="n">
        <v>1</v>
      </c>
      <c r="G475" s="37" t="inlineStr">
        <is>
          <t>u</t>
        </is>
      </c>
      <c r="H475" s="18" t="inlineStr">
        <is>
          <t>Nuevo (R: cambio sistemático)</t>
        </is>
      </c>
      <c r="I475" s="18" t="inlineStr"/>
      <c r="J475" s="37" t="inlineStr">
        <is>
          <t>Sí</t>
        </is>
      </c>
      <c r="K475" s="18" t="inlineStr">
        <is>
          <t>Argensold</t>
        </is>
      </c>
      <c r="L475" s="18" t="inlineStr">
        <is>
          <t>Matafuegos Iglesias</t>
        </is>
      </c>
    </row>
    <row r="476">
      <c r="A476" s="32" t="inlineStr">
        <is>
          <t>RK-ABC70-B</t>
        </is>
      </c>
      <c r="B476" s="32" t="inlineStr">
        <is>
          <t>FL_MAT_ABC_70kg</t>
        </is>
      </c>
      <c r="C476" s="32" t="inlineStr">
        <is>
          <t>Extintor ABC 70 kg sobre ruedas</t>
        </is>
      </c>
      <c r="D476" s="17" t="inlineStr">
        <is>
          <t>B - Mantenimiento con apertura sin descarga (control interior, PH)</t>
        </is>
      </c>
      <c r="E476" s="17" t="inlineStr">
        <is>
          <t>Gas impulsor: N₂</t>
        </is>
      </c>
      <c r="F476" s="32" t="n">
        <v>0.5581</v>
      </c>
      <c r="G476" s="32" t="inlineStr">
        <is>
          <t>kg</t>
        </is>
      </c>
      <c r="H476" s="17" t="inlineStr">
        <is>
          <t>Nuevo</t>
        </is>
      </c>
      <c r="I476" s="17" t="inlineStr">
        <is>
          <t>IRAM 3517-2:2020 9.4.9 tabla 2</t>
        </is>
      </c>
      <c r="J476" s="32" t="inlineStr">
        <is>
          <t>Sí</t>
        </is>
      </c>
      <c r="K476" s="17" t="inlineStr">
        <is>
          <t>Air Liquide Argentina - sucursal Piñeyro</t>
        </is>
      </c>
      <c r="L476" s="17" t="inlineStr">
        <is>
          <t>Gogniat</t>
        </is>
      </c>
    </row>
    <row r="477">
      <c r="A477" s="32" t="inlineStr">
        <is>
          <t>RK-ABC70-C</t>
        </is>
      </c>
      <c r="B477" s="32" t="inlineStr">
        <is>
          <t>FL_MAT_ABC_70kg</t>
        </is>
      </c>
      <c r="C477" s="32" t="inlineStr">
        <is>
          <t>Extintor ABC 70 kg sobre ruedas</t>
        </is>
      </c>
      <c r="D477" s="17" t="inlineStr">
        <is>
          <t>C - Cambio obligatorio de polvo (versión anterior de la IRAM 3569)</t>
        </is>
      </c>
      <c r="E477" s="17" t="inlineStr">
        <is>
          <t>Polvo químico seco ABC 90 (Sello IRAM 3569)</t>
        </is>
      </c>
      <c r="F477" s="32" t="n">
        <v>70</v>
      </c>
      <c r="G477" s="32" t="inlineStr">
        <is>
          <t>kg</t>
        </is>
      </c>
      <c r="H477" s="17" t="inlineStr">
        <is>
          <t>Nuevo 100 %; el viejo va a residuos (RC-IR)</t>
        </is>
      </c>
      <c r="I477" s="17" t="inlineStr">
        <is>
          <t>IRAM 3517-2:2020 9.9.4</t>
        </is>
      </c>
      <c r="J477" s="32" t="inlineStr">
        <is>
          <t>Sí</t>
        </is>
      </c>
      <c r="K477" s="17" t="inlineStr">
        <is>
          <t>DEM S.A. (DEMSA)</t>
        </is>
      </c>
      <c r="L477" s="17" t="inlineStr">
        <is>
          <t>Polvex S.R.L. / Sancibrao</t>
        </is>
      </c>
    </row>
    <row r="478">
      <c r="A478" s="32" t="inlineStr">
        <is>
          <t>RK-ABC70-C</t>
        </is>
      </c>
      <c r="B478" s="32" t="inlineStr">
        <is>
          <t>FL_MAT_ABC_70kg</t>
        </is>
      </c>
      <c r="C478" s="32" t="inlineStr">
        <is>
          <t>Extintor ABC 70 kg sobre ruedas</t>
        </is>
      </c>
      <c r="D478" s="17" t="inlineStr">
        <is>
          <t>C - Cambio obligatorio de polvo (versión anterior de la IRAM 3569)</t>
        </is>
      </c>
      <c r="E478" s="17" t="inlineStr">
        <is>
          <t>Precinto plástico numerado, color, con nombre del recargador</t>
        </is>
      </c>
      <c r="F478" s="32" t="n">
        <v>1</v>
      </c>
      <c r="G478" s="32" t="inlineStr">
        <is>
          <t>u</t>
        </is>
      </c>
      <c r="H478" s="17" t="inlineStr">
        <is>
          <t>Nuevo</t>
        </is>
      </c>
      <c r="I478" s="17" t="inlineStr">
        <is>
          <t>IRAM 3517-2:2020 9.4.13</t>
        </is>
      </c>
      <c r="J478" s="32" t="inlineStr">
        <is>
          <t>Sí</t>
        </is>
      </c>
      <c r="K478" s="17" t="inlineStr">
        <is>
          <t>SonFuertes (vía Papelera Damián)</t>
        </is>
      </c>
      <c r="L478" s="17" t="inlineStr">
        <is>
          <t>Precinter S.R.L.</t>
        </is>
      </c>
    </row>
    <row r="479">
      <c r="A479" s="32" t="inlineStr">
        <is>
          <t>RK-ABC70-C</t>
        </is>
      </c>
      <c r="B479" s="32" t="inlineStr">
        <is>
          <t>FL_MAT_ABC_70kg</t>
        </is>
      </c>
      <c r="C479" s="32" t="inlineStr">
        <is>
          <t>Extintor ABC 70 kg sobre ruedas</t>
        </is>
      </c>
      <c r="D479" s="17" t="inlineStr">
        <is>
          <t>C - Cambio obligatorio de polvo (versión anterior de la IRAM 3569)</t>
        </is>
      </c>
      <c r="E479" s="17" t="inlineStr">
        <is>
          <t>Marbete (anillo, color del año)</t>
        </is>
      </c>
      <c r="F479" s="32" t="n">
        <v>1</v>
      </c>
      <c r="G479" s="32" t="inlineStr">
        <is>
          <t>u</t>
        </is>
      </c>
      <c r="H479" s="17" t="inlineStr">
        <is>
          <t>Nuevo</t>
        </is>
      </c>
      <c r="I479" s="17" t="inlineStr">
        <is>
          <t>IRAM 3517-2:2020 9.6 · anexo E</t>
        </is>
      </c>
      <c r="J479" s="32" t="inlineStr">
        <is>
          <t>Sí</t>
        </is>
      </c>
      <c r="K479" s="17" t="inlineStr">
        <is>
          <t>Astuprint</t>
        </is>
      </c>
      <c r="L479" s="17" t="inlineStr">
        <is>
          <t>Multilabel Argentina S.A.</t>
        </is>
      </c>
    </row>
    <row r="480">
      <c r="A480" s="32" t="inlineStr">
        <is>
          <t>RK-ABC70-C</t>
        </is>
      </c>
      <c r="B480" s="32" t="inlineStr">
        <is>
          <t>FL_MAT_ABC_70kg</t>
        </is>
      </c>
      <c r="C480" s="32" t="inlineStr">
        <is>
          <t>Extintor ABC 70 kg sobre ruedas</t>
        </is>
      </c>
      <c r="D480" s="17" t="inlineStr">
        <is>
          <t>C - Cambio obligatorio de polvo (versión anterior de la IRAM 3569)</t>
        </is>
      </c>
      <c r="E480" s="17" t="inlineStr">
        <is>
          <t>Etiqueta de servicio del recargador (extintor n°, serie, próxima recarga y PH)</t>
        </is>
      </c>
      <c r="F480" s="32" t="n">
        <v>1</v>
      </c>
      <c r="G480" s="32" t="inlineStr">
        <is>
          <t>u</t>
        </is>
      </c>
      <c r="H480" s="17" t="inlineStr">
        <is>
          <t>Nuevo</t>
        </is>
      </c>
      <c r="I480" s="17" t="inlineStr">
        <is>
          <t>IRAM 3517-2:2020 9.4.14 · relevado Suyai/Firegram</t>
        </is>
      </c>
      <c r="J480" s="32" t="inlineStr">
        <is>
          <t>Sí</t>
        </is>
      </c>
      <c r="K480" s="17" t="inlineStr">
        <is>
          <t>Astuprint</t>
        </is>
      </c>
      <c r="L480" s="17" t="inlineStr">
        <is>
          <t>Multilabel Argentina S.A.</t>
        </is>
      </c>
    </row>
    <row r="481">
      <c r="A481" s="32" t="inlineStr">
        <is>
          <t>RK-ABC70-C</t>
        </is>
      </c>
      <c r="B481" s="32" t="inlineStr">
        <is>
          <t>FL_MAT_ABC_70kg</t>
        </is>
      </c>
      <c r="C481" s="32" t="inlineStr">
        <is>
          <t>Extintor ABC 70 kg sobre ruedas</t>
        </is>
      </c>
      <c r="D481" s="17" t="inlineStr">
        <is>
          <t>C - Cambio obligatorio de polvo (versión anterior de la IRAM 3569)</t>
        </is>
      </c>
      <c r="E481" s="17" t="inlineStr">
        <is>
          <t>Oblea PBA de recarga Ø46 + estampilla precinto 1" × 200 mm válvula-cuerpo</t>
        </is>
      </c>
      <c r="F481" s="32" t="n">
        <v>1</v>
      </c>
      <c r="G481" s="32" t="inlineStr">
        <is>
          <t>u</t>
        </is>
      </c>
      <c r="H481" s="17" t="inlineStr">
        <is>
          <t>Nuevo (venta en PBA)</t>
        </is>
      </c>
      <c r="I481" s="17" t="inlineStr">
        <is>
          <t>IRAM 3517-2:2020 Res. OPDS 522/07</t>
        </is>
      </c>
      <c r="J481" s="32" t="inlineStr">
        <is>
          <t>Sí</t>
        </is>
      </c>
      <c r="K481" s="17" t="inlineStr">
        <is>
          <t>Ministerio de Ambiente PBA (ex OPDS)</t>
        </is>
      </c>
      <c r="L481" s="17" t="inlineStr">
        <is>
          <t>-</t>
        </is>
      </c>
    </row>
    <row r="482">
      <c r="A482" s="32" t="inlineStr">
        <is>
          <t>RK-ABC70-C</t>
        </is>
      </c>
      <c r="B482" s="32" t="inlineStr">
        <is>
          <t>FL_MAT_ABC_70kg</t>
        </is>
      </c>
      <c r="C482" s="32" t="inlineStr">
        <is>
          <t>Extintor ABC 70 kg sobre ruedas</t>
        </is>
      </c>
      <c r="D482" s="17" t="inlineStr">
        <is>
          <t>C - Cambio obligatorio de polvo (versión anterior de la IRAM 3569)</t>
        </is>
      </c>
      <c r="E482" s="17" t="inlineStr">
        <is>
          <t>Tarjeta de identificación AGC (módulo papel con QR + etiqueta AGC)</t>
        </is>
      </c>
      <c r="F482" s="32" t="n">
        <v>1</v>
      </c>
      <c r="G482" s="32" t="inlineStr">
        <is>
          <t>u</t>
        </is>
      </c>
      <c r="H482" s="17" t="inlineStr">
        <is>
          <t>Nuevo (destino CABA)</t>
        </is>
      </c>
      <c r="I482" s="17" t="inlineStr">
        <is>
          <t>IRAM 3517-2:2020 Ord. 40.473 art. 6 · Res. AGC 32/15</t>
        </is>
      </c>
      <c r="J482" s="32" t="inlineStr">
        <is>
          <t>Sí</t>
        </is>
      </c>
      <c r="K482" s="17" t="inlineStr">
        <is>
          <t>Agencia Gubernamental de Control (CABA)</t>
        </is>
      </c>
      <c r="L482" s="17" t="inlineStr">
        <is>
          <t>-</t>
        </is>
      </c>
    </row>
    <row r="483">
      <c r="A483" s="32" t="inlineStr">
        <is>
          <t>RK-ABC70-C</t>
        </is>
      </c>
      <c r="B483" s="32" t="inlineStr">
        <is>
          <t>FL_MAT_ABC_70kg</t>
        </is>
      </c>
      <c r="C483" s="32" t="inlineStr">
        <is>
          <t>Extintor ABC 70 kg sobre ruedas</t>
        </is>
      </c>
      <c r="D483" s="17" t="inlineStr">
        <is>
          <t>C - Cambio obligatorio de polvo (versión anterior de la IRAM 3569)</t>
        </is>
      </c>
      <c r="E483" s="17" t="inlineStr">
        <is>
          <t>Tarjeta de identificación DPS de revisión / recarga</t>
        </is>
      </c>
      <c r="F483" s="32" t="n">
        <v>1</v>
      </c>
      <c r="G483" s="32" t="inlineStr">
        <is>
          <t>u</t>
        </is>
      </c>
      <c r="H483" s="17" t="inlineStr">
        <is>
          <t>Nuevo (PBA)</t>
        </is>
      </c>
      <c r="I483" s="17" t="inlineStr">
        <is>
          <t>IRAM 3517-2:2020 Res. 349/07 art. 21</t>
        </is>
      </c>
      <c r="J483" s="32" t="inlineStr">
        <is>
          <t>Sí</t>
        </is>
      </c>
      <c r="K483" s="17" t="inlineStr">
        <is>
          <t>Ministerio de Ambiente PBA (ex OPDS)</t>
        </is>
      </c>
      <c r="L483" s="17" t="inlineStr">
        <is>
          <t>-</t>
        </is>
      </c>
    </row>
    <row r="484">
      <c r="A484" s="32" t="inlineStr">
        <is>
          <t>RK-ABC70-C</t>
        </is>
      </c>
      <c r="B484" s="32" t="inlineStr">
        <is>
          <t>FL_MAT_ABC_70kg</t>
        </is>
      </c>
      <c r="C484" s="32" t="inlineStr">
        <is>
          <t>Extintor ABC 70 kg sobre ruedas</t>
        </is>
      </c>
      <c r="D484" s="17" t="inlineStr">
        <is>
          <t>C - Cambio obligatorio de polvo (versión anterior de la IRAM 3569)</t>
        </is>
      </c>
      <c r="E484" s="17" t="inlineStr">
        <is>
          <t>Grabado de la fecha del servicio en el tubo de pesca (lápiz vibratorio; en polvo, marcador indeleble)</t>
        </is>
      </c>
      <c r="F484" s="32" t="n">
        <v>1</v>
      </c>
      <c r="G484" s="32" t="inlineStr">
        <is>
          <t>u</t>
        </is>
      </c>
      <c r="H484" s="17" t="inlineStr">
        <is>
          <t>Proceso</t>
        </is>
      </c>
      <c r="I484" s="17" t="inlineStr">
        <is>
          <t>IRAM 3517-2:2020 Res. 349/07 art. 28</t>
        </is>
      </c>
      <c r="J484" s="32" t="inlineStr">
        <is>
          <t>No</t>
        </is>
      </c>
      <c r="K484" s="17" t="n"/>
      <c r="L484" s="17" t="n"/>
    </row>
    <row r="485">
      <c r="A485" s="32" t="inlineStr">
        <is>
          <t>RK-ABC70-C</t>
        </is>
      </c>
      <c r="B485" s="32" t="inlineStr">
        <is>
          <t>FL_MAT_ABC_70kg</t>
        </is>
      </c>
      <c r="C485" s="32" t="inlineStr">
        <is>
          <t>Extintor ABC 70 kg sobre ruedas</t>
        </is>
      </c>
      <c r="D485" s="17" t="inlineStr">
        <is>
          <t>C - Cambio obligatorio de polvo (versión anterior de la IRAM 3569)</t>
        </is>
      </c>
      <c r="E485" s="17" t="inlineStr">
        <is>
          <t>Si hubo PH: oblea de vencimiento de PH + «PH» y fecha grabados en el tubo de pesca (CO₂: fecha y logo estampados en la ojiva)</t>
        </is>
      </c>
      <c r="F485" s="32" t="n">
        <v>1</v>
      </c>
      <c r="G485" s="32" t="inlineStr">
        <is>
          <t>u</t>
        </is>
      </c>
      <c r="H485" s="17" t="inlineStr">
        <is>
          <t>Proceso</t>
        </is>
      </c>
      <c r="I485" s="17" t="inlineStr">
        <is>
          <t>IRAM 3517-2:2020 Res. 349/07 art. 29 · IRAM 3517-2</t>
        </is>
      </c>
      <c r="J485" s="32" t="inlineStr">
        <is>
          <t>No</t>
        </is>
      </c>
      <c r="K485" s="17" t="n"/>
      <c r="L485" s="17" t="n"/>
    </row>
    <row r="486">
      <c r="A486" s="37" t="inlineStr">
        <is>
          <t>RK-ABC70-C</t>
        </is>
      </c>
      <c r="B486" s="37" t="inlineStr">
        <is>
          <t>FL_MAT_ABC_70kg</t>
        </is>
      </c>
      <c r="C486" s="37" t="inlineStr">
        <is>
          <t>Extintor ABC 70 kg sobre ruedas</t>
        </is>
      </c>
      <c r="D486" s="18" t="inlineStr">
        <is>
          <t>C - Cambio obligatorio de polvo (versión anterior de la IRAM 3569)</t>
        </is>
      </c>
      <c r="E486" s="18" t="inlineStr">
        <is>
          <t>Junta tórica de asiento del cuello</t>
        </is>
      </c>
      <c r="F486" s="37" t="n">
        <v>1</v>
      </c>
      <c r="G486" s="37" t="inlineStr">
        <is>
          <t>u</t>
        </is>
      </c>
      <c r="H486" s="18" t="inlineStr">
        <is>
          <t>Nuevo (R: cambio sistemático)</t>
        </is>
      </c>
      <c r="I486" s="18" t="inlineStr"/>
      <c r="J486" s="37" t="inlineStr">
        <is>
          <t>Sí</t>
        </is>
      </c>
      <c r="K486" s="18" t="inlineStr">
        <is>
          <t>Argensold</t>
        </is>
      </c>
      <c r="L486" s="18" t="inlineStr">
        <is>
          <t>Matafuegos Iglesias</t>
        </is>
      </c>
    </row>
    <row r="487">
      <c r="A487" s="32" t="inlineStr">
        <is>
          <t>RK-ABC70-C</t>
        </is>
      </c>
      <c r="B487" s="32" t="inlineStr">
        <is>
          <t>FL_MAT_ABC_70kg</t>
        </is>
      </c>
      <c r="C487" s="32" t="inlineStr">
        <is>
          <t>Extintor ABC 70 kg sobre ruedas</t>
        </is>
      </c>
      <c r="D487" s="17" t="inlineStr">
        <is>
          <t>C - Cambio obligatorio de polvo (versión anterior de la IRAM 3569)</t>
        </is>
      </c>
      <c r="E487" s="17" t="inlineStr">
        <is>
          <t>Gas impulsor: N₂</t>
        </is>
      </c>
      <c r="F487" s="32" t="n">
        <v>0.5581</v>
      </c>
      <c r="G487" s="32" t="inlineStr">
        <is>
          <t>kg</t>
        </is>
      </c>
      <c r="H487" s="17" t="inlineStr">
        <is>
          <t>Nuevo</t>
        </is>
      </c>
      <c r="I487" s="17" t="inlineStr">
        <is>
          <t>IRAM 3517-2:2020 9.4.9 tabla 2</t>
        </is>
      </c>
      <c r="J487" s="32" t="inlineStr">
        <is>
          <t>Sí</t>
        </is>
      </c>
      <c r="K487" s="17" t="inlineStr">
        <is>
          <t>Air Liquide Argentina - sucursal Piñeyro</t>
        </is>
      </c>
      <c r="L487" s="17" t="inlineStr">
        <is>
          <t>Gogniat</t>
        </is>
      </c>
    </row>
    <row r="488">
      <c r="A488" s="32" t="inlineStr">
        <is>
          <t>RK-ABC70-I</t>
        </is>
      </c>
      <c r="B488" s="32" t="inlineStr">
        <is>
          <t>FL_MAT_ABC_70kg</t>
        </is>
      </c>
      <c r="C488" s="32" t="inlineStr">
        <is>
          <t>Extintor ABC 70 kg sobre ruedas</t>
        </is>
      </c>
      <c r="D488" s="17" t="inlineStr">
        <is>
          <t>Según inspección (consumo estadístico a definir)</t>
        </is>
      </c>
      <c r="E488" s="17" t="inlineStr">
        <is>
          <t>Manómetro / manguera / tobera / kit de válvula</t>
        </is>
      </c>
      <c r="F488" s="32" t="inlineStr">
        <is>
          <t>-</t>
        </is>
      </c>
      <c r="G488" s="32" t="inlineStr">
        <is>
          <t>u</t>
        </is>
      </c>
      <c r="H488" s="17" t="inlineStr">
        <is>
          <t>Recambio sólo si falla</t>
        </is>
      </c>
      <c r="I488" s="17" t="inlineStr">
        <is>
          <t>IRAM 3517-2:2020 9.4.11 (cada manguera vuelve a su extintor)</t>
        </is>
      </c>
      <c r="J488" s="32" t="inlineStr">
        <is>
          <t>Sí</t>
        </is>
      </c>
      <c r="K488" s="17" t="inlineStr">
        <is>
          <t>Polvex S.R.L. / Sancibrao</t>
        </is>
      </c>
      <c r="L488" s="17" t="inlineStr">
        <is>
          <t>Yukon / MatafuegosYa S.R.L.</t>
        </is>
      </c>
    </row>
    <row r="489">
      <c r="A489" s="32" t="inlineStr">
        <is>
          <t>RK-ABC100-A</t>
        </is>
      </c>
      <c r="B489" s="32" t="inlineStr">
        <is>
          <t>FL_MAT_ABC_100kg</t>
        </is>
      </c>
      <c r="C489" s="32" t="inlineStr">
        <is>
          <t>Extintor ABC 100 kg sobre ruedas</t>
        </is>
      </c>
      <c r="D489" s="17" t="inlineStr">
        <is>
          <t>A - Extintor descargado (uso o descarga parcial)</t>
        </is>
      </c>
      <c r="E489" s="17" t="inlineStr">
        <is>
          <t>Polvo químico seco ABC 90 (Sello IRAM 3569)</t>
        </is>
      </c>
      <c r="F489" s="32" t="n">
        <v>100</v>
      </c>
      <c r="G489" s="32" t="inlineStr">
        <is>
          <t>kg</t>
        </is>
      </c>
      <c r="H489" s="17" t="inlineStr">
        <is>
          <t>Nuevo 100 %</t>
        </is>
      </c>
      <c r="I489" s="17" t="inlineStr">
        <is>
          <t>IRAM 3517-2:2020 9.9.1.4: el polvo de un extintor accionado no se reutiliza</t>
        </is>
      </c>
      <c r="J489" s="32" t="inlineStr">
        <is>
          <t>Sí</t>
        </is>
      </c>
      <c r="K489" s="17" t="inlineStr">
        <is>
          <t>DEM S.A. (DEMSA)</t>
        </is>
      </c>
      <c r="L489" s="17" t="inlineStr">
        <is>
          <t>Polvex S.R.L. / Sancibrao</t>
        </is>
      </c>
    </row>
    <row r="490">
      <c r="A490" s="32" t="inlineStr">
        <is>
          <t>RK-ABC100-A</t>
        </is>
      </c>
      <c r="B490" s="32" t="inlineStr">
        <is>
          <t>FL_MAT_ABC_100kg</t>
        </is>
      </c>
      <c r="C490" s="32" t="inlineStr">
        <is>
          <t>Extintor ABC 100 kg sobre ruedas</t>
        </is>
      </c>
      <c r="D490" s="17" t="inlineStr">
        <is>
          <t>A - Extintor descargado (uso o descarga parcial)</t>
        </is>
      </c>
      <c r="E490" s="17" t="inlineStr">
        <is>
          <t>Precinto plástico numerado, color, con nombre del recargador</t>
        </is>
      </c>
      <c r="F490" s="32" t="n">
        <v>1</v>
      </c>
      <c r="G490" s="32" t="inlineStr">
        <is>
          <t>u</t>
        </is>
      </c>
      <c r="H490" s="17" t="inlineStr">
        <is>
          <t>Nuevo</t>
        </is>
      </c>
      <c r="I490" s="17" t="inlineStr">
        <is>
          <t>IRAM 3517-2:2020 9.4.13</t>
        </is>
      </c>
      <c r="J490" s="32" t="inlineStr">
        <is>
          <t>Sí</t>
        </is>
      </c>
      <c r="K490" s="17" t="inlineStr">
        <is>
          <t>SonFuertes (vía Papelera Damián)</t>
        </is>
      </c>
      <c r="L490" s="17" t="inlineStr">
        <is>
          <t>Precinter S.R.L.</t>
        </is>
      </c>
    </row>
    <row r="491">
      <c r="A491" s="32" t="inlineStr">
        <is>
          <t>RK-ABC100-A</t>
        </is>
      </c>
      <c r="B491" s="32" t="inlineStr">
        <is>
          <t>FL_MAT_ABC_100kg</t>
        </is>
      </c>
      <c r="C491" s="32" t="inlineStr">
        <is>
          <t>Extintor ABC 100 kg sobre ruedas</t>
        </is>
      </c>
      <c r="D491" s="17" t="inlineStr">
        <is>
          <t>A - Extintor descargado (uso o descarga parcial)</t>
        </is>
      </c>
      <c r="E491" s="17" t="inlineStr">
        <is>
          <t>Marbete (anillo, color del año)</t>
        </is>
      </c>
      <c r="F491" s="32" t="n">
        <v>1</v>
      </c>
      <c r="G491" s="32" t="inlineStr">
        <is>
          <t>u</t>
        </is>
      </c>
      <c r="H491" s="17" t="inlineStr">
        <is>
          <t>Nuevo</t>
        </is>
      </c>
      <c r="I491" s="17" t="inlineStr">
        <is>
          <t>IRAM 3517-2:2020 9.6 · anexo E</t>
        </is>
      </c>
      <c r="J491" s="32" t="inlineStr">
        <is>
          <t>Sí</t>
        </is>
      </c>
      <c r="K491" s="17" t="inlineStr">
        <is>
          <t>Astuprint</t>
        </is>
      </c>
      <c r="L491" s="17" t="inlineStr">
        <is>
          <t>Multilabel Argentina S.A.</t>
        </is>
      </c>
    </row>
    <row r="492">
      <c r="A492" s="32" t="inlineStr">
        <is>
          <t>RK-ABC100-A</t>
        </is>
      </c>
      <c r="B492" s="32" t="inlineStr">
        <is>
          <t>FL_MAT_ABC_100kg</t>
        </is>
      </c>
      <c r="C492" s="32" t="inlineStr">
        <is>
          <t>Extintor ABC 100 kg sobre ruedas</t>
        </is>
      </c>
      <c r="D492" s="17" t="inlineStr">
        <is>
          <t>A - Extintor descargado (uso o descarga parcial)</t>
        </is>
      </c>
      <c r="E492" s="17" t="inlineStr">
        <is>
          <t>Etiqueta de servicio del recargador (extintor n°, serie, próxima recarga y PH)</t>
        </is>
      </c>
      <c r="F492" s="32" t="n">
        <v>1</v>
      </c>
      <c r="G492" s="32" t="inlineStr">
        <is>
          <t>u</t>
        </is>
      </c>
      <c r="H492" s="17" t="inlineStr">
        <is>
          <t>Nuevo</t>
        </is>
      </c>
      <c r="I492" s="17" t="inlineStr">
        <is>
          <t>IRAM 3517-2:2020 9.4.14 · relevado Suyai/Firegram</t>
        </is>
      </c>
      <c r="J492" s="32" t="inlineStr">
        <is>
          <t>Sí</t>
        </is>
      </c>
      <c r="K492" s="17" t="inlineStr">
        <is>
          <t>Astuprint</t>
        </is>
      </c>
      <c r="L492" s="17" t="inlineStr">
        <is>
          <t>Multilabel Argentina S.A.</t>
        </is>
      </c>
    </row>
    <row r="493">
      <c r="A493" s="32" t="inlineStr">
        <is>
          <t>RK-ABC100-A</t>
        </is>
      </c>
      <c r="B493" s="32" t="inlineStr">
        <is>
          <t>FL_MAT_ABC_100kg</t>
        </is>
      </c>
      <c r="C493" s="32" t="inlineStr">
        <is>
          <t>Extintor ABC 100 kg sobre ruedas</t>
        </is>
      </c>
      <c r="D493" s="17" t="inlineStr">
        <is>
          <t>A - Extintor descargado (uso o descarga parcial)</t>
        </is>
      </c>
      <c r="E493" s="17" t="inlineStr">
        <is>
          <t>Oblea PBA de recarga Ø46 + estampilla precinto 1" × 200 mm válvula-cuerpo</t>
        </is>
      </c>
      <c r="F493" s="32" t="n">
        <v>1</v>
      </c>
      <c r="G493" s="32" t="inlineStr">
        <is>
          <t>u</t>
        </is>
      </c>
      <c r="H493" s="17" t="inlineStr">
        <is>
          <t>Nuevo (venta en PBA)</t>
        </is>
      </c>
      <c r="I493" s="17" t="inlineStr">
        <is>
          <t>IRAM 3517-2:2020 Res. OPDS 522/07</t>
        </is>
      </c>
      <c r="J493" s="32" t="inlineStr">
        <is>
          <t>Sí</t>
        </is>
      </c>
      <c r="K493" s="17" t="inlineStr">
        <is>
          <t>Ministerio de Ambiente PBA (ex OPDS)</t>
        </is>
      </c>
      <c r="L493" s="17" t="inlineStr">
        <is>
          <t>-</t>
        </is>
      </c>
    </row>
    <row r="494">
      <c r="A494" s="32" t="inlineStr">
        <is>
          <t>RK-ABC100-A</t>
        </is>
      </c>
      <c r="B494" s="32" t="inlineStr">
        <is>
          <t>FL_MAT_ABC_100kg</t>
        </is>
      </c>
      <c r="C494" s="32" t="inlineStr">
        <is>
          <t>Extintor ABC 100 kg sobre ruedas</t>
        </is>
      </c>
      <c r="D494" s="17" t="inlineStr">
        <is>
          <t>A - Extintor descargado (uso o descarga parcial)</t>
        </is>
      </c>
      <c r="E494" s="17" t="inlineStr">
        <is>
          <t>Tarjeta de identificación AGC (módulo papel con QR + etiqueta AGC)</t>
        </is>
      </c>
      <c r="F494" s="32" t="n">
        <v>1</v>
      </c>
      <c r="G494" s="32" t="inlineStr">
        <is>
          <t>u</t>
        </is>
      </c>
      <c r="H494" s="17" t="inlineStr">
        <is>
          <t>Nuevo (destino CABA)</t>
        </is>
      </c>
      <c r="I494" s="17" t="inlineStr">
        <is>
          <t>IRAM 3517-2:2020 Ord. 40.473 art. 6 · Res. AGC 32/15</t>
        </is>
      </c>
      <c r="J494" s="32" t="inlineStr">
        <is>
          <t>Sí</t>
        </is>
      </c>
      <c r="K494" s="17" t="inlineStr">
        <is>
          <t>Agencia Gubernamental de Control (CABA)</t>
        </is>
      </c>
      <c r="L494" s="17" t="inlineStr">
        <is>
          <t>-</t>
        </is>
      </c>
    </row>
    <row r="495">
      <c r="A495" s="32" t="inlineStr">
        <is>
          <t>RK-ABC100-A</t>
        </is>
      </c>
      <c r="B495" s="32" t="inlineStr">
        <is>
          <t>FL_MAT_ABC_100kg</t>
        </is>
      </c>
      <c r="C495" s="32" t="inlineStr">
        <is>
          <t>Extintor ABC 100 kg sobre ruedas</t>
        </is>
      </c>
      <c r="D495" s="17" t="inlineStr">
        <is>
          <t>A - Extintor descargado (uso o descarga parcial)</t>
        </is>
      </c>
      <c r="E495" s="17" t="inlineStr">
        <is>
          <t>Tarjeta de identificación DPS de revisión / recarga</t>
        </is>
      </c>
      <c r="F495" s="32" t="n">
        <v>1</v>
      </c>
      <c r="G495" s="32" t="inlineStr">
        <is>
          <t>u</t>
        </is>
      </c>
      <c r="H495" s="17" t="inlineStr">
        <is>
          <t>Nuevo (PBA)</t>
        </is>
      </c>
      <c r="I495" s="17" t="inlineStr">
        <is>
          <t>IRAM 3517-2:2020 Res. 349/07 art. 21</t>
        </is>
      </c>
      <c r="J495" s="32" t="inlineStr">
        <is>
          <t>Sí</t>
        </is>
      </c>
      <c r="K495" s="17" t="inlineStr">
        <is>
          <t>Ministerio de Ambiente PBA (ex OPDS)</t>
        </is>
      </c>
      <c r="L495" s="17" t="inlineStr">
        <is>
          <t>-</t>
        </is>
      </c>
    </row>
    <row r="496">
      <c r="A496" s="32" t="inlineStr">
        <is>
          <t>RK-ABC100-A</t>
        </is>
      </c>
      <c r="B496" s="32" t="inlineStr">
        <is>
          <t>FL_MAT_ABC_100kg</t>
        </is>
      </c>
      <c r="C496" s="32" t="inlineStr">
        <is>
          <t>Extintor ABC 100 kg sobre ruedas</t>
        </is>
      </c>
      <c r="D496" s="17" t="inlineStr">
        <is>
          <t>A - Extintor descargado (uso o descarga parcial)</t>
        </is>
      </c>
      <c r="E496" s="17" t="inlineStr">
        <is>
          <t>Grabado de la fecha del servicio en el tubo de pesca (lápiz vibratorio; en polvo, marcador indeleble)</t>
        </is>
      </c>
      <c r="F496" s="32" t="n">
        <v>1</v>
      </c>
      <c r="G496" s="32" t="inlineStr">
        <is>
          <t>u</t>
        </is>
      </c>
      <c r="H496" s="17" t="inlineStr">
        <is>
          <t>Proceso</t>
        </is>
      </c>
      <c r="I496" s="17" t="inlineStr">
        <is>
          <t>IRAM 3517-2:2020 Res. 349/07 art. 28</t>
        </is>
      </c>
      <c r="J496" s="32" t="inlineStr">
        <is>
          <t>No</t>
        </is>
      </c>
      <c r="K496" s="17" t="n"/>
      <c r="L496" s="17" t="n"/>
    </row>
    <row r="497">
      <c r="A497" s="32" t="inlineStr">
        <is>
          <t>RK-ABC100-A</t>
        </is>
      </c>
      <c r="B497" s="32" t="inlineStr">
        <is>
          <t>FL_MAT_ABC_100kg</t>
        </is>
      </c>
      <c r="C497" s="32" t="inlineStr">
        <is>
          <t>Extintor ABC 100 kg sobre ruedas</t>
        </is>
      </c>
      <c r="D497" s="17" t="inlineStr">
        <is>
          <t>A - Extintor descargado (uso o descarga parcial)</t>
        </is>
      </c>
      <c r="E497" s="17" t="inlineStr">
        <is>
          <t>Si hubo PH: oblea de vencimiento de PH + «PH» y fecha grabados en el tubo de pesca (CO₂: fecha y logo estampados en la ojiva)</t>
        </is>
      </c>
      <c r="F497" s="32" t="n">
        <v>1</v>
      </c>
      <c r="G497" s="32" t="inlineStr">
        <is>
          <t>u</t>
        </is>
      </c>
      <c r="H497" s="17" t="inlineStr">
        <is>
          <t>Proceso</t>
        </is>
      </c>
      <c r="I497" s="17" t="inlineStr">
        <is>
          <t>IRAM 3517-2:2020 Res. 349/07 art. 29 · IRAM 3517-2</t>
        </is>
      </c>
      <c r="J497" s="32" t="inlineStr">
        <is>
          <t>No</t>
        </is>
      </c>
      <c r="K497" s="17" t="n"/>
      <c r="L497" s="17" t="n"/>
    </row>
    <row r="498">
      <c r="A498" s="37" t="inlineStr">
        <is>
          <t>RK-ABC100-A</t>
        </is>
      </c>
      <c r="B498" s="37" t="inlineStr">
        <is>
          <t>FL_MAT_ABC_100kg</t>
        </is>
      </c>
      <c r="C498" s="37" t="inlineStr">
        <is>
          <t>Extintor ABC 100 kg sobre ruedas</t>
        </is>
      </c>
      <c r="D498" s="18" t="inlineStr">
        <is>
          <t>A - Extintor descargado (uso o descarga parcial)</t>
        </is>
      </c>
      <c r="E498" s="18" t="inlineStr">
        <is>
          <t>Junta tórica de asiento del cuello</t>
        </is>
      </c>
      <c r="F498" s="37" t="n">
        <v>1</v>
      </c>
      <c r="G498" s="37" t="inlineStr">
        <is>
          <t>u</t>
        </is>
      </c>
      <c r="H498" s="18" t="inlineStr">
        <is>
          <t>Nuevo (R: cambio sistemático)</t>
        </is>
      </c>
      <c r="I498" s="18" t="inlineStr"/>
      <c r="J498" s="37" t="inlineStr">
        <is>
          <t>Sí</t>
        </is>
      </c>
      <c r="K498" s="18" t="inlineStr">
        <is>
          <t>Argensold</t>
        </is>
      </c>
      <c r="L498" s="18" t="inlineStr">
        <is>
          <t>Matafuegos Iglesias</t>
        </is>
      </c>
    </row>
    <row r="499">
      <c r="A499" s="32" t="inlineStr">
        <is>
          <t>RK-ABC100-A</t>
        </is>
      </c>
      <c r="B499" s="32" t="inlineStr">
        <is>
          <t>FL_MAT_ABC_100kg</t>
        </is>
      </c>
      <c r="C499" s="32" t="inlineStr">
        <is>
          <t>Extintor ABC 100 kg sobre ruedas</t>
        </is>
      </c>
      <c r="D499" s="17" t="inlineStr">
        <is>
          <t>A - Extintor descargado (uso o descarga parcial)</t>
        </is>
      </c>
      <c r="E499" s="17" t="inlineStr">
        <is>
          <t>Gas impulsor: N₂</t>
        </is>
      </c>
      <c r="F499" s="32" t="n">
        <v>0.5189</v>
      </c>
      <c r="G499" s="32" t="inlineStr">
        <is>
          <t>kg</t>
        </is>
      </c>
      <c r="H499" s="17" t="inlineStr">
        <is>
          <t>Nuevo</t>
        </is>
      </c>
      <c r="I499" s="17" t="inlineStr">
        <is>
          <t>IRAM 3517-2:2020 9.4.9 tabla 2</t>
        </is>
      </c>
      <c r="J499" s="32" t="inlineStr">
        <is>
          <t>Sí</t>
        </is>
      </c>
      <c r="K499" s="17" t="inlineStr">
        <is>
          <t>Air Liquide Argentina - sucursal Piñeyro</t>
        </is>
      </c>
      <c r="L499" s="17" t="inlineStr">
        <is>
          <t>Gogniat</t>
        </is>
      </c>
    </row>
    <row r="500">
      <c r="A500" s="32" t="inlineStr">
        <is>
          <t>RK-ABC100-B</t>
        </is>
      </c>
      <c r="B500" s="32" t="inlineStr">
        <is>
          <t>FL_MAT_ABC_100kg</t>
        </is>
      </c>
      <c r="C500" s="32" t="inlineStr">
        <is>
          <t>Extintor ABC 100 kg sobre ruedas</t>
        </is>
      </c>
      <c r="D500" s="17" t="inlineStr">
        <is>
          <t>B - Mantenimiento con apertura sin descarga (control interior, PH)</t>
        </is>
      </c>
      <c r="E500" s="17" t="inlineStr">
        <is>
          <t>Polvo químico seco ABC 90 (Sello IRAM 3569) recuperado</t>
        </is>
      </c>
      <c r="F500" s="32" t="n">
        <v>97</v>
      </c>
      <c r="G500" s="32" t="inlineStr">
        <is>
          <t>kg</t>
        </is>
      </c>
      <c r="H500" s="17" t="inlineStr">
        <is>
          <t>Recuperado en sistema cerrado</t>
        </is>
      </c>
      <c r="I500" s="17" t="inlineStr">
        <is>
          <t>IRAM 3517-2:2020 4.4.1 y) sistema cerrado de recuperación con inspección; 9.9.3 control (puffer IRAM 3672, fusión IRAM 3569 en ABC)</t>
        </is>
      </c>
      <c r="J500" s="32" t="inlineStr">
        <is>
          <t>No</t>
        </is>
      </c>
      <c r="K500" s="17" t="n"/>
      <c r="L500" s="17" t="n"/>
    </row>
    <row r="501">
      <c r="A501" s="32" t="inlineStr">
        <is>
          <t>RK-ABC100-B</t>
        </is>
      </c>
      <c r="B501" s="32" t="inlineStr">
        <is>
          <t>FL_MAT_ABC_100kg</t>
        </is>
      </c>
      <c r="C501" s="32" t="inlineStr">
        <is>
          <t>Extintor ABC 100 kg sobre ruedas</t>
        </is>
      </c>
      <c r="D501" s="17" t="inlineStr">
        <is>
          <t>B - Mantenimiento con apertura sin descarga (control interior, PH)</t>
        </is>
      </c>
      <c r="E501" s="17" t="inlineStr">
        <is>
          <t>Polvo químico seco ABC 90 (Sello IRAM 3569)</t>
        </is>
      </c>
      <c r="F501" s="32" t="n">
        <v>3</v>
      </c>
      <c r="G501" s="32" t="inlineStr">
        <is>
          <t>kg</t>
        </is>
      </c>
      <c r="H501" s="17" t="inlineStr">
        <is>
          <t>Nuevo: reposición = carga objetivo − límite inferior de ± 3 % (cota superior)</t>
        </is>
      </c>
      <c r="I501" s="17" t="inlineStr">
        <is>
          <t>IRAM 3517-2:2020 9.4.12 tabla 3 · anexo F; mismo tipo y marca (prohibido mezclar ABC con BC, 9.9.1.6)</t>
        </is>
      </c>
      <c r="J501" s="32" t="inlineStr">
        <is>
          <t>Sí</t>
        </is>
      </c>
      <c r="K501" s="17" t="inlineStr">
        <is>
          <t>DEM S.A. (DEMSA)</t>
        </is>
      </c>
      <c r="L501" s="17" t="inlineStr">
        <is>
          <t>Polvex S.R.L. / Sancibrao</t>
        </is>
      </c>
    </row>
    <row r="502">
      <c r="A502" s="32" t="inlineStr">
        <is>
          <t>RK-ABC100-B</t>
        </is>
      </c>
      <c r="B502" s="32" t="inlineStr">
        <is>
          <t>FL_MAT_ABC_100kg</t>
        </is>
      </c>
      <c r="C502" s="32" t="inlineStr">
        <is>
          <t>Extintor ABC 100 kg sobre ruedas</t>
        </is>
      </c>
      <c r="D502" s="17" t="inlineStr">
        <is>
          <t>B - Mantenimiento con apertura sin descarga (control interior, PH)</t>
        </is>
      </c>
      <c r="E502" s="17" t="inlineStr">
        <is>
          <t>Precinto plástico numerado, color, con nombre del recargador</t>
        </is>
      </c>
      <c r="F502" s="32" t="n">
        <v>1</v>
      </c>
      <c r="G502" s="32" t="inlineStr">
        <is>
          <t>u</t>
        </is>
      </c>
      <c r="H502" s="17" t="inlineStr">
        <is>
          <t>Nuevo</t>
        </is>
      </c>
      <c r="I502" s="17" t="inlineStr">
        <is>
          <t>IRAM 3517-2:2020 9.4.13</t>
        </is>
      </c>
      <c r="J502" s="32" t="inlineStr">
        <is>
          <t>Sí</t>
        </is>
      </c>
      <c r="K502" s="17" t="inlineStr">
        <is>
          <t>SonFuertes (vía Papelera Damián)</t>
        </is>
      </c>
      <c r="L502" s="17" t="inlineStr">
        <is>
          <t>Precinter S.R.L.</t>
        </is>
      </c>
    </row>
    <row r="503">
      <c r="A503" s="32" t="inlineStr">
        <is>
          <t>RK-ABC100-B</t>
        </is>
      </c>
      <c r="B503" s="32" t="inlineStr">
        <is>
          <t>FL_MAT_ABC_100kg</t>
        </is>
      </c>
      <c r="C503" s="32" t="inlineStr">
        <is>
          <t>Extintor ABC 100 kg sobre ruedas</t>
        </is>
      </c>
      <c r="D503" s="17" t="inlineStr">
        <is>
          <t>B - Mantenimiento con apertura sin descarga (control interior, PH)</t>
        </is>
      </c>
      <c r="E503" s="17" t="inlineStr">
        <is>
          <t>Marbete (anillo, color del año)</t>
        </is>
      </c>
      <c r="F503" s="32" t="n">
        <v>1</v>
      </c>
      <c r="G503" s="32" t="inlineStr">
        <is>
          <t>u</t>
        </is>
      </c>
      <c r="H503" s="17" t="inlineStr">
        <is>
          <t>Nuevo</t>
        </is>
      </c>
      <c r="I503" s="17" t="inlineStr">
        <is>
          <t>IRAM 3517-2:2020 9.6 · anexo E</t>
        </is>
      </c>
      <c r="J503" s="32" t="inlineStr">
        <is>
          <t>Sí</t>
        </is>
      </c>
      <c r="K503" s="17" t="inlineStr">
        <is>
          <t>Astuprint</t>
        </is>
      </c>
      <c r="L503" s="17" t="inlineStr">
        <is>
          <t>Multilabel Argentina S.A.</t>
        </is>
      </c>
    </row>
    <row r="504">
      <c r="A504" s="32" t="inlineStr">
        <is>
          <t>RK-ABC100-B</t>
        </is>
      </c>
      <c r="B504" s="32" t="inlineStr">
        <is>
          <t>FL_MAT_ABC_100kg</t>
        </is>
      </c>
      <c r="C504" s="32" t="inlineStr">
        <is>
          <t>Extintor ABC 100 kg sobre ruedas</t>
        </is>
      </c>
      <c r="D504" s="17" t="inlineStr">
        <is>
          <t>B - Mantenimiento con apertura sin descarga (control interior, PH)</t>
        </is>
      </c>
      <c r="E504" s="17" t="inlineStr">
        <is>
          <t>Etiqueta de servicio del recargador (extintor n°, serie, próxima recarga y PH)</t>
        </is>
      </c>
      <c r="F504" s="32" t="n">
        <v>1</v>
      </c>
      <c r="G504" s="32" t="inlineStr">
        <is>
          <t>u</t>
        </is>
      </c>
      <c r="H504" s="17" t="inlineStr">
        <is>
          <t>Nuevo</t>
        </is>
      </c>
      <c r="I504" s="17" t="inlineStr">
        <is>
          <t>IRAM 3517-2:2020 9.4.14 · relevado Suyai/Firegram</t>
        </is>
      </c>
      <c r="J504" s="32" t="inlineStr">
        <is>
          <t>Sí</t>
        </is>
      </c>
      <c r="K504" s="17" t="inlineStr">
        <is>
          <t>Astuprint</t>
        </is>
      </c>
      <c r="L504" s="17" t="inlineStr">
        <is>
          <t>Multilabel Argentina S.A.</t>
        </is>
      </c>
    </row>
    <row r="505">
      <c r="A505" s="32" t="inlineStr">
        <is>
          <t>RK-ABC100-B</t>
        </is>
      </c>
      <c r="B505" s="32" t="inlineStr">
        <is>
          <t>FL_MAT_ABC_100kg</t>
        </is>
      </c>
      <c r="C505" s="32" t="inlineStr">
        <is>
          <t>Extintor ABC 100 kg sobre ruedas</t>
        </is>
      </c>
      <c r="D505" s="17" t="inlineStr">
        <is>
          <t>B - Mantenimiento con apertura sin descarga (control interior, PH)</t>
        </is>
      </c>
      <c r="E505" s="17" t="inlineStr">
        <is>
          <t>Oblea PBA de recarga Ø46 + estampilla precinto 1" × 200 mm válvula-cuerpo</t>
        </is>
      </c>
      <c r="F505" s="32" t="n">
        <v>1</v>
      </c>
      <c r="G505" s="32" t="inlineStr">
        <is>
          <t>u</t>
        </is>
      </c>
      <c r="H505" s="17" t="inlineStr">
        <is>
          <t>Nuevo (venta en PBA)</t>
        </is>
      </c>
      <c r="I505" s="17" t="inlineStr">
        <is>
          <t>IRAM 3517-2:2020 Res. OPDS 522/07</t>
        </is>
      </c>
      <c r="J505" s="32" t="inlineStr">
        <is>
          <t>Sí</t>
        </is>
      </c>
      <c r="K505" s="17" t="inlineStr">
        <is>
          <t>Ministerio de Ambiente PBA (ex OPDS)</t>
        </is>
      </c>
      <c r="L505" s="17" t="inlineStr">
        <is>
          <t>-</t>
        </is>
      </c>
    </row>
    <row r="506">
      <c r="A506" s="32" t="inlineStr">
        <is>
          <t>RK-ABC100-B</t>
        </is>
      </c>
      <c r="B506" s="32" t="inlineStr">
        <is>
          <t>FL_MAT_ABC_100kg</t>
        </is>
      </c>
      <c r="C506" s="32" t="inlineStr">
        <is>
          <t>Extintor ABC 100 kg sobre ruedas</t>
        </is>
      </c>
      <c r="D506" s="17" t="inlineStr">
        <is>
          <t>B - Mantenimiento con apertura sin descarga (control interior, PH)</t>
        </is>
      </c>
      <c r="E506" s="17" t="inlineStr">
        <is>
          <t>Tarjeta de identificación AGC (módulo papel con QR + etiqueta AGC)</t>
        </is>
      </c>
      <c r="F506" s="32" t="n">
        <v>1</v>
      </c>
      <c r="G506" s="32" t="inlineStr">
        <is>
          <t>u</t>
        </is>
      </c>
      <c r="H506" s="17" t="inlineStr">
        <is>
          <t>Nuevo (destino CABA)</t>
        </is>
      </c>
      <c r="I506" s="17" t="inlineStr">
        <is>
          <t>IRAM 3517-2:2020 Ord. 40.473 art. 6 · Res. AGC 32/15</t>
        </is>
      </c>
      <c r="J506" s="32" t="inlineStr">
        <is>
          <t>Sí</t>
        </is>
      </c>
      <c r="K506" s="17" t="inlineStr">
        <is>
          <t>Agencia Gubernamental de Control (CABA)</t>
        </is>
      </c>
      <c r="L506" s="17" t="inlineStr">
        <is>
          <t>-</t>
        </is>
      </c>
    </row>
    <row r="507">
      <c r="A507" s="32" t="inlineStr">
        <is>
          <t>RK-ABC100-B</t>
        </is>
      </c>
      <c r="B507" s="32" t="inlineStr">
        <is>
          <t>FL_MAT_ABC_100kg</t>
        </is>
      </c>
      <c r="C507" s="32" t="inlineStr">
        <is>
          <t>Extintor ABC 100 kg sobre ruedas</t>
        </is>
      </c>
      <c r="D507" s="17" t="inlineStr">
        <is>
          <t>B - Mantenimiento con apertura sin descarga (control interior, PH)</t>
        </is>
      </c>
      <c r="E507" s="17" t="inlineStr">
        <is>
          <t>Tarjeta de identificación DPS de revisión / recarga</t>
        </is>
      </c>
      <c r="F507" s="32" t="n">
        <v>1</v>
      </c>
      <c r="G507" s="32" t="inlineStr">
        <is>
          <t>u</t>
        </is>
      </c>
      <c r="H507" s="17" t="inlineStr">
        <is>
          <t>Nuevo (PBA)</t>
        </is>
      </c>
      <c r="I507" s="17" t="inlineStr">
        <is>
          <t>IRAM 3517-2:2020 Res. 349/07 art. 21</t>
        </is>
      </c>
      <c r="J507" s="32" t="inlineStr">
        <is>
          <t>Sí</t>
        </is>
      </c>
      <c r="K507" s="17" t="inlineStr">
        <is>
          <t>Ministerio de Ambiente PBA (ex OPDS)</t>
        </is>
      </c>
      <c r="L507" s="17" t="inlineStr">
        <is>
          <t>-</t>
        </is>
      </c>
    </row>
    <row r="508">
      <c r="A508" s="32" t="inlineStr">
        <is>
          <t>RK-ABC100-B</t>
        </is>
      </c>
      <c r="B508" s="32" t="inlineStr">
        <is>
          <t>FL_MAT_ABC_100kg</t>
        </is>
      </c>
      <c r="C508" s="32" t="inlineStr">
        <is>
          <t>Extintor ABC 100 kg sobre ruedas</t>
        </is>
      </c>
      <c r="D508" s="17" t="inlineStr">
        <is>
          <t>B - Mantenimiento con apertura sin descarga (control interior, PH)</t>
        </is>
      </c>
      <c r="E508" s="17" t="inlineStr">
        <is>
          <t>Grabado de la fecha del servicio en el tubo de pesca (lápiz vibratorio; en polvo, marcador indeleble)</t>
        </is>
      </c>
      <c r="F508" s="32" t="n">
        <v>1</v>
      </c>
      <c r="G508" s="32" t="inlineStr">
        <is>
          <t>u</t>
        </is>
      </c>
      <c r="H508" s="17" t="inlineStr">
        <is>
          <t>Proceso</t>
        </is>
      </c>
      <c r="I508" s="17" t="inlineStr">
        <is>
          <t>IRAM 3517-2:2020 Res. 349/07 art. 28</t>
        </is>
      </c>
      <c r="J508" s="32" t="inlineStr">
        <is>
          <t>No</t>
        </is>
      </c>
      <c r="K508" s="17" t="n"/>
      <c r="L508" s="17" t="n"/>
    </row>
    <row r="509">
      <c r="A509" s="32" t="inlineStr">
        <is>
          <t>RK-ABC100-B</t>
        </is>
      </c>
      <c r="B509" s="32" t="inlineStr">
        <is>
          <t>FL_MAT_ABC_100kg</t>
        </is>
      </c>
      <c r="C509" s="32" t="inlineStr">
        <is>
          <t>Extintor ABC 100 kg sobre ruedas</t>
        </is>
      </c>
      <c r="D509" s="17" t="inlineStr">
        <is>
          <t>B - Mantenimiento con apertura sin descarga (control interior, PH)</t>
        </is>
      </c>
      <c r="E509" s="17" t="inlineStr">
        <is>
          <t>Si hubo PH: oblea de vencimiento de PH + «PH» y fecha grabados en el tubo de pesca (CO₂: fecha y logo estampados en la ojiva)</t>
        </is>
      </c>
      <c r="F509" s="32" t="n">
        <v>1</v>
      </c>
      <c r="G509" s="32" t="inlineStr">
        <is>
          <t>u</t>
        </is>
      </c>
      <c r="H509" s="17" t="inlineStr">
        <is>
          <t>Proceso</t>
        </is>
      </c>
      <c r="I509" s="17" t="inlineStr">
        <is>
          <t>IRAM 3517-2:2020 Res. 349/07 art. 29 · IRAM 3517-2</t>
        </is>
      </c>
      <c r="J509" s="32" t="inlineStr">
        <is>
          <t>No</t>
        </is>
      </c>
      <c r="K509" s="17" t="n"/>
      <c r="L509" s="17" t="n"/>
    </row>
    <row r="510">
      <c r="A510" s="37" t="inlineStr">
        <is>
          <t>RK-ABC100-B</t>
        </is>
      </c>
      <c r="B510" s="37" t="inlineStr">
        <is>
          <t>FL_MAT_ABC_100kg</t>
        </is>
      </c>
      <c r="C510" s="37" t="inlineStr">
        <is>
          <t>Extintor ABC 100 kg sobre ruedas</t>
        </is>
      </c>
      <c r="D510" s="18" t="inlineStr">
        <is>
          <t>B - Mantenimiento con apertura sin descarga (control interior, PH)</t>
        </is>
      </c>
      <c r="E510" s="18" t="inlineStr">
        <is>
          <t>Junta tórica de asiento del cuello</t>
        </is>
      </c>
      <c r="F510" s="37" t="n">
        <v>1</v>
      </c>
      <c r="G510" s="37" t="inlineStr">
        <is>
          <t>u</t>
        </is>
      </c>
      <c r="H510" s="18" t="inlineStr">
        <is>
          <t>Nuevo (R: cambio sistemático)</t>
        </is>
      </c>
      <c r="I510" s="18" t="inlineStr"/>
      <c r="J510" s="37" t="inlineStr">
        <is>
          <t>Sí</t>
        </is>
      </c>
      <c r="K510" s="18" t="inlineStr">
        <is>
          <t>Argensold</t>
        </is>
      </c>
      <c r="L510" s="18" t="inlineStr">
        <is>
          <t>Matafuegos Iglesias</t>
        </is>
      </c>
    </row>
    <row r="511">
      <c r="A511" s="32" t="inlineStr">
        <is>
          <t>RK-ABC100-B</t>
        </is>
      </c>
      <c r="B511" s="32" t="inlineStr">
        <is>
          <t>FL_MAT_ABC_100kg</t>
        </is>
      </c>
      <c r="C511" s="32" t="inlineStr">
        <is>
          <t>Extintor ABC 100 kg sobre ruedas</t>
        </is>
      </c>
      <c r="D511" s="17" t="inlineStr">
        <is>
          <t>B - Mantenimiento con apertura sin descarga (control interior, PH)</t>
        </is>
      </c>
      <c r="E511" s="17" t="inlineStr">
        <is>
          <t>Gas impulsor: N₂</t>
        </is>
      </c>
      <c r="F511" s="32" t="n">
        <v>0.5189</v>
      </c>
      <c r="G511" s="32" t="inlineStr">
        <is>
          <t>kg</t>
        </is>
      </c>
      <c r="H511" s="17" t="inlineStr">
        <is>
          <t>Nuevo</t>
        </is>
      </c>
      <c r="I511" s="17" t="inlineStr">
        <is>
          <t>IRAM 3517-2:2020 9.4.9 tabla 2</t>
        </is>
      </c>
      <c r="J511" s="32" t="inlineStr">
        <is>
          <t>Sí</t>
        </is>
      </c>
      <c r="K511" s="17" t="inlineStr">
        <is>
          <t>Air Liquide Argentina - sucursal Piñeyro</t>
        </is>
      </c>
      <c r="L511" s="17" t="inlineStr">
        <is>
          <t>Gogniat</t>
        </is>
      </c>
    </row>
    <row r="512">
      <c r="A512" s="32" t="inlineStr">
        <is>
          <t>RK-ABC100-C</t>
        </is>
      </c>
      <c r="B512" s="32" t="inlineStr">
        <is>
          <t>FL_MAT_ABC_100kg</t>
        </is>
      </c>
      <c r="C512" s="32" t="inlineStr">
        <is>
          <t>Extintor ABC 100 kg sobre ruedas</t>
        </is>
      </c>
      <c r="D512" s="17" t="inlineStr">
        <is>
          <t>C - Cambio obligatorio de polvo (versión anterior de la IRAM 3569)</t>
        </is>
      </c>
      <c r="E512" s="17" t="inlineStr">
        <is>
          <t>Polvo químico seco ABC 90 (Sello IRAM 3569)</t>
        </is>
      </c>
      <c r="F512" s="32" t="n">
        <v>100</v>
      </c>
      <c r="G512" s="32" t="inlineStr">
        <is>
          <t>kg</t>
        </is>
      </c>
      <c r="H512" s="17" t="inlineStr">
        <is>
          <t>Nuevo 100 %; el viejo va a residuos (RC-IR)</t>
        </is>
      </c>
      <c r="I512" s="17" t="inlineStr">
        <is>
          <t>IRAM 3517-2:2020 9.9.4</t>
        </is>
      </c>
      <c r="J512" s="32" t="inlineStr">
        <is>
          <t>Sí</t>
        </is>
      </c>
      <c r="K512" s="17" t="inlineStr">
        <is>
          <t>DEM S.A. (DEMSA)</t>
        </is>
      </c>
      <c r="L512" s="17" t="inlineStr">
        <is>
          <t>Polvex S.R.L. / Sancibrao</t>
        </is>
      </c>
    </row>
    <row r="513">
      <c r="A513" s="32" t="inlineStr">
        <is>
          <t>RK-ABC100-C</t>
        </is>
      </c>
      <c r="B513" s="32" t="inlineStr">
        <is>
          <t>FL_MAT_ABC_100kg</t>
        </is>
      </c>
      <c r="C513" s="32" t="inlineStr">
        <is>
          <t>Extintor ABC 100 kg sobre ruedas</t>
        </is>
      </c>
      <c r="D513" s="17" t="inlineStr">
        <is>
          <t>C - Cambio obligatorio de polvo (versión anterior de la IRAM 3569)</t>
        </is>
      </c>
      <c r="E513" s="17" t="inlineStr">
        <is>
          <t>Precinto plástico numerado, color, con nombre del recargador</t>
        </is>
      </c>
      <c r="F513" s="32" t="n">
        <v>1</v>
      </c>
      <c r="G513" s="32" t="inlineStr">
        <is>
          <t>u</t>
        </is>
      </c>
      <c r="H513" s="17" t="inlineStr">
        <is>
          <t>Nuevo</t>
        </is>
      </c>
      <c r="I513" s="17" t="inlineStr">
        <is>
          <t>IRAM 3517-2:2020 9.4.13</t>
        </is>
      </c>
      <c r="J513" s="32" t="inlineStr">
        <is>
          <t>Sí</t>
        </is>
      </c>
      <c r="K513" s="17" t="inlineStr">
        <is>
          <t>SonFuertes (vía Papelera Damián)</t>
        </is>
      </c>
      <c r="L513" s="17" t="inlineStr">
        <is>
          <t>Precinter S.R.L.</t>
        </is>
      </c>
    </row>
    <row r="514">
      <c r="A514" s="32" t="inlineStr">
        <is>
          <t>RK-ABC100-C</t>
        </is>
      </c>
      <c r="B514" s="32" t="inlineStr">
        <is>
          <t>FL_MAT_ABC_100kg</t>
        </is>
      </c>
      <c r="C514" s="32" t="inlineStr">
        <is>
          <t>Extintor ABC 100 kg sobre ruedas</t>
        </is>
      </c>
      <c r="D514" s="17" t="inlineStr">
        <is>
          <t>C - Cambio obligatorio de polvo (versión anterior de la IRAM 3569)</t>
        </is>
      </c>
      <c r="E514" s="17" t="inlineStr">
        <is>
          <t>Marbete (anillo, color del año)</t>
        </is>
      </c>
      <c r="F514" s="32" t="n">
        <v>1</v>
      </c>
      <c r="G514" s="32" t="inlineStr">
        <is>
          <t>u</t>
        </is>
      </c>
      <c r="H514" s="17" t="inlineStr">
        <is>
          <t>Nuevo</t>
        </is>
      </c>
      <c r="I514" s="17" t="inlineStr">
        <is>
          <t>IRAM 3517-2:2020 9.6 · anexo E</t>
        </is>
      </c>
      <c r="J514" s="32" t="inlineStr">
        <is>
          <t>Sí</t>
        </is>
      </c>
      <c r="K514" s="17" t="inlineStr">
        <is>
          <t>Astuprint</t>
        </is>
      </c>
      <c r="L514" s="17" t="inlineStr">
        <is>
          <t>Multilabel Argentina S.A.</t>
        </is>
      </c>
    </row>
    <row r="515">
      <c r="A515" s="32" t="inlineStr">
        <is>
          <t>RK-ABC100-C</t>
        </is>
      </c>
      <c r="B515" s="32" t="inlineStr">
        <is>
          <t>FL_MAT_ABC_100kg</t>
        </is>
      </c>
      <c r="C515" s="32" t="inlineStr">
        <is>
          <t>Extintor ABC 100 kg sobre ruedas</t>
        </is>
      </c>
      <c r="D515" s="17" t="inlineStr">
        <is>
          <t>C - Cambio obligatorio de polvo (versión anterior de la IRAM 3569)</t>
        </is>
      </c>
      <c r="E515" s="17" t="inlineStr">
        <is>
          <t>Etiqueta de servicio del recargador (extintor n°, serie, próxima recarga y PH)</t>
        </is>
      </c>
      <c r="F515" s="32" t="n">
        <v>1</v>
      </c>
      <c r="G515" s="32" t="inlineStr">
        <is>
          <t>u</t>
        </is>
      </c>
      <c r="H515" s="17" t="inlineStr">
        <is>
          <t>Nuevo</t>
        </is>
      </c>
      <c r="I515" s="17" t="inlineStr">
        <is>
          <t>IRAM 3517-2:2020 9.4.14 · relevado Suyai/Firegram</t>
        </is>
      </c>
      <c r="J515" s="32" t="inlineStr">
        <is>
          <t>Sí</t>
        </is>
      </c>
      <c r="K515" s="17" t="inlineStr">
        <is>
          <t>Astuprint</t>
        </is>
      </c>
      <c r="L515" s="17" t="inlineStr">
        <is>
          <t>Multilabel Argentina S.A.</t>
        </is>
      </c>
    </row>
    <row r="516">
      <c r="A516" s="32" t="inlineStr">
        <is>
          <t>RK-ABC100-C</t>
        </is>
      </c>
      <c r="B516" s="32" t="inlineStr">
        <is>
          <t>FL_MAT_ABC_100kg</t>
        </is>
      </c>
      <c r="C516" s="32" t="inlineStr">
        <is>
          <t>Extintor ABC 100 kg sobre ruedas</t>
        </is>
      </c>
      <c r="D516" s="17" t="inlineStr">
        <is>
          <t>C - Cambio obligatorio de polvo (versión anterior de la IRAM 3569)</t>
        </is>
      </c>
      <c r="E516" s="17" t="inlineStr">
        <is>
          <t>Oblea PBA de recarga Ø46 + estampilla precinto 1" × 200 mm válvula-cuerpo</t>
        </is>
      </c>
      <c r="F516" s="32" t="n">
        <v>1</v>
      </c>
      <c r="G516" s="32" t="inlineStr">
        <is>
          <t>u</t>
        </is>
      </c>
      <c r="H516" s="17" t="inlineStr">
        <is>
          <t>Nuevo (venta en PBA)</t>
        </is>
      </c>
      <c r="I516" s="17" t="inlineStr">
        <is>
          <t>IRAM 3517-2:2020 Res. OPDS 522/07</t>
        </is>
      </c>
      <c r="J516" s="32" t="inlineStr">
        <is>
          <t>Sí</t>
        </is>
      </c>
      <c r="K516" s="17" t="inlineStr">
        <is>
          <t>Ministerio de Ambiente PBA (ex OPDS)</t>
        </is>
      </c>
      <c r="L516" s="17" t="inlineStr">
        <is>
          <t>-</t>
        </is>
      </c>
    </row>
    <row r="517">
      <c r="A517" s="32" t="inlineStr">
        <is>
          <t>RK-ABC100-C</t>
        </is>
      </c>
      <c r="B517" s="32" t="inlineStr">
        <is>
          <t>FL_MAT_ABC_100kg</t>
        </is>
      </c>
      <c r="C517" s="32" t="inlineStr">
        <is>
          <t>Extintor ABC 100 kg sobre ruedas</t>
        </is>
      </c>
      <c r="D517" s="17" t="inlineStr">
        <is>
          <t>C - Cambio obligatorio de polvo (versión anterior de la IRAM 3569)</t>
        </is>
      </c>
      <c r="E517" s="17" t="inlineStr">
        <is>
          <t>Tarjeta de identificación AGC (módulo papel con QR + etiqueta AGC)</t>
        </is>
      </c>
      <c r="F517" s="32" t="n">
        <v>1</v>
      </c>
      <c r="G517" s="32" t="inlineStr">
        <is>
          <t>u</t>
        </is>
      </c>
      <c r="H517" s="17" t="inlineStr">
        <is>
          <t>Nuevo (destino CABA)</t>
        </is>
      </c>
      <c r="I517" s="17" t="inlineStr">
        <is>
          <t>IRAM 3517-2:2020 Ord. 40.473 art. 6 · Res. AGC 32/15</t>
        </is>
      </c>
      <c r="J517" s="32" t="inlineStr">
        <is>
          <t>Sí</t>
        </is>
      </c>
      <c r="K517" s="17" t="inlineStr">
        <is>
          <t>Agencia Gubernamental de Control (CABA)</t>
        </is>
      </c>
      <c r="L517" s="17" t="inlineStr">
        <is>
          <t>-</t>
        </is>
      </c>
    </row>
    <row r="518">
      <c r="A518" s="32" t="inlineStr">
        <is>
          <t>RK-ABC100-C</t>
        </is>
      </c>
      <c r="B518" s="32" t="inlineStr">
        <is>
          <t>FL_MAT_ABC_100kg</t>
        </is>
      </c>
      <c r="C518" s="32" t="inlineStr">
        <is>
          <t>Extintor ABC 100 kg sobre ruedas</t>
        </is>
      </c>
      <c r="D518" s="17" t="inlineStr">
        <is>
          <t>C - Cambio obligatorio de polvo (versión anterior de la IRAM 3569)</t>
        </is>
      </c>
      <c r="E518" s="17" t="inlineStr">
        <is>
          <t>Tarjeta de identificación DPS de revisión / recarga</t>
        </is>
      </c>
      <c r="F518" s="32" t="n">
        <v>1</v>
      </c>
      <c r="G518" s="32" t="inlineStr">
        <is>
          <t>u</t>
        </is>
      </c>
      <c r="H518" s="17" t="inlineStr">
        <is>
          <t>Nuevo (PBA)</t>
        </is>
      </c>
      <c r="I518" s="17" t="inlineStr">
        <is>
          <t>IRAM 3517-2:2020 Res. 349/07 art. 21</t>
        </is>
      </c>
      <c r="J518" s="32" t="inlineStr">
        <is>
          <t>Sí</t>
        </is>
      </c>
      <c r="K518" s="17" t="inlineStr">
        <is>
          <t>Ministerio de Ambiente PBA (ex OPDS)</t>
        </is>
      </c>
      <c r="L518" s="17" t="inlineStr">
        <is>
          <t>-</t>
        </is>
      </c>
    </row>
    <row r="519">
      <c r="A519" s="32" t="inlineStr">
        <is>
          <t>RK-ABC100-C</t>
        </is>
      </c>
      <c r="B519" s="32" t="inlineStr">
        <is>
          <t>FL_MAT_ABC_100kg</t>
        </is>
      </c>
      <c r="C519" s="32" t="inlineStr">
        <is>
          <t>Extintor ABC 100 kg sobre ruedas</t>
        </is>
      </c>
      <c r="D519" s="17" t="inlineStr">
        <is>
          <t>C - Cambio obligatorio de polvo (versión anterior de la IRAM 3569)</t>
        </is>
      </c>
      <c r="E519" s="17" t="inlineStr">
        <is>
          <t>Grabado de la fecha del servicio en el tubo de pesca (lápiz vibratorio; en polvo, marcador indeleble)</t>
        </is>
      </c>
      <c r="F519" s="32" t="n">
        <v>1</v>
      </c>
      <c r="G519" s="32" t="inlineStr">
        <is>
          <t>u</t>
        </is>
      </c>
      <c r="H519" s="17" t="inlineStr">
        <is>
          <t>Proceso</t>
        </is>
      </c>
      <c r="I519" s="17" t="inlineStr">
        <is>
          <t>IRAM 3517-2:2020 Res. 349/07 art. 28</t>
        </is>
      </c>
      <c r="J519" s="32" t="inlineStr">
        <is>
          <t>No</t>
        </is>
      </c>
      <c r="K519" s="17" t="n"/>
      <c r="L519" s="17" t="n"/>
    </row>
    <row r="520">
      <c r="A520" s="32" t="inlineStr">
        <is>
          <t>RK-ABC100-C</t>
        </is>
      </c>
      <c r="B520" s="32" t="inlineStr">
        <is>
          <t>FL_MAT_ABC_100kg</t>
        </is>
      </c>
      <c r="C520" s="32" t="inlineStr">
        <is>
          <t>Extintor ABC 100 kg sobre ruedas</t>
        </is>
      </c>
      <c r="D520" s="17" t="inlineStr">
        <is>
          <t>C - Cambio obligatorio de polvo (versión anterior de la IRAM 3569)</t>
        </is>
      </c>
      <c r="E520" s="17" t="inlineStr">
        <is>
          <t>Si hubo PH: oblea de vencimiento de PH + «PH» y fecha grabados en el tubo de pesca (CO₂: fecha y logo estampados en la ojiva)</t>
        </is>
      </c>
      <c r="F520" s="32" t="n">
        <v>1</v>
      </c>
      <c r="G520" s="32" t="inlineStr">
        <is>
          <t>u</t>
        </is>
      </c>
      <c r="H520" s="17" t="inlineStr">
        <is>
          <t>Proceso</t>
        </is>
      </c>
      <c r="I520" s="17" t="inlineStr">
        <is>
          <t>IRAM 3517-2:2020 Res. 349/07 art. 29 · IRAM 3517-2</t>
        </is>
      </c>
      <c r="J520" s="32" t="inlineStr">
        <is>
          <t>No</t>
        </is>
      </c>
      <c r="K520" s="17" t="n"/>
      <c r="L520" s="17" t="n"/>
    </row>
    <row r="521">
      <c r="A521" s="37" t="inlineStr">
        <is>
          <t>RK-ABC100-C</t>
        </is>
      </c>
      <c r="B521" s="37" t="inlineStr">
        <is>
          <t>FL_MAT_ABC_100kg</t>
        </is>
      </c>
      <c r="C521" s="37" t="inlineStr">
        <is>
          <t>Extintor ABC 100 kg sobre ruedas</t>
        </is>
      </c>
      <c r="D521" s="18" t="inlineStr">
        <is>
          <t>C - Cambio obligatorio de polvo (versión anterior de la IRAM 3569)</t>
        </is>
      </c>
      <c r="E521" s="18" t="inlineStr">
        <is>
          <t>Junta tórica de asiento del cuello</t>
        </is>
      </c>
      <c r="F521" s="37" t="n">
        <v>1</v>
      </c>
      <c r="G521" s="37" t="inlineStr">
        <is>
          <t>u</t>
        </is>
      </c>
      <c r="H521" s="18" t="inlineStr">
        <is>
          <t>Nuevo (R: cambio sistemático)</t>
        </is>
      </c>
      <c r="I521" s="18" t="inlineStr"/>
      <c r="J521" s="37" t="inlineStr">
        <is>
          <t>Sí</t>
        </is>
      </c>
      <c r="K521" s="18" t="inlineStr">
        <is>
          <t>Argensold</t>
        </is>
      </c>
      <c r="L521" s="18" t="inlineStr">
        <is>
          <t>Matafuegos Iglesias</t>
        </is>
      </c>
    </row>
    <row r="522">
      <c r="A522" s="32" t="inlineStr">
        <is>
          <t>RK-ABC100-C</t>
        </is>
      </c>
      <c r="B522" s="32" t="inlineStr">
        <is>
          <t>FL_MAT_ABC_100kg</t>
        </is>
      </c>
      <c r="C522" s="32" t="inlineStr">
        <is>
          <t>Extintor ABC 100 kg sobre ruedas</t>
        </is>
      </c>
      <c r="D522" s="17" t="inlineStr">
        <is>
          <t>C - Cambio obligatorio de polvo (versión anterior de la IRAM 3569)</t>
        </is>
      </c>
      <c r="E522" s="17" t="inlineStr">
        <is>
          <t>Gas impulsor: N₂</t>
        </is>
      </c>
      <c r="F522" s="32" t="n">
        <v>0.5189</v>
      </c>
      <c r="G522" s="32" t="inlineStr">
        <is>
          <t>kg</t>
        </is>
      </c>
      <c r="H522" s="17" t="inlineStr">
        <is>
          <t>Nuevo</t>
        </is>
      </c>
      <c r="I522" s="17" t="inlineStr">
        <is>
          <t>IRAM 3517-2:2020 9.4.9 tabla 2</t>
        </is>
      </c>
      <c r="J522" s="32" t="inlineStr">
        <is>
          <t>Sí</t>
        </is>
      </c>
      <c r="K522" s="17" t="inlineStr">
        <is>
          <t>Air Liquide Argentina - sucursal Piñeyro</t>
        </is>
      </c>
      <c r="L522" s="17" t="inlineStr">
        <is>
          <t>Gogniat</t>
        </is>
      </c>
    </row>
    <row r="523">
      <c r="A523" s="32" t="inlineStr">
        <is>
          <t>RK-ABC100-I</t>
        </is>
      </c>
      <c r="B523" s="32" t="inlineStr">
        <is>
          <t>FL_MAT_ABC_100kg</t>
        </is>
      </c>
      <c r="C523" s="32" t="inlineStr">
        <is>
          <t>Extintor ABC 100 kg sobre ruedas</t>
        </is>
      </c>
      <c r="D523" s="17" t="inlineStr">
        <is>
          <t>Según inspección (consumo estadístico a definir)</t>
        </is>
      </c>
      <c r="E523" s="17" t="inlineStr">
        <is>
          <t>Manómetro / manguera / tobera / kit de válvula</t>
        </is>
      </c>
      <c r="F523" s="32" t="inlineStr">
        <is>
          <t>-</t>
        </is>
      </c>
      <c r="G523" s="32" t="inlineStr">
        <is>
          <t>u</t>
        </is>
      </c>
      <c r="H523" s="17" t="inlineStr">
        <is>
          <t>Recambio sólo si falla</t>
        </is>
      </c>
      <c r="I523" s="17" t="inlineStr">
        <is>
          <t>IRAM 3517-2:2020 9.4.11 (cada manguera vuelve a su extintor)</t>
        </is>
      </c>
      <c r="J523" s="32" t="inlineStr">
        <is>
          <t>Sí</t>
        </is>
      </c>
      <c r="K523" s="17" t="inlineStr">
        <is>
          <t>Polvex S.R.L. / Sancibrao</t>
        </is>
      </c>
      <c r="L523" s="17" t="inlineStr">
        <is>
          <t>Yukon / MatafuegosYa S.R.L.</t>
        </is>
      </c>
    </row>
  </sheetData>
  <autoFilter ref="A9:L523"/>
  <mergeCells count="6">
    <mergeCell ref="A7:I7"/>
    <mergeCell ref="A2:I2"/>
    <mergeCell ref="A5:I5"/>
    <mergeCell ref="A3:I3"/>
    <mergeCell ref="A6:I6"/>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7" customWidth="1" min="1" max="1"/>
    <col width="34" customWidth="1" min="2" max="2"/>
    <col width="40" customWidth="1" min="3" max="3"/>
    <col width="50" customWidth="1" min="4" max="4"/>
    <col width="34" customWidth="1" min="5" max="5"/>
    <col width="14" customWidth="1" min="6" max="6"/>
    <col width="9" customWidth="1" min="7" max="7"/>
    <col width="9" customWidth="1" min="8" max="8"/>
    <col width="9" customWidth="1" min="9" max="9"/>
    <col width="10" customWidth="1" min="10" max="10"/>
    <col width="50" customWidth="1" min="11" max="11"/>
    <col width="10" customWidth="1" min="12" max="12"/>
    <col width="50" customWidth="1" min="13" max="13"/>
  </cols>
  <sheetData>
    <row r="1">
      <c r="A1" s="4" t="inlineStr">
        <is>
          <t>Química de los agentes extintores - datos de entrada (celdas celestes)</t>
        </is>
      </c>
    </row>
    <row r="2">
      <c r="A2" t="inlineStr">
        <is>
          <t>Si cambia la formulación (% de MAP, tipo de bicarbonato, concentración del acetato o del AFFF) cambia la densidad, y con ella el volumen que ocupa la carga, el volumen libre, el N₂ y si el recipiente alcanza. Cambie la densidad acá y mire 09_Carga_N2.</t>
        </is>
      </c>
    </row>
    <row r="4" ht="45" customHeight="1">
      <c r="A4" s="16" t="inlineStr">
        <is>
          <t>Clave</t>
        </is>
      </c>
      <c r="B4" s="16" t="inlineStr">
        <is>
          <t>Agente</t>
        </is>
      </c>
      <c r="C4" s="16" t="inlineStr">
        <is>
          <t>Composición</t>
        </is>
      </c>
      <c r="D4" s="16" t="inlineStr">
        <is>
          <t>Mecanismo de extinción</t>
        </is>
      </c>
      <c r="E4" s="16" t="inlineStr">
        <is>
          <t>¿Saponifica?</t>
        </is>
      </c>
      <c r="F4" s="16" t="inlineStr">
        <is>
          <t>Gas impulsor</t>
        </is>
      </c>
      <c r="G4" s="16" t="inlineStr">
        <is>
          <t>ρ aparente mín (kg/dm³)</t>
        </is>
      </c>
      <c r="H4" s="16" t="inlineStr">
        <is>
          <t>ρ aparente típica (kg/dm³)</t>
        </is>
      </c>
      <c r="I4" s="16" t="inlineStr">
        <is>
          <t>ρ aparente máx (kg/dm³)</t>
        </is>
      </c>
      <c r="J4" s="16" t="inlineStr">
        <is>
          <t>Masa molar gas (kg/mol)</t>
        </is>
      </c>
      <c r="K4" s="16" t="inlineStr">
        <is>
          <t>Fuente ρ aparente</t>
        </is>
      </c>
      <c r="L4" s="16" t="inlineStr">
        <is>
          <t>ρ empacada mín (kg/dm³)</t>
        </is>
      </c>
      <c r="M4" s="16" t="inlineStr">
        <is>
          <t>Fuente ρ empacada</t>
        </is>
      </c>
    </row>
    <row r="5" ht="60" customHeight="1">
      <c r="A5" s="17" t="inlineStr">
        <is>
          <t>ABC</t>
        </is>
      </c>
      <c r="B5" s="17" t="inlineStr">
        <is>
          <t>Polvo ABC (fosfato monoamónico) con Sello IRAM 3569 - DEMSA</t>
        </is>
      </c>
      <c r="C5" s="17" t="inlineStr">
        <is>
          <t>MAP 40-90 % según grado (nominal ± 5 %) + sulfato de amonio 5-55 % + mica, sílice y silicona</t>
        </is>
      </c>
      <c r="D5" s="17" t="inlineStr">
        <is>
          <t>Captura de radicales; en clase A el MAP funde (≈177-190 °C) y cubre las brasas con una capa vítrea: el potencial A depende del grado (licencias IRAM 3523: 5 kg DEM-60 = 6A, DEM-90 = 10A)</t>
        </is>
      </c>
      <c r="E5" s="17" t="inlineStr">
        <is>
          <t>No. Ácido (pH 6-7,5 al 1 % según DEMSA; 4-5 otras fichas): no saponifica, no apto clase K; con BC reacciona (CO₂ + apelmazamiento)</t>
        </is>
      </c>
      <c r="F5" s="17" t="inlineStr">
        <is>
          <t>N₂</t>
        </is>
      </c>
      <c r="G5" s="44" t="n">
        <v>0.85</v>
      </c>
      <c r="H5" s="44" t="n">
        <v>0.9</v>
      </c>
      <c r="I5" s="44" t="n">
        <v>0.98</v>
      </c>
      <c r="J5" s="44" t="n">
        <v>0.028</v>
      </c>
      <c r="K5" s="17" t="inlineStr">
        <is>
          <t>DEMSA HDS ABC: densidad aparente &gt; 0,85 (piso garantizado) · típica 0,90 (ficha IZ; Corponor 0,85-0,98) · IRAM 3569 no fija densidad: exigirla en la orden de compra</t>
        </is>
      </c>
      <c r="L5" s="18" t="n">
        <v>1.1</v>
      </c>
      <c r="M5" s="17" t="inlineStr">
        <is>
          <t>NOM-104-STPS-2001 (México): polvo ABC, densidad empacada ≥ 1,10 g/cm³ (aparente ≥ 0,82). IRAM 3569 no fija densidad: exigir el valor en la OC y verificar con descarga ≥ 85 % (IRAM 3523 4.9.1)</t>
        </is>
      </c>
    </row>
    <row r="6" ht="60" customHeight="1">
      <c r="A6" s="17" t="inlineStr">
        <is>
          <t>BC</t>
        </is>
      </c>
      <c r="B6" s="17" t="inlineStr">
        <is>
          <t>Polvo BC sódico con Sello IRAM 3566 - DEMSA</t>
        </is>
      </c>
      <c r="C6" s="17" t="inlineStr">
        <is>
          <t>NaHCO₃ ≥ 85,5 % (85,5-94,5) + estearatos, sílice, silicona (Púrpura K: KHCO₃ 92 ± 5 %)</t>
        </is>
      </c>
      <c r="D6" s="17" t="inlineStr">
        <is>
          <t>Captura de radicales y descomposición endotérmica (CO₂ + H₂O)</t>
        </is>
      </c>
      <c r="E6" s="17" t="inlineStr">
        <is>
          <t>Leve: alcalino (pH 8-9), saponifica superficialmente aceites; no reemplaza clase K</t>
        </is>
      </c>
      <c r="F6" s="17" t="inlineStr">
        <is>
          <t>N₂</t>
        </is>
      </c>
      <c r="G6" s="44" t="n">
        <v>0.85</v>
      </c>
      <c r="H6" s="44" t="n">
        <v>0.9</v>
      </c>
      <c r="I6" s="44" t="n">
        <v>1</v>
      </c>
      <c r="J6" s="44" t="n">
        <v>0.028</v>
      </c>
      <c r="K6" s="17" t="inlineStr">
        <is>
          <t>DEMSA HDS Púrpura K: &gt; 0,85 · Buckeye estándar 0,90 · Purple K aireado 0,88</t>
        </is>
      </c>
      <c r="L6" s="44" t="n">
        <v>0.9</v>
      </c>
      <c r="M6" s="17" t="inlineStr">
        <is>
          <t>Revendido: lo carga el fabricante (se usa la típica)</t>
        </is>
      </c>
    </row>
    <row r="7" ht="60" customHeight="1">
      <c r="A7" s="17" t="inlineStr">
        <is>
          <t>D</t>
        </is>
      </c>
      <c r="B7" s="17" t="inlineStr">
        <is>
          <t>Polvo clase D (cloruro de sodio) - DEMSA</t>
        </is>
      </c>
      <c r="C7" s="17" t="inlineStr">
        <is>
          <t>NaCl &gt; 90 % + aditivos siliconados</t>
        </is>
      </c>
      <c r="D7" s="17" t="inlineStr">
        <is>
          <t>Forma costra sobre el metal fundido y lo aísla del aire</t>
        </is>
      </c>
      <c r="E7" s="17" t="inlineStr">
        <is>
          <t>No (pH 6-7,5)</t>
        </is>
      </c>
      <c r="F7" s="17" t="inlineStr">
        <is>
          <t>N₂</t>
        </is>
      </c>
      <c r="G7" s="44" t="n">
        <v>0.85</v>
      </c>
      <c r="H7" s="44" t="n">
        <v>1</v>
      </c>
      <c r="I7" s="44" t="n">
        <v>1.2</v>
      </c>
      <c r="J7" s="44" t="n">
        <v>0.028</v>
      </c>
      <c r="K7" s="17" t="inlineStr">
        <is>
          <t>DEMSA HDS polvo D: &gt; 0,85 · típica R (pedir valor garantizado)</t>
        </is>
      </c>
      <c r="L7" s="44" t="n">
        <v>1</v>
      </c>
      <c r="M7" s="17" t="inlineStr">
        <is>
          <t>Revendido: lo carga el fabricante (se usa la típica)</t>
        </is>
      </c>
    </row>
    <row r="8" ht="60" customHeight="1">
      <c r="A8" s="17" t="inlineStr">
        <is>
          <t>HCFC</t>
        </is>
      </c>
      <c r="B8" s="17" t="inlineStr">
        <is>
          <t>HCFC Mezcla B (HCFC-123 base)</t>
        </is>
      </c>
      <c r="C8" s="17" t="inlineStr">
        <is>
          <t>HCFC-123 &gt; 93 % + mezcla de gases &lt; 7 %</t>
        </is>
      </c>
      <c r="D8" s="17" t="inlineStr">
        <is>
          <t>Enfriamiento y captura de radicales; no deja residuo</t>
        </is>
      </c>
      <c r="E8" s="17" t="inlineStr">
        <is>
          <t>No</t>
        </is>
      </c>
      <c r="F8" s="17" t="inlineStr">
        <is>
          <t>Argón</t>
        </is>
      </c>
      <c r="G8" s="44" t="n">
        <v>1.47</v>
      </c>
      <c r="H8" s="44" t="n">
        <v>1.48</v>
      </c>
      <c r="I8" s="44" t="n">
        <v>1.48</v>
      </c>
      <c r="J8" s="44" t="n">
        <v>0.04</v>
      </c>
      <c r="K8" s="17" t="inlineStr">
        <is>
          <t>Halotron I HDS: 1,48 kg/L a 25 °C; 655 kPa a 20 °C (IRAM 3526-1: pedir ficha local)</t>
        </is>
      </c>
      <c r="L8" s="44" t="n">
        <v>1.48</v>
      </c>
      <c r="M8" s="17" t="inlineStr">
        <is>
          <t>Líquido: densidad del agente</t>
        </is>
      </c>
    </row>
    <row r="9" ht="60" customHeight="1">
      <c r="A9" s="17" t="inlineStr">
        <is>
          <t>AGUA</t>
        </is>
      </c>
      <c r="B9" s="17" t="inlineStr">
        <is>
          <t>Agua</t>
        </is>
      </c>
      <c r="C9" s="17" t="inlineStr">
        <is>
          <t>Agua potable</t>
        </is>
      </c>
      <c r="D9" s="17" t="inlineStr">
        <is>
          <t>Enfriamiento</t>
        </is>
      </c>
      <c r="E9" s="17" t="inlineStr">
        <is>
          <t>No</t>
        </is>
      </c>
      <c r="F9" s="17" t="inlineStr">
        <is>
          <t>Aire comprimido</t>
        </is>
      </c>
      <c r="G9" s="44" t="n">
        <v>1</v>
      </c>
      <c r="H9" s="44" t="n">
        <v>1</v>
      </c>
      <c r="I9" s="44" t="n">
        <v>1</v>
      </c>
      <c r="J9" s="44" t="n">
        <v>0.029</v>
      </c>
      <c r="K9" s="17" t="inlineStr">
        <is>
          <t>Catálogo de referencia: aire comprimido</t>
        </is>
      </c>
      <c r="L9" s="44" t="n">
        <v>1</v>
      </c>
      <c r="M9" s="17" t="inlineStr">
        <is>
          <t>Líquido: densidad del agente</t>
        </is>
      </c>
    </row>
    <row r="10" ht="60" customHeight="1">
      <c r="A10" s="17" t="inlineStr">
        <is>
          <t>AFFF</t>
        </is>
      </c>
      <c r="B10" s="17" t="inlineStr">
        <is>
          <t>Agua + espumígeno AFFF 3 % (DEMSA 203 MN, IRAM 3515)</t>
        </is>
      </c>
      <c r="C10" s="17" t="inlineStr">
        <is>
          <t>97 % agua + 3 % concentrado (1,025 g/cm³)</t>
        </is>
      </c>
      <c r="D10" s="17" t="inlineStr">
        <is>
          <t>Película acuosa que sella vapores + enfriamiento</t>
        </is>
      </c>
      <c r="E10" s="17" t="inlineStr">
        <is>
          <t>No</t>
        </is>
      </c>
      <c r="F10" s="17" t="inlineStr">
        <is>
          <t>Aire comprimido</t>
        </is>
      </c>
      <c r="G10" s="44" t="n">
        <v>1</v>
      </c>
      <c r="H10" s="44" t="n">
        <v>1</v>
      </c>
      <c r="I10" s="44" t="n">
        <v>1</v>
      </c>
      <c r="J10" s="44" t="n">
        <v>0.029</v>
      </c>
      <c r="K10" s="17" t="inlineStr">
        <is>
          <t>DEMSA 203 MN: concentrado 1,025 g/cm³ → premezcla ≈ 1,001</t>
        </is>
      </c>
      <c r="L10" s="44" t="n">
        <v>1</v>
      </c>
      <c r="M10" s="17" t="inlineStr">
        <is>
          <t>Líquido: densidad del agente</t>
        </is>
      </c>
    </row>
    <row r="11" ht="60" customHeight="1">
      <c r="A11" s="17" t="inlineStr">
        <is>
          <t>K</t>
        </is>
      </c>
      <c r="B11" s="17" t="inlineStr">
        <is>
          <t>Acetato de potasio - DEMSA Kitchen (IRAM 3697)</t>
        </is>
      </c>
      <c r="C11" s="17" t="inlineStr">
        <is>
          <t>Sales orgánicas de potasio + aditivos en agua</t>
        </is>
      </c>
      <c r="D11" s="17" t="inlineStr">
        <is>
          <t>SAPONIFICACIÓN y enfriamiento: el agente alcalino reacciona con los ácidos grasos del aceite caliente y forma una espuma jabonosa que sella la superficie y evita la reignición</t>
        </is>
      </c>
      <c r="E11" s="17" t="inlineStr">
        <is>
          <t>Sí: mecanismo principal (pH 8,5)</t>
        </is>
      </c>
      <c r="F11" s="17" t="inlineStr">
        <is>
          <t>N₂</t>
        </is>
      </c>
      <c r="G11" s="44" t="n">
        <v>1.3</v>
      </c>
      <c r="H11" s="44" t="n">
        <v>1.3</v>
      </c>
      <c r="I11" s="44" t="n">
        <v>1.3</v>
      </c>
      <c r="J11" s="44" t="n">
        <v>0.028</v>
      </c>
      <c r="K11" s="17" t="inlineStr">
        <is>
          <t>DEMSA Kitchen: 1,300 g/ml a 20 °C, pH 8,5; agente certificado en las licencias IRAM 3694 de Drago y Georgia/Fadesa</t>
        </is>
      </c>
      <c r="L11" s="44" t="n">
        <v>1.3</v>
      </c>
      <c r="M11" s="17" t="inlineStr">
        <is>
          <t>Líquido: densidad del agente</t>
        </is>
      </c>
    </row>
    <row r="13">
      <c r="A13" s="2" t="inlineStr">
        <is>
          <t>Criterio de aceptación del volumen libre: descarga continua ≥ 85 % de la masa de agente en el ensayo de tipo (IRAM 3523 4.9.1). Reemplaza al antiguo «volumen libre mínimo» supuesto.</t>
        </is>
      </c>
    </row>
    <row r="15">
      <c r="A15" s="2" t="inlineStr">
        <is>
          <t>Grado del polvo ABC: la masa la fija la norma; el % de MAP fija el potencial A (licencias IRAM 3523 Drago y Georgia/Fadesa)</t>
        </is>
      </c>
    </row>
    <row r="16" ht="20" customHeight="1">
      <c r="A16" s="16" t="inlineStr">
        <is>
          <t>Grado</t>
        </is>
      </c>
      <c r="B16" s="16" t="inlineStr">
        <is>
          <t>MAP nominal %</t>
        </is>
      </c>
      <c r="C16" s="16" t="inlineStr">
        <is>
          <t>Banda IRAM %</t>
        </is>
      </c>
      <c r="D16" s="16" t="inlineStr">
        <is>
          <t>Relleno</t>
        </is>
      </c>
      <c r="E16" s="16" t="inlineStr">
        <is>
          <t>1 kg</t>
        </is>
      </c>
      <c r="F16" s="16" t="inlineStr">
        <is>
          <t>2,5 kg</t>
        </is>
      </c>
      <c r="G16" s="16" t="inlineStr">
        <is>
          <t>5 kg</t>
        </is>
      </c>
      <c r="H16" s="16" t="inlineStr">
        <is>
          <t>10 kg</t>
        </is>
      </c>
      <c r="I16" s="16" t="inlineStr">
        <is>
          <t>Hoja técnica</t>
        </is>
      </c>
    </row>
    <row r="17">
      <c r="A17" s="5" t="inlineStr">
        <is>
          <t>ABC 40</t>
        </is>
      </c>
      <c r="B17" s="5" t="n">
        <v>40</v>
      </c>
      <c r="C17" s="5" t="inlineStr">
        <is>
          <t>36 - 44</t>
        </is>
      </c>
      <c r="D17" s="5" t="inlineStr">
        <is>
          <t>sulfato de amonio + 3 % aditivos</t>
        </is>
      </c>
      <c r="E17" s="5" t="inlineStr">
        <is>
          <t>sin licencia relevada</t>
        </is>
      </c>
      <c r="F17" s="5" t="inlineStr">
        <is>
          <t>sin licencia relevada</t>
        </is>
      </c>
      <c r="G17" s="5" t="inlineStr">
        <is>
          <t>sin licencia relevada</t>
        </is>
      </c>
      <c r="H17" s="5" t="inlineStr">
        <is>
          <t>sin licencia relevada</t>
        </is>
      </c>
      <c r="I17" s="5" t="inlineStr">
        <is>
          <t>DEMSA ABC 40 (Rev 02, 2019)</t>
        </is>
      </c>
    </row>
    <row r="18">
      <c r="A18" s="5" t="inlineStr">
        <is>
          <t>ABC 55</t>
        </is>
      </c>
      <c r="B18" s="5" t="n">
        <v>55</v>
      </c>
      <c r="C18" s="5" t="inlineStr">
        <is>
          <t>52,25 - 57,75</t>
        </is>
      </c>
      <c r="D18" s="5" t="inlineStr">
        <is>
          <t>sulfato de amonio + 3 % aditivos</t>
        </is>
      </c>
      <c r="E18" s="5" t="inlineStr">
        <is>
          <t>sin licencia relevada</t>
        </is>
      </c>
      <c r="F18" s="5" t="inlineStr">
        <is>
          <t>sin licencia relevada</t>
        </is>
      </c>
      <c r="G18" s="5" t="inlineStr">
        <is>
          <t>sin licencia relevada</t>
        </is>
      </c>
      <c r="H18" s="5" t="inlineStr">
        <is>
          <t>sin licencia relevada</t>
        </is>
      </c>
      <c r="I18" s="5" t="inlineStr">
        <is>
          <t>DEMSA ABC 55 (Rev 02, 2019)</t>
        </is>
      </c>
    </row>
    <row r="19">
      <c r="A19" s="5" t="inlineStr">
        <is>
          <t>ABC 60</t>
        </is>
      </c>
      <c r="B19" s="5" t="n">
        <v>60</v>
      </c>
      <c r="C19" s="5" t="inlineStr">
        <is>
          <t>57 - 63</t>
        </is>
      </c>
      <c r="D19" s="5" t="inlineStr">
        <is>
          <t>sulfato de amonio + 3 % aditivos</t>
        </is>
      </c>
      <c r="E19" s="5" t="inlineStr">
        <is>
          <t>1A-5B:C</t>
        </is>
      </c>
      <c r="F19" s="5" t="inlineStr">
        <is>
          <t>3A-20B:C</t>
        </is>
      </c>
      <c r="G19" s="5" t="inlineStr">
        <is>
          <t>6A-40B:C</t>
        </is>
      </c>
      <c r="H19" s="5" t="inlineStr">
        <is>
          <t>6A-60B:C</t>
        </is>
      </c>
      <c r="I19" s="5" t="inlineStr">
        <is>
          <t>DEMSA catálogo (ABC 60)</t>
        </is>
      </c>
    </row>
    <row r="20">
      <c r="A20" s="5" t="inlineStr">
        <is>
          <t>ABC 75</t>
        </is>
      </c>
      <c r="B20" s="5" t="n">
        <v>75</v>
      </c>
      <c r="C20" s="5" t="inlineStr">
        <is>
          <t>71,25 - 78,75</t>
        </is>
      </c>
      <c r="D20" s="5" t="inlineStr">
        <is>
          <t>sulfato de amonio + 3 % aditivos</t>
        </is>
      </c>
      <c r="E20" s="5" t="inlineStr">
        <is>
          <t>sin licencia relevada</t>
        </is>
      </c>
      <c r="F20" s="5" t="inlineStr">
        <is>
          <t>sin licencia relevada</t>
        </is>
      </c>
      <c r="G20" s="5" t="inlineStr">
        <is>
          <t>sin licencia relevada</t>
        </is>
      </c>
      <c r="H20" s="5" t="inlineStr">
        <is>
          <t>sin licencia relevada</t>
        </is>
      </c>
      <c r="I20" s="5" t="inlineStr">
        <is>
          <t>DEMSA catálogo (ABC 75)</t>
        </is>
      </c>
    </row>
    <row r="21">
      <c r="A21" s="5" t="inlineStr">
        <is>
          <t>ABC 90</t>
        </is>
      </c>
      <c r="B21" s="5" t="n">
        <v>90</v>
      </c>
      <c r="C21" s="5" t="inlineStr">
        <is>
          <t>85,5 - 94,5</t>
        </is>
      </c>
      <c r="D21" s="5" t="inlineStr">
        <is>
          <t>sulfato de amonio + 3 % aditivos</t>
        </is>
      </c>
      <c r="E21" s="5" t="inlineStr">
        <is>
          <t>-</t>
        </is>
      </c>
      <c r="F21" s="5" t="inlineStr">
        <is>
          <t>3A-20B:C</t>
        </is>
      </c>
      <c r="G21" s="5" t="inlineStr">
        <is>
          <t>10A-40B:C</t>
        </is>
      </c>
      <c r="H21" s="5" t="inlineStr">
        <is>
          <t>10A-60B:C</t>
        </is>
      </c>
      <c r="I21" s="5" t="inlineStr">
        <is>
          <t>DEMSA ABC 90 (Rev 02, 2019)</t>
        </is>
      </c>
    </row>
    <row r="23">
      <c r="A23" s="2" t="inlineStr">
        <is>
          <t>Agente y grado adoptado por modelo (DEMSA principal; Polvex / Sancibrao alternativa)</t>
        </is>
      </c>
    </row>
    <row r="24" ht="20" customHeight="1">
      <c r="A24" s="16" t="inlineStr">
        <is>
          <t>Plano</t>
        </is>
      </c>
      <c r="B24" s="16" t="inlineStr">
        <is>
          <t>Agente / grado</t>
        </is>
      </c>
      <c r="C24" s="16" t="inlineStr">
        <is>
          <t>Norma agente</t>
        </is>
      </c>
      <c r="D24" s="16" t="inlineStr">
        <is>
          <t>Gas</t>
        </is>
      </c>
      <c r="E24" s="16" t="inlineStr">
        <is>
          <t>Potencial</t>
        </is>
      </c>
      <c r="F24" s="16" t="inlineStr">
        <is>
          <t>Alternativa</t>
        </is>
      </c>
      <c r="G24" s="16" t="inlineStr"/>
      <c r="H24" s="16" t="inlineStr"/>
      <c r="I24" s="16" t="inlineStr"/>
    </row>
    <row r="25">
      <c r="A25" s="5" t="inlineStr">
        <is>
          <t>FL_MAT_ABC_1kg</t>
        </is>
      </c>
      <c r="B25" s="5" t="inlineStr">
        <is>
          <t>ABC 60</t>
        </is>
      </c>
      <c r="C25" s="5" t="inlineStr">
        <is>
          <t>IRAM 3569</t>
        </is>
      </c>
      <c r="D25" s="5" t="inlineStr">
        <is>
          <t>N₂ seco</t>
        </is>
      </c>
      <c r="E25" s="5" t="inlineStr">
        <is>
          <t>1A-5B:C</t>
        </is>
      </c>
      <c r="F25" s="5" t="inlineStr"/>
    </row>
    <row r="26">
      <c r="A26" s="5" t="inlineStr">
        <is>
          <t>FL_MAT_ABC_2.5kg</t>
        </is>
      </c>
      <c r="B26" s="5" t="inlineStr">
        <is>
          <t>ABC 60</t>
        </is>
      </c>
      <c r="C26" s="5" t="inlineStr">
        <is>
          <t>IRAM 3569</t>
        </is>
      </c>
      <c r="D26" s="5" t="inlineStr">
        <is>
          <t>N₂ seco</t>
        </is>
      </c>
      <c r="E26" s="5" t="inlineStr">
        <is>
          <t>3A-20B:C</t>
        </is>
      </c>
      <c r="F26" s="5" t="inlineStr"/>
    </row>
    <row r="27">
      <c r="A27" s="5" t="inlineStr">
        <is>
          <t>FL_MAT_ABC_5kg</t>
        </is>
      </c>
      <c r="B27" s="5" t="inlineStr">
        <is>
          <t>ABC 60</t>
        </is>
      </c>
      <c r="C27" s="5" t="inlineStr">
        <is>
          <t>IRAM 3569</t>
        </is>
      </c>
      <c r="D27" s="5" t="inlineStr">
        <is>
          <t>N₂ seco</t>
        </is>
      </c>
      <c r="E27" s="5" t="inlineStr">
        <is>
          <t>6A-40B:C</t>
        </is>
      </c>
      <c r="F27" s="5" t="inlineStr">
        <is>
          <t>ABC 90: 10A-40B:C</t>
        </is>
      </c>
    </row>
    <row r="28">
      <c r="A28" s="5" t="inlineStr">
        <is>
          <t>FL_MAT_ABC_10kg</t>
        </is>
      </c>
      <c r="B28" s="5" t="inlineStr">
        <is>
          <t>ABC 60</t>
        </is>
      </c>
      <c r="C28" s="5" t="inlineStr">
        <is>
          <t>IRAM 3569</t>
        </is>
      </c>
      <c r="D28" s="5" t="inlineStr">
        <is>
          <t>N₂ seco</t>
        </is>
      </c>
      <c r="E28" s="5" t="inlineStr">
        <is>
          <t>6A-60B:C</t>
        </is>
      </c>
      <c r="F28" s="5" t="inlineStr">
        <is>
          <t>ABC 90: 10A-60B:C</t>
        </is>
      </c>
    </row>
    <row r="29">
      <c r="A29" s="5" t="inlineStr">
        <is>
          <t>FL_MAT_AGUA_10l</t>
        </is>
      </c>
      <c r="B29" s="5" t="inlineStr">
        <is>
          <t>Agua potable</t>
        </is>
      </c>
      <c r="C29" s="5" t="inlineStr">
        <is>
          <t>-</t>
        </is>
      </c>
      <c r="D29" s="5" t="inlineStr">
        <is>
          <t>Aire comprimido</t>
        </is>
      </c>
      <c r="E29" s="5" t="inlineStr">
        <is>
          <t>1A</t>
        </is>
      </c>
      <c r="F29" s="5" t="inlineStr"/>
    </row>
    <row r="30">
      <c r="A30" s="5" t="inlineStr">
        <is>
          <t>FL_MAT_AFFF_10l</t>
        </is>
      </c>
      <c r="B30" s="5" t="inlineStr">
        <is>
          <t>Premezcla AFFF 3 % (DEMSA 203 MN, IRAM 3515)</t>
        </is>
      </c>
      <c r="C30" s="5" t="inlineStr">
        <is>
          <t>IRAM 3515</t>
        </is>
      </c>
      <c r="D30" s="5" t="inlineStr">
        <is>
          <t>Aire comprimido</t>
        </is>
      </c>
      <c r="E30" s="5" t="inlineStr">
        <is>
          <t>3A-10B</t>
        </is>
      </c>
      <c r="F30" s="5" t="inlineStr"/>
    </row>
    <row r="31">
      <c r="A31" s="5" t="inlineStr">
        <is>
          <t>FL_MAT_AFFF_50l</t>
        </is>
      </c>
      <c r="B31" s="5" t="inlineStr">
        <is>
          <t>Premezcla AFFF 3 % (DEMSA 203 MN, IRAM 3515)</t>
        </is>
      </c>
      <c r="C31" s="5" t="inlineStr">
        <is>
          <t>IRAM 3515</t>
        </is>
      </c>
      <c r="D31" s="5" t="inlineStr">
        <is>
          <t>Aire comprimido</t>
        </is>
      </c>
      <c r="E31" s="5" t="inlineStr">
        <is>
          <t>-</t>
        </is>
      </c>
      <c r="F31" s="5" t="inlineStr"/>
    </row>
    <row r="32">
      <c r="A32" s="5" t="inlineStr">
        <is>
          <t>FL_MAT_BC_5kg</t>
        </is>
      </c>
      <c r="B32" s="5" t="inlineStr">
        <is>
          <t>BC sódico (NaHCO₃ ≥ 85,5 %)</t>
        </is>
      </c>
      <c r="C32" s="5" t="inlineStr">
        <is>
          <t>IRAM 3566</t>
        </is>
      </c>
      <c r="D32" s="5" t="inlineStr">
        <is>
          <t>N₂ seco</t>
        </is>
      </c>
      <c r="E32" s="5" t="inlineStr">
        <is>
          <t>-</t>
        </is>
      </c>
      <c r="F32" s="5" t="inlineStr">
        <is>
          <t>BC Púrpura K (KHCO₃ 92 ± 5 %): 40B</t>
        </is>
      </c>
    </row>
    <row r="33">
      <c r="A33" s="5" t="inlineStr">
        <is>
          <t>FL_MAT_SALESK_6l</t>
        </is>
      </c>
      <c r="B33" s="5" t="inlineStr">
        <is>
          <t>Acetato de potasio (DEMSA Kitchen, 1,300 g/ml, pH 8,5)</t>
        </is>
      </c>
      <c r="C33" s="5" t="inlineStr">
        <is>
          <t>IRAM 3697</t>
        </is>
      </c>
      <c r="D33" s="5" t="inlineStr">
        <is>
          <t>N₂ seco</t>
        </is>
      </c>
      <c r="E33" s="5" t="inlineStr">
        <is>
          <t>1A-K</t>
        </is>
      </c>
      <c r="F33" s="5" t="inlineStr"/>
    </row>
    <row r="34">
      <c r="A34" s="5" t="inlineStr">
        <is>
          <t>FL_MAT_CO2_2kg</t>
        </is>
      </c>
      <c r="B34" s="5" t="inlineStr">
        <is>
          <t>CO₂ ≥ 99,5 %</t>
        </is>
      </c>
      <c r="C34" s="5" t="inlineStr">
        <is>
          <t>IRAM 41170</t>
        </is>
      </c>
      <c r="D34" s="5" t="inlineStr">
        <is>
          <t>autopresurizado</t>
        </is>
      </c>
      <c r="E34" s="5" t="inlineStr">
        <is>
          <t>-</t>
        </is>
      </c>
      <c r="F34" s="5" t="inlineStr"/>
    </row>
    <row r="35">
      <c r="A35" s="5" t="inlineStr">
        <is>
          <t>FL_MAT_CO2_5kg</t>
        </is>
      </c>
      <c r="B35" s="5" t="inlineStr">
        <is>
          <t>CO₂ ≥ 99,5 %</t>
        </is>
      </c>
      <c r="C35" s="5" t="inlineStr">
        <is>
          <t>IRAM 41170</t>
        </is>
      </c>
      <c r="D35" s="5" t="inlineStr">
        <is>
          <t>autopresurizado</t>
        </is>
      </c>
      <c r="E35" s="5" t="inlineStr">
        <is>
          <t>-</t>
        </is>
      </c>
      <c r="F35" s="5" t="inlineStr"/>
    </row>
    <row r="36">
      <c r="A36" s="5" t="inlineStr">
        <is>
          <t>FL_MAT_HCFC-HFC_5kg</t>
        </is>
      </c>
      <c r="B36" s="5" t="inlineStr">
        <is>
          <t>HCFC-123 (Mezcla B) &gt; 93 %</t>
        </is>
      </c>
      <c r="C36" s="5" t="inlineStr">
        <is>
          <t>IRAM 3526-1</t>
        </is>
      </c>
      <c r="D36" s="5" t="inlineStr">
        <is>
          <t>Argón</t>
        </is>
      </c>
      <c r="E36" s="5" t="inlineStr">
        <is>
          <t>-</t>
        </is>
      </c>
      <c r="F36" s="5" t="inlineStr"/>
    </row>
    <row r="37">
      <c r="A37" s="5" t="inlineStr">
        <is>
          <t>FL_MAT_CLASED_9l</t>
        </is>
      </c>
      <c r="B37" s="5" t="inlineStr">
        <is>
          <t>Clase D (NaCl &gt; 90 %)</t>
        </is>
      </c>
      <c r="C37" s="5" t="inlineStr">
        <is>
          <t>sin norma IRAM de agente (DEMSA ISO 9001)</t>
        </is>
      </c>
      <c r="D37" s="5" t="inlineStr">
        <is>
          <t>N₂ seco</t>
        </is>
      </c>
      <c r="E37" s="5" t="inlineStr">
        <is>
          <t>-</t>
        </is>
      </c>
      <c r="F37" s="5" t="inlineStr"/>
    </row>
    <row r="38">
      <c r="A38" s="5" t="inlineStr">
        <is>
          <t>FL_MAT_ABC_25kg</t>
        </is>
      </c>
      <c r="B38" s="5" t="inlineStr">
        <is>
          <t>ABC 90</t>
        </is>
      </c>
      <c r="C38" s="5" t="inlineStr">
        <is>
          <t>IRAM 3569</t>
        </is>
      </c>
      <c r="D38" s="5" t="inlineStr">
        <is>
          <t>N₂ seco</t>
        </is>
      </c>
      <c r="E38" s="5" t="inlineStr">
        <is>
          <t>-</t>
        </is>
      </c>
      <c r="F38" s="5" t="inlineStr"/>
    </row>
    <row r="39">
      <c r="A39" s="5" t="inlineStr">
        <is>
          <t>FL_MAT_ABC_50kg</t>
        </is>
      </c>
      <c r="B39" s="5" t="inlineStr">
        <is>
          <t>ABC 90</t>
        </is>
      </c>
      <c r="C39" s="5" t="inlineStr">
        <is>
          <t>IRAM 3569</t>
        </is>
      </c>
      <c r="D39" s="5" t="inlineStr">
        <is>
          <t>N₂ seco</t>
        </is>
      </c>
      <c r="E39" s="5" t="inlineStr">
        <is>
          <t>-</t>
        </is>
      </c>
      <c r="F39" s="5" t="inlineStr"/>
    </row>
    <row r="40">
      <c r="A40" s="5" t="inlineStr">
        <is>
          <t>FL_MAT_ABC_70kg</t>
        </is>
      </c>
      <c r="B40" s="5" t="inlineStr">
        <is>
          <t>ABC 90</t>
        </is>
      </c>
      <c r="C40" s="5" t="inlineStr">
        <is>
          <t>IRAM 3569</t>
        </is>
      </c>
      <c r="D40" s="5" t="inlineStr">
        <is>
          <t>N₂ seco</t>
        </is>
      </c>
      <c r="E40" s="5" t="inlineStr">
        <is>
          <t>-</t>
        </is>
      </c>
      <c r="F40" s="5" t="inlineStr"/>
    </row>
    <row r="41">
      <c r="A41" s="5" t="inlineStr">
        <is>
          <t>FL_MAT_ABC_100kg</t>
        </is>
      </c>
      <c r="B41" s="5" t="inlineStr">
        <is>
          <t>ABC 90</t>
        </is>
      </c>
      <c r="C41" s="5" t="inlineStr">
        <is>
          <t>IRAM 3569</t>
        </is>
      </c>
      <c r="D41" s="5" t="inlineStr">
        <is>
          <t>N₂ seco</t>
        </is>
      </c>
      <c r="E41" s="5" t="inlineStr">
        <is>
          <t>-</t>
        </is>
      </c>
      <c r="F41"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4"/>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0" customWidth="1" min="1" max="1"/>
    <col width="7" customWidth="1" min="2" max="2"/>
    <col width="9" customWidth="1" min="3" max="3"/>
    <col width="5" customWidth="1" min="4" max="4"/>
    <col width="11" customWidth="1" min="5" max="5"/>
    <col width="9" customWidth="1" min="6" max="6"/>
    <col width="7" customWidth="1" min="7" max="7"/>
    <col width="13" customWidth="1" min="8" max="8"/>
    <col width="9" customWidth="1" min="9" max="9"/>
    <col width="9" customWidth="1" min="10" max="10"/>
    <col width="10" customWidth="1" min="11" max="11"/>
    <col width="9" customWidth="1" min="12" max="12"/>
    <col width="8" customWidth="1" min="13" max="13"/>
    <col width="9" customWidth="1" min="14" max="14"/>
    <col width="12" customWidth="1" min="15" max="15"/>
    <col width="18" customWidth="1" min="16" max="16"/>
    <col width="60" customWidth="1" min="17" max="17"/>
  </cols>
  <sheetData>
    <row r="1">
      <c r="A1" s="4" t="inlineStr">
        <is>
          <t>Carga de agente y gas impulsor por extintor (fórmulas ligadas a 08_Quimica_Agentes) - la capacidad es la MASA de agente (IRAM 3523 2.2); el gas es la masa que da Ps a 20 °C en el volumen libre</t>
        </is>
      </c>
    </row>
    <row r="2">
      <c r="A2" t="inlineStr">
        <is>
          <t>• Carga: nominal con la tolerancia de IRAM 3517-2:2020 tabla 3 / IRAM 3523 tabla II; si la tolerancia es sólo positiva se carga al centro de la banda.</t>
        </is>
      </c>
    </row>
    <row r="3">
      <c r="A3" t="inlineStr">
        <is>
          <t>• Volumen que ocupa el polvo en servicio = masa / densidad EMPACADA (asentada después del vibrado de la carga). ABC: ≥ 1,10 kg/dm³ (NOM-104-STPS-2001; IRAM 3569 no la fija) - valor ESTIMADO (amarillo): exigirlo en la OC y confirmar con descarga ≥ 85 % (IRAM 3523 4.9.1).</t>
        </is>
      </c>
    </row>
    <row r="4">
      <c r="A4" t="inlineStr">
        <is>
          <t>• Llenado: con la densidad aparente mínima (polvo suelto) se controla si el polvo entra sin vibrar; si no, la carga T01 debe vibrar el recipiente.</t>
        </is>
      </c>
    </row>
    <row r="5">
      <c r="A5" t="inlineStr">
        <is>
          <t>• Gas: m = (Ps + 0,101 MPa) × V libre / (8,314 × 293,15 K) × M. N₂ seco en polvos, argón en HCFC, aire comprimido en agua, AFFF y acetato (IRAM 3517-2 tabla 2).</t>
        </is>
      </c>
    </row>
    <row r="7" ht="45" customHeight="1">
      <c r="A7" s="16" t="inlineStr">
        <is>
          <t>Plano</t>
        </is>
      </c>
      <c r="B7" s="16" t="inlineStr">
        <is>
          <t>Clave agente</t>
        </is>
      </c>
      <c r="C7" s="16" t="inlineStr">
        <is>
          <t>Carga objetivo</t>
        </is>
      </c>
      <c r="D7" s="16" t="inlineStr">
        <is>
          <t>UM</t>
        </is>
      </c>
      <c r="E7" s="16" t="inlineStr">
        <is>
          <t>Tolerancia</t>
        </is>
      </c>
      <c r="F7" s="16" t="inlineStr">
        <is>
          <t>V recipiente (dm³)</t>
        </is>
      </c>
      <c r="G7" s="16" t="inlineStr">
        <is>
          <t>Ps (MPa)</t>
        </is>
      </c>
      <c r="H7" s="16" t="inlineStr">
        <is>
          <t>Gas</t>
        </is>
      </c>
      <c r="I7" s="16" t="inlineStr">
        <is>
          <t>ρ aparente mín (suelta)</t>
        </is>
      </c>
      <c r="J7" s="16" t="inlineStr">
        <is>
          <t>ρ empacada mín (asentada)</t>
        </is>
      </c>
      <c r="K7" s="16" t="inlineStr">
        <is>
          <t>V agente asentado (dm³)</t>
        </is>
      </c>
      <c r="L7" s="16" t="inlineStr">
        <is>
          <t>V libre (dm³)</t>
        </is>
      </c>
      <c r="M7" s="16" t="inlineStr">
        <is>
          <t>V libre (%)</t>
        </is>
      </c>
      <c r="N7" s="16" t="inlineStr">
        <is>
          <t>Gas impulsor (g)</t>
        </is>
      </c>
      <c r="O7" s="16" t="inlineStr">
        <is>
          <t>V agente suelto con ρ aparente mín (dm³)</t>
        </is>
      </c>
      <c r="P7" s="16" t="inlineStr">
        <is>
          <t>Control</t>
        </is>
      </c>
      <c r="Q7" s="16" t="inlineStr">
        <is>
          <t>Observaciones</t>
        </is>
      </c>
    </row>
    <row r="8">
      <c r="A8" s="5" t="inlineStr">
        <is>
          <t>FL_MAT_ABC_1kg</t>
        </is>
      </c>
      <c r="B8" s="5" t="inlineStr">
        <is>
          <t>ABC</t>
        </is>
      </c>
      <c r="C8" s="5" t="n">
        <v>1.05</v>
      </c>
      <c r="D8" s="5" t="inlineStr">
        <is>
          <t>kg</t>
        </is>
      </c>
      <c r="E8" s="5" t="inlineStr">
        <is>
          <t>0 / +100 g</t>
        </is>
      </c>
      <c r="F8" s="5" t="n">
        <v>1.18</v>
      </c>
      <c r="G8" s="5" t="n">
        <v>1.4</v>
      </c>
      <c r="H8" s="5" t="inlineStr">
        <is>
          <t>N₂</t>
        </is>
      </c>
      <c r="I8" s="20">
        <f>'08_Quimica_Agentes'!$G$5</f>
        <v/>
      </c>
      <c r="J8" s="45">
        <f>'08_Quimica_Agentes'!$L$5</f>
        <v/>
      </c>
      <c r="K8" s="45">
        <f>C8/J8</f>
        <v/>
      </c>
      <c r="L8" s="45">
        <f>F8-K8</f>
        <v/>
      </c>
      <c r="M8" s="46">
        <f>L8/F8</f>
        <v/>
      </c>
      <c r="N8" s="45">
        <f>(G8+0.101)*1000000*MAX(0,L8)/1000/(8.314*293.15)*'08_Quimica_Agentes'!$J$5*1000</f>
        <v/>
      </c>
      <c r="O8" s="20">
        <f>C8/I8</f>
        <v/>
      </c>
      <c r="P8" s="5">
        <f>IF(L8&lt;0,"NO ENTRA",IF(O8&gt;F8,"VIBRAR EN EL LLENADO","OK"))</f>
        <v/>
      </c>
      <c r="Q8" s="5" t="inlineStr">
        <is>
          <t>ρ empacada estimada (NOM-104): confirmar con descarga ≥ 85 % en el ensayo de tipo</t>
        </is>
      </c>
    </row>
    <row r="9">
      <c r="A9" s="5" t="inlineStr">
        <is>
          <t>FL_MAT_ABC_2.5kg</t>
        </is>
      </c>
      <c r="B9" s="5" t="inlineStr">
        <is>
          <t>ABC</t>
        </is>
      </c>
      <c r="C9" s="5" t="n">
        <v>2.55</v>
      </c>
      <c r="D9" s="5" t="inlineStr">
        <is>
          <t>kg</t>
        </is>
      </c>
      <c r="E9" s="5" t="inlineStr">
        <is>
          <t>0 / +100 g</t>
        </is>
      </c>
      <c r="F9" s="5" t="n">
        <v>3.5</v>
      </c>
      <c r="G9" s="5" t="n">
        <v>1.4</v>
      </c>
      <c r="H9" s="5" t="inlineStr">
        <is>
          <t>N₂</t>
        </is>
      </c>
      <c r="I9" s="20">
        <f>'08_Quimica_Agentes'!$G$5</f>
        <v/>
      </c>
      <c r="J9" s="45">
        <f>'08_Quimica_Agentes'!$L$5</f>
        <v/>
      </c>
      <c r="K9" s="45">
        <f>C9/J9</f>
        <v/>
      </c>
      <c r="L9" s="45">
        <f>F9-K9</f>
        <v/>
      </c>
      <c r="M9" s="46">
        <f>L9/F9</f>
        <v/>
      </c>
      <c r="N9" s="45">
        <f>(G9+0.101)*1000000*MAX(0,L9)/1000/(8.314*293.15)*'08_Quimica_Agentes'!$J$5*1000</f>
        <v/>
      </c>
      <c r="O9" s="20">
        <f>C9/I9</f>
        <v/>
      </c>
      <c r="P9" s="5">
        <f>IF(L9&lt;0,"NO ENTRA",IF(O9&gt;F9,"VIBRAR EN EL LLENADO","OK"))</f>
        <v/>
      </c>
      <c r="Q9" s="5" t="inlineStr">
        <is>
          <t>ρ empacada estimada (NOM-104): confirmar con descarga ≥ 85 % en el ensayo de tipo</t>
        </is>
      </c>
    </row>
    <row r="10">
      <c r="A10" s="5" t="inlineStr">
        <is>
          <t>FL_MAT_ABC_5kg</t>
        </is>
      </c>
      <c r="B10" s="5" t="inlineStr">
        <is>
          <t>ABC</t>
        </is>
      </c>
      <c r="C10" s="5" t="n">
        <v>5.15</v>
      </c>
      <c r="D10" s="5" t="inlineStr">
        <is>
          <t>kg</t>
        </is>
      </c>
      <c r="E10" s="5" t="inlineStr">
        <is>
          <t>0 / +300 g</t>
        </is>
      </c>
      <c r="F10" s="5" t="n">
        <v>6</v>
      </c>
      <c r="G10" s="5" t="n">
        <v>1.4</v>
      </c>
      <c r="H10" s="5" t="inlineStr">
        <is>
          <t>N₂</t>
        </is>
      </c>
      <c r="I10" s="20">
        <f>'08_Quimica_Agentes'!$G$5</f>
        <v/>
      </c>
      <c r="J10" s="45">
        <f>'08_Quimica_Agentes'!$L$5</f>
        <v/>
      </c>
      <c r="K10" s="45">
        <f>C10/J10</f>
        <v/>
      </c>
      <c r="L10" s="45">
        <f>F10-K10</f>
        <v/>
      </c>
      <c r="M10" s="46">
        <f>L10/F10</f>
        <v/>
      </c>
      <c r="N10" s="45">
        <f>(G10+0.101)*1000000*MAX(0,L10)/1000/(8.314*293.15)*'08_Quimica_Agentes'!$J$5*1000</f>
        <v/>
      </c>
      <c r="O10" s="20">
        <f>C10/I10</f>
        <v/>
      </c>
      <c r="P10" s="5">
        <f>IF(L10&lt;0,"NO ENTRA",IF(O10&gt;F10,"VIBRAR EN EL LLENADO","OK"))</f>
        <v/>
      </c>
      <c r="Q10" s="5" t="inlineStr">
        <is>
          <t>ρ empacada estimada (NOM-104): confirmar con descarga ≥ 85 % en el ensayo de tipo</t>
        </is>
      </c>
    </row>
    <row r="11">
      <c r="A11" s="5" t="inlineStr">
        <is>
          <t>FL_MAT_ABC_10kg</t>
        </is>
      </c>
      <c r="B11" s="5" t="inlineStr">
        <is>
          <t>ABC</t>
        </is>
      </c>
      <c r="C11" s="5" t="n">
        <v>10.15</v>
      </c>
      <c r="D11" s="5" t="inlineStr">
        <is>
          <t>kg</t>
        </is>
      </c>
      <c r="E11" s="5" t="inlineStr">
        <is>
          <t>0 / +300 g</t>
        </is>
      </c>
      <c r="F11" s="5" t="n">
        <v>12.5</v>
      </c>
      <c r="G11" s="5" t="n">
        <v>1.4</v>
      </c>
      <c r="H11" s="5" t="inlineStr">
        <is>
          <t>N₂</t>
        </is>
      </c>
      <c r="I11" s="20">
        <f>'08_Quimica_Agentes'!$G$5</f>
        <v/>
      </c>
      <c r="J11" s="45">
        <f>'08_Quimica_Agentes'!$L$5</f>
        <v/>
      </c>
      <c r="K11" s="45">
        <f>C11/J11</f>
        <v/>
      </c>
      <c r="L11" s="45">
        <f>F11-K11</f>
        <v/>
      </c>
      <c r="M11" s="46">
        <f>L11/F11</f>
        <v/>
      </c>
      <c r="N11" s="45">
        <f>(G11+0.101)*1000000*MAX(0,L11)/1000/(8.314*293.15)*'08_Quimica_Agentes'!$J$5*1000</f>
        <v/>
      </c>
      <c r="O11" s="20">
        <f>C11/I11</f>
        <v/>
      </c>
      <c r="P11" s="5">
        <f>IF(L11&lt;0,"NO ENTRA",IF(O11&gt;F11,"VIBRAR EN EL LLENADO","OK"))</f>
        <v/>
      </c>
      <c r="Q11" s="5" t="inlineStr">
        <is>
          <t>ρ empacada estimada (NOM-104): confirmar con descarga ≥ 85 % en el ensayo de tipo</t>
        </is>
      </c>
    </row>
    <row r="12">
      <c r="A12" s="5" t="inlineStr">
        <is>
          <t>FL_MAT_AGUA_10l</t>
        </is>
      </c>
      <c r="B12" s="5" t="inlineStr">
        <is>
          <t>AGUA</t>
        </is>
      </c>
      <c r="C12" s="5" t="n">
        <v>10</v>
      </c>
      <c r="D12" s="5" t="inlineStr">
        <is>
          <t>L</t>
        </is>
      </c>
      <c r="E12" s="5" t="inlineStr">
        <is>
          <t>± 3 %</t>
        </is>
      </c>
      <c r="F12" s="5" t="n">
        <v>13.98</v>
      </c>
      <c r="G12" s="5" t="n">
        <v>0.8</v>
      </c>
      <c r="H12" s="5" t="inlineStr">
        <is>
          <t>Aire comprimido</t>
        </is>
      </c>
      <c r="I12" s="20">
        <f>'08_Quimica_Agentes'!$G$9</f>
        <v/>
      </c>
      <c r="J12" s="20">
        <f>'08_Quimica_Agentes'!$L$9</f>
        <v/>
      </c>
      <c r="K12" s="20">
        <f>C12</f>
        <v/>
      </c>
      <c r="L12" s="20">
        <f>F12-K12</f>
        <v/>
      </c>
      <c r="M12" s="21">
        <f>L12/F12</f>
        <v/>
      </c>
      <c r="N12" s="20">
        <f>(G12+0.101)*1000000*MAX(0,L12)/1000/(8.314*293.15)*'08_Quimica_Agentes'!$J$9*1000</f>
        <v/>
      </c>
      <c r="O12" s="20">
        <f>C12</f>
        <v/>
      </c>
      <c r="P12" s="5">
        <f>IF(L12&lt;0,"NO ENTRA",IF(O12&gt;F12,"VIBRAR EN EL LLENADO","OK"))</f>
        <v/>
      </c>
      <c r="Q12" s="5" t="inlineStr">
        <is>
          <t>Revendido: carga y gas del fabricante (referencia)</t>
        </is>
      </c>
    </row>
    <row r="13">
      <c r="A13" s="5" t="inlineStr">
        <is>
          <t>FL_MAT_AFFF_10l</t>
        </is>
      </c>
      <c r="B13" s="5" t="inlineStr">
        <is>
          <t>AFFF</t>
        </is>
      </c>
      <c r="C13" s="5" t="n">
        <v>10</v>
      </c>
      <c r="D13" s="5" t="inlineStr">
        <is>
          <t>L</t>
        </is>
      </c>
      <c r="E13" s="5" t="inlineStr">
        <is>
          <t>± 3 %</t>
        </is>
      </c>
      <c r="F13" s="5" t="n">
        <v>13.98</v>
      </c>
      <c r="G13" s="5" t="n">
        <v>0.8</v>
      </c>
      <c r="H13" s="5" t="inlineStr">
        <is>
          <t>Aire comprimido</t>
        </is>
      </c>
      <c r="I13" s="20">
        <f>'08_Quimica_Agentes'!$G$10</f>
        <v/>
      </c>
      <c r="J13" s="20">
        <f>'08_Quimica_Agentes'!$L$10</f>
        <v/>
      </c>
      <c r="K13" s="20">
        <f>C13</f>
        <v/>
      </c>
      <c r="L13" s="20">
        <f>F13-K13</f>
        <v/>
      </c>
      <c r="M13" s="21">
        <f>L13/F13</f>
        <v/>
      </c>
      <c r="N13" s="20">
        <f>(G13+0.101)*1000000*MAX(0,L13)/1000/(8.314*293.15)*'08_Quimica_Agentes'!$J$10*1000</f>
        <v/>
      </c>
      <c r="O13" s="20">
        <f>C13</f>
        <v/>
      </c>
      <c r="P13" s="5">
        <f>IF(L13&lt;0,"NO ENTRA",IF(O13&gt;F13,"VIBRAR EN EL LLENADO","OK"))</f>
        <v/>
      </c>
      <c r="Q13" s="5" t="inlineStr">
        <is>
          <t>Revendido: carga y gas del fabricante (referencia)</t>
        </is>
      </c>
    </row>
    <row r="14">
      <c r="A14" s="5" t="inlineStr">
        <is>
          <t>FL_MAT_AFFF_50l</t>
        </is>
      </c>
      <c r="B14" s="5" t="inlineStr">
        <is>
          <t>AFFF</t>
        </is>
      </c>
      <c r="C14" s="5" t="n">
        <v>50</v>
      </c>
      <c r="D14" s="5" t="inlineStr">
        <is>
          <t>L</t>
        </is>
      </c>
      <c r="E14" s="5" t="inlineStr">
        <is>
          <t>± 3 %</t>
        </is>
      </c>
      <c r="F14" s="5" t="n">
        <v>61.8</v>
      </c>
      <c r="G14" s="5" t="n">
        <v>0.8</v>
      </c>
      <c r="H14" s="5" t="inlineStr">
        <is>
          <t>Aire comprimido</t>
        </is>
      </c>
      <c r="I14" s="20">
        <f>'08_Quimica_Agentes'!$G$10</f>
        <v/>
      </c>
      <c r="J14" s="20">
        <f>'08_Quimica_Agentes'!$L$10</f>
        <v/>
      </c>
      <c r="K14" s="20">
        <f>C14</f>
        <v/>
      </c>
      <c r="L14" s="20">
        <f>F14-K14</f>
        <v/>
      </c>
      <c r="M14" s="21">
        <f>L14/F14</f>
        <v/>
      </c>
      <c r="N14" s="20">
        <f>(G14+0.101)*1000000*MAX(0,L14)/1000/(8.314*293.15)*'08_Quimica_Agentes'!$J$10*1000</f>
        <v/>
      </c>
      <c r="O14" s="20">
        <f>C14</f>
        <v/>
      </c>
      <c r="P14" s="5">
        <f>IF(L14&lt;0,"NO ENTRA",IF(O14&gt;F14,"VIBRAR EN EL LLENADO","OK"))</f>
        <v/>
      </c>
      <c r="Q14" s="5" t="inlineStr">
        <is>
          <t>Revendido: carga y gas del fabricante (referencia)</t>
        </is>
      </c>
    </row>
    <row r="15">
      <c r="A15" s="5" t="inlineStr">
        <is>
          <t>FL_MAT_BC_5kg</t>
        </is>
      </c>
      <c r="B15" s="5" t="inlineStr">
        <is>
          <t>BC</t>
        </is>
      </c>
      <c r="C15" s="5" t="n">
        <v>5.15</v>
      </c>
      <c r="D15" s="5" t="inlineStr">
        <is>
          <t>kg</t>
        </is>
      </c>
      <c r="E15" s="5" t="inlineStr">
        <is>
          <t>0 / +300 g</t>
        </is>
      </c>
      <c r="F15" s="5" t="n">
        <v>6</v>
      </c>
      <c r="G15" s="5" t="n">
        <v>1.4</v>
      </c>
      <c r="H15" s="5" t="inlineStr">
        <is>
          <t>N₂</t>
        </is>
      </c>
      <c r="I15" s="20">
        <f>'08_Quimica_Agentes'!$G$6</f>
        <v/>
      </c>
      <c r="J15" s="20">
        <f>'08_Quimica_Agentes'!$L$6</f>
        <v/>
      </c>
      <c r="K15" s="20">
        <f>C15/J15</f>
        <v/>
      </c>
      <c r="L15" s="20">
        <f>F15-K15</f>
        <v/>
      </c>
      <c r="M15" s="21">
        <f>L15/F15</f>
        <v/>
      </c>
      <c r="N15" s="20">
        <f>(G15+0.101)*1000000*MAX(0,L15)/1000/(8.314*293.15)*'08_Quimica_Agentes'!$J$6*1000</f>
        <v/>
      </c>
      <c r="O15" s="20">
        <f>C15/I15</f>
        <v/>
      </c>
      <c r="P15" s="5">
        <f>IF(L15&lt;0,"NO ENTRA",IF(O15&gt;F15,"VIBRAR EN EL LLENADO","OK"))</f>
        <v/>
      </c>
      <c r="Q15" s="5" t="inlineStr">
        <is>
          <t>Revendido: carga y gas del fabricante (referencia)</t>
        </is>
      </c>
    </row>
    <row r="16">
      <c r="A16" s="5" t="inlineStr">
        <is>
          <t>FL_MAT_SALESK_6l</t>
        </is>
      </c>
      <c r="B16" s="5" t="inlineStr">
        <is>
          <t>K</t>
        </is>
      </c>
      <c r="C16" s="5" t="n">
        <v>6.09</v>
      </c>
      <c r="D16" s="5" t="inlineStr">
        <is>
          <t>L</t>
        </is>
      </c>
      <c r="E16" s="5" t="inlineStr">
        <is>
          <t>0 / +3 %</t>
        </is>
      </c>
      <c r="F16" s="5" t="n">
        <v>8.960000000000001</v>
      </c>
      <c r="G16" s="5" t="n">
        <v>0.8</v>
      </c>
      <c r="H16" s="5" t="inlineStr">
        <is>
          <t>N₂</t>
        </is>
      </c>
      <c r="I16" s="20">
        <f>'08_Quimica_Agentes'!$G$11</f>
        <v/>
      </c>
      <c r="J16" s="20">
        <f>'08_Quimica_Agentes'!$L$11</f>
        <v/>
      </c>
      <c r="K16" s="20">
        <f>C16</f>
        <v/>
      </c>
      <c r="L16" s="20">
        <f>F16-K16</f>
        <v/>
      </c>
      <c r="M16" s="21">
        <f>L16/F16</f>
        <v/>
      </c>
      <c r="N16" s="20">
        <f>(G16+0.101)*1000000*MAX(0,L16)/1000/(8.314*293.15)*'08_Quimica_Agentes'!$J$11*1000</f>
        <v/>
      </c>
      <c r="O16" s="20">
        <f>C16</f>
        <v/>
      </c>
      <c r="P16" s="5">
        <f>IF(L16&lt;0,"NO ENTRA",IF(O16&gt;F16,"VIBRAR EN EL LLENADO","OK"))</f>
        <v/>
      </c>
      <c r="Q16" s="5" t="inlineStr">
        <is>
          <t>Revendido: carga y gas del fabricante (referencia)</t>
        </is>
      </c>
    </row>
    <row r="17">
      <c r="A17" s="5" t="inlineStr">
        <is>
          <t>FL_MAT_CO2_2kg</t>
        </is>
      </c>
      <c r="B17" s="5" t="inlineStr">
        <is>
          <t>CO2</t>
        </is>
      </c>
      <c r="C17" s="5" t="n">
        <v>2</v>
      </c>
      <c r="D17" s="5" t="inlineStr">
        <is>
          <t>kg</t>
        </is>
      </c>
      <c r="E17" s="5" t="inlineStr">
        <is>
          <t>0 / -5 %</t>
        </is>
      </c>
      <c r="F17" s="5" t="n">
        <v>2.96</v>
      </c>
      <c r="G17" s="5" t="n">
        <v>15</v>
      </c>
      <c r="H17" s="5" t="inlineStr">
        <is>
          <t>- (autopresurizado)</t>
        </is>
      </c>
      <c r="I17" s="20" t="n"/>
      <c r="J17" s="20" t="n"/>
      <c r="K17" s="20" t="n"/>
      <c r="L17" s="20" t="n"/>
      <c r="M17" s="21" t="n"/>
      <c r="N17" s="20" t="n"/>
      <c r="O17" s="20" t="n"/>
      <c r="P17" s="5" t="inlineStr">
        <is>
          <t>OK</t>
        </is>
      </c>
      <c r="Q17" s="5" t="inlineStr">
        <is>
          <t>Grado de llenado 0,676 kg/dm³ (máx. 0,75 kg/dm³, IRAM 2533 / ADR P200)</t>
        </is>
      </c>
    </row>
    <row r="18">
      <c r="A18" s="5" t="inlineStr">
        <is>
          <t>FL_MAT_CO2_5kg</t>
        </is>
      </c>
      <c r="B18" s="5" t="inlineStr">
        <is>
          <t>CO2</t>
        </is>
      </c>
      <c r="C18" s="5" t="n">
        <v>5</v>
      </c>
      <c r="D18" s="5" t="inlineStr">
        <is>
          <t>kg</t>
        </is>
      </c>
      <c r="E18" s="5" t="inlineStr">
        <is>
          <t>0 / -5 %</t>
        </is>
      </c>
      <c r="F18" s="5" t="n">
        <v>7.92</v>
      </c>
      <c r="G18" s="5" t="n">
        <v>15</v>
      </c>
      <c r="H18" s="5" t="inlineStr">
        <is>
          <t>- (autopresurizado)</t>
        </is>
      </c>
      <c r="I18" s="20" t="n"/>
      <c r="J18" s="20" t="n"/>
      <c r="K18" s="20" t="n"/>
      <c r="L18" s="20" t="n"/>
      <c r="M18" s="21" t="n"/>
      <c r="N18" s="20" t="n"/>
      <c r="O18" s="20" t="n"/>
      <c r="P18" s="5" t="inlineStr">
        <is>
          <t>OK</t>
        </is>
      </c>
      <c r="Q18" s="5" t="inlineStr">
        <is>
          <t>Grado de llenado 0,631 kg/dm³ (máx. 0,75 kg/dm³, IRAM 2533 / ADR P200)</t>
        </is>
      </c>
    </row>
    <row r="19">
      <c r="A19" s="5" t="inlineStr">
        <is>
          <t>FL_MAT_HCFC-HFC_5kg</t>
        </is>
      </c>
      <c r="B19" s="5" t="inlineStr">
        <is>
          <t>HCFC</t>
        </is>
      </c>
      <c r="C19" s="5" t="n">
        <v>5</v>
      </c>
      <c r="D19" s="5" t="inlineStr">
        <is>
          <t>kg</t>
        </is>
      </c>
      <c r="E19" s="5" t="inlineStr">
        <is>
          <t>0 / -3 %</t>
        </is>
      </c>
      <c r="F19" s="5" t="n">
        <v>6</v>
      </c>
      <c r="G19" s="5" t="n">
        <v>0.8</v>
      </c>
      <c r="H19" s="5" t="inlineStr">
        <is>
          <t>Argón</t>
        </is>
      </c>
      <c r="I19" s="20">
        <f>'08_Quimica_Agentes'!$G$8</f>
        <v/>
      </c>
      <c r="J19" s="20">
        <f>'08_Quimica_Agentes'!$L$8</f>
        <v/>
      </c>
      <c r="K19" s="20">
        <f>C19/J19</f>
        <v/>
      </c>
      <c r="L19" s="20">
        <f>F19-K19</f>
        <v/>
      </c>
      <c r="M19" s="21">
        <f>L19/F19</f>
        <v/>
      </c>
      <c r="N19" s="20">
        <f>(G19+0.101)*1000000*MAX(0,L19)/1000/(8.314*293.15)*'08_Quimica_Agentes'!$J$8*1000</f>
        <v/>
      </c>
      <c r="O19" s="20">
        <f>C19/I19</f>
        <v/>
      </c>
      <c r="P19" s="5">
        <f>IF(L19&lt;0,"NO ENTRA",IF(O19&gt;F19,"VIBRAR EN EL LLENADO","OK"))</f>
        <v/>
      </c>
      <c r="Q19" s="5" t="inlineStr">
        <is>
          <t>Revendido: carga y gas del fabricante (referencia)</t>
        </is>
      </c>
    </row>
    <row r="20">
      <c r="A20" s="5" t="inlineStr">
        <is>
          <t>FL_MAT_CLASED_9l</t>
        </is>
      </c>
      <c r="B20" s="5" t="inlineStr">
        <is>
          <t>D</t>
        </is>
      </c>
      <c r="C20" s="5" t="n">
        <v>9.15</v>
      </c>
      <c r="D20" s="5" t="inlineStr">
        <is>
          <t>kg</t>
        </is>
      </c>
      <c r="E20" s="5" t="inlineStr">
        <is>
          <t>0 / +300 g</t>
        </is>
      </c>
      <c r="F20" s="5" t="n">
        <v>12.5</v>
      </c>
      <c r="G20" s="5" t="n">
        <v>1.4</v>
      </c>
      <c r="H20" s="5" t="inlineStr">
        <is>
          <t>N₂</t>
        </is>
      </c>
      <c r="I20" s="20">
        <f>'08_Quimica_Agentes'!$G$7</f>
        <v/>
      </c>
      <c r="J20" s="20">
        <f>'08_Quimica_Agentes'!$L$7</f>
        <v/>
      </c>
      <c r="K20" s="20">
        <f>C20/J20</f>
        <v/>
      </c>
      <c r="L20" s="20">
        <f>F20-K20</f>
        <v/>
      </c>
      <c r="M20" s="21">
        <f>L20/F20</f>
        <v/>
      </c>
      <c r="N20" s="20">
        <f>(G20+0.101)*1000000*MAX(0,L20)/1000/(8.314*293.15)*'08_Quimica_Agentes'!$J$7*1000</f>
        <v/>
      </c>
      <c r="O20" s="20">
        <f>C20/I20</f>
        <v/>
      </c>
      <c r="P20" s="5">
        <f>IF(L20&lt;0,"NO ENTRA",IF(O20&gt;F20,"VIBRAR EN EL LLENADO","OK"))</f>
        <v/>
      </c>
      <c r="Q20" s="5" t="inlineStr">
        <is>
          <t>Revendido: carga y gas del fabricante (referencia) · Capacidad en dm³ en el catálogo; IRAM 3523 la define en kg: definir 9 o 10 kg</t>
        </is>
      </c>
    </row>
    <row r="21">
      <c r="A21" s="5" t="inlineStr">
        <is>
          <t>FL_MAT_ABC_25kg</t>
        </is>
      </c>
      <c r="B21" s="5" t="inlineStr">
        <is>
          <t>ABC</t>
        </is>
      </c>
      <c r="C21" s="5" t="n">
        <v>25</v>
      </c>
      <c r="D21" s="5" t="inlineStr">
        <is>
          <t>kg</t>
        </is>
      </c>
      <c r="E21" s="5" t="inlineStr">
        <is>
          <t>± 3 %</t>
        </is>
      </c>
      <c r="F21" s="5" t="n">
        <v>34.4</v>
      </c>
      <c r="G21" s="5" t="n">
        <v>1.4</v>
      </c>
      <c r="H21" s="5" t="inlineStr">
        <is>
          <t>N₂</t>
        </is>
      </c>
      <c r="I21" s="20">
        <f>'08_Quimica_Agentes'!$G$5</f>
        <v/>
      </c>
      <c r="J21" s="45">
        <f>'08_Quimica_Agentes'!$L$5</f>
        <v/>
      </c>
      <c r="K21" s="45">
        <f>C21/J21</f>
        <v/>
      </c>
      <c r="L21" s="45">
        <f>F21-K21</f>
        <v/>
      </c>
      <c r="M21" s="46">
        <f>L21/F21</f>
        <v/>
      </c>
      <c r="N21" s="45">
        <f>(G21+0.101)*1000000*MAX(0,L21)/1000/(8.314*293.15)*'08_Quimica_Agentes'!$J$5*1000</f>
        <v/>
      </c>
      <c r="O21" s="20">
        <f>C21/I21</f>
        <v/>
      </c>
      <c r="P21" s="5">
        <f>IF(L21&lt;0,"NO ENTRA",IF(O21&gt;F21,"VIBRAR EN EL LLENADO","OK"))</f>
        <v/>
      </c>
      <c r="Q21" s="5" t="inlineStr">
        <is>
          <t>ρ empacada estimada (NOM-104): confirmar con descarga ≥ 85 % en el ensayo de tipo</t>
        </is>
      </c>
    </row>
    <row r="22">
      <c r="A22" s="5" t="inlineStr">
        <is>
          <t>FL_MAT_ABC_50kg</t>
        </is>
      </c>
      <c r="B22" s="5" t="inlineStr">
        <is>
          <t>ABC</t>
        </is>
      </c>
      <c r="C22" s="5" t="n">
        <v>50</v>
      </c>
      <c r="D22" s="5" t="inlineStr">
        <is>
          <t>kg</t>
        </is>
      </c>
      <c r="E22" s="5" t="inlineStr">
        <is>
          <t>± 3 %</t>
        </is>
      </c>
      <c r="F22" s="5" t="n">
        <v>61.8</v>
      </c>
      <c r="G22" s="5" t="n">
        <v>1.4</v>
      </c>
      <c r="H22" s="5" t="inlineStr">
        <is>
          <t>N₂</t>
        </is>
      </c>
      <c r="I22" s="20">
        <f>'08_Quimica_Agentes'!$G$5</f>
        <v/>
      </c>
      <c r="J22" s="45">
        <f>'08_Quimica_Agentes'!$L$5</f>
        <v/>
      </c>
      <c r="K22" s="45">
        <f>C22/J22</f>
        <v/>
      </c>
      <c r="L22" s="45">
        <f>F22-K22</f>
        <v/>
      </c>
      <c r="M22" s="46">
        <f>L22/F22</f>
        <v/>
      </c>
      <c r="N22" s="45">
        <f>(G22+0.101)*1000000*MAX(0,L22)/1000/(8.314*293.15)*'08_Quimica_Agentes'!$J$5*1000</f>
        <v/>
      </c>
      <c r="O22" s="20">
        <f>C22/I22</f>
        <v/>
      </c>
      <c r="P22" s="5">
        <f>IF(L22&lt;0,"NO ENTRA",IF(O22&gt;F22,"VIBRAR EN EL LLENADO","OK"))</f>
        <v/>
      </c>
      <c r="Q22" s="5" t="inlineStr">
        <is>
          <t>ρ empacada estimada (NOM-104): confirmar con descarga ≥ 85 % en el ensayo de tipo</t>
        </is>
      </c>
    </row>
    <row r="23">
      <c r="A23" s="5" t="inlineStr">
        <is>
          <t>FL_MAT_ABC_70kg</t>
        </is>
      </c>
      <c r="B23" s="5" t="inlineStr">
        <is>
          <t>ABC</t>
        </is>
      </c>
      <c r="C23" s="5" t="n">
        <v>70</v>
      </c>
      <c r="D23" s="5" t="inlineStr">
        <is>
          <t>kg</t>
        </is>
      </c>
      <c r="E23" s="5" t="inlineStr">
        <is>
          <t>± 3 %</t>
        </is>
      </c>
      <c r="F23" s="5" t="n">
        <v>96</v>
      </c>
      <c r="G23" s="5" t="n">
        <v>1.4</v>
      </c>
      <c r="H23" s="5" t="inlineStr">
        <is>
          <t>N₂</t>
        </is>
      </c>
      <c r="I23" s="20">
        <f>'08_Quimica_Agentes'!$G$5</f>
        <v/>
      </c>
      <c r="J23" s="45">
        <f>'08_Quimica_Agentes'!$L$5</f>
        <v/>
      </c>
      <c r="K23" s="45">
        <f>C23/J23</f>
        <v/>
      </c>
      <c r="L23" s="45">
        <f>F23-K23</f>
        <v/>
      </c>
      <c r="M23" s="46">
        <f>L23/F23</f>
        <v/>
      </c>
      <c r="N23" s="45">
        <f>(G23+0.101)*1000000*MAX(0,L23)/1000/(8.314*293.15)*'08_Quimica_Agentes'!$J$5*1000</f>
        <v/>
      </c>
      <c r="O23" s="20">
        <f>C23/I23</f>
        <v/>
      </c>
      <c r="P23" s="5">
        <f>IF(L23&lt;0,"NO ENTRA",IF(O23&gt;F23,"VIBRAR EN EL LLENADO","OK"))</f>
        <v/>
      </c>
      <c r="Q23" s="5" t="inlineStr">
        <is>
          <t>ρ empacada estimada (NOM-104): confirmar con descarga ≥ 85 % en el ensayo de tipo</t>
        </is>
      </c>
    </row>
    <row r="24">
      <c r="A24" s="5" t="inlineStr">
        <is>
          <t>FL_MAT_ABC_100kg</t>
        </is>
      </c>
      <c r="B24" s="5" t="inlineStr">
        <is>
          <t>ABC</t>
        </is>
      </c>
      <c r="C24" s="5" t="n">
        <v>100</v>
      </c>
      <c r="D24" s="5" t="inlineStr">
        <is>
          <t>kg</t>
        </is>
      </c>
      <c r="E24" s="5" t="inlineStr">
        <is>
          <t>± 3 %</t>
        </is>
      </c>
      <c r="F24" s="5" t="n">
        <v>121</v>
      </c>
      <c r="G24" s="5" t="n">
        <v>1.4</v>
      </c>
      <c r="H24" s="5" t="inlineStr">
        <is>
          <t>N₂</t>
        </is>
      </c>
      <c r="I24" s="20">
        <f>'08_Quimica_Agentes'!$G$5</f>
        <v/>
      </c>
      <c r="J24" s="45">
        <f>'08_Quimica_Agentes'!$L$5</f>
        <v/>
      </c>
      <c r="K24" s="45">
        <f>C24/J24</f>
        <v/>
      </c>
      <c r="L24" s="45">
        <f>F24-K24</f>
        <v/>
      </c>
      <c r="M24" s="46">
        <f>L24/F24</f>
        <v/>
      </c>
      <c r="N24" s="45">
        <f>(G24+0.101)*1000000*MAX(0,L24)/1000/(8.314*293.15)*'08_Quimica_Agentes'!$J$5*1000</f>
        <v/>
      </c>
      <c r="O24" s="20">
        <f>C24/I24</f>
        <v/>
      </c>
      <c r="P24" s="5">
        <f>IF(L24&lt;0,"NO ENTRA",IF(O24&gt;F24,"VIBRAR EN EL LLENADO","OK"))</f>
        <v/>
      </c>
      <c r="Q24" s="5" t="inlineStr">
        <is>
          <t>ρ empacada estimada (NOM-104): confirmar con descarga ≥ 85 % en el ensayo de tipo</t>
        </is>
      </c>
    </row>
  </sheetData>
  <conditionalFormatting sqref="P8:P24">
    <cfRule type="cellIs" priority="1" operator="equal" dxfId="0">
      <formula>"NO ENTRA"</formula>
    </cfRule>
    <cfRule type="cellIs" priority="2" operator="equal" dxfId="1">
      <formula>"VIBRAR EN EL LLENADO"</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46" customWidth="1" min="3" max="3"/>
    <col width="28" customWidth="1" min="4" max="4"/>
    <col width="36" customWidth="1" min="5" max="5"/>
    <col width="13" customWidth="1" min="6" max="6"/>
    <col width="40" customWidth="1" min="7" max="7"/>
    <col width="40" customWidth="1" min="8" max="8"/>
    <col width="30" customWidth="1" min="9" max="9"/>
    <col width="13" customWidth="1" min="10" max="10"/>
    <col width="40" customWidth="1" min="11" max="11"/>
    <col width="40" customWidth="1" min="12" max="12"/>
    <col width="34" customWidth="1" min="13" max="13"/>
    <col width="14" customWidth="1" min="14" max="14"/>
    <col width="50" customWidth="1" min="15" max="15"/>
  </cols>
  <sheetData>
    <row r="1">
      <c r="A1" s="4" t="inlineStr">
        <is>
          <t>Proveedores nacionales por ítem de compra (principal y alternativa) - criterio: argentinos, cercanos o razonables para Avellaneda, que vendan exactamente lo que pide el plano y cumplan la norma</t>
        </is>
      </c>
    </row>
    <row r="2">
      <c r="A2" t="inlineStr">
        <is>
          <t>Distancias por ruta desde Avellaneda, aproximadas. Precios: los de la planilla de materias primas de FLAMA (MP-xx) y las cotizaciones recibidas (ver 11_Validacion_MP).</t>
        </is>
      </c>
    </row>
    <row r="3">
      <c r="A3" s="11" t="inlineStr">
        <is>
          <t>Colores:</t>
        </is>
      </c>
      <c r="B3" s="12" t="inlineStr">
        <is>
          <t>Validado</t>
        </is>
      </c>
      <c r="D3" s="13" t="inlineStr">
        <is>
          <t>Estimado</t>
        </is>
      </c>
      <c r="F3" s="14" t="inlineStr">
        <is>
          <t>A validar</t>
        </is>
      </c>
      <c r="H3" s="15" t="inlineStr">
        <is>
          <t>No cumple o decisión pendiente</t>
        </is>
      </c>
    </row>
    <row r="5" ht="32" customHeight="1">
      <c r="A5" s="16" t="inlineStr">
        <is>
          <t>Ítem</t>
        </is>
      </c>
      <c r="B5" s="16" t="inlineStr">
        <is>
          <t>Descripción</t>
        </is>
      </c>
      <c r="C5" s="16" t="inlineStr">
        <is>
          <t>Producto exacto que se pide</t>
        </is>
      </c>
      <c r="D5" s="16" t="inlineStr">
        <is>
          <t>Proveedor principal</t>
        </is>
      </c>
      <c r="E5" s="16" t="inlineStr">
        <is>
          <t>Domicilio</t>
        </is>
      </c>
      <c r="F5" s="16" t="inlineStr">
        <is>
          <t>Distancia</t>
        </is>
      </c>
      <c r="G5" s="16" t="inlineStr">
        <is>
          <t>Contacto</t>
        </is>
      </c>
      <c r="H5" s="16" t="inlineStr">
        <is>
          <t>Alternativa</t>
        </is>
      </c>
      <c r="I5" s="16" t="inlineStr">
        <is>
          <t>Domicilio alternativa</t>
        </is>
      </c>
      <c r="J5" s="16" t="inlineStr">
        <is>
          <t>Distancia alt.</t>
        </is>
      </c>
      <c r="K5" s="16" t="inlineStr">
        <is>
          <t>Precio / cotización de referencia</t>
        </is>
      </c>
      <c r="L5" s="16" t="inlineStr">
        <is>
          <t>Certificación / norma del principal</t>
        </is>
      </c>
      <c r="M5" s="16" t="inlineStr">
        <is>
          <t>Respaldo</t>
        </is>
      </c>
      <c r="N5" s="16" t="inlineStr">
        <is>
          <t>Estado</t>
        </is>
      </c>
      <c r="O5" s="16" t="inlineStr">
        <is>
          <t>Observaciones</t>
        </is>
      </c>
    </row>
    <row r="6">
      <c r="A6" s="17" t="inlineStr">
        <is>
          <t>MP-HOJA-LAF</t>
        </is>
      </c>
      <c r="B6" s="17" t="inlineStr">
        <is>
          <t>Chapa LAF del cuerpo 2,5 / 5 / 10 kg</t>
        </is>
      </c>
      <c r="C6" s="17" t="inlineStr">
        <is>
          <t>Recorte LAF IRAM-IAS U 500-05 e=1,25/1,6/2,0 a medida de la hoja de corte</t>
        </is>
      </c>
      <c r="D6" s="17" t="inlineStr">
        <is>
          <t>Pradecon S.A.</t>
        </is>
      </c>
      <c r="E6" s="17" t="inlineStr">
        <is>
          <t>Garín, Escobar (PBA)</t>
        </is>
      </c>
      <c r="F6" s="17" t="inlineStr">
        <is>
          <t>≈ 55 km (aprox.)</t>
        </is>
      </c>
      <c r="G6" s="17" t="n"/>
      <c r="H6" s="17" t="inlineStr">
        <is>
          <t>Pacheco Chapas</t>
        </is>
      </c>
      <c r="I6" s="17" t="inlineStr">
        <is>
          <t>El Talar, Tigre (PBA)</t>
        </is>
      </c>
      <c r="J6" s="17" t="inlineStr">
        <is>
          <t>≈ 40 km (aprox.)</t>
        </is>
      </c>
      <c r="K6" s="17" t="inlineStr">
        <is>
          <t>Planilla MP-02/03/04: USD 1,29 / 1,33 / 1,28 por kg (Pradecon)</t>
        </is>
      </c>
      <c r="L6" s="17" t="inlineStr">
        <is>
          <t>Bobinas de origen Ternium</t>
        </is>
      </c>
      <c r="M6" s="17" t="inlineStr">
        <is>
          <t>Q-PRADECON (173170 / 173195)</t>
        </is>
      </c>
      <c r="N6" s="17" t="inlineStr">
        <is>
          <t>Cotizado</t>
        </is>
      </c>
      <c r="O6" s="17" t="inlineStr">
        <is>
          <t>Exigir certificado de colada en la OC</t>
        </is>
      </c>
    </row>
    <row r="7">
      <c r="A7" s="17" t="inlineStr">
        <is>
          <t>MP-HOJA-LAC</t>
        </is>
      </c>
      <c r="B7" s="17" t="inlineStr">
        <is>
          <t>Chapa LAC del cuerpo rodantes</t>
        </is>
      </c>
      <c r="C7" s="17" t="inlineStr">
        <is>
          <t>Recorte LAC IRAM-IAS U 500-04 e=3,2 / 4,75, σf ≥ 265 MPa</t>
        </is>
      </c>
      <c r="D7" s="17" t="inlineStr">
        <is>
          <t>Pradecon S.A.</t>
        </is>
      </c>
      <c r="E7" s="17" t="inlineStr">
        <is>
          <t>Garín, Escobar (PBA)</t>
        </is>
      </c>
      <c r="F7" s="17" t="inlineStr">
        <is>
          <t>≈ 55 km (aprox.)</t>
        </is>
      </c>
      <c r="G7" s="17" t="n"/>
      <c r="H7" s="17" t="inlineStr">
        <is>
          <t>Pacheco Chapas</t>
        </is>
      </c>
      <c r="I7" s="17" t="inlineStr">
        <is>
          <t>El Talar, Tigre (PBA)</t>
        </is>
      </c>
      <c r="J7" s="17" t="inlineStr">
        <is>
          <t>≈ 40 km (aprox.)</t>
        </is>
      </c>
      <c r="K7" s="17" t="inlineStr">
        <is>
          <t>Planilla MP-11/12: USD 1,10 / 1,09 por kg (Pradecon)</t>
        </is>
      </c>
      <c r="L7" s="17" t="inlineStr">
        <is>
          <t>Bobinas de origen Ternium</t>
        </is>
      </c>
      <c r="M7" s="17" t="inlineStr">
        <is>
          <t>Q-PRADECON (173170 / 173195)</t>
        </is>
      </c>
      <c r="N7" s="17" t="inlineStr">
        <is>
          <t>Cotizado</t>
        </is>
      </c>
      <c r="O7" s="17" t="inlineStr">
        <is>
          <t>σf ≥ 265 MPa en el certificado (IRAM 3550 4.1.3.1)</t>
        </is>
      </c>
    </row>
    <row r="8">
      <c r="A8" s="17" t="inlineStr">
        <is>
          <t>MP-FLEJE</t>
        </is>
      </c>
      <c r="B8" s="17" t="inlineStr">
        <is>
          <t>Fleje LAF de cúpula y fondo 1 a 10 kg</t>
        </is>
      </c>
      <c r="C8" s="17" t="inlineStr">
        <is>
          <t>Bobina flejada LAF e=0,9/1,25/1,6/2,0, ancho del plano</t>
        </is>
      </c>
      <c r="D8" s="17" t="inlineStr">
        <is>
          <t>Pacheco Chapas</t>
        </is>
      </c>
      <c r="E8" s="17" t="inlineStr">
        <is>
          <t>El Talar, Tigre (PBA)</t>
        </is>
      </c>
      <c r="F8" s="17" t="inlineStr">
        <is>
          <t>≈ 40 km (aprox.)</t>
        </is>
      </c>
      <c r="G8" s="17" t="n"/>
      <c r="H8" s="17" t="inlineStr">
        <is>
          <t>Pradecon S.A.</t>
        </is>
      </c>
      <c r="I8" s="17" t="inlineStr">
        <is>
          <t>Garín, Escobar (PBA)</t>
        </is>
      </c>
      <c r="J8" s="17" t="inlineStr">
        <is>
          <t>≈ 55 km (aprox.)</t>
        </is>
      </c>
      <c r="K8" s="17" t="inlineStr">
        <is>
          <t>Planilla MP-05 a 10 y 13: USD 1,19-1,26 por kg</t>
        </is>
      </c>
      <c r="L8" s="17" t="inlineStr">
        <is>
          <t>Origen Ternium; certificado de colada a pedido</t>
        </is>
      </c>
      <c r="M8" s="17" t="inlineStr">
        <is>
          <t>Q-PACHECO (PR-42021 / PR-42024)</t>
        </is>
      </c>
      <c r="N8" s="17" t="inlineStr">
        <is>
          <t>Cotizado</t>
        </is>
      </c>
      <c r="O8" s="17" t="inlineStr">
        <is>
          <t>Pacheco flejes ≥ 1,25; Pradecon fleje 0,9 (1 kg)</t>
        </is>
      </c>
    </row>
    <row r="9">
      <c r="A9" s="17" t="inlineStr">
        <is>
          <t>MP-CANO</t>
        </is>
      </c>
      <c r="B9" s="17" t="inlineStr">
        <is>
          <t>Caño del cuerpo 1 kg</t>
        </is>
      </c>
      <c r="C9" s="17" t="inlineStr">
        <is>
          <t>Caño c/costura ERW SAE 1010 Ø76,2 × 1,25, barra 6 m</t>
        </is>
      </c>
      <c r="D9" s="17" t="inlineStr">
        <is>
          <t>Metalpri / Prilux</t>
        </is>
      </c>
      <c r="E9" s="17" t="inlineStr">
        <is>
          <t>Nueva Pompeya, CABA</t>
        </is>
      </c>
      <c r="F9" s="17" t="inlineStr">
        <is>
          <t>≈ 8 km (aprox.)</t>
        </is>
      </c>
      <c r="G9" s="17" t="n"/>
      <c r="H9" s="17" t="inlineStr">
        <is>
          <t>Comercial MID</t>
        </is>
      </c>
      <c r="I9" s="17" t="inlineStr">
        <is>
          <t>Don Torcuato, Tigre (PBA)</t>
        </is>
      </c>
      <c r="J9" s="17" t="inlineStr">
        <is>
          <t>≈ 40 km (aprox.)</t>
        </is>
      </c>
      <c r="K9" s="17" t="inlineStr">
        <is>
          <t>Planilla MP-01 (Metalprisa)</t>
        </is>
      </c>
      <c r="L9" s="17" t="inlineStr">
        <is>
          <t>-</t>
        </is>
      </c>
      <c r="M9" s="17" t="inlineStr">
        <is>
          <t>Q-METALPRI (mail 09/09/2026)</t>
        </is>
      </c>
      <c r="N9" s="17" t="inlineStr">
        <is>
          <t>Cotizado</t>
        </is>
      </c>
      <c r="O9" s="17" t="inlineStr">
        <is>
          <t>MID cotizó 2½" × 2,6 (más pesado): alternativa con reserva; confirmar costura por resistencia (IRAM 3523 3.2.4.2 b)</t>
        </is>
      </c>
    </row>
    <row r="10">
      <c r="A10" s="17" t="inlineStr">
        <is>
          <t>MP-CUELLO</t>
        </is>
      </c>
      <c r="B10" s="17" t="inlineStr">
        <is>
          <t>Cuello roscado de manuales</t>
        </is>
      </c>
      <c r="C10" s="17" t="inlineStr">
        <is>
          <t>Asiento roscado SAE 1020 M22 (1 kg) / M30 × 1,5 (2,5-10 kg), mecanizado bajo plano</t>
        </is>
      </c>
      <c r="D10" s="17" t="inlineStr">
        <is>
          <t>Eli-Met</t>
        </is>
      </c>
      <c r="E10" s="17" t="inlineStr">
        <is>
          <t>Albariño 2047, Mataderos, CABA</t>
        </is>
      </c>
      <c r="F10" s="17" t="inlineStr">
        <is>
          <t>≈ 15 km (aprox.)</t>
        </is>
      </c>
      <c r="G10" s="17" t="n"/>
      <c r="H10" s="17" t="n"/>
      <c r="I10" s="17" t="n"/>
      <c r="J10" s="17" t="n"/>
      <c r="K10" s="17" t="inlineStr">
        <is>
          <t>Planilla MP-18/19: sin cotizar (Eli-Met cotizó la cupla M30 de carros)</t>
        </is>
      </c>
      <c r="L10" s="17" t="inlineStr">
        <is>
          <t>-</t>
        </is>
      </c>
      <c r="M10" s="17" t="inlineStr">
        <is>
          <t>Planilla MP-20/21 (cupla M30 $5.261; cupla 2½" $13.479 + IVA; 35-40 días)</t>
        </is>
      </c>
      <c r="N10" s="17" t="inlineStr">
        <is>
          <t>A cotizar</t>
        </is>
      </c>
      <c r="O10" s="17" t="inlineStr">
        <is>
          <t>Segundo tornero CNC a relevar</t>
        </is>
      </c>
    </row>
    <row r="11">
      <c r="A11" s="17" t="inlineStr">
        <is>
          <t>MP-CUPLA</t>
        </is>
      </c>
      <c r="B11" s="17" t="inlineStr">
        <is>
          <t>Cupla soldable de rodantes</t>
        </is>
      </c>
      <c r="C11" s="17" t="inlineStr">
        <is>
          <t>Cupla SAE 1020 M30 × 1,5 (25/50 kg) / RBSP 2½" (70/100 kg)</t>
        </is>
      </c>
      <c r="D11" s="17" t="inlineStr">
        <is>
          <t>Eli-Met</t>
        </is>
      </c>
      <c r="E11" s="17" t="inlineStr">
        <is>
          <t>Albariño 2047, Mataderos, CABA</t>
        </is>
      </c>
      <c r="F11" s="17" t="inlineStr">
        <is>
          <t>≈ 15 km (aprox.)</t>
        </is>
      </c>
      <c r="G11" s="17" t="n"/>
      <c r="H11" s="17" t="n"/>
      <c r="I11" s="17" t="n"/>
      <c r="J11" s="17" t="n"/>
      <c r="K11" s="17" t="inlineStr">
        <is>
          <t>Planilla MP-20/21: $5.261 / $13.479 c/u + IVA</t>
        </is>
      </c>
      <c r="L11" s="17" t="inlineStr">
        <is>
          <t>-</t>
        </is>
      </c>
      <c r="M11" s="17" t="inlineStr">
        <is>
          <t>Planilla MP-20/21 (cupla M30 $5.261; cupla 2½" $13.479 + IVA; 35-40 días)</t>
        </is>
      </c>
      <c r="N11" s="17" t="inlineStr">
        <is>
          <t>Cotizado</t>
        </is>
      </c>
      <c r="O11" s="17" t="inlineStr">
        <is>
          <t>35-40 días</t>
        </is>
      </c>
    </row>
    <row r="12">
      <c r="A12" s="17" t="inlineStr">
        <is>
          <t>TAPA-ROD-G</t>
        </is>
      </c>
      <c r="B12" s="17" t="inlineStr">
        <is>
          <t>Tapas (cúpula y fondo) 70 / 100 kg</t>
        </is>
      </c>
      <c r="C12" s="17" t="inlineStr">
        <is>
          <t>Casquete embutido toriesférico Ø390 × 4,75 LAC (15", 70 y 100 kg)</t>
        </is>
      </c>
      <c r="D12" s="17" t="inlineStr">
        <is>
          <t>Gockel Ingeniería S.R.L.</t>
        </is>
      </c>
      <c r="E12" s="17" t="inlineStr">
        <is>
          <t>San Carlos 755, Wilde, Avellaneda</t>
        </is>
      </c>
      <c r="F12" s="17" t="inlineStr">
        <is>
          <t>≈ 5 km (aprox.)</t>
        </is>
      </c>
      <c r="G12" s="17" t="inlineStr">
        <is>
          <t>011-7713-5110 · gockelingenieria@gmail.com</t>
        </is>
      </c>
      <c r="H12" s="17" t="n"/>
      <c r="I12" s="17" t="n"/>
      <c r="J12" s="17" t="n"/>
      <c r="K12" s="17" t="inlineStr">
        <is>
          <t>Sin cotizar (la planilla MP-17 lo daba importado)</t>
        </is>
      </c>
      <c r="L12" s="17" t="inlineStr">
        <is>
          <t>Matrices de corte, punzonado, plegado y embutido en frío y en caliente</t>
        </is>
      </c>
      <c r="M12" s="17" t="inlineStr">
        <is>
          <t>Proveedor de FLAMA · gockelingenieria.com.ar</t>
        </is>
      </c>
      <c r="N12" s="17" t="inlineStr">
        <is>
          <t>A cotizar</t>
        </is>
      </c>
      <c r="O12" s="17" t="inlineStr">
        <is>
          <t>Embutido con matriz propia de Gockel (Wilde); cotizar con certificado de material de la chapa</t>
        </is>
      </c>
    </row>
    <row r="13">
      <c r="A13" s="17" t="inlineStr">
        <is>
          <t>TAPA-ROD-C</t>
        </is>
      </c>
      <c r="B13" s="17" t="inlineStr">
        <is>
          <t>Tapas (cúpula y fondo) 25 / 50 kg</t>
        </is>
      </c>
      <c r="C13" s="17" t="inlineStr">
        <is>
          <t>Casquete embutido Ø276 / Ø320 × 3,2 LAC</t>
        </is>
      </c>
      <c r="D13" s="17" t="inlineStr">
        <is>
          <t>Gockel Ingeniería S.R.L.</t>
        </is>
      </c>
      <c r="E13" s="17" t="inlineStr">
        <is>
          <t>San Carlos 755, Wilde, Avellaneda</t>
        </is>
      </c>
      <c r="F13" s="17" t="inlineStr">
        <is>
          <t>≈ 5 km (aprox.)</t>
        </is>
      </c>
      <c r="G13" s="17" t="inlineStr">
        <is>
          <t>011-7713-5110 · gockelingenieria@gmail.com</t>
        </is>
      </c>
      <c r="H13" s="17" t="n"/>
      <c r="I13" s="17" t="n"/>
      <c r="J13" s="17" t="n"/>
      <c r="K13" s="17" t="inlineStr">
        <is>
          <t>Sin cotizar (la planilla MP-15/16 lo daba importado)</t>
        </is>
      </c>
      <c r="L13" s="17" t="inlineStr">
        <is>
          <t>Matrices de corte, punzonado, plegado y embutido en frío y en caliente</t>
        </is>
      </c>
      <c r="M13" s="17" t="inlineStr">
        <is>
          <t>Proveedor de FLAMA · gockelingenieria.com.ar</t>
        </is>
      </c>
      <c r="N13" s="17" t="inlineStr">
        <is>
          <t>A cotizar</t>
        </is>
      </c>
      <c r="O13" s="17" t="inlineStr">
        <is>
          <t>Embutido con matriz propia de Gockel (Wilde); cotizar con certificado de material de la chapa</t>
        </is>
      </c>
    </row>
    <row r="14">
      <c r="A14" s="17" t="inlineStr">
        <is>
          <t>C1</t>
        </is>
      </c>
      <c r="B14" s="17" t="inlineStr">
        <is>
          <t>Alambre MAG</t>
        </is>
      </c>
      <c r="C14" s="17" t="inlineStr">
        <is>
          <t>ER70S-6 (AWS A5.18) Ø0,9 manuales / Ø1,2 rodantes, carrete 15 kg</t>
        </is>
      </c>
      <c r="D14" s="17" t="inlineStr">
        <is>
          <t>Conarco (ESAB Argentina)</t>
        </is>
      </c>
      <c r="E14" s="17" t="inlineStr">
        <is>
          <t>Venta por distribuidores de soldadura</t>
        </is>
      </c>
      <c r="F14" s="17" t="inlineStr">
        <is>
          <t>a confirmar</t>
        </is>
      </c>
      <c r="G14" s="17" t="n"/>
      <c r="H14" s="17" t="n"/>
      <c r="I14" s="17" t="n"/>
      <c r="J14" s="17" t="n"/>
      <c r="K14" s="17" t="inlineStr">
        <is>
          <t>Planilla MP-23/24: sin cotizar</t>
        </is>
      </c>
      <c r="L14" s="17" t="inlineStr">
        <is>
          <t>AWS A5.18 ER70S-6</t>
        </is>
      </c>
      <c r="M14" s="17" t="inlineStr">
        <is>
          <t>Planilla MP-23/24 (sin cotizar)</t>
        </is>
      </c>
      <c r="N14" s="17" t="inlineStr">
        <is>
          <t>A cotizar</t>
        </is>
      </c>
      <c r="O14" s="17" t="inlineStr">
        <is>
          <t>Comprar al distribuidor de soldadura de zona sur</t>
        </is>
      </c>
    </row>
    <row r="15">
      <c r="A15" s="17" t="inlineStr">
        <is>
          <t>C2</t>
        </is>
      </c>
      <c r="B15" s="17" t="inlineStr">
        <is>
          <t>Gas de protección MAG</t>
        </is>
      </c>
      <c r="C15" s="17" t="inlineStr">
        <is>
          <t>Arcal 21 / ARCAL Speed: Ar + 8 % CO₂ (EN ISO 14175 M20-ArC-8)</t>
        </is>
      </c>
      <c r="D15" s="17" t="inlineStr">
        <is>
          <t>Air Liquide Argentina - sucursal Piñeyro</t>
        </is>
      </c>
      <c r="E15" s="17" t="inlineStr">
        <is>
          <t>Tte. Cnel. Guiffra 799, Piñeyro, Avellaneda</t>
        </is>
      </c>
      <c r="F15" s="17" t="inlineStr">
        <is>
          <t>≈ 3 km (aprox.)</t>
        </is>
      </c>
      <c r="G15" s="17" t="inlineStr">
        <is>
          <t>0810-222-5272</t>
        </is>
      </c>
      <c r="H15" s="17" t="inlineStr">
        <is>
          <t>Gogniat</t>
        </is>
      </c>
      <c r="I15" s="17" t="inlineStr">
        <is>
          <t>GBA (gogniat.com.ar)</t>
        </is>
      </c>
      <c r="J15" s="17" t="inlineStr">
        <is>
          <t>a confirmar</t>
        </is>
      </c>
      <c r="K15" s="17" t="inlineStr">
        <is>
          <t>Planilla MP-25: $8.800/m³ + $1.000/m³ acarreo (batería 11 × 50 L)</t>
        </is>
      </c>
      <c r="L15" s="17" t="inlineStr">
        <is>
          <t>ARCAL 21 / ARCAL Speed EN ISO 14175 M20-ArC-8; N₂ ≥ 99,8 %</t>
        </is>
      </c>
      <c r="M15" s="17" t="inlineStr">
        <is>
          <t>Q-ARCAL · Q-N2 · planilla MP-25 ($8.800/m³ + acarreo) y MP-34 ($1.800/m³ + acarreo)</t>
        </is>
      </c>
      <c r="N15" s="17" t="inlineStr">
        <is>
          <t>Cotizado</t>
        </is>
      </c>
      <c r="O15" s="17" t="inlineStr">
        <is>
          <t>Decisión FLAMA: MAG 135; acreditar con el certificador (IRAM 3523 3.2.4.2 c)</t>
        </is>
      </c>
    </row>
    <row r="16">
      <c r="A16" s="17" t="inlineStr">
        <is>
          <t>C3</t>
        </is>
      </c>
      <c r="B16" s="17" t="inlineStr">
        <is>
          <t>Granalla de acero</t>
        </is>
      </c>
      <c r="C16" s="17" t="inlineStr">
        <is>
          <t>S330 / S390 esférica alto C (SAE J444 / ISO 11124-3), bolsa 25 kg</t>
        </is>
      </c>
      <c r="D16" s="17" t="inlineStr">
        <is>
          <t>CyM Materiales</t>
        </is>
      </c>
      <c r="E16" s="17" t="inlineStr">
        <is>
          <t>GBA (cymba@cym.com.ar)</t>
        </is>
      </c>
      <c r="F16" s="17" t="inlineStr">
        <is>
          <t>a confirmar</t>
        </is>
      </c>
      <c r="G16" s="17" t="inlineStr">
        <is>
          <t>cymba@cym.com.ar</t>
        </is>
      </c>
      <c r="H16" s="17" t="inlineStr">
        <is>
          <t>Roca Ingeniería</t>
        </is>
      </c>
      <c r="I16" s="17" t="inlineStr">
        <is>
          <t>San Justo, La Matanza (PBA)</t>
        </is>
      </c>
      <c r="J16" s="17" t="inlineStr">
        <is>
          <t>≈ 20 km (aprox.)</t>
        </is>
      </c>
      <c r="K16" s="17" t="inlineStr">
        <is>
          <t>Planilla MP-28: $2.000/kg</t>
        </is>
      </c>
      <c r="L16" s="17" t="inlineStr">
        <is>
          <t>SAE J444 / ISO 11124-3</t>
        </is>
      </c>
      <c r="M16" s="17" t="inlineStr">
        <is>
          <t>Planilla MP-28 ($2.000/kg)</t>
        </is>
      </c>
      <c r="N16" s="17" t="inlineStr">
        <is>
          <t>Cotizado</t>
        </is>
      </c>
      <c r="O16" s="17" t="n"/>
    </row>
    <row r="17">
      <c r="A17" s="17" t="inlineStr">
        <is>
          <t>C4M</t>
        </is>
      </c>
      <c r="B17" s="17" t="inlineStr">
        <is>
          <t>Pintura de manuales (servicio)</t>
        </is>
      </c>
      <c r="C17" s="17" t="inlineStr">
        <is>
          <t>Pintura en polvo poliéster al horno, rojo 03-1-050, por cilindro</t>
        </is>
      </c>
      <c r="D17" s="17" t="inlineStr">
        <is>
          <t>Prymax</t>
        </is>
      </c>
      <c r="E17" s="17" t="inlineStr">
        <is>
          <t>Según presupuesto S00469</t>
        </is>
      </c>
      <c r="F17" s="17" t="inlineStr">
        <is>
          <t>a confirmar</t>
        </is>
      </c>
      <c r="G17" s="17" t="n"/>
      <c r="H17" s="17" t="inlineStr">
        <is>
          <t>Pintor de carros (cotización por mensaje)</t>
        </is>
      </c>
      <c r="I17" s="17" t="inlineStr">
        <is>
          <t>Según cotización</t>
        </is>
      </c>
      <c r="J17" s="17" t="inlineStr">
        <is>
          <t>a confirmar</t>
        </is>
      </c>
      <c r="K17" s="17" t="inlineStr">
        <is>
          <t>Q-PRYMAX (S00469, por unidad)</t>
        </is>
      </c>
      <c r="L17" s="17" t="inlineStr">
        <is>
          <t>Pedir informe de niebla salina IRAM 121</t>
        </is>
      </c>
      <c r="M17" s="17" t="inlineStr">
        <is>
          <t>Q-PRYMAX (S00469)</t>
        </is>
      </c>
      <c r="N17" s="17" t="inlineStr">
        <is>
          <t>Cotizado</t>
        </is>
      </c>
      <c r="O17" s="17" t="inlineStr">
        <is>
          <t>Tercerización sujeta a aceptación del Ministerio (Res. 349/07 art. 18)</t>
        </is>
      </c>
    </row>
    <row r="18">
      <c r="A18" s="17" t="inlineStr">
        <is>
          <t>C4R</t>
        </is>
      </c>
      <c r="B18" s="17" t="inlineStr">
        <is>
          <t>Pintura de rodantes (servicio)</t>
        </is>
      </c>
      <c r="C18" s="17" t="inlineStr">
        <is>
          <t>Preparación por quemado + pintura en polvo rojo 03-1-050, por carro</t>
        </is>
      </c>
      <c r="D18" s="17" t="inlineStr">
        <is>
          <t>Pintor de carros (cotización por mensaje)</t>
        </is>
      </c>
      <c r="E18" s="17" t="inlineStr">
        <is>
          <t>Según cotización</t>
        </is>
      </c>
      <c r="F18" s="17" t="inlineStr">
        <is>
          <t>a confirmar</t>
        </is>
      </c>
      <c r="G18" s="17" t="n"/>
      <c r="H18" s="17" t="inlineStr">
        <is>
          <t>Prymax</t>
        </is>
      </c>
      <c r="I18" s="17" t="inlineStr">
        <is>
          <t>Según presupuesto S00469</t>
        </is>
      </c>
      <c r="J18" s="17" t="inlineStr">
        <is>
          <t>a confirmar</t>
        </is>
      </c>
      <c r="K18" s="17" t="inlineStr">
        <is>
          <t>Q-CARROS (por carro)</t>
        </is>
      </c>
      <c r="L18" s="17" t="inlineStr">
        <is>
          <t>Pedir informe de niebla salina IRAM 121 (3550 4.5: 240 h)</t>
        </is>
      </c>
      <c r="M18" s="17" t="inlineStr">
        <is>
          <t>Q-CARROS</t>
        </is>
      </c>
      <c r="N18" s="17" t="inlineStr">
        <is>
          <t>Cotizado</t>
        </is>
      </c>
      <c r="O18" s="17" t="inlineStr">
        <is>
          <t>Tercerización sujeta a aceptación del Ministerio (Res. 349/07 art. 18)</t>
        </is>
      </c>
    </row>
    <row r="19">
      <c r="A19" s="17" t="inlineStr">
        <is>
          <t>VALV-1</t>
        </is>
      </c>
      <c r="B19" s="17" t="inlineStr">
        <is>
          <t>Válvula 1 kg</t>
        </is>
      </c>
      <c r="C19" s="17" t="inlineStr">
        <is>
          <t>Válvula HZ M-22 con tubo de pesca plástico</t>
        </is>
      </c>
      <c r="D19" s="17" t="inlineStr">
        <is>
          <t>Polvex S.R.L. / Sancibrao</t>
        </is>
      </c>
      <c r="E19" s="17" t="inlineStr">
        <is>
          <t>Boulogne Sur Mer 1813, Villa Maipú, San Martín (PBA)</t>
        </is>
      </c>
      <c r="F19" s="17" t="inlineStr">
        <is>
          <t>≈ 25 km (aprox.)</t>
        </is>
      </c>
      <c r="G19" s="17" t="inlineStr">
        <is>
          <t>11 4405-3382</t>
        </is>
      </c>
      <c r="H19" s="17" t="inlineStr">
        <is>
          <t>Mozart S.R.L.</t>
        </is>
      </c>
      <c r="I19" s="17" t="inlineStr">
        <is>
          <t>Ucrania 1564, Valentín Alsina, Lanús (PBA)</t>
        </is>
      </c>
      <c r="J19" s="17" t="inlineStr">
        <is>
          <t>≈ 9 km (aprox.)</t>
        </is>
      </c>
      <c r="K19" s="17" t="inlineStr">
        <is>
          <t>Planilla MP-42: $4.200 c/u</t>
        </is>
      </c>
      <c r="L19" s="17" t="inlineStr">
        <is>
          <t>Polvo «según IRAM 3569» (sello no confirmado); válvulas HZ</t>
        </is>
      </c>
      <c r="M19" s="17" t="inlineStr">
        <is>
          <t>Q-AGENTES (lista de precios)</t>
        </is>
      </c>
      <c r="N19" s="17" t="inlineStr">
        <is>
          <t>Cotizado</t>
        </is>
      </c>
      <c r="O19" s="17" t="inlineStr">
        <is>
          <t>Mozart fabrica válvulas (licencias IRAM 3509 / 3565): cotizar</t>
        </is>
      </c>
    </row>
    <row r="20">
      <c r="A20" s="17" t="inlineStr">
        <is>
          <t>VALV-M30</t>
        </is>
      </c>
      <c r="B20" s="17" t="inlineStr">
        <is>
          <t>Válvula 2,5 a 10 kg</t>
        </is>
      </c>
      <c r="C20" s="17" t="inlineStr">
        <is>
          <t>Válvula HZ M-30 × 1,5 con resorte y tubo 7/8</t>
        </is>
      </c>
      <c r="D20" s="17" t="inlineStr">
        <is>
          <t>Polvex S.R.L. / Sancibrao</t>
        </is>
      </c>
      <c r="E20" s="17" t="inlineStr">
        <is>
          <t>Boulogne Sur Mer 1813, Villa Maipú, San Martín (PBA)</t>
        </is>
      </c>
      <c r="F20" s="17" t="inlineStr">
        <is>
          <t>≈ 25 km (aprox.)</t>
        </is>
      </c>
      <c r="G20" s="17" t="inlineStr">
        <is>
          <t>11 4405-3382</t>
        </is>
      </c>
      <c r="H20" s="17" t="inlineStr">
        <is>
          <t>Mozart S.R.L.</t>
        </is>
      </c>
      <c r="I20" s="17" t="inlineStr">
        <is>
          <t>Ucrania 1564, Valentín Alsina, Lanús (PBA)</t>
        </is>
      </c>
      <c r="J20" s="17" t="inlineStr">
        <is>
          <t>≈ 9 km (aprox.)</t>
        </is>
      </c>
      <c r="K20" s="17" t="inlineStr">
        <is>
          <t>Planilla MP-43: $6.800 c/u</t>
        </is>
      </c>
      <c r="L20" s="17" t="inlineStr">
        <is>
          <t>Polvo «según IRAM 3569» (sello no confirmado); válvulas HZ</t>
        </is>
      </c>
      <c r="M20" s="17" t="inlineStr">
        <is>
          <t>Q-AGENTES (lista de precios)</t>
        </is>
      </c>
      <c r="N20" s="17" t="inlineStr">
        <is>
          <t>Cotizado</t>
        </is>
      </c>
      <c r="O20" s="17" t="n"/>
    </row>
    <row r="21">
      <c r="A21" s="17" t="inlineStr">
        <is>
          <t>VALV-CARRO</t>
        </is>
      </c>
      <c r="B21" s="17" t="inlineStr">
        <is>
          <t>Válvula de carro</t>
        </is>
      </c>
      <c r="C21" s="17" t="inlineStr">
        <is>
          <t>Válvula HZ de carro 25 kg (traba, manija, resorte) / 50-70-100 kg</t>
        </is>
      </c>
      <c r="D21" s="17" t="inlineStr">
        <is>
          <t>Polvex S.R.L. / Sancibrao</t>
        </is>
      </c>
      <c r="E21" s="17" t="inlineStr">
        <is>
          <t>Boulogne Sur Mer 1813, Villa Maipú, San Martín (PBA)</t>
        </is>
      </c>
      <c r="F21" s="17" t="inlineStr">
        <is>
          <t>≈ 25 km (aprox.)</t>
        </is>
      </c>
      <c r="G21" s="17" t="inlineStr">
        <is>
          <t>11 4405-3382</t>
        </is>
      </c>
      <c r="H21" s="17" t="inlineStr">
        <is>
          <t>Mozart S.R.L.</t>
        </is>
      </c>
      <c r="I21" s="17" t="inlineStr">
        <is>
          <t>Ucrania 1564, Valentín Alsina, Lanús (PBA)</t>
        </is>
      </c>
      <c r="J21" s="17" t="inlineStr">
        <is>
          <t>≈ 9 km (aprox.)</t>
        </is>
      </c>
      <c r="K21" s="17" t="inlineStr">
        <is>
          <t>Planilla MP-44: $7.500 c/u</t>
        </is>
      </c>
      <c r="L21" s="17" t="inlineStr">
        <is>
          <t>Polvo «según IRAM 3569» (sello no confirmado); válvulas HZ</t>
        </is>
      </c>
      <c r="M21" s="17" t="inlineStr">
        <is>
          <t>Q-AGENTES (lista de precios)</t>
        </is>
      </c>
      <c r="N21" s="17" t="inlineStr">
        <is>
          <t>Cotizado</t>
        </is>
      </c>
      <c r="O21" s="17" t="n"/>
    </row>
    <row r="22">
      <c r="A22" s="42" t="inlineStr">
        <is>
          <t>MANOMETRO</t>
        </is>
      </c>
      <c r="B22" s="42" t="inlineStr">
        <is>
          <t>Manómetro</t>
        </is>
      </c>
      <c r="C22" s="42" t="inlineStr">
        <is>
          <t>Manómetro con sello IRAM 3533, 1,4 MPa (rosca de la válvula)</t>
        </is>
      </c>
      <c r="D22" s="42" t="inlineStr">
        <is>
          <t>Yukon / MatafuegosYa S.R.L.</t>
        </is>
      </c>
      <c r="E22" s="42" t="inlineStr">
        <is>
          <t>Estomba 954, CABA</t>
        </is>
      </c>
      <c r="F22" s="42" t="inlineStr">
        <is>
          <t>≈ 12 km (aprox.)</t>
        </is>
      </c>
      <c r="G22" s="42" t="inlineStr">
        <is>
          <t>4555-5100</t>
        </is>
      </c>
      <c r="H22" s="42" t="inlineStr">
        <is>
          <t>Matafuegos Iglesias</t>
        </is>
      </c>
      <c r="I22" s="42" t="inlineStr">
        <is>
          <t>Av. Entre Ríos 1127, CABA</t>
        </is>
      </c>
      <c r="J22" s="42" t="inlineStr">
        <is>
          <t>≈ 7 km (aprox.)</t>
        </is>
      </c>
      <c r="K22" s="42" t="inlineStr">
        <is>
          <t>Planilla MP-45: sin cotizar</t>
        </is>
      </c>
      <c r="L22" s="42" t="inlineStr">
        <is>
          <t>Vástagos, manómetros, etiquetas, mangueras, toberas y válvulas</t>
        </is>
      </c>
      <c r="M22" s="42" t="inlineStr">
        <is>
          <t>Registro de proveedores PJN · Q-YUKON (equipos)</t>
        </is>
      </c>
      <c r="N22" s="42" t="inlineStr">
        <is>
          <t>A validar</t>
        </is>
      </c>
      <c r="O22" s="42" t="inlineStr">
        <is>
          <t>Ambos venden manómetros sueltos: confirmar sello IRAM 3533 en la cotización</t>
        </is>
      </c>
    </row>
    <row r="23">
      <c r="A23" s="17" t="inlineStr">
        <is>
          <t>REP-VALV</t>
        </is>
      </c>
      <c r="B23" s="17" t="inlineStr">
        <is>
          <t>Repuestos de válvula</t>
        </is>
      </c>
      <c r="C23" s="17" t="inlineStr">
        <is>
          <t>Manijas, eje, pasador, disco de seguridad de la válvula HZ</t>
        </is>
      </c>
      <c r="D23" s="17" t="inlineStr">
        <is>
          <t>Polvex S.R.L. / Sancibrao</t>
        </is>
      </c>
      <c r="E23" s="17" t="inlineStr">
        <is>
          <t>Boulogne Sur Mer 1813, Villa Maipú, San Martín (PBA)</t>
        </is>
      </c>
      <c r="F23" s="17" t="inlineStr">
        <is>
          <t>≈ 25 km (aprox.)</t>
        </is>
      </c>
      <c r="G23" s="17" t="inlineStr">
        <is>
          <t>11 4405-3382</t>
        </is>
      </c>
      <c r="H23" s="17" t="inlineStr">
        <is>
          <t>Yukon / MatafuegosYa S.R.L.</t>
        </is>
      </c>
      <c r="I23" s="17" t="inlineStr">
        <is>
          <t>Estomba 954, CABA</t>
        </is>
      </c>
      <c r="J23" s="17" t="inlineStr">
        <is>
          <t>≈ 12 km (aprox.)</t>
        </is>
      </c>
      <c r="K23" s="17" t="inlineStr">
        <is>
          <t>Q-AGENTES (válvula armada)</t>
        </is>
      </c>
      <c r="L23" s="17" t="inlineStr">
        <is>
          <t>Polvo «según IRAM 3569» (sello no confirmado); válvulas HZ</t>
        </is>
      </c>
      <c r="M23" s="17" t="inlineStr">
        <is>
          <t>Q-AGENTES (lista de precios)</t>
        </is>
      </c>
      <c r="N23" s="17" t="inlineStr">
        <is>
          <t>A cotizar</t>
        </is>
      </c>
      <c r="O23" s="17" t="inlineStr">
        <is>
          <t>Vienen con la válvula armada; sueltos sólo para recarga</t>
        </is>
      </c>
    </row>
    <row r="24">
      <c r="A24" s="17" t="inlineStr">
        <is>
          <t>DESC-MAN</t>
        </is>
      </c>
      <c r="B24" s="17" t="inlineStr">
        <is>
          <t>Manga y tobera de manuales</t>
        </is>
      </c>
      <c r="C24" s="17" t="inlineStr">
        <is>
          <t>Manguera EPDM/NBR trenzada ≥ 350 mm con racor + tobera (PH 2 × Ps)</t>
        </is>
      </c>
      <c r="D24" s="17" t="inlineStr">
        <is>
          <t>Yukon / MatafuegosYa S.R.L.</t>
        </is>
      </c>
      <c r="E24" s="17" t="inlineStr">
        <is>
          <t>Estomba 954, CABA</t>
        </is>
      </c>
      <c r="F24" s="17" t="inlineStr">
        <is>
          <t>≈ 12 km (aprox.)</t>
        </is>
      </c>
      <c r="G24" s="17" t="inlineStr">
        <is>
          <t>4555-5100</t>
        </is>
      </c>
      <c r="H24" s="17" t="inlineStr">
        <is>
          <t>Matafuegos Iglesias</t>
        </is>
      </c>
      <c r="I24" s="17" t="inlineStr">
        <is>
          <t>Av. Entre Ríos 1127, CABA</t>
        </is>
      </c>
      <c r="J24" s="17" t="inlineStr">
        <is>
          <t>≈ 7 km (aprox.)</t>
        </is>
      </c>
      <c r="K24" s="17" t="inlineStr">
        <is>
          <t>Planilla MP-48: sin cotizar</t>
        </is>
      </c>
      <c r="L24" s="17" t="inlineStr">
        <is>
          <t>Vástagos, manómetros, etiquetas, mangueras, toberas y válvulas</t>
        </is>
      </c>
      <c r="M24" s="17" t="inlineStr">
        <is>
          <t>Registro de proveedores PJN · Q-YUKON (equipos)</t>
        </is>
      </c>
      <c r="N24" s="17" t="inlineStr">
        <is>
          <t>A cotizar</t>
        </is>
      </c>
      <c r="O24" s="17" t="inlineStr">
        <is>
          <t>Pedir ensayo de PH de la manga (IRAM 3523 4.2)</t>
        </is>
      </c>
    </row>
    <row r="25">
      <c r="A25" s="17" t="inlineStr">
        <is>
          <t>DESC-ROD</t>
        </is>
      </c>
      <c r="B25" s="17" t="inlineStr">
        <is>
          <t>Manga, lanza y válvula de rodantes</t>
        </is>
      </c>
      <c r="C25" s="17" t="inlineStr">
        <is>
          <t>Manguera armada 5 / 12 m + lanza o válvula esférica + tobera campana</t>
        </is>
      </c>
      <c r="D25" s="17" t="inlineStr">
        <is>
          <t>Yukon / MatafuegosYa S.R.L.</t>
        </is>
      </c>
      <c r="E25" s="17" t="inlineStr">
        <is>
          <t>Estomba 954, CABA</t>
        </is>
      </c>
      <c r="F25" s="17" t="inlineStr">
        <is>
          <t>≈ 12 km (aprox.)</t>
        </is>
      </c>
      <c r="G25" s="17" t="inlineStr">
        <is>
          <t>4555-5100</t>
        </is>
      </c>
      <c r="H25" s="17" t="inlineStr">
        <is>
          <t>Matafuegos Iglesias</t>
        </is>
      </c>
      <c r="I25" s="17" t="inlineStr">
        <is>
          <t>Av. Entre Ríos 1127, CABA</t>
        </is>
      </c>
      <c r="J25" s="17" t="inlineStr">
        <is>
          <t>≈ 7 km (aprox.)</t>
        </is>
      </c>
      <c r="K25" s="17" t="inlineStr">
        <is>
          <t>Planilla MP-49: sin cotizar</t>
        </is>
      </c>
      <c r="L25" s="17" t="inlineStr">
        <is>
          <t>Vástagos, manómetros, etiquetas, mangueras, toberas y válvulas</t>
        </is>
      </c>
      <c r="M25" s="17" t="inlineStr">
        <is>
          <t>Registro de proveedores PJN · Q-YUKON (equipos)</t>
        </is>
      </c>
      <c r="N25" s="17" t="inlineStr">
        <is>
          <t>A cotizar</t>
        </is>
      </c>
      <c r="O25" s="17" t="n"/>
    </row>
    <row r="26">
      <c r="A26" s="17" t="inlineStr">
        <is>
          <t>ORING</t>
        </is>
      </c>
      <c r="B26" s="17" t="inlineStr">
        <is>
          <t>Junta tórica</t>
        </is>
      </c>
      <c r="C26" s="17" t="inlineStr">
        <is>
          <t>O-ring NBR 70 Shore A, medida del cuello</t>
        </is>
      </c>
      <c r="D26" s="17" t="inlineStr">
        <is>
          <t>Argensold</t>
        </is>
      </c>
      <c r="E26" s="17" t="inlineStr">
        <is>
          <t>Av. J. M. de Rosas 698, Lomas del Mirador (PBA)</t>
        </is>
      </c>
      <c r="F26" s="17" t="inlineStr">
        <is>
          <t>≈ 20 km (aprox.)</t>
        </is>
      </c>
      <c r="G26" s="17" t="inlineStr">
        <is>
          <t>4699-3788</t>
        </is>
      </c>
      <c r="H26" s="17" t="inlineStr">
        <is>
          <t>Matafuegos Iglesias</t>
        </is>
      </c>
      <c r="I26" s="17" t="inlineStr">
        <is>
          <t>Av. Entre Ríos 1127, CABA</t>
        </is>
      </c>
      <c r="J26" s="17" t="inlineStr">
        <is>
          <t>≈ 7 km (aprox.)</t>
        </is>
      </c>
      <c r="K26" s="17" t="inlineStr">
        <is>
          <t>Planilla MP-50: sin cotizar</t>
        </is>
      </c>
      <c r="L26" s="17" t="inlineStr">
        <is>
          <t>O-rings AS-568 en NBR</t>
        </is>
      </c>
      <c r="M26" s="17" t="inlineStr">
        <is>
          <t>Web o-ring.com.ar (producto verificado)</t>
        </is>
      </c>
      <c r="N26" s="17" t="inlineStr">
        <is>
          <t>A cotizar</t>
        </is>
      </c>
      <c r="O26" s="17" t="n"/>
    </row>
    <row r="27">
      <c r="A27" s="42" t="inlineStr">
        <is>
          <t>RUEDA-300</t>
        </is>
      </c>
      <c r="B27" s="42" t="inlineStr">
        <is>
          <t>Rueda Ø300 (carro 25 kg)</t>
        </is>
      </c>
      <c r="C27" s="42" t="inlineStr">
        <is>
          <t>Rueda de chapa y goma Ø300 × 50, buje liso para eje 3/4"</t>
        </is>
      </c>
      <c r="D27" s="42" t="inlineStr">
        <is>
          <t>Ruedar</t>
        </is>
      </c>
      <c r="E27" s="42" t="inlineStr">
        <is>
          <t>Gral. Paunero 557, Ciudad Madero, La Matanza (PBA)</t>
        </is>
      </c>
      <c r="F27" s="42" t="inlineStr">
        <is>
          <t>≈ 20 km (aprox.)</t>
        </is>
      </c>
      <c r="G27" s="42" t="inlineStr">
        <is>
          <t>4442-4752</t>
        </is>
      </c>
      <c r="H27" s="42" t="n"/>
      <c r="I27" s="42" t="n"/>
      <c r="J27" s="42" t="n"/>
      <c r="K27" s="42" t="inlineStr">
        <is>
          <t>Planilla MP-54: sin cotizar</t>
        </is>
      </c>
      <c r="L27" s="42" t="inlineStr">
        <is>
          <t>Goma maciza vulcanizada: Ø300 × 60 (M-1509, buje 20, 250 kg); Ø350 × 60 (buje 20/25/28, 150 kg)</t>
        </is>
      </c>
      <c r="M27" s="42" t="inlineStr">
        <is>
          <t>Catálogo web ruedar.com.ar (sin cotización)</t>
        </is>
      </c>
      <c r="N27" s="42" t="inlineStr">
        <is>
          <t>A validar</t>
        </is>
      </c>
      <c r="O27" s="42" t="inlineStr">
        <is>
          <t>Proceso de carros final (8.1): Ø300 × 50, agujero 3/4"</t>
        </is>
      </c>
    </row>
    <row r="28">
      <c r="A28" s="17" t="inlineStr">
        <is>
          <t>RUEDA-350</t>
        </is>
      </c>
      <c r="B28" s="17" t="inlineStr">
        <is>
          <t>Rueda Ø350 (carro 50 kg)</t>
        </is>
      </c>
      <c r="C28" s="17" t="inlineStr">
        <is>
          <t>Rueda de chapa y goma Ø350 × 60, buje liso para eje 1"</t>
        </is>
      </c>
      <c r="D28" s="17" t="inlineStr">
        <is>
          <t>Ruedar</t>
        </is>
      </c>
      <c r="E28" s="17" t="inlineStr">
        <is>
          <t>Gral. Paunero 557, Ciudad Madero, La Matanza (PBA)</t>
        </is>
      </c>
      <c r="F28" s="17" t="inlineStr">
        <is>
          <t>≈ 20 km (aprox.)</t>
        </is>
      </c>
      <c r="G28" s="17" t="inlineStr">
        <is>
          <t>4442-4752</t>
        </is>
      </c>
      <c r="H28" s="17" t="inlineStr">
        <is>
          <t>Escanort S.A.</t>
        </is>
      </c>
      <c r="I28" s="17" t="inlineStr">
        <is>
          <t>San Martín 1930, Florida, Vicente López (PBA)</t>
        </is>
      </c>
      <c r="J28" s="17" t="inlineStr">
        <is>
          <t>≈ 22 km (aprox.)</t>
        </is>
      </c>
      <c r="K28" s="17" t="inlineStr">
        <is>
          <t>Planilla MP-54: sin cotizar</t>
        </is>
      </c>
      <c r="L28" s="17" t="inlineStr">
        <is>
          <t>Goma maciza vulcanizada: Ø300 × 60 (M-1509, buje 20, 250 kg); Ø350 × 60 (buje 20/25/28, 150 kg)</t>
        </is>
      </c>
      <c r="M28" s="17" t="inlineStr">
        <is>
          <t>Catálogo web ruedar.com.ar (sin cotización)</t>
        </is>
      </c>
      <c r="N28" s="17" t="inlineStr">
        <is>
          <t>A cotizar</t>
        </is>
      </c>
      <c r="O28" s="17" t="inlineStr">
        <is>
          <t>Proceso de carros final (8.1): Ø350 × 60, agujero 1"</t>
        </is>
      </c>
    </row>
    <row r="29">
      <c r="A29" s="17" t="inlineStr">
        <is>
          <t>RUEDA-400</t>
        </is>
      </c>
      <c r="B29" s="17" t="inlineStr">
        <is>
          <t>Rueda Ø400 (carros 70 / 100 kg)</t>
        </is>
      </c>
      <c r="C29" s="17" t="inlineStr">
        <is>
          <t>Rueda de chapa y goma Ø400 × 60, buje liso para eje 1"</t>
        </is>
      </c>
      <c r="D29" s="17" t="inlineStr">
        <is>
          <t>Escanort S.A.</t>
        </is>
      </c>
      <c r="E29" s="17" t="inlineStr">
        <is>
          <t>San Martín 1930, Florida, Vicente López (PBA)</t>
        </is>
      </c>
      <c r="F29" s="17" t="inlineStr">
        <is>
          <t>≈ 22 km (aprox.)</t>
        </is>
      </c>
      <c r="G29" s="17" t="inlineStr">
        <is>
          <t>4795-0943</t>
        </is>
      </c>
      <c r="H29" s="17" t="inlineStr">
        <is>
          <t>Ruedar</t>
        </is>
      </c>
      <c r="I29" s="17" t="inlineStr">
        <is>
          <t>Gral. Paunero 557, Ciudad Madero, La Matanza (PBA)</t>
        </is>
      </c>
      <c r="J29" s="17" t="inlineStr">
        <is>
          <t>≈ 20 km (aprox.)</t>
        </is>
      </c>
      <c r="K29" s="17" t="inlineStr">
        <is>
          <t>Sin cotizar</t>
        </is>
      </c>
      <c r="L29" s="17" t="inlineStr">
        <is>
          <t>Ø400 × 100 neumática, rodamiento para eje 25, 200 kg (no maciza)</t>
        </is>
      </c>
      <c r="M29" s="17" t="inlineStr">
        <is>
          <t>Web escanort.com.ar</t>
        </is>
      </c>
      <c r="N29" s="17" t="inlineStr">
        <is>
          <t>A cotizar</t>
        </is>
      </c>
      <c r="O29" s="17" t="inlineStr">
        <is>
          <t>Proceso de carros final (8.1): Ø400 × 60, agujero 1"</t>
        </is>
      </c>
    </row>
    <row r="30">
      <c r="A30" s="17" t="inlineStr">
        <is>
          <t>MP-EJE</t>
        </is>
      </c>
      <c r="B30" s="17" t="inlineStr">
        <is>
          <t>Eje de ruedas</t>
        </is>
      </c>
      <c r="C30" s="17" t="inlineStr">
        <is>
          <t>Barra trefilada SAE 1045 3/4" (25 kg, barra 4 m) o 1" (50 a 100 kg, barra 6 m)</t>
        </is>
      </c>
      <c r="D30" s="17" t="inlineStr">
        <is>
          <t>Vladimirsky</t>
        </is>
      </c>
      <c r="E30" s="17" t="inlineStr">
        <is>
          <t>-</t>
        </is>
      </c>
      <c r="F30" s="17" t="inlineStr">
        <is>
          <t>a confirmar</t>
        </is>
      </c>
      <c r="G30" s="17" t="n"/>
      <c r="H30" s="17" t="inlineStr">
        <is>
          <t>Hierros Parrotta</t>
        </is>
      </c>
      <c r="I30" s="17" t="inlineStr">
        <is>
          <t>Av. Debenedetti 2851, Avellaneda</t>
        </is>
      </c>
      <c r="J30" s="17" t="inlineStr">
        <is>
          <t>≈ 3 km (aprox.)</t>
        </is>
      </c>
      <c r="K30" s="17" t="inlineStr">
        <is>
          <t>Sin cotizar</t>
        </is>
      </c>
      <c r="L30" s="17" t="inlineStr">
        <is>
          <t>Barras de 4 m hasta Ø20 y de 6 m de 21 a 30 mm; demora a confirmar</t>
        </is>
      </c>
      <c r="M30" s="17" t="inlineStr">
        <is>
          <t>Proceso de carros final (8.1)</t>
        </is>
      </c>
      <c r="N30" s="17" t="inlineStr">
        <is>
          <t>A cotizar</t>
        </is>
      </c>
      <c r="O30" s="17" t="inlineStr">
        <is>
          <t>Proceso de carros final (8.1): corte 490 / 510 / 590; va al montaje final con ruedas, arandelas y pasadores</t>
        </is>
      </c>
    </row>
    <row r="31">
      <c r="A31" s="17" t="inlineStr">
        <is>
          <t>MP-CANO-CARRO</t>
        </is>
      </c>
      <c r="B31" s="17" t="inlineStr">
        <is>
          <t>Caño de la manija del carro</t>
        </is>
      </c>
      <c r="C31" s="17" t="inlineStr">
        <is>
          <t>Caño SAE 1010 1" × 2,0, barra 6 m</t>
        </is>
      </c>
      <c r="D31" s="17" t="inlineStr">
        <is>
          <t>Metalpri / Prilux</t>
        </is>
      </c>
      <c r="E31" s="17" t="inlineStr">
        <is>
          <t>Nueva Pompeya, CABA</t>
        </is>
      </c>
      <c r="F31" s="17" t="inlineStr">
        <is>
          <t>≈ 8 km (aprox.)</t>
        </is>
      </c>
      <c r="G31" s="17" t="n"/>
      <c r="H31" s="17" t="inlineStr">
        <is>
          <t>Comercial MID</t>
        </is>
      </c>
      <c r="I31" s="17" t="inlineStr">
        <is>
          <t>Don Torcuato, Tigre (PBA)</t>
        </is>
      </c>
      <c r="J31" s="17" t="inlineStr">
        <is>
          <t>≈ 40 km (aprox.)</t>
        </is>
      </c>
      <c r="K31" s="17" t="inlineStr">
        <is>
          <t>Sin cotizar (mismo proveedor que el caño del 1 kg)</t>
        </is>
      </c>
      <c r="L31" s="17" t="inlineStr">
        <is>
          <t>-</t>
        </is>
      </c>
      <c r="M31" s="17" t="inlineStr">
        <is>
          <t>Q-METALPRI (mail 09/09/2026)</t>
        </is>
      </c>
      <c r="N31" s="17" t="inlineStr">
        <is>
          <t>A cotizar</t>
        </is>
      </c>
      <c r="O31" s="17" t="inlineStr">
        <is>
          <t>Corte 1440 / 1520 / 1590 (proceso, kit 8.1)</t>
        </is>
      </c>
    </row>
    <row r="32">
      <c r="A32" s="17" t="inlineStr">
        <is>
          <t>MP-PORTAEJE</t>
        </is>
      </c>
      <c r="B32" s="17" t="inlineStr">
        <is>
          <t>Caño del eje del carro</t>
        </is>
      </c>
      <c r="C32" s="17" t="inlineStr">
        <is>
          <t>Caño SAE 1010 1¼" × 2,0 (1" × 2,0 en 25 kg), barra 6 m</t>
        </is>
      </c>
      <c r="D32" s="17" t="inlineStr">
        <is>
          <t>Metalpri / Prilux</t>
        </is>
      </c>
      <c r="E32" s="17" t="inlineStr">
        <is>
          <t>Nueva Pompeya, CABA</t>
        </is>
      </c>
      <c r="F32" s="17" t="inlineStr">
        <is>
          <t>≈ 8 km (aprox.)</t>
        </is>
      </c>
      <c r="G32" s="17" t="n"/>
      <c r="H32" s="17" t="inlineStr">
        <is>
          <t>Comercial MID</t>
        </is>
      </c>
      <c r="I32" s="17" t="inlineStr">
        <is>
          <t>Don Torcuato, Tigre (PBA)</t>
        </is>
      </c>
      <c r="J32" s="17" t="inlineStr">
        <is>
          <t>≈ 40 km (aprox.)</t>
        </is>
      </c>
      <c r="K32" s="17" t="inlineStr">
        <is>
          <t>Sin cotizar (mismo proveedor que el caño de la manija)</t>
        </is>
      </c>
      <c r="L32" s="17" t="inlineStr">
        <is>
          <t>-</t>
        </is>
      </c>
      <c r="M32" s="17" t="inlineStr">
        <is>
          <t>Q-METALPRI (mail 09/09/2026)</t>
        </is>
      </c>
      <c r="N32" s="17" t="inlineStr">
        <is>
          <t>A cotizar</t>
        </is>
      </c>
      <c r="O32" s="17" t="inlineStr">
        <is>
          <t>Largo 354 / 354 / 434 con marca de la mitad (proceso, kit 8.1)</t>
        </is>
      </c>
    </row>
    <row r="33">
      <c r="A33" s="17" t="inlineStr">
        <is>
          <t>ARANDELA-TOPE</t>
        </is>
      </c>
      <c r="B33" s="17" t="inlineStr">
        <is>
          <t>Arandela de tope del eje de carro</t>
        </is>
      </c>
      <c r="C33" s="17" t="inlineStr">
        <is>
          <t>Arandela SAE 1010 Ø40 × 4 (Ø int. eje + 1)</t>
        </is>
      </c>
      <c r="D33" s="17" t="inlineStr">
        <is>
          <t>Hierros Parrotta</t>
        </is>
      </c>
      <c r="E33" s="17" t="inlineStr">
        <is>
          <t>Av. Debenedetti 2851, Avellaneda</t>
        </is>
      </c>
      <c r="F33" s="17" t="inlineStr">
        <is>
          <t>≈ 3 km (aprox.)</t>
        </is>
      </c>
      <c r="G33" s="17" t="n"/>
      <c r="H33" s="17" t="n"/>
      <c r="I33" s="17" t="n"/>
      <c r="J33" s="17" t="n"/>
      <c r="K33" s="17" t="inlineStr">
        <is>
          <t>Sin cotizar</t>
        </is>
      </c>
      <c r="L33" s="17" t="inlineStr">
        <is>
          <t>-</t>
        </is>
      </c>
      <c r="M33" s="17" t="inlineStr">
        <is>
          <t>Q-PARROTTA (00413329)</t>
        </is>
      </c>
      <c r="N33" s="17" t="inlineStr">
        <is>
          <t>A cotizar</t>
        </is>
      </c>
      <c r="O33" s="17" t="inlineStr">
        <is>
          <t>Montaje final, con las ruedas (proceso de carros, puesto 8)</t>
        </is>
      </c>
    </row>
    <row r="34">
      <c r="A34" s="17" t="inlineStr">
        <is>
          <t>PASADOR-EJE</t>
        </is>
      </c>
      <c r="B34" s="17" t="inlineStr">
        <is>
          <t>Pasador del eje de carro</t>
        </is>
      </c>
      <c r="C34" s="17" t="inlineStr">
        <is>
          <t>Pasador partido acero Ø4 × 40</t>
        </is>
      </c>
      <c r="D34" s="17" t="inlineStr">
        <is>
          <t>Hierros Parrotta</t>
        </is>
      </c>
      <c r="E34" s="17" t="inlineStr">
        <is>
          <t>Av. Debenedetti 2851, Avellaneda</t>
        </is>
      </c>
      <c r="F34" s="17" t="inlineStr">
        <is>
          <t>≈ 3 km (aprox.)</t>
        </is>
      </c>
      <c r="G34" s="17" t="n"/>
      <c r="H34" s="17" t="n"/>
      <c r="I34" s="17" t="n"/>
      <c r="J34" s="17" t="n"/>
      <c r="K34" s="17" t="inlineStr">
        <is>
          <t>Sin cotizar</t>
        </is>
      </c>
      <c r="L34" s="17" t="inlineStr">
        <is>
          <t>-</t>
        </is>
      </c>
      <c r="M34" s="17" t="inlineStr">
        <is>
          <t>Q-PARROTTA (00413329)</t>
        </is>
      </c>
      <c r="N34" s="17" t="inlineStr">
        <is>
          <t>A cotizar</t>
        </is>
      </c>
      <c r="O34" s="17" t="inlineStr">
        <is>
          <t>Montaje final, con las ruedas (proceso de carros, puesto 8)</t>
        </is>
      </c>
    </row>
    <row r="35">
      <c r="A35" s="17" t="inlineStr">
        <is>
          <t>POLVO-ABC</t>
        </is>
      </c>
      <c r="B35" s="17" t="inlineStr">
        <is>
          <t>Polvo ABC</t>
        </is>
      </c>
      <c r="C35" s="17" t="inlineStr">
        <is>
          <t>Polvo ABC con Sello IRAM 3569, grado del modelo (DEM-60 / DEM-90), bolsa 25 kg</t>
        </is>
      </c>
      <c r="D35" s="17" t="inlineStr">
        <is>
          <t>DEM S.A. (DEMSA)</t>
        </is>
      </c>
      <c r="E35" s="17" t="inlineStr">
        <is>
          <t>Ruta 9 km 79, Campana (PBA)</t>
        </is>
      </c>
      <c r="F35" s="17" t="inlineStr">
        <is>
          <t>≈ 85 km (aprox.)</t>
        </is>
      </c>
      <c r="G35" s="17" t="n"/>
      <c r="H35" s="17" t="inlineStr">
        <is>
          <t>Polvex S.R.L. / Sancibrao</t>
        </is>
      </c>
      <c r="I35" s="17" t="inlineStr">
        <is>
          <t>Boulogne Sur Mer 1813, Villa Maipú, San Martín (PBA)</t>
        </is>
      </c>
      <c r="J35" s="17" t="inlineStr">
        <is>
          <t>≈ 25 km (aprox.)</t>
        </is>
      </c>
      <c r="K35" s="17" t="inlineStr">
        <is>
          <t>Lista Q-AGENTES (Sancibrao ABC 55/75/90)</t>
        </is>
      </c>
      <c r="L35" s="17" t="inlineStr">
        <is>
          <t>Sello IRAM 3569 (ABC) y BVQI</t>
        </is>
      </c>
      <c r="M35" s="17" t="inlineStr">
        <is>
          <t>L-DEMSA · L-DRAGO (potencial con DEM-60/90)</t>
        </is>
      </c>
      <c r="N35" s="17" t="inlineStr">
        <is>
          <t>Cotizado</t>
        </is>
      </c>
      <c r="O35" s="17" t="inlineStr">
        <is>
          <t>DEMSA: sello IRAM 3569 y potencial de referencia (licencia Drago). Polvex: sello no confirmado; con ese polvo el potencial sale del ensayo de tipo de FLAMA</t>
        </is>
      </c>
    </row>
    <row r="36">
      <c r="A36" s="17" t="inlineStr">
        <is>
          <t>N2</t>
        </is>
      </c>
      <c r="B36" s="17" t="inlineStr">
        <is>
          <t>Nitrógeno seco</t>
        </is>
      </c>
      <c r="C36" s="17" t="inlineStr">
        <is>
          <t>N₂ ≥ 99,8 %, H₂O ≤ 40 ppm, batería 11 × 50 L 200 bar</t>
        </is>
      </c>
      <c r="D36" s="17" t="inlineStr">
        <is>
          <t>Air Liquide Argentina - sucursal Piñeyro</t>
        </is>
      </c>
      <c r="E36" s="17" t="inlineStr">
        <is>
          <t>Tte. Cnel. Guiffra 799, Piñeyro, Avellaneda</t>
        </is>
      </c>
      <c r="F36" s="17" t="inlineStr">
        <is>
          <t>≈ 3 km (aprox.)</t>
        </is>
      </c>
      <c r="G36" s="17" t="inlineStr">
        <is>
          <t>0810-222-5272</t>
        </is>
      </c>
      <c r="H36" s="17" t="inlineStr">
        <is>
          <t>Gogniat</t>
        </is>
      </c>
      <c r="I36" s="17" t="inlineStr">
        <is>
          <t>GBA (gogniat.com.ar)</t>
        </is>
      </c>
      <c r="J36" s="17" t="inlineStr">
        <is>
          <t>a confirmar</t>
        </is>
      </c>
      <c r="K36" s="17" t="inlineStr">
        <is>
          <t>Planilla MP-34: $1.800/m³ + $1.000/m³ acarreo</t>
        </is>
      </c>
      <c r="L36" s="17" t="inlineStr">
        <is>
          <t>ARCAL 21 / ARCAL Speed EN ISO 14175 M20-ArC-8; N₂ ≥ 99,8 %</t>
        </is>
      </c>
      <c r="M36" s="17" t="inlineStr">
        <is>
          <t>Q-ARCAL · Q-N2 · planilla MP-25 ($8.800/m³ + acarreo) y MP-34 ($1.800/m³ + acarreo)</t>
        </is>
      </c>
      <c r="N36" s="17" t="inlineStr">
        <is>
          <t>Cotizado</t>
        </is>
      </c>
      <c r="O36" s="17" t="n"/>
    </row>
    <row r="37">
      <c r="A37" s="17" t="inlineStr">
        <is>
          <t>ETIQUETA</t>
        </is>
      </c>
      <c r="B37" s="17" t="inlineStr">
        <is>
          <t>Etiqueta del extintor</t>
        </is>
      </c>
      <c r="C37" s="17" t="inlineStr">
        <is>
          <t>Vinilo autoadhesivo laminado UV, panel 108° + alas (hoja 4 del plano)</t>
        </is>
      </c>
      <c r="D37" s="17" t="inlineStr">
        <is>
          <t>Astuprint</t>
        </is>
      </c>
      <c r="E37" s="17" t="inlineStr">
        <is>
          <t>Tte. Cnel. Guiffra 970, Piñeyro, Avellaneda</t>
        </is>
      </c>
      <c r="F37" s="17" t="inlineStr">
        <is>
          <t>≈ 3 km (aprox.)</t>
        </is>
      </c>
      <c r="G37" s="17" t="n"/>
      <c r="H37" s="17" t="inlineStr">
        <is>
          <t>Multilabel Argentina S.A.</t>
        </is>
      </c>
      <c r="I37" s="17" t="inlineStr">
        <is>
          <t>Planta: Rodríguez Peña 1616 (GBA)</t>
        </is>
      </c>
      <c r="J37" s="17" t="inlineStr">
        <is>
          <t>a confirmar</t>
        </is>
      </c>
      <c r="K37" s="17" t="inlineStr">
        <is>
          <t>Planilla MP-56: sin cotizar</t>
        </is>
      </c>
      <c r="L37" s="17" t="inlineStr">
        <is>
          <t>Vinilo / PP con laminado UV</t>
        </is>
      </c>
      <c r="M37" s="17" t="inlineStr">
        <is>
          <t>Web (sin cotización)</t>
        </is>
      </c>
      <c r="N37" s="17" t="inlineStr">
        <is>
          <t>A cotizar</t>
        </is>
      </c>
      <c r="O37" s="17" t="n"/>
    </row>
    <row r="38">
      <c r="A38" s="17" t="inlineStr">
        <is>
          <t>ETIQ-SERIE</t>
        </is>
      </c>
      <c r="B38" s="17" t="inlineStr">
        <is>
          <t>Etiqueta de serie GS1</t>
        </is>
      </c>
      <c r="C38" s="17" t="inlineStr">
        <is>
          <t>Poliéster autoadhesivo 45 × 25 con QR GS1 (GTIN 779)</t>
        </is>
      </c>
      <c r="D38" s="17" t="inlineStr">
        <is>
          <t>Astuprint</t>
        </is>
      </c>
      <c r="E38" s="17" t="inlineStr">
        <is>
          <t>Tte. Cnel. Guiffra 970, Piñeyro, Avellaneda</t>
        </is>
      </c>
      <c r="F38" s="17" t="inlineStr">
        <is>
          <t>≈ 3 km (aprox.)</t>
        </is>
      </c>
      <c r="G38" s="17" t="n"/>
      <c r="H38" s="17" t="inlineStr">
        <is>
          <t>GS1 Argentina</t>
        </is>
      </c>
      <c r="I38" s="17" t="inlineStr">
        <is>
          <t>CABA</t>
        </is>
      </c>
      <c r="J38" s="17" t="inlineStr">
        <is>
          <t>≈ 10 km (aprox.)</t>
        </is>
      </c>
      <c r="K38" s="17" t="inlineStr">
        <is>
          <t>Sin cotizar</t>
        </is>
      </c>
      <c r="L38" s="17" t="inlineStr">
        <is>
          <t>Vinilo / PP con laminado UV</t>
        </is>
      </c>
      <c r="M38" s="17" t="inlineStr">
        <is>
          <t>Web (sin cotización)</t>
        </is>
      </c>
      <c r="N38" s="17" t="inlineStr">
        <is>
          <t>A cotizar</t>
        </is>
      </c>
      <c r="O38" s="17" t="inlineStr">
        <is>
          <t>GS1 asigna los códigos; la imprenta imprime</t>
        </is>
      </c>
    </row>
    <row r="39">
      <c r="A39" s="17" t="inlineStr">
        <is>
          <t>FAJA</t>
        </is>
      </c>
      <c r="B39" s="17" t="inlineStr">
        <is>
          <t>Faja de garantía</t>
        </is>
      </c>
      <c r="C39" s="17" t="inlineStr">
        <is>
          <t>Vinilo destructible rayado rojo-blanco 30 × 40</t>
        </is>
      </c>
      <c r="D39" s="17" t="inlineStr">
        <is>
          <t>Astuprint</t>
        </is>
      </c>
      <c r="E39" s="17" t="inlineStr">
        <is>
          <t>Tte. Cnel. Guiffra 970, Piñeyro, Avellaneda</t>
        </is>
      </c>
      <c r="F39" s="17" t="inlineStr">
        <is>
          <t>≈ 3 km (aprox.)</t>
        </is>
      </c>
      <c r="G39" s="17" t="n"/>
      <c r="H39" s="17" t="inlineStr">
        <is>
          <t>Multilabel Argentina S.A.</t>
        </is>
      </c>
      <c r="I39" s="17" t="inlineStr">
        <is>
          <t>Planta: Rodríguez Peña 1616 (GBA)</t>
        </is>
      </c>
      <c r="J39" s="17" t="inlineStr">
        <is>
          <t>a confirmar</t>
        </is>
      </c>
      <c r="K39" s="17" t="inlineStr">
        <is>
          <t>Sin cotizar</t>
        </is>
      </c>
      <c r="L39" s="17" t="inlineStr">
        <is>
          <t>Vinilo / PP con laminado UV</t>
        </is>
      </c>
      <c r="M39" s="17" t="inlineStr">
        <is>
          <t>Web (sin cotización)</t>
        </is>
      </c>
      <c r="N39" s="17" t="inlineStr">
        <is>
          <t>A cotizar</t>
        </is>
      </c>
      <c r="O39" s="17" t="n"/>
    </row>
    <row r="40">
      <c r="A40" s="17" t="inlineStr">
        <is>
          <t>FAJA-SUS</t>
        </is>
      </c>
      <c r="B40" s="17" t="inlineStr">
        <is>
          <t>Faja amarilla de sustituto</t>
        </is>
      </c>
      <c r="C40" s="17" t="inlineStr">
        <is>
          <t>Vinilo autoadhesivo amarillo, alto ≤ 40 mm, 3 leyendas</t>
        </is>
      </c>
      <c r="D40" s="17" t="inlineStr">
        <is>
          <t>Astuprint</t>
        </is>
      </c>
      <c r="E40" s="17" t="inlineStr">
        <is>
          <t>Tte. Cnel. Guiffra 970, Piñeyro, Avellaneda</t>
        </is>
      </c>
      <c r="F40" s="17" t="inlineStr">
        <is>
          <t>≈ 3 km (aprox.)</t>
        </is>
      </c>
      <c r="G40" s="17" t="n"/>
      <c r="H40" s="17" t="inlineStr">
        <is>
          <t>Multilabel Argentina S.A.</t>
        </is>
      </c>
      <c r="I40" s="17" t="inlineStr">
        <is>
          <t>Planta: Rodríguez Peña 1616 (GBA)</t>
        </is>
      </c>
      <c r="J40" s="17" t="inlineStr">
        <is>
          <t>a confirmar</t>
        </is>
      </c>
      <c r="K40" s="17" t="inlineStr">
        <is>
          <t>Sin cotizar</t>
        </is>
      </c>
      <c r="L40" s="17" t="inlineStr">
        <is>
          <t>Vinilo / PP con laminado UV</t>
        </is>
      </c>
      <c r="M40" s="17" t="inlineStr">
        <is>
          <t>Web (sin cotización)</t>
        </is>
      </c>
      <c r="N40" s="17" t="inlineStr">
        <is>
          <t>A cotizar</t>
        </is>
      </c>
      <c r="O40" s="17" t="inlineStr">
        <is>
          <t>IRAM 3517-2:2020 9.4.5</t>
        </is>
      </c>
    </row>
    <row r="41">
      <c r="A41" s="17" t="inlineStr">
        <is>
          <t>PRECINTO</t>
        </is>
      </c>
      <c r="B41" s="17" t="inlineStr">
        <is>
          <t>Precinto de fábrica</t>
        </is>
      </c>
      <c r="C41" s="17" t="inlineStr">
        <is>
          <t>Precinto plástico numerado de color con «FLAMA»</t>
        </is>
      </c>
      <c r="D41" s="17" t="inlineStr">
        <is>
          <t>SonFuertes (vía Papelera Damián)</t>
        </is>
      </c>
      <c r="E41" s="17" t="inlineStr">
        <is>
          <t>GBA</t>
        </is>
      </c>
      <c r="F41" s="17" t="inlineStr">
        <is>
          <t>a confirmar</t>
        </is>
      </c>
      <c r="G41" s="17" t="n"/>
      <c r="H41" s="17" t="inlineStr">
        <is>
          <t>Precinter S.R.L.</t>
        </is>
      </c>
      <c r="I41" s="17" t="inlineStr">
        <is>
          <t>Vera 518, Villa Crespo, CABA</t>
        </is>
      </c>
      <c r="J41" s="17" t="inlineStr">
        <is>
          <t>≈ 10 km (aprox.)</t>
        </is>
      </c>
      <c r="K41" s="17" t="inlineStr">
        <is>
          <t>Planilla MP-51: sin cotizar</t>
        </is>
      </c>
      <c r="L41" s="17" t="inlineStr">
        <is>
          <t>Numeración correlativa, color a pedido</t>
        </is>
      </c>
      <c r="M41" s="17" t="inlineStr">
        <is>
          <t>Web (sin cotización)</t>
        </is>
      </c>
      <c r="N41" s="17" t="inlineStr">
        <is>
          <t>A cotizar</t>
        </is>
      </c>
      <c r="O41" s="17" t="n"/>
    </row>
    <row r="42">
      <c r="A42" s="17" t="inlineStr">
        <is>
          <t>OBLEA-PBA</t>
        </is>
      </c>
      <c r="B42" s="17" t="inlineStr">
        <is>
          <t>Oblea PBA</t>
        </is>
      </c>
      <c r="C42" s="17" t="inlineStr">
        <is>
          <t>Oblea oficial Ø46 (Res. 522/07)</t>
        </is>
      </c>
      <c r="D42" s="17" t="inlineStr">
        <is>
          <t>Ministerio de Ambiente PBA (ex OPDS)</t>
        </is>
      </c>
      <c r="E42" s="17" t="inlineStr">
        <is>
          <t>La Plata (PBA)</t>
        </is>
      </c>
      <c r="F42" s="17" t="inlineStr">
        <is>
          <t>≈ 55 km (aprox.)</t>
        </is>
      </c>
      <c r="G42" s="17" t="n"/>
      <c r="H42" s="17" t="n"/>
      <c r="I42" s="17" t="n"/>
      <c r="J42" s="17" t="n"/>
      <c r="K42" s="17" t="inlineStr">
        <is>
          <t>Arancel oficial</t>
        </is>
      </c>
      <c r="L42" s="17" t="inlineStr">
        <is>
          <t>Res. 522/07 · Res. 349/07</t>
        </is>
      </c>
      <c r="M42" s="17" t="inlineStr">
        <is>
          <t>N-349</t>
        </is>
      </c>
      <c r="N42" s="17" t="inlineStr">
        <is>
          <t>Cotizado</t>
        </is>
      </c>
      <c r="O42" s="17" t="inlineStr">
        <is>
          <t>Se adquiere al organismo</t>
        </is>
      </c>
    </row>
    <row r="43">
      <c r="A43" s="17" t="inlineStr">
        <is>
          <t>ESTAMPILLA</t>
        </is>
      </c>
      <c r="B43" s="17" t="inlineStr">
        <is>
          <t>Estampilla IRAM</t>
        </is>
      </c>
      <c r="C43" s="17" t="inlineStr">
        <is>
          <t>Estampilla de conformidad (Anexo R)</t>
        </is>
      </c>
      <c r="D43" s="17" t="inlineStr">
        <is>
          <t>IRAM - Instituto Argentino de Normalización</t>
        </is>
      </c>
      <c r="E43" s="17" t="inlineStr">
        <is>
          <t>Perú 552/556, CABA</t>
        </is>
      </c>
      <c r="F43" s="17" t="inlineStr">
        <is>
          <t>≈ 6 km (aprox.)</t>
        </is>
      </c>
      <c r="G43" s="17" t="n"/>
      <c r="H43" s="17" t="n"/>
      <c r="I43" s="17" t="n"/>
      <c r="J43" s="17" t="n"/>
      <c r="K43" s="17" t="inlineStr">
        <is>
          <t>Arancel de la licencia</t>
        </is>
      </c>
      <c r="L43" s="17" t="inlineStr">
        <is>
          <t>Anexo R (DC-PG-129)</t>
        </is>
      </c>
      <c r="M43" s="17" t="inlineStr">
        <is>
          <t>N-3523</t>
        </is>
      </c>
      <c r="N43" s="17" t="inlineStr">
        <is>
          <t>Cotizado</t>
        </is>
      </c>
      <c r="O43" s="17" t="inlineStr">
        <is>
          <t>Se adquiere al organismo</t>
        </is>
      </c>
    </row>
    <row r="44">
      <c r="A44" s="17" t="inlineStr">
        <is>
          <t>TARJETA-AGC</t>
        </is>
      </c>
      <c r="B44" s="17" t="inlineStr">
        <is>
          <t>Tarjeta AGC</t>
        </is>
      </c>
      <c r="C44" s="17" t="inlineStr">
        <is>
          <t>Tarjeta de dos módulos (papel con QR + etiqueta AGC)</t>
        </is>
      </c>
      <c r="D44" s="17" t="inlineStr">
        <is>
          <t>Agencia Gubernamental de Control (CABA)</t>
        </is>
      </c>
      <c r="E44" s="17" t="inlineStr">
        <is>
          <t>CABA</t>
        </is>
      </c>
      <c r="F44" s="17" t="inlineStr">
        <is>
          <t>≈ 6 km (aprox.)</t>
        </is>
      </c>
      <c r="G44" s="17" t="n"/>
      <c r="H44" s="17" t="n"/>
      <c r="I44" s="17" t="n"/>
      <c r="J44" s="17" t="n"/>
      <c r="K44" s="17" t="inlineStr">
        <is>
          <t>Arancel oficial</t>
        </is>
      </c>
      <c r="L44" s="17" t="inlineStr">
        <is>
          <t>Ord. 40.473 · Res. AGC 32/15</t>
        </is>
      </c>
      <c r="M44" s="17" t="inlineStr">
        <is>
          <t>N-AGC</t>
        </is>
      </c>
      <c r="N44" s="17" t="inlineStr">
        <is>
          <t>Cotizado</t>
        </is>
      </c>
      <c r="O44" s="17" t="inlineStr">
        <is>
          <t>Sólo destino CABA</t>
        </is>
      </c>
    </row>
    <row r="45">
      <c r="A45" s="17" t="inlineStr">
        <is>
          <t>TARJETA-DPS</t>
        </is>
      </c>
      <c r="B45" s="17" t="inlineStr">
        <is>
          <t>Tarjeta DPS</t>
        </is>
      </c>
      <c r="C45" s="17" t="inlineStr">
        <is>
          <t>Tarjeta oficial DPS (Res. 349/07 art. 21 / 32)</t>
        </is>
      </c>
      <c r="D45" s="17" t="inlineStr">
        <is>
          <t>Ministerio de Ambiente PBA (ex OPDS)</t>
        </is>
      </c>
      <c r="E45" s="17" t="inlineStr">
        <is>
          <t>La Plata (PBA)</t>
        </is>
      </c>
      <c r="F45" s="17" t="inlineStr">
        <is>
          <t>≈ 55 km (aprox.)</t>
        </is>
      </c>
      <c r="G45" s="17" t="n"/>
      <c r="H45" s="17" t="n"/>
      <c r="I45" s="17" t="n"/>
      <c r="J45" s="17" t="n"/>
      <c r="K45" s="17" t="inlineStr">
        <is>
          <t>Arancel oficial</t>
        </is>
      </c>
      <c r="L45" s="17" t="inlineStr">
        <is>
          <t>Res. 522/07 · Res. 349/07</t>
        </is>
      </c>
      <c r="M45" s="17" t="inlineStr">
        <is>
          <t>N-349</t>
        </is>
      </c>
      <c r="N45" s="17" t="inlineStr">
        <is>
          <t>Cotizado</t>
        </is>
      </c>
      <c r="O45" s="17" t="inlineStr">
        <is>
          <t>Sólo PBA</t>
        </is>
      </c>
    </row>
    <row r="46">
      <c r="A46" s="17" t="inlineStr">
        <is>
          <t>SOPORTE</t>
        </is>
      </c>
      <c r="B46" s="17" t="inlineStr">
        <is>
          <t>Soporte de pared / vehicular</t>
        </is>
      </c>
      <c r="C46" s="17" t="inlineStr">
        <is>
          <t>Soporte de chapa SAE 1010 pintado según FL_ACC_01 / 02</t>
        </is>
      </c>
      <c r="D46" s="17" t="inlineStr">
        <is>
          <t>Maxiseguridad</t>
        </is>
      </c>
      <c r="E46" s="17" t="inlineStr">
        <is>
          <t>Vélez Sarsfield 5263, Munro (PBA)</t>
        </is>
      </c>
      <c r="F46" s="17" t="inlineStr">
        <is>
          <t>≈ 25 km (aprox.)</t>
        </is>
      </c>
      <c r="G46" s="17" t="inlineStr">
        <is>
          <t>4756-3979</t>
        </is>
      </c>
      <c r="H46" s="17" t="inlineStr">
        <is>
          <t>CM Representaciones</t>
        </is>
      </c>
      <c r="I46" s="17" t="inlineStr">
        <is>
          <t>GBA</t>
        </is>
      </c>
      <c r="J46" s="17" t="inlineStr">
        <is>
          <t>a confirmar</t>
        </is>
      </c>
      <c r="K46" s="17" t="inlineStr">
        <is>
          <t>Planilla MP-52: sin cotizar</t>
        </is>
      </c>
      <c r="L46" s="17" t="inlineStr">
        <is>
          <t>Soportes de chapa para 1 kg, de pared y de piso</t>
        </is>
      </c>
      <c r="M46" s="17" t="inlineStr">
        <is>
          <t>Web catalogo.maxiseguridad.com.ar (producto verificado)</t>
        </is>
      </c>
      <c r="N46" s="17" t="inlineStr">
        <is>
          <t>A cotizar</t>
        </is>
      </c>
      <c r="O46" s="17" t="n"/>
    </row>
    <row r="47">
      <c r="A47" s="17" t="inlineStr">
        <is>
          <t>TORNILLERIA</t>
        </is>
      </c>
      <c r="B47" s="17" t="inlineStr">
        <is>
          <t>Tornillo y tarugo</t>
        </is>
      </c>
      <c r="C47" s="17" t="inlineStr">
        <is>
          <t>Tornillo M8 + tarugo nylon Ø10</t>
        </is>
      </c>
      <c r="D47" s="17" t="inlineStr">
        <is>
          <t>Würth Argentina</t>
        </is>
      </c>
      <c r="E47" s="17" t="inlineStr">
        <is>
          <t>Sucursales GBA</t>
        </is>
      </c>
      <c r="F47" s="17" t="inlineStr">
        <is>
          <t>a confirmar</t>
        </is>
      </c>
      <c r="G47" s="17" t="n"/>
      <c r="H47" s="17" t="n"/>
      <c r="I47" s="17" t="n"/>
      <c r="J47" s="17" t="n"/>
      <c r="K47" s="17" t="inlineStr">
        <is>
          <t>Sin cotizar</t>
        </is>
      </c>
      <c r="L47" s="17" t="inlineStr">
        <is>
          <t>-</t>
        </is>
      </c>
      <c r="M47" s="17" t="inlineStr">
        <is>
          <t>Web (sin cotización)</t>
        </is>
      </c>
      <c r="N47" s="17" t="inlineStr">
        <is>
          <t>A cotizar</t>
        </is>
      </c>
      <c r="O47" s="17" t="n"/>
    </row>
    <row r="48">
      <c r="A48" s="17" t="inlineStr">
        <is>
          <t>CAJA</t>
        </is>
      </c>
      <c r="B48" s="17" t="inlineStr">
        <is>
          <t>Caja de cartón corrugado</t>
        </is>
      </c>
      <c r="C48" s="17" t="inlineStr">
        <is>
          <t>Caja a medida del modelo (medida del plano), simple o doble</t>
        </is>
      </c>
      <c r="D48" s="17" t="inlineStr">
        <is>
          <t>Maxipack</t>
        </is>
      </c>
      <c r="E48" s="17" t="inlineStr">
        <is>
          <t>Aldecoa 953, Avellaneda</t>
        </is>
      </c>
      <c r="F48" s="17" t="inlineStr">
        <is>
          <t>≈ 3 km (aprox.)</t>
        </is>
      </c>
      <c r="G48" s="17" t="inlineStr">
        <is>
          <t>5281-8000</t>
        </is>
      </c>
      <c r="H48" s="17" t="inlineStr">
        <is>
          <t>Cartocan</t>
        </is>
      </c>
      <c r="I48" s="17" t="inlineStr">
        <is>
          <t>La Rioja 1642, Avellaneda</t>
        </is>
      </c>
      <c r="J48" s="17" t="inlineStr">
        <is>
          <t>≈ 3 km (aprox.)</t>
        </is>
      </c>
      <c r="K48" s="17" t="inlineStr">
        <is>
          <t>Planilla MP-59: $1.500 por caja 2,5-10 kg (evaluación económica)</t>
        </is>
      </c>
      <c r="L48" s="17" t="inlineStr">
        <is>
          <t>Corrugado simple / doble</t>
        </is>
      </c>
      <c r="M48" s="17" t="inlineStr">
        <is>
          <t>Web (sin cotización)</t>
        </is>
      </c>
      <c r="N48" s="17" t="inlineStr">
        <is>
          <t>A cotizar</t>
        </is>
      </c>
      <c r="O48" s="17" t="inlineStr">
        <is>
          <t>Ambos en Avellaneda</t>
        </is>
      </c>
    </row>
    <row r="49">
      <c r="A49" s="17" t="inlineStr">
        <is>
          <t>FUNDA</t>
        </is>
      </c>
      <c r="B49" s="17" t="inlineStr">
        <is>
          <t>Funda y esquineros de rodantes</t>
        </is>
      </c>
      <c r="C49" s="17" t="inlineStr">
        <is>
          <t>Funda de PE + esquineros de cartón</t>
        </is>
      </c>
      <c r="D49" s="17" t="inlineStr">
        <is>
          <t>MV Embalajes</t>
        </is>
      </c>
      <c r="E49" s="17" t="inlineStr">
        <is>
          <t>Zona Oeste (PBA)</t>
        </is>
      </c>
      <c r="F49" s="17" t="inlineStr">
        <is>
          <t>a confirmar</t>
        </is>
      </c>
      <c r="G49" s="17" t="inlineStr">
        <is>
          <t>7520-0870 · ventas@mvembalajes.com.ar</t>
        </is>
      </c>
      <c r="H49" s="17" t="inlineStr">
        <is>
          <t>Embalpack</t>
        </is>
      </c>
      <c r="I49" s="17" t="inlineStr">
        <is>
          <t>Nicasio Oroño 2444, CABA</t>
        </is>
      </c>
      <c r="J49" s="17" t="inlineStr">
        <is>
          <t>≈ 10 km (aprox.)</t>
        </is>
      </c>
      <c r="K49" s="17" t="inlineStr">
        <is>
          <t>Planilla MP-64: sin cotizar</t>
        </is>
      </c>
      <c r="L49" s="17" t="inlineStr">
        <is>
          <t>Film stretch y cinta de embalaje</t>
        </is>
      </c>
      <c r="M49" s="17" t="inlineStr">
        <is>
          <t>Web mvembalajes.com (producto verificado)</t>
        </is>
      </c>
      <c r="N49" s="17" t="inlineStr">
        <is>
          <t>A cotizar</t>
        </is>
      </c>
      <c r="O49" s="17" t="n"/>
    </row>
    <row r="50">
      <c r="A50" s="17" t="inlineStr">
        <is>
          <t>PALLET</t>
        </is>
      </c>
      <c r="B50" s="17" t="inlineStr">
        <is>
          <t>Pallet</t>
        </is>
      </c>
      <c r="C50" s="17" t="inlineStr">
        <is>
          <t>Pallet de madera 1200 × 1000 (IRAM 10016)</t>
        </is>
      </c>
      <c r="D50" s="17" t="inlineStr">
        <is>
          <t>IndusPallets</t>
        </is>
      </c>
      <c r="E50" s="17" t="inlineStr">
        <is>
          <t>Las Higueritas 548, Lanús Este (PBA)</t>
        </is>
      </c>
      <c r="F50" s="17" t="inlineStr">
        <is>
          <t>≈ 8 km (aprox.)</t>
        </is>
      </c>
      <c r="G50" s="17" t="inlineStr">
        <is>
          <t>4220-9600</t>
        </is>
      </c>
      <c r="H50" s="17" t="n"/>
      <c r="I50" s="17" t="n"/>
      <c r="J50" s="17" t="n"/>
      <c r="K50" s="17" t="inlineStr">
        <is>
          <t>Planilla MP-60: sin cotizar</t>
        </is>
      </c>
      <c r="L50" s="17" t="inlineStr">
        <is>
          <t>1200 × 1000 (IRAM 10016)</t>
        </is>
      </c>
      <c r="M50" s="17" t="inlineStr">
        <is>
          <t>Web (sin cotización)</t>
        </is>
      </c>
      <c r="N50" s="17" t="inlineStr">
        <is>
          <t>A cotizar</t>
        </is>
      </c>
      <c r="O50" s="17" t="n"/>
    </row>
    <row r="51">
      <c r="A51" s="17" t="inlineStr">
        <is>
          <t>FILM</t>
        </is>
      </c>
      <c r="B51" s="17" t="inlineStr">
        <is>
          <t>Film stretch</t>
        </is>
      </c>
      <c r="C51" s="17" t="inlineStr">
        <is>
          <t>Film LLDPE 23 µm × 500 mm, pre-estirable 250 %</t>
        </is>
      </c>
      <c r="D51" s="17" t="inlineStr">
        <is>
          <t>MV Embalajes</t>
        </is>
      </c>
      <c r="E51" s="17" t="inlineStr">
        <is>
          <t>Zona Oeste (PBA)</t>
        </is>
      </c>
      <c r="F51" s="17" t="inlineStr">
        <is>
          <t>a confirmar</t>
        </is>
      </c>
      <c r="G51" s="17" t="inlineStr">
        <is>
          <t>7520-0870 · ventas@mvembalajes.com.ar</t>
        </is>
      </c>
      <c r="H51" s="17" t="inlineStr">
        <is>
          <t>Embalpack</t>
        </is>
      </c>
      <c r="I51" s="17" t="inlineStr">
        <is>
          <t>Nicasio Oroño 2444, CABA</t>
        </is>
      </c>
      <c r="J51" s="17" t="inlineStr">
        <is>
          <t>≈ 10 km (aprox.)</t>
        </is>
      </c>
      <c r="K51" s="17" t="inlineStr">
        <is>
          <t>Planilla MP-63: sin cotizar</t>
        </is>
      </c>
      <c r="L51" s="17" t="inlineStr">
        <is>
          <t>Film stretch y cinta de embalaje</t>
        </is>
      </c>
      <c r="M51" s="17" t="inlineStr">
        <is>
          <t>Web mvembalajes.com (producto verificado)</t>
        </is>
      </c>
      <c r="N51" s="17" t="inlineStr">
        <is>
          <t>A cotizar</t>
        </is>
      </c>
      <c r="O51" s="17" t="n"/>
    </row>
    <row r="52">
      <c r="A52" s="17" t="inlineStr">
        <is>
          <t>CINTA</t>
        </is>
      </c>
      <c r="B52" s="17" t="inlineStr">
        <is>
          <t>Cinta de embalaje</t>
        </is>
      </c>
      <c r="C52" s="17" t="inlineStr">
        <is>
          <t>Cinta PP 48 mm × 100 m, adhesivo acrílico</t>
        </is>
      </c>
      <c r="D52" s="17" t="inlineStr">
        <is>
          <t>MV Embalajes</t>
        </is>
      </c>
      <c r="E52" s="17" t="inlineStr">
        <is>
          <t>Zona Oeste (PBA)</t>
        </is>
      </c>
      <c r="F52" s="17" t="inlineStr">
        <is>
          <t>a confirmar</t>
        </is>
      </c>
      <c r="G52" s="17" t="inlineStr">
        <is>
          <t>7520-0870 · ventas@mvembalajes.com.ar</t>
        </is>
      </c>
      <c r="H52" s="17" t="inlineStr">
        <is>
          <t>Embalpack</t>
        </is>
      </c>
      <c r="I52" s="17" t="inlineStr">
        <is>
          <t>Nicasio Oroño 2444, CABA</t>
        </is>
      </c>
      <c r="J52" s="17" t="inlineStr">
        <is>
          <t>≈ 10 km (aprox.)</t>
        </is>
      </c>
      <c r="K52" s="17" t="inlineStr">
        <is>
          <t>Sin cotizar</t>
        </is>
      </c>
      <c r="L52" s="17" t="inlineStr">
        <is>
          <t>Film stretch y cinta de embalaje</t>
        </is>
      </c>
      <c r="M52" s="17" t="inlineStr">
        <is>
          <t>Web mvembalajes.com (producto verificado)</t>
        </is>
      </c>
      <c r="N52" s="17" t="inlineStr">
        <is>
          <t>A cotizar</t>
        </is>
      </c>
      <c r="O52" s="17" t="n"/>
    </row>
    <row r="53">
      <c r="A53" s="17" t="inlineStr">
        <is>
          <t>ESQUINERO</t>
        </is>
      </c>
      <c r="B53" s="17" t="inlineStr">
        <is>
          <t>Esquineros de cartón</t>
        </is>
      </c>
      <c r="C53" s="17" t="inlineStr">
        <is>
          <t>Esquinero 50 × 50 × 1200</t>
        </is>
      </c>
      <c r="D53" s="17" t="inlineStr">
        <is>
          <t>Maxipack</t>
        </is>
      </c>
      <c r="E53" s="17" t="inlineStr">
        <is>
          <t>Aldecoa 953, Avellaneda</t>
        </is>
      </c>
      <c r="F53" s="17" t="inlineStr">
        <is>
          <t>≈ 3 km (aprox.)</t>
        </is>
      </c>
      <c r="G53" s="17" t="inlineStr">
        <is>
          <t>5281-8000</t>
        </is>
      </c>
      <c r="H53" s="17" t="inlineStr">
        <is>
          <t>Cartocan</t>
        </is>
      </c>
      <c r="I53" s="17" t="inlineStr">
        <is>
          <t>La Rioja 1642, Avellaneda</t>
        </is>
      </c>
      <c r="J53" s="17" t="inlineStr">
        <is>
          <t>≈ 3 km (aprox.)</t>
        </is>
      </c>
      <c r="K53" s="17" t="inlineStr">
        <is>
          <t>Planilla MP-64: sin cotizar</t>
        </is>
      </c>
      <c r="L53" s="17" t="inlineStr">
        <is>
          <t>Corrugado simple / doble</t>
        </is>
      </c>
      <c r="M53" s="17" t="inlineStr">
        <is>
          <t>Web (sin cotización)</t>
        </is>
      </c>
      <c r="N53" s="17" t="inlineStr">
        <is>
          <t>A cotizar</t>
        </is>
      </c>
      <c r="O53" s="17" t="n"/>
    </row>
    <row r="54">
      <c r="A54" s="17" t="inlineStr">
        <is>
          <t>SEPARADOR</t>
        </is>
      </c>
      <c r="B54" s="17" t="inlineStr">
        <is>
          <t>Separador de capa</t>
        </is>
      </c>
      <c r="C54" s="17" t="inlineStr">
        <is>
          <t>Plancha de cartón 1200 × 1000</t>
        </is>
      </c>
      <c r="D54" s="17" t="inlineStr">
        <is>
          <t>Maxipack</t>
        </is>
      </c>
      <c r="E54" s="17" t="inlineStr">
        <is>
          <t>Aldecoa 953, Avellaneda</t>
        </is>
      </c>
      <c r="F54" s="17" t="inlineStr">
        <is>
          <t>≈ 3 km (aprox.)</t>
        </is>
      </c>
      <c r="G54" s="17" t="inlineStr">
        <is>
          <t>5281-8000</t>
        </is>
      </c>
      <c r="H54" s="17" t="inlineStr">
        <is>
          <t>Cartocan</t>
        </is>
      </c>
      <c r="I54" s="17" t="inlineStr">
        <is>
          <t>La Rioja 1642, Avellaneda</t>
        </is>
      </c>
      <c r="J54" s="17" t="inlineStr">
        <is>
          <t>≈ 3 km (aprox.)</t>
        </is>
      </c>
      <c r="K54" s="17" t="inlineStr">
        <is>
          <t>Planilla MP-61: sin cotizar</t>
        </is>
      </c>
      <c r="L54" s="17" t="inlineStr">
        <is>
          <t>Corrugado simple / doble</t>
        </is>
      </c>
      <c r="M54" s="17" t="inlineStr">
        <is>
          <t>Web (sin cotización)</t>
        </is>
      </c>
      <c r="N54" s="17" t="inlineStr">
        <is>
          <t>A cotizar</t>
        </is>
      </c>
      <c r="O54" s="17" t="n"/>
    </row>
    <row r="55">
      <c r="A55" s="17" t="inlineStr">
        <is>
          <t>ETIQ-PALLET</t>
        </is>
      </c>
      <c r="B55" s="17" t="inlineStr">
        <is>
          <t>Etiqueta de pallet</t>
        </is>
      </c>
      <c r="C55" s="17" t="inlineStr">
        <is>
          <t>Papel térmico 100 × 150</t>
        </is>
      </c>
      <c r="D55" s="17" t="inlineStr">
        <is>
          <t>Astuprint</t>
        </is>
      </c>
      <c r="E55" s="17" t="inlineStr">
        <is>
          <t>Tte. Cnel. Guiffra 970, Piñeyro, Avellaneda</t>
        </is>
      </c>
      <c r="F55" s="17" t="inlineStr">
        <is>
          <t>≈ 3 km (aprox.)</t>
        </is>
      </c>
      <c r="G55" s="17" t="n"/>
      <c r="H55" s="17" t="inlineStr">
        <is>
          <t>Multilabel Argentina S.A.</t>
        </is>
      </c>
      <c r="I55" s="17" t="inlineStr">
        <is>
          <t>Planta: Rodríguez Peña 1616 (GBA)</t>
        </is>
      </c>
      <c r="J55" s="17" t="inlineStr">
        <is>
          <t>a confirmar</t>
        </is>
      </c>
      <c r="K55" s="17" t="inlineStr">
        <is>
          <t>Sin cotizar</t>
        </is>
      </c>
      <c r="L55" s="17" t="inlineStr">
        <is>
          <t>Vinilo / PP con laminado UV</t>
        </is>
      </c>
      <c r="M55" s="17" t="inlineStr">
        <is>
          <t>Web (sin cotización)</t>
        </is>
      </c>
      <c r="N55" s="17" t="inlineStr">
        <is>
          <t>A cotizar</t>
        </is>
      </c>
      <c r="O55" s="17" t="n"/>
    </row>
    <row r="56">
      <c r="A56" s="17" t="inlineStr">
        <is>
          <t>IMPRESOS</t>
        </is>
      </c>
      <c r="B56" s="17" t="inlineStr">
        <is>
          <t>Impresos (instructivo, protocolo, remito)</t>
        </is>
      </c>
      <c r="C56" s="17" t="inlineStr">
        <is>
          <t>Impresión offset A5</t>
        </is>
      </c>
      <c r="D56" s="17" t="inlineStr">
        <is>
          <t>Astuprint</t>
        </is>
      </c>
      <c r="E56" s="17" t="inlineStr">
        <is>
          <t>Tte. Cnel. Guiffra 970, Piñeyro, Avellaneda</t>
        </is>
      </c>
      <c r="F56" s="17" t="inlineStr">
        <is>
          <t>≈ 3 km (aprox.)</t>
        </is>
      </c>
      <c r="G56" s="17" t="n"/>
      <c r="H56" s="17" t="n"/>
      <c r="I56" s="17" t="n"/>
      <c r="J56" s="17" t="n"/>
      <c r="K56" s="17" t="inlineStr">
        <is>
          <t>Sin cotizar</t>
        </is>
      </c>
      <c r="L56" s="17" t="inlineStr">
        <is>
          <t>Vinilo / PP con laminado UV</t>
        </is>
      </c>
      <c r="M56" s="17" t="inlineStr">
        <is>
          <t>Web (sin cotización)</t>
        </is>
      </c>
      <c r="N56" s="17" t="inlineStr">
        <is>
          <t>A cotizar</t>
        </is>
      </c>
      <c r="O56" s="17" t="n"/>
    </row>
    <row r="57">
      <c r="A57" s="19" t="inlineStr">
        <is>
          <t>TAPON</t>
        </is>
      </c>
      <c r="B57" s="19" t="inlineStr">
        <is>
          <t>Tapón protector de rosca</t>
        </is>
      </c>
      <c r="C57" s="19" t="inlineStr">
        <is>
          <t>Tapón PE para M22 / M30 / RBSP 2½"</t>
        </is>
      </c>
      <c r="D57" s="19" t="inlineStr">
        <is>
          <t>Sin proveedor nacional identificado</t>
        </is>
      </c>
      <c r="E57" s="19" t="n"/>
      <c r="F57" s="19" t="n"/>
      <c r="G57" s="19" t="n"/>
      <c r="H57" s="19" t="n"/>
      <c r="I57" s="19" t="n"/>
      <c r="J57" s="19" t="n"/>
      <c r="K57" s="19" t="inlineStr">
        <is>
          <t>Planilla MP-62: inyectora local sin identificar</t>
        </is>
      </c>
      <c r="L57" s="19" t="n"/>
      <c r="M57" s="19" t="n"/>
      <c r="N57" s="19" t="inlineStr">
        <is>
          <t>No cumple / a definir</t>
        </is>
      </c>
      <c r="O57" s="19" t="inlineStr">
        <is>
          <t>Sin proveedor nacional identificado</t>
        </is>
      </c>
    </row>
    <row r="58">
      <c r="A58" s="17" t="inlineStr">
        <is>
          <t>EQ-CO2</t>
        </is>
      </c>
      <c r="B58" s="17" t="inlineStr">
        <is>
          <t>Extintor de CO₂ terminado</t>
        </is>
      </c>
      <c r="C58" s="17" t="inlineStr">
        <is>
          <t>Extintor CO₂ con sello IRAM 3509 (cilindro IRAM 2533)</t>
        </is>
      </c>
      <c r="D58" s="17" t="inlineStr">
        <is>
          <t>Mozart S.R.L.</t>
        </is>
      </c>
      <c r="E58" s="17" t="inlineStr">
        <is>
          <t>Ucrania 1564, Valentín Alsina, Lanús (PBA)</t>
        </is>
      </c>
      <c r="F58" s="17" t="inlineStr">
        <is>
          <t>≈ 9 km (aprox.)</t>
        </is>
      </c>
      <c r="G58" s="17" t="inlineStr">
        <is>
          <t>4218-3690 · info@mozartsrl.com.ar</t>
        </is>
      </c>
      <c r="H58" s="17" t="inlineStr">
        <is>
          <t>Matafuegos Georgia - venta mayorista</t>
        </is>
      </c>
      <c r="I58" s="17" t="inlineStr">
        <is>
          <t>Gral. Manuel A. Rodríguez 2838, CABA</t>
        </is>
      </c>
      <c r="J58" s="17" t="inlineStr">
        <is>
          <t>≈ 15 km (aprox.)</t>
        </is>
      </c>
      <c r="K58" s="17" t="inlineStr">
        <is>
          <t>Sin cotizar</t>
        </is>
      </c>
      <c r="L58" s="17" t="inlineStr">
        <is>
          <t>Licencias IRAM de extintores y cilindros (2525/2526/2533, 3509, 3565)</t>
        </is>
      </c>
      <c r="M58" s="17" t="inlineStr">
        <is>
          <t>Web (sin cotización)</t>
        </is>
      </c>
      <c r="N58" s="17" t="inlineStr">
        <is>
          <t>A cotizar</t>
        </is>
      </c>
      <c r="O58" s="17" t="inlineStr">
        <is>
          <t>Mozart: licencias de cilindros y extintores de CO₂</t>
        </is>
      </c>
    </row>
    <row r="59">
      <c r="A59" s="17" t="inlineStr">
        <is>
          <t>EQ-AGUA</t>
        </is>
      </c>
      <c r="B59" s="17" t="inlineStr">
        <is>
          <t>Extintor de agua terminado</t>
        </is>
      </c>
      <c r="C59" s="17" t="inlineStr">
        <is>
          <t>Extintor de agua 10 L inoxidable con sello IRAM 3525</t>
        </is>
      </c>
      <c r="D59" s="17" t="inlineStr">
        <is>
          <t>Matafuegos Georgia - venta mayorista</t>
        </is>
      </c>
      <c r="E59" s="17" t="inlineStr">
        <is>
          <t>Gral. Manuel A. Rodríguez 2838, CABA</t>
        </is>
      </c>
      <c r="F59" s="17" t="inlineStr">
        <is>
          <t>≈ 15 km (aprox.)</t>
        </is>
      </c>
      <c r="G59" s="17" t="inlineStr">
        <is>
          <t>4585-4400 · ventas@matafuegosgeorgia.com</t>
        </is>
      </c>
      <c r="H59" s="17" t="inlineStr">
        <is>
          <t>Drago (Luis Pasquinelli e Hijos S.A.)</t>
        </is>
      </c>
      <c r="I59" s="17" t="inlineStr">
        <is>
          <t>Saladillo 1884, Castelar (PBA)</t>
        </is>
      </c>
      <c r="J59" s="17" t="inlineStr">
        <is>
          <t>≈ 30 km (aprox.)</t>
        </is>
      </c>
      <c r="K59" s="17" t="inlineStr">
        <is>
          <t>Sin cotizar</t>
        </is>
      </c>
      <c r="L59" s="17" t="inlineStr">
        <is>
          <t>Sello IRAM en sus extintores (fichas técnicas F1)</t>
        </is>
      </c>
      <c r="M59" s="17" t="inlineStr">
        <is>
          <t>Fichas técnicas (sin cotización de repuestos)</t>
        </is>
      </c>
      <c r="N59" s="17" t="inlineStr">
        <is>
          <t>A cotizar</t>
        </is>
      </c>
      <c r="O59" s="17" t="inlineStr">
        <is>
          <t>Drago: licencia IRAM 3525</t>
        </is>
      </c>
    </row>
    <row r="60">
      <c r="A60" s="17" t="inlineStr">
        <is>
          <t>EQ-AFFF</t>
        </is>
      </c>
      <c r="B60" s="17" t="inlineStr">
        <is>
          <t>Extintor AFFF terminado</t>
        </is>
      </c>
      <c r="C60" s="17" t="inlineStr">
        <is>
          <t>Extintor AFFF con sello IRAM 3527 (manual) / 3541 (rodante)</t>
        </is>
      </c>
      <c r="D60" s="17" t="inlineStr">
        <is>
          <t>Matafuegos Georgia - venta mayorista</t>
        </is>
      </c>
      <c r="E60" s="17" t="inlineStr">
        <is>
          <t>Gral. Manuel A. Rodríguez 2838, CABA</t>
        </is>
      </c>
      <c r="F60" s="17" t="inlineStr">
        <is>
          <t>≈ 15 km (aprox.)</t>
        </is>
      </c>
      <c r="G60" s="17" t="inlineStr">
        <is>
          <t>4585-4400 · ventas@matafuegosgeorgia.com</t>
        </is>
      </c>
      <c r="H60" s="17" t="inlineStr">
        <is>
          <t>Drago (Luis Pasquinelli e Hijos S.A.)</t>
        </is>
      </c>
      <c r="I60" s="17" t="inlineStr">
        <is>
          <t>Saladillo 1884, Castelar (PBA)</t>
        </is>
      </c>
      <c r="J60" s="17" t="inlineStr">
        <is>
          <t>≈ 30 km (aprox.)</t>
        </is>
      </c>
      <c r="K60" s="17" t="inlineStr">
        <is>
          <t>Sin cotizar</t>
        </is>
      </c>
      <c r="L60" s="17" t="inlineStr">
        <is>
          <t>Sello IRAM en sus extintores (fichas técnicas F1)</t>
        </is>
      </c>
      <c r="M60" s="17" t="inlineStr">
        <is>
          <t>Fichas técnicas (sin cotización de repuestos)</t>
        </is>
      </c>
      <c r="N60" s="17" t="inlineStr">
        <is>
          <t>A cotizar</t>
        </is>
      </c>
      <c r="O60" s="17" t="inlineStr">
        <is>
          <t>Drago: licencia IRAM 3527 (10 L)</t>
        </is>
      </c>
    </row>
    <row r="61">
      <c r="A61" s="17" t="inlineStr">
        <is>
          <t>EQ-K</t>
        </is>
      </c>
      <c r="B61" s="17" t="inlineStr">
        <is>
          <t>Extintor clase K terminado</t>
        </is>
      </c>
      <c r="C61" s="17" t="inlineStr">
        <is>
          <t>Extintor de acetato de potasio con sello IRAM 3694</t>
        </is>
      </c>
      <c r="D61" s="17" t="inlineStr">
        <is>
          <t>Matafuegos Georgia - venta mayorista</t>
        </is>
      </c>
      <c r="E61" s="17" t="inlineStr">
        <is>
          <t>Gral. Manuel A. Rodríguez 2838, CABA</t>
        </is>
      </c>
      <c r="F61" s="17" t="inlineStr">
        <is>
          <t>≈ 15 km (aprox.)</t>
        </is>
      </c>
      <c r="G61" s="17" t="inlineStr">
        <is>
          <t>4585-4400 · ventas@matafuegosgeorgia.com</t>
        </is>
      </c>
      <c r="H61" s="17" t="inlineStr">
        <is>
          <t>Drago (Luis Pasquinelli e Hijos S.A.)</t>
        </is>
      </c>
      <c r="I61" s="17" t="inlineStr">
        <is>
          <t>Saladillo 1884, Castelar (PBA)</t>
        </is>
      </c>
      <c r="J61" s="17" t="inlineStr">
        <is>
          <t>≈ 30 km (aprox.)</t>
        </is>
      </c>
      <c r="K61" s="17" t="inlineStr">
        <is>
          <t>Sin cotizar</t>
        </is>
      </c>
      <c r="L61" s="17" t="inlineStr">
        <is>
          <t>Sello IRAM en sus extintores (fichas técnicas F1)</t>
        </is>
      </c>
      <c r="M61" s="17" t="inlineStr">
        <is>
          <t>Fichas técnicas (sin cotización de repuestos)</t>
        </is>
      </c>
      <c r="N61" s="17" t="inlineStr">
        <is>
          <t>A cotizar</t>
        </is>
      </c>
      <c r="O61" s="17" t="inlineStr">
        <is>
          <t>Licencias 3694 de Drago y Georgia/Fadesa</t>
        </is>
      </c>
    </row>
    <row r="62">
      <c r="A62" s="17" t="inlineStr">
        <is>
          <t>EQ-HCFC</t>
        </is>
      </c>
      <c r="B62" s="17" t="inlineStr">
        <is>
          <t>Extintor HCFC / HFC terminado</t>
        </is>
      </c>
      <c r="C62" s="17" t="inlineStr">
        <is>
          <t>Extintor de agente limpio con sello IRAM 3504</t>
        </is>
      </c>
      <c r="D62" s="17" t="inlineStr">
        <is>
          <t>Matafuegos Georgia - venta mayorista</t>
        </is>
      </c>
      <c r="E62" s="17" t="inlineStr">
        <is>
          <t>Gral. Manuel A. Rodríguez 2838, CABA</t>
        </is>
      </c>
      <c r="F62" s="17" t="inlineStr">
        <is>
          <t>≈ 15 km (aprox.)</t>
        </is>
      </c>
      <c r="G62" s="17" t="inlineStr">
        <is>
          <t>4585-4400 · ventas@matafuegosgeorgia.com</t>
        </is>
      </c>
      <c r="H62" s="17" t="inlineStr">
        <is>
          <t>Melisam</t>
        </is>
      </c>
      <c r="I62" s="17" t="inlineStr">
        <is>
          <t>Los Ceibos 428, San Isidro (PBA)</t>
        </is>
      </c>
      <c r="J62" s="17" t="inlineStr">
        <is>
          <t>≈ 30 km (aprox.)</t>
        </is>
      </c>
      <c r="K62" s="17" t="inlineStr">
        <is>
          <t>Sin cotizar</t>
        </is>
      </c>
      <c r="L62" s="17" t="inlineStr">
        <is>
          <t>Sello IRAM en sus extintores (fichas técnicas F1)</t>
        </is>
      </c>
      <c r="M62" s="17" t="inlineStr">
        <is>
          <t>Fichas técnicas (sin cotización de repuestos)</t>
        </is>
      </c>
      <c r="N62" s="17" t="inlineStr">
        <is>
          <t>A cotizar</t>
        </is>
      </c>
      <c r="O62" s="17" t="inlineStr">
        <is>
          <t>Drago también tiene licencia 3504</t>
        </is>
      </c>
    </row>
    <row r="63">
      <c r="A63" s="17" t="inlineStr">
        <is>
          <t>EQ-BC</t>
        </is>
      </c>
      <c r="B63" s="17" t="inlineStr">
        <is>
          <t>Extintor BC terminado</t>
        </is>
      </c>
      <c r="C63" s="17" t="inlineStr">
        <is>
          <t>Extintor de polvo BC con sello IRAM 3523</t>
        </is>
      </c>
      <c r="D63" s="17" t="inlineStr">
        <is>
          <t>Matafuegos Georgia - venta mayorista</t>
        </is>
      </c>
      <c r="E63" s="17" t="inlineStr">
        <is>
          <t>Gral. Manuel A. Rodríguez 2838, CABA</t>
        </is>
      </c>
      <c r="F63" s="17" t="inlineStr">
        <is>
          <t>≈ 15 km (aprox.)</t>
        </is>
      </c>
      <c r="G63" s="17" t="inlineStr">
        <is>
          <t>4585-4400 · ventas@matafuegosgeorgia.com</t>
        </is>
      </c>
      <c r="H63" s="17" t="inlineStr">
        <is>
          <t>Melisam</t>
        </is>
      </c>
      <c r="I63" s="17" t="inlineStr">
        <is>
          <t>Los Ceibos 428, San Isidro (PBA)</t>
        </is>
      </c>
      <c r="J63" s="17" t="inlineStr">
        <is>
          <t>≈ 30 km (aprox.)</t>
        </is>
      </c>
      <c r="K63" s="17" t="inlineStr">
        <is>
          <t>Sin cotizar</t>
        </is>
      </c>
      <c r="L63" s="17" t="inlineStr">
        <is>
          <t>Sello IRAM en sus extintores (fichas técnicas F1)</t>
        </is>
      </c>
      <c r="M63" s="17" t="inlineStr">
        <is>
          <t>Fichas técnicas (sin cotización de repuestos)</t>
        </is>
      </c>
      <c r="N63" s="17" t="inlineStr">
        <is>
          <t>A cotizar</t>
        </is>
      </c>
      <c r="O63" s="17" t="n"/>
    </row>
    <row r="64">
      <c r="A64" s="42" t="inlineStr">
        <is>
          <t>EQ-D</t>
        </is>
      </c>
      <c r="B64" s="42" t="inlineStr">
        <is>
          <t>Extintor clase D terminado</t>
        </is>
      </c>
      <c r="C64" s="42" t="inlineStr">
        <is>
          <t>Extintor de polvo clase D</t>
        </is>
      </c>
      <c r="D64" s="42" t="inlineStr">
        <is>
          <t>Matafuegos Georgia - venta mayorista</t>
        </is>
      </c>
      <c r="E64" s="42" t="inlineStr">
        <is>
          <t>Gral. Manuel A. Rodríguez 2838, CABA</t>
        </is>
      </c>
      <c r="F64" s="42" t="inlineStr">
        <is>
          <t>≈ 15 km (aprox.)</t>
        </is>
      </c>
      <c r="G64" s="42" t="inlineStr">
        <is>
          <t>4585-4400 · ventas@matafuegosgeorgia.com</t>
        </is>
      </c>
      <c r="H64" s="42" t="inlineStr">
        <is>
          <t>Melisam</t>
        </is>
      </c>
      <c r="I64" s="42" t="inlineStr">
        <is>
          <t>Los Ceibos 428, San Isidro (PBA)</t>
        </is>
      </c>
      <c r="J64" s="42" t="inlineStr">
        <is>
          <t>≈ 30 km (aprox.)</t>
        </is>
      </c>
      <c r="K64" s="42" t="inlineStr">
        <is>
          <t>Sin cotizar</t>
        </is>
      </c>
      <c r="L64" s="42" t="inlineStr">
        <is>
          <t>Sello IRAM en sus extintores (fichas técnicas F1)</t>
        </is>
      </c>
      <c r="M64" s="42" t="inlineStr">
        <is>
          <t>Fichas técnicas (sin cotización de repuestos)</t>
        </is>
      </c>
      <c r="N64" s="42" t="inlineStr">
        <is>
          <t>A validar</t>
        </is>
      </c>
      <c r="O64" s="42" t="inlineStr">
        <is>
          <t>Georgia: ficha de clase D 5 kg (otra capacidad: confirmar 9 L)</t>
        </is>
      </c>
    </row>
    <row r="65">
      <c r="A65" s="17" t="inlineStr">
        <is>
          <t>REC-BC</t>
        </is>
      </c>
      <c r="B65" s="17" t="inlineStr">
        <is>
          <t>Polvo BC para recarga</t>
        </is>
      </c>
      <c r="C65" s="17" t="inlineStr">
        <is>
          <t>Polvo BC bicarbonato de sodio con sello IRAM 3566, bolsa 25 kg</t>
        </is>
      </c>
      <c r="D65" s="17" t="inlineStr">
        <is>
          <t>Polvex S.R.L. / Sancibrao</t>
        </is>
      </c>
      <c r="E65" s="17" t="inlineStr">
        <is>
          <t>Boulogne Sur Mer 1813, Villa Maipú, San Martín (PBA)</t>
        </is>
      </c>
      <c r="F65" s="17" t="inlineStr">
        <is>
          <t>≈ 25 km (aprox.)</t>
        </is>
      </c>
      <c r="G65" s="17" t="inlineStr">
        <is>
          <t>11 4405-3382</t>
        </is>
      </c>
      <c r="H65" s="17" t="inlineStr">
        <is>
          <t>DEM S.A. (DEMSA)</t>
        </is>
      </c>
      <c r="I65" s="17" t="inlineStr">
        <is>
          <t>Ruta 9 km 79, Campana (PBA)</t>
        </is>
      </c>
      <c r="J65" s="17" t="inlineStr">
        <is>
          <t>≈ 85 km (aprox.)</t>
        </is>
      </c>
      <c r="K65" s="17" t="inlineStr">
        <is>
          <t>Planilla MP-35: $2.505/kg (Polvex)</t>
        </is>
      </c>
      <c r="L65" s="17" t="inlineStr">
        <is>
          <t>Polvo «según IRAM 3569» (sello no confirmado); válvulas HZ</t>
        </is>
      </c>
      <c r="M65" s="17" t="inlineStr">
        <is>
          <t>Q-AGENTES (lista de precios)</t>
        </is>
      </c>
      <c r="N65" s="17" t="inlineStr">
        <is>
          <t>Cotizado</t>
        </is>
      </c>
      <c r="O65" s="17" t="inlineStr">
        <is>
          <t>Confirmar sello IRAM 3566 en la bolsa</t>
        </is>
      </c>
    </row>
    <row r="66">
      <c r="A66" s="42" t="inlineStr">
        <is>
          <t>REC-D</t>
        </is>
      </c>
      <c r="B66" s="42" t="inlineStr">
        <is>
          <t>Polvo clase D para recarga</t>
        </is>
      </c>
      <c r="C66" s="42" t="inlineStr">
        <is>
          <t>Polvo NaCl para metales combustibles</t>
        </is>
      </c>
      <c r="D66" s="42" t="inlineStr">
        <is>
          <t>DEM S.A. (DEMSA)</t>
        </is>
      </c>
      <c r="E66" s="42" t="inlineStr">
        <is>
          <t>Ruta 9 km 79, Campana (PBA)</t>
        </is>
      </c>
      <c r="F66" s="42" t="inlineStr">
        <is>
          <t>≈ 85 km (aprox.)</t>
        </is>
      </c>
      <c r="G66" s="42" t="n"/>
      <c r="H66" s="42" t="n"/>
      <c r="I66" s="42" t="n"/>
      <c r="J66" s="42" t="n"/>
      <c r="K66" s="42" t="inlineStr">
        <is>
          <t>Planilla MP-36: sin cotizar</t>
        </is>
      </c>
      <c r="L66" s="42" t="inlineStr">
        <is>
          <t>Sello IRAM 3569 (ABC) y BVQI</t>
        </is>
      </c>
      <c r="M66" s="42" t="inlineStr">
        <is>
          <t>L-DEMSA · L-DRAGO (potencial con DEM-60/90)</t>
        </is>
      </c>
      <c r="N66" s="42" t="inlineStr">
        <is>
          <t>A validar</t>
        </is>
      </c>
      <c r="O66" s="42" t="inlineStr">
        <is>
          <t>DEMSA tiene hoja de seguridad de polvo D</t>
        </is>
      </c>
    </row>
    <row r="67">
      <c r="A67" s="19" t="inlineStr">
        <is>
          <t>REC-HCFC</t>
        </is>
      </c>
      <c r="B67" s="19" t="inlineStr">
        <is>
          <t>Agente limpio para recarga</t>
        </is>
      </c>
      <c r="C67" s="19" t="inlineStr">
        <is>
          <t>HCFC-123 (Mezcla B) / HFC-236fa, IRAM 3526-1</t>
        </is>
      </c>
      <c r="D67" s="19" t="inlineStr">
        <is>
          <t>Sin proveedor nacional identificado</t>
        </is>
      </c>
      <c r="E67" s="19" t="n"/>
      <c r="F67" s="19" t="n"/>
      <c r="G67" s="19" t="n"/>
      <c r="H67" s="19" t="n"/>
      <c r="I67" s="19" t="n"/>
      <c r="J67" s="19" t="n"/>
      <c r="K67" s="19" t="inlineStr">
        <is>
          <t>Planilla MP-38: proveedor a definir</t>
        </is>
      </c>
      <c r="L67" s="19" t="n"/>
      <c r="M67" s="19" t="n"/>
      <c r="N67" s="19" t="inlineStr">
        <is>
          <t>No cumple / a definir</t>
        </is>
      </c>
      <c r="O67" s="19" t="inlineStr">
        <is>
          <t>Sin proveedor nacional identificado</t>
        </is>
      </c>
    </row>
    <row r="68">
      <c r="A68" s="17" t="inlineStr">
        <is>
          <t>REC-CO2</t>
        </is>
      </c>
      <c r="B68" s="17" t="inlineStr">
        <is>
          <t>CO₂ para recarga</t>
        </is>
      </c>
      <c r="C68" s="17" t="inlineStr">
        <is>
          <t>CO₂ líquido grado industrial, cilindro con sifón 25-30 kg</t>
        </is>
      </c>
      <c r="D68" s="17" t="inlineStr">
        <is>
          <t>Air Liquide Argentina - sucursal Piñeyro</t>
        </is>
      </c>
      <c r="E68" s="17" t="inlineStr">
        <is>
          <t>Tte. Cnel. Guiffra 799, Piñeyro, Avellaneda</t>
        </is>
      </c>
      <c r="F68" s="17" t="inlineStr">
        <is>
          <t>≈ 3 km (aprox.)</t>
        </is>
      </c>
      <c r="G68" s="17" t="inlineStr">
        <is>
          <t>0810-222-5272</t>
        </is>
      </c>
      <c r="H68" s="17" t="inlineStr">
        <is>
          <t>Gogniat</t>
        </is>
      </c>
      <c r="I68" s="17" t="inlineStr">
        <is>
          <t>GBA (gogniat.com.ar)</t>
        </is>
      </c>
      <c r="J68" s="17" t="inlineStr">
        <is>
          <t>a confirmar</t>
        </is>
      </c>
      <c r="K68" s="17" t="inlineStr">
        <is>
          <t>Planilla MP-37: pedido a Air Liquide, sin respuesta</t>
        </is>
      </c>
      <c r="L68" s="17" t="inlineStr">
        <is>
          <t>ARCAL 21 / ARCAL Speed EN ISO 14175 M20-ArC-8; N₂ ≥ 99,8 %</t>
        </is>
      </c>
      <c r="M68" s="17" t="inlineStr">
        <is>
          <t>Q-ARCAL · Q-N2 · planilla MP-25 ($8.800/m³ + acarreo) y MP-34 ($1.800/m³ + acarreo)</t>
        </is>
      </c>
      <c r="N68" s="17" t="inlineStr">
        <is>
          <t>A cotizar</t>
        </is>
      </c>
      <c r="O68" s="17" t="n"/>
    </row>
    <row r="69">
      <c r="A69" s="17" t="inlineStr">
        <is>
          <t>REC-AFFF</t>
        </is>
      </c>
      <c r="B69" s="17" t="inlineStr">
        <is>
          <t>Concentrado AFFF para recarga</t>
        </is>
      </c>
      <c r="C69" s="17" t="inlineStr">
        <is>
          <t>AFFF 3 % (DEMSA 203 MN, IRAM 3515), bidón 20 L</t>
        </is>
      </c>
      <c r="D69" s="17" t="inlineStr">
        <is>
          <t>DEM S.A. (DEMSA)</t>
        </is>
      </c>
      <c r="E69" s="17" t="inlineStr">
        <is>
          <t>Ruta 9 km 79, Campana (PBA)</t>
        </is>
      </c>
      <c r="F69" s="17" t="inlineStr">
        <is>
          <t>≈ 85 km (aprox.)</t>
        </is>
      </c>
      <c r="G69" s="17" t="n"/>
      <c r="H69" s="17" t="inlineStr">
        <is>
          <t>Polvex S.R.L. / Sancibrao</t>
        </is>
      </c>
      <c r="I69" s="17" t="inlineStr">
        <is>
          <t>Boulogne Sur Mer 1813, Villa Maipú, San Martín (PBA)</t>
        </is>
      </c>
      <c r="J69" s="17" t="inlineStr">
        <is>
          <t>≈ 25 km (aprox.)</t>
        </is>
      </c>
      <c r="K69" s="17" t="inlineStr">
        <is>
          <t>Planilla MP-40: AFFF 3 % USD 7,32/L</t>
        </is>
      </c>
      <c r="L69" s="17" t="inlineStr">
        <is>
          <t>Sello IRAM 3569 (ABC) y BVQI</t>
        </is>
      </c>
      <c r="M69" s="17" t="inlineStr">
        <is>
          <t>L-DEMSA · L-DRAGO (potencial con DEM-60/90)</t>
        </is>
      </c>
      <c r="N69" s="17" t="inlineStr">
        <is>
          <t>Cotizado</t>
        </is>
      </c>
      <c r="O69" s="17" t="n"/>
    </row>
    <row r="70">
      <c r="A70" s="17" t="inlineStr">
        <is>
          <t>REC-K</t>
        </is>
      </c>
      <c r="B70" s="17" t="inlineStr">
        <is>
          <t>Acetato de potasio para recarga</t>
        </is>
      </c>
      <c r="C70" s="17" t="inlineStr">
        <is>
          <t>Solución de acetato de potasio IRAM 3697 (Kitchen / Gastro K)</t>
        </is>
      </c>
      <c r="D70" s="17" t="inlineStr">
        <is>
          <t>Polvex S.R.L. / Sancibrao</t>
        </is>
      </c>
      <c r="E70" s="17" t="inlineStr">
        <is>
          <t>Boulogne Sur Mer 1813, Villa Maipú, San Martín (PBA)</t>
        </is>
      </c>
      <c r="F70" s="17" t="inlineStr">
        <is>
          <t>≈ 25 km (aprox.)</t>
        </is>
      </c>
      <c r="G70" s="17" t="inlineStr">
        <is>
          <t>11 4405-3382</t>
        </is>
      </c>
      <c r="H70" s="17" t="inlineStr">
        <is>
          <t>DEM S.A. (DEMSA)</t>
        </is>
      </c>
      <c r="I70" s="17" t="inlineStr">
        <is>
          <t>Ruta 9 km 79, Campana (PBA)</t>
        </is>
      </c>
      <c r="J70" s="17" t="inlineStr">
        <is>
          <t>≈ 85 km (aprox.)</t>
        </is>
      </c>
      <c r="K70" s="17" t="inlineStr">
        <is>
          <t>Planilla MP-41: $4.468/L (bidón 10/20/30 L)</t>
        </is>
      </c>
      <c r="L70" s="17" t="inlineStr">
        <is>
          <t>Polvo «según IRAM 3569» (sello no confirmado); válvulas HZ</t>
        </is>
      </c>
      <c r="M70" s="17" t="inlineStr">
        <is>
          <t>Q-AGENTES (lista de precios)</t>
        </is>
      </c>
      <c r="N70" s="17" t="inlineStr">
        <is>
          <t>Cotizado</t>
        </is>
      </c>
      <c r="O70" s="17" t="n"/>
    </row>
    <row r="71">
      <c r="A71" s="17" t="inlineStr">
        <is>
          <t>ARGON</t>
        </is>
      </c>
      <c r="B71" s="17" t="inlineStr">
        <is>
          <t>Argón de presurización</t>
        </is>
      </c>
      <c r="C71" s="17" t="inlineStr">
        <is>
          <t>Argón comprimido, cilindro 50 L 200 bar</t>
        </is>
      </c>
      <c r="D71" s="17" t="inlineStr">
        <is>
          <t>Air Liquide Argentina - sucursal Piñeyro</t>
        </is>
      </c>
      <c r="E71" s="17" t="inlineStr">
        <is>
          <t>Tte. Cnel. Guiffra 799, Piñeyro, Avellaneda</t>
        </is>
      </c>
      <c r="F71" s="17" t="inlineStr">
        <is>
          <t>≈ 3 km (aprox.)</t>
        </is>
      </c>
      <c r="G71" s="17" t="inlineStr">
        <is>
          <t>0810-222-5272</t>
        </is>
      </c>
      <c r="H71" s="17" t="inlineStr">
        <is>
          <t>Gogniat</t>
        </is>
      </c>
      <c r="I71" s="17" t="inlineStr">
        <is>
          <t>GBA (gogniat.com.ar)</t>
        </is>
      </c>
      <c r="J71" s="17" t="inlineStr">
        <is>
          <t>a confirmar</t>
        </is>
      </c>
      <c r="K71" s="17" t="inlineStr">
        <is>
          <t>Planilla MP-39: sin cotizar</t>
        </is>
      </c>
      <c r="L71" s="17" t="inlineStr">
        <is>
          <t>ARCAL 21 / ARCAL Speed EN ISO 14175 M20-ArC-8; N₂ ≥ 99,8 %</t>
        </is>
      </c>
      <c r="M71" s="17" t="inlineStr">
        <is>
          <t>Q-ARCAL · Q-N2 · planilla MP-25 ($8.800/m³ + acarreo) y MP-34 ($1.800/m³ + acarreo)</t>
        </is>
      </c>
      <c r="N71" s="17" t="inlineStr">
        <is>
          <t>A cotizar</t>
        </is>
      </c>
      <c r="O71" s="17" t="n"/>
    </row>
    <row r="72">
      <c r="A72" s="17" t="inlineStr">
        <is>
          <t>MARBETE</t>
        </is>
      </c>
      <c r="B72" s="17" t="inlineStr">
        <is>
          <t>Marbete de mantenimiento</t>
        </is>
      </c>
      <c r="C72" s="17" t="inlineStr">
        <is>
          <t>Anillo de color del año (IRAM 3517-2 9.4.14, fig. 9)</t>
        </is>
      </c>
      <c r="D72" s="17" t="inlineStr">
        <is>
          <t>Astuprint</t>
        </is>
      </c>
      <c r="E72" s="17" t="inlineStr">
        <is>
          <t>Tte. Cnel. Guiffra 970, Piñeyro, Avellaneda</t>
        </is>
      </c>
      <c r="F72" s="17" t="inlineStr">
        <is>
          <t>≈ 3 km (aprox.)</t>
        </is>
      </c>
      <c r="G72" s="17" t="n"/>
      <c r="H72" s="17" t="inlineStr">
        <is>
          <t>Multilabel Argentina S.A.</t>
        </is>
      </c>
      <c r="I72" s="17" t="inlineStr">
        <is>
          <t>Planta: Rodríguez Peña 1616 (GBA)</t>
        </is>
      </c>
      <c r="J72" s="17" t="inlineStr">
        <is>
          <t>a confirmar</t>
        </is>
      </c>
      <c r="K72" s="17" t="inlineStr">
        <is>
          <t>Planilla MP-57: sin cotizar</t>
        </is>
      </c>
      <c r="L72" s="17" t="inlineStr">
        <is>
          <t>Vinilo / PP con laminado UV</t>
        </is>
      </c>
      <c r="M72" s="17" t="inlineStr">
        <is>
          <t>Web (sin cotización)</t>
        </is>
      </c>
      <c r="N72" s="17" t="inlineStr">
        <is>
          <t>A cotizar</t>
        </is>
      </c>
      <c r="O72" s="17" t="n"/>
    </row>
    <row r="75">
      <c r="A75" s="4" t="inlineStr">
        <is>
          <t>Directorio de proveedores</t>
        </is>
      </c>
    </row>
    <row r="76" ht="20" customHeight="1">
      <c r="A76" s="16" t="inlineStr">
        <is>
          <t>Id</t>
        </is>
      </c>
      <c r="B76" s="16" t="inlineStr">
        <is>
          <t>Razón social</t>
        </is>
      </c>
      <c r="C76" s="16" t="inlineStr">
        <is>
          <t>Rubro</t>
        </is>
      </c>
      <c r="D76" s="16" t="inlineStr">
        <is>
          <t>Domicilio</t>
        </is>
      </c>
      <c r="E76" s="16" t="inlineStr">
        <is>
          <t>Distancia</t>
        </is>
      </c>
      <c r="F76" s="16" t="inlineStr">
        <is>
          <t>Contacto</t>
        </is>
      </c>
      <c r="G76" s="16" t="inlineStr">
        <is>
          <t>Certificación / producto</t>
        </is>
      </c>
      <c r="H76" s="16" t="inlineStr">
        <is>
          <t>Respaldo</t>
        </is>
      </c>
    </row>
    <row r="77">
      <c r="A77" s="17" t="inlineStr">
        <is>
          <t>PACHECO</t>
        </is>
      </c>
      <c r="B77" s="17" t="inlineStr">
        <is>
          <t>Pacheco Chapas</t>
        </is>
      </c>
      <c r="C77" s="17" t="inlineStr">
        <is>
          <t>Chapa y fleje LAF/LAC</t>
        </is>
      </c>
      <c r="D77" s="17" t="inlineStr">
        <is>
          <t>El Talar, Tigre (PBA)</t>
        </is>
      </c>
      <c r="E77" s="17" t="inlineStr">
        <is>
          <t>≈ 40 km (aprox.)</t>
        </is>
      </c>
      <c r="F77" s="17" t="n"/>
      <c r="G77" s="17" t="inlineStr">
        <is>
          <t>Origen Ternium; certificado de colada a pedido</t>
        </is>
      </c>
      <c r="H77" s="17" t="inlineStr">
        <is>
          <t>Q-PACHECO (PR-42021 / PR-42024)</t>
        </is>
      </c>
    </row>
    <row r="78">
      <c r="A78" s="17" t="inlineStr">
        <is>
          <t>PRADECON</t>
        </is>
      </c>
      <c r="B78" s="17" t="inlineStr">
        <is>
          <t>Pradecon S.A.</t>
        </is>
      </c>
      <c r="C78" s="17" t="inlineStr">
        <is>
          <t>Chapa y bobina flejada LAF/LAC</t>
        </is>
      </c>
      <c r="D78" s="17" t="inlineStr">
        <is>
          <t>Garín, Escobar (PBA)</t>
        </is>
      </c>
      <c r="E78" s="17" t="inlineStr">
        <is>
          <t>≈ 55 km (aprox.)</t>
        </is>
      </c>
      <c r="F78" s="17" t="n"/>
      <c r="G78" s="17" t="inlineStr">
        <is>
          <t>Bobinas de origen Ternium</t>
        </is>
      </c>
      <c r="H78" s="17" t="inlineStr">
        <is>
          <t>Q-PRADECON (173170 / 173195)</t>
        </is>
      </c>
    </row>
    <row r="79">
      <c r="A79" s="17" t="inlineStr">
        <is>
          <t>PARROTTA</t>
        </is>
      </c>
      <c r="B79" s="17" t="inlineStr">
        <is>
          <t>Hierros Parrotta</t>
        </is>
      </c>
      <c r="C79" s="17" t="inlineStr">
        <is>
          <t>Chapa, hierros y redondos</t>
        </is>
      </c>
      <c r="D79" s="17" t="inlineStr">
        <is>
          <t>Av. Debenedetti 2851, Avellaneda</t>
        </is>
      </c>
      <c r="E79" s="17" t="inlineStr">
        <is>
          <t>≈ 3 km (aprox.)</t>
        </is>
      </c>
      <c r="F79" s="17" t="n"/>
      <c r="G79" s="17" t="inlineStr">
        <is>
          <t>-</t>
        </is>
      </c>
      <c r="H79" s="17" t="inlineStr">
        <is>
          <t>Q-PARROTTA (00413329)</t>
        </is>
      </c>
    </row>
    <row r="80">
      <c r="A80" s="17" t="inlineStr">
        <is>
          <t>VLADIMIRSKY</t>
        </is>
      </c>
      <c r="B80" s="17" t="inlineStr">
        <is>
          <t>Vladimirsky</t>
        </is>
      </c>
      <c r="C80" s="17" t="inlineStr">
        <is>
          <t>Barra trefilada SAE 1045</t>
        </is>
      </c>
      <c r="D80" s="17" t="inlineStr">
        <is>
          <t>-</t>
        </is>
      </c>
      <c r="E80" s="17" t="inlineStr">
        <is>
          <t>a confirmar</t>
        </is>
      </c>
      <c r="F80" s="17" t="n"/>
      <c r="G80" s="17" t="inlineStr">
        <is>
          <t>Barras de 4 m hasta Ø20 y de 6 m de 21 a 30 mm; demora a confirmar</t>
        </is>
      </c>
      <c r="H80" s="17" t="inlineStr">
        <is>
          <t>Proceso de carros final (8.1)</t>
        </is>
      </c>
    </row>
    <row r="81">
      <c r="A81" s="17" t="inlineStr">
        <is>
          <t>METALPRI</t>
        </is>
      </c>
      <c r="B81" s="17" t="inlineStr">
        <is>
          <t>Metalpri / Prilux</t>
        </is>
      </c>
      <c r="C81" s="17" t="inlineStr">
        <is>
          <t>Caño con costura</t>
        </is>
      </c>
      <c r="D81" s="17" t="inlineStr">
        <is>
          <t>Nueva Pompeya, CABA</t>
        </is>
      </c>
      <c r="E81" s="17" t="inlineStr">
        <is>
          <t>≈ 8 km (aprox.)</t>
        </is>
      </c>
      <c r="F81" s="17" t="n"/>
      <c r="G81" s="17" t="inlineStr">
        <is>
          <t>-</t>
        </is>
      </c>
      <c r="H81" s="17" t="inlineStr">
        <is>
          <t>Q-METALPRI (mail 09/09/2026)</t>
        </is>
      </c>
    </row>
    <row r="82">
      <c r="A82" s="17" t="inlineStr">
        <is>
          <t>MID</t>
        </is>
      </c>
      <c r="B82" s="17" t="inlineStr">
        <is>
          <t>Comercial MID</t>
        </is>
      </c>
      <c r="C82" s="17" t="inlineStr">
        <is>
          <t>Caños</t>
        </is>
      </c>
      <c r="D82" s="17" t="inlineStr">
        <is>
          <t>Don Torcuato, Tigre (PBA)</t>
        </is>
      </c>
      <c r="E82" s="17" t="inlineStr">
        <is>
          <t>≈ 40 km (aprox.)</t>
        </is>
      </c>
      <c r="F82" s="17" t="n"/>
      <c r="G82" s="17" t="inlineStr">
        <is>
          <t>-</t>
        </is>
      </c>
      <c r="H82" s="17" t="inlineStr">
        <is>
          <t>Q-MID (27626)</t>
        </is>
      </c>
    </row>
    <row r="83">
      <c r="A83" s="17" t="inlineStr">
        <is>
          <t>CASEROS</t>
        </is>
      </c>
      <c r="B83" s="17" t="inlineStr">
        <is>
          <t>Aceros Inoxidables Caseros</t>
        </is>
      </c>
      <c r="C83" s="17" t="inlineStr">
        <is>
          <t>Barras</t>
        </is>
      </c>
      <c r="D83" s="17" t="inlineStr">
        <is>
          <t>Caseros, Tres de Febrero (PBA)</t>
        </is>
      </c>
      <c r="E83" s="17" t="inlineStr">
        <is>
          <t>≈ 25 km (aprox.)</t>
        </is>
      </c>
      <c r="F83" s="17" t="n"/>
      <c r="G83" s="17" t="inlineStr">
        <is>
          <t>-</t>
        </is>
      </c>
      <c r="H83" s="17" t="inlineStr">
        <is>
          <t>Planilla MP-22 ($15.000/kg + IVA, barras de 6 m)</t>
        </is>
      </c>
    </row>
    <row r="84">
      <c r="A84" s="17" t="inlineStr">
        <is>
          <t>GOCKEL</t>
        </is>
      </c>
      <c r="B84" s="17" t="inlineStr">
        <is>
          <t>Gockel Ingeniería S.R.L.</t>
        </is>
      </c>
      <c r="C84" s="17" t="inlineStr">
        <is>
          <t>Matricería propia y estampado / embutido hasta 100 t</t>
        </is>
      </c>
      <c r="D84" s="17" t="inlineStr">
        <is>
          <t>San Carlos 755, Wilde, Avellaneda</t>
        </is>
      </c>
      <c r="E84" s="17" t="inlineStr">
        <is>
          <t>≈ 5 km (aprox.)</t>
        </is>
      </c>
      <c r="F84" s="17" t="inlineStr">
        <is>
          <t>011-7713-5110 · gockelingenieria@gmail.com</t>
        </is>
      </c>
      <c r="G84" s="17" t="inlineStr">
        <is>
          <t>Matrices de corte, punzonado, plegado y embutido en frío y en caliente</t>
        </is>
      </c>
      <c r="H84" s="17" t="inlineStr">
        <is>
          <t>Proveedor de FLAMA · gockelingenieria.com.ar</t>
        </is>
      </c>
    </row>
    <row r="85">
      <c r="A85" s="17" t="inlineStr">
        <is>
          <t>ELIMET</t>
        </is>
      </c>
      <c r="B85" s="17" t="inlineStr">
        <is>
          <t>Eli-Met</t>
        </is>
      </c>
      <c r="C85" s="17" t="inlineStr">
        <is>
          <t>Mecanizado CNC bajo plano</t>
        </is>
      </c>
      <c r="D85" s="17" t="inlineStr">
        <is>
          <t>Albariño 2047, Mataderos, CABA</t>
        </is>
      </c>
      <c r="E85" s="17" t="inlineStr">
        <is>
          <t>≈ 15 km (aprox.)</t>
        </is>
      </c>
      <c r="F85" s="17" t="n"/>
      <c r="G85" s="17" t="inlineStr">
        <is>
          <t>-</t>
        </is>
      </c>
      <c r="H85" s="17" t="inlineStr">
        <is>
          <t>Planilla MP-20/21 (cupla M30 $5.261; cupla 2½" $13.479 + IVA; 35-40 días)</t>
        </is>
      </c>
    </row>
    <row r="86">
      <c r="A86" s="17" t="inlineStr">
        <is>
          <t>CONARCO</t>
        </is>
      </c>
      <c r="B86" s="17" t="inlineStr">
        <is>
          <t>Conarco (ESAB Argentina)</t>
        </is>
      </c>
      <c r="C86" s="17" t="inlineStr">
        <is>
          <t>Alambre macizo para MAG</t>
        </is>
      </c>
      <c r="D86" s="17" t="inlineStr">
        <is>
          <t>Venta por distribuidores de soldadura</t>
        </is>
      </c>
      <c r="E86" s="17" t="inlineStr">
        <is>
          <t>a confirmar</t>
        </is>
      </c>
      <c r="F86" s="17" t="n"/>
      <c r="G86" s="17" t="inlineStr">
        <is>
          <t>AWS A5.18 ER70S-6</t>
        </is>
      </c>
      <c r="H86" s="17" t="inlineStr">
        <is>
          <t>Planilla MP-23/24 (sin cotizar)</t>
        </is>
      </c>
    </row>
    <row r="87">
      <c r="A87" s="17" t="inlineStr">
        <is>
          <t>AIRLIQ</t>
        </is>
      </c>
      <c r="B87" s="17" t="inlineStr">
        <is>
          <t>Air Liquide Argentina - sucursal Piñeyro</t>
        </is>
      </c>
      <c r="C87" s="17" t="inlineStr">
        <is>
          <t>Gases industriales</t>
        </is>
      </c>
      <c r="D87" s="17" t="inlineStr">
        <is>
          <t>Tte. Cnel. Guiffra 799, Piñeyro, Avellaneda</t>
        </is>
      </c>
      <c r="E87" s="17" t="inlineStr">
        <is>
          <t>≈ 3 km (aprox.)</t>
        </is>
      </c>
      <c r="F87" s="17" t="inlineStr">
        <is>
          <t>0810-222-5272</t>
        </is>
      </c>
      <c r="G87" s="17" t="inlineStr">
        <is>
          <t>ARCAL 21 / ARCAL Speed EN ISO 14175 M20-ArC-8; N₂ ≥ 99,8 %</t>
        </is>
      </c>
      <c r="H87" s="17" t="inlineStr">
        <is>
          <t>Q-ARCAL · Q-N2 · planilla MP-25 ($8.800/m³ + acarreo) y MP-34 ($1.800/m³ + acarreo)</t>
        </is>
      </c>
    </row>
    <row r="88">
      <c r="A88" s="17" t="inlineStr">
        <is>
          <t>GOGNIAT</t>
        </is>
      </c>
      <c r="B88" s="17" t="inlineStr">
        <is>
          <t>Gogniat</t>
        </is>
      </c>
      <c r="C88" s="17" t="inlineStr">
        <is>
          <t>Gases industriales</t>
        </is>
      </c>
      <c r="D88" s="17" t="inlineStr">
        <is>
          <t>GBA (gogniat.com.ar)</t>
        </is>
      </c>
      <c r="E88" s="17" t="inlineStr">
        <is>
          <t>a confirmar</t>
        </is>
      </c>
      <c r="F88" s="17" t="n"/>
      <c r="G88" s="17" t="inlineStr">
        <is>
          <t>Mezclas Ar/CO₂ para MAG (publica 75/25 y 80/20; confirmar 92/8)</t>
        </is>
      </c>
      <c r="H88" s="17" t="inlineStr">
        <is>
          <t>Web gogniat.com.ar</t>
        </is>
      </c>
    </row>
    <row r="89">
      <c r="A89" s="17" t="inlineStr">
        <is>
          <t>CYM</t>
        </is>
      </c>
      <c r="B89" s="17" t="inlineStr">
        <is>
          <t>CyM Materiales</t>
        </is>
      </c>
      <c r="C89" s="17" t="inlineStr">
        <is>
          <t>Granalla de acero</t>
        </is>
      </c>
      <c r="D89" s="17" t="inlineStr">
        <is>
          <t>GBA (cymba@cym.com.ar)</t>
        </is>
      </c>
      <c r="E89" s="17" t="inlineStr">
        <is>
          <t>a confirmar</t>
        </is>
      </c>
      <c r="F89" s="17" t="inlineStr">
        <is>
          <t>cymba@cym.com.ar</t>
        </is>
      </c>
      <c r="G89" s="17" t="inlineStr">
        <is>
          <t>SAE J444 / ISO 11124-3</t>
        </is>
      </c>
      <c r="H89" s="17" t="inlineStr">
        <is>
          <t>Planilla MP-28 ($2.000/kg)</t>
        </is>
      </c>
    </row>
    <row r="90">
      <c r="A90" s="17" t="inlineStr">
        <is>
          <t>ROCA</t>
        </is>
      </c>
      <c r="B90" s="17" t="inlineStr">
        <is>
          <t>Roca Ingeniería</t>
        </is>
      </c>
      <c r="C90" s="17" t="inlineStr">
        <is>
          <t>Granalla y equipos de granallado</t>
        </is>
      </c>
      <c r="D90" s="17" t="inlineStr">
        <is>
          <t>San Justo, La Matanza (PBA)</t>
        </is>
      </c>
      <c r="E90" s="17" t="inlineStr">
        <is>
          <t>≈ 20 km (aprox.)</t>
        </is>
      </c>
      <c r="F90" s="17" t="n"/>
      <c r="G90" s="17" t="inlineStr">
        <is>
          <t>SAE J444</t>
        </is>
      </c>
      <c r="H90" s="17" t="inlineStr">
        <is>
          <t>Web (sin cotización)</t>
        </is>
      </c>
    </row>
    <row r="91">
      <c r="A91" s="17" t="inlineStr">
        <is>
          <t>PRYMAX</t>
        </is>
      </c>
      <c r="B91" s="17" t="inlineStr">
        <is>
          <t>Prymax</t>
        </is>
      </c>
      <c r="C91" s="17" t="inlineStr">
        <is>
          <t>Pintura en polvo al horno (servicio)</t>
        </is>
      </c>
      <c r="D91" s="17" t="inlineStr">
        <is>
          <t>Según presupuesto S00469</t>
        </is>
      </c>
      <c r="E91" s="17" t="inlineStr">
        <is>
          <t>a confirmar</t>
        </is>
      </c>
      <c r="F91" s="17" t="n"/>
      <c r="G91" s="17" t="inlineStr">
        <is>
          <t>Pedir informe de niebla salina IRAM 121</t>
        </is>
      </c>
      <c r="H91" s="17" t="inlineStr">
        <is>
          <t>Q-PRYMAX (S00469)</t>
        </is>
      </c>
    </row>
    <row r="92">
      <c r="A92" s="17" t="inlineStr">
        <is>
          <t>PINTCARROS</t>
        </is>
      </c>
      <c r="B92" s="17" t="inlineStr">
        <is>
          <t>Pintor de carros (cotización por mensaje)</t>
        </is>
      </c>
      <c r="C92" s="17" t="inlineStr">
        <is>
          <t>Pintura de rodantes (servicio)</t>
        </is>
      </c>
      <c r="D92" s="17" t="inlineStr">
        <is>
          <t>Según cotización</t>
        </is>
      </c>
      <c r="E92" s="17" t="inlineStr">
        <is>
          <t>a confirmar</t>
        </is>
      </c>
      <c r="F92" s="17" t="n"/>
      <c r="G92" s="17" t="inlineStr">
        <is>
          <t>Pedir informe de niebla salina IRAM 121 (3550 4.5: 240 h)</t>
        </is>
      </c>
      <c r="H92" s="17" t="inlineStr">
        <is>
          <t>Q-CARROS</t>
        </is>
      </c>
    </row>
    <row r="93">
      <c r="A93" s="17" t="inlineStr">
        <is>
          <t>DEMSA</t>
        </is>
      </c>
      <c r="B93" s="17" t="inlineStr">
        <is>
          <t>DEM S.A. (DEMSA)</t>
        </is>
      </c>
      <c r="C93" s="17" t="inlineStr">
        <is>
          <t>Agentes extintores</t>
        </is>
      </c>
      <c r="D93" s="17" t="inlineStr">
        <is>
          <t>Ruta 9 km 79, Campana (PBA)</t>
        </is>
      </c>
      <c r="E93" s="17" t="inlineStr">
        <is>
          <t>≈ 85 km (aprox.)</t>
        </is>
      </c>
      <c r="F93" s="17" t="n"/>
      <c r="G93" s="17" t="inlineStr">
        <is>
          <t>Sello IRAM 3569 (ABC) y BVQI</t>
        </is>
      </c>
      <c r="H93" s="17" t="inlineStr">
        <is>
          <t>L-DEMSA · L-DRAGO (potencial con DEM-60/90)</t>
        </is>
      </c>
    </row>
    <row r="94">
      <c r="A94" s="17" t="inlineStr">
        <is>
          <t>POLVEX</t>
        </is>
      </c>
      <c r="B94" s="17" t="inlineStr">
        <is>
          <t>Polvex S.R.L. / Sancibrao</t>
        </is>
      </c>
      <c r="C94" s="17" t="inlineStr">
        <is>
          <t>Agentes y válvulas HZ (distribuidor)</t>
        </is>
      </c>
      <c r="D94" s="17" t="inlineStr">
        <is>
          <t>Boulogne Sur Mer 1813, Villa Maipú, San Martín (PBA)</t>
        </is>
      </c>
      <c r="E94" s="17" t="inlineStr">
        <is>
          <t>≈ 25 km (aprox.)</t>
        </is>
      </c>
      <c r="F94" s="17" t="inlineStr">
        <is>
          <t>11 4405-3382</t>
        </is>
      </c>
      <c r="G94" s="17" t="inlineStr">
        <is>
          <t>Polvo «según IRAM 3569» (sello no confirmado); válvulas HZ</t>
        </is>
      </c>
      <c r="H94" s="17" t="inlineStr">
        <is>
          <t>Q-AGENTES (lista de precios)</t>
        </is>
      </c>
    </row>
    <row r="95">
      <c r="A95" s="17" t="inlineStr">
        <is>
          <t>MOZART</t>
        </is>
      </c>
      <c r="B95" s="17" t="inlineStr">
        <is>
          <t>Mozart S.R.L.</t>
        </is>
      </c>
      <c r="C95" s="17" t="inlineStr">
        <is>
          <t>Fabricante de extintores, válvulas y repuestos</t>
        </is>
      </c>
      <c r="D95" s="17" t="inlineStr">
        <is>
          <t>Ucrania 1564, Valentín Alsina, Lanús (PBA)</t>
        </is>
      </c>
      <c r="E95" s="17" t="inlineStr">
        <is>
          <t>≈ 9 km (aprox.)</t>
        </is>
      </c>
      <c r="F95" s="17" t="inlineStr">
        <is>
          <t>4218-3690 · info@mozartsrl.com.ar</t>
        </is>
      </c>
      <c r="G95" s="17" t="inlineStr">
        <is>
          <t>Licencias IRAM de extintores y cilindros (2525/2526/2533, 3509, 3565)</t>
        </is>
      </c>
      <c r="H95" s="17" t="inlineStr">
        <is>
          <t>Web (sin cotización)</t>
        </is>
      </c>
    </row>
    <row r="96">
      <c r="A96" s="17" t="inlineStr">
        <is>
          <t>GEORGIA</t>
        </is>
      </c>
      <c r="B96" s="17" t="inlineStr">
        <is>
          <t>Matafuegos Georgia - venta mayorista</t>
        </is>
      </c>
      <c r="C96" s="17" t="inlineStr">
        <is>
          <t>Fabricante de extintores y repuestos</t>
        </is>
      </c>
      <c r="D96" s="17" t="inlineStr">
        <is>
          <t>Gral. Manuel A. Rodríguez 2838, CABA</t>
        </is>
      </c>
      <c r="E96" s="17" t="inlineStr">
        <is>
          <t>≈ 15 km (aprox.)</t>
        </is>
      </c>
      <c r="F96" s="17" t="inlineStr">
        <is>
          <t>4585-4400 · ventas@matafuegosgeorgia.com</t>
        </is>
      </c>
      <c r="G96" s="17" t="inlineStr">
        <is>
          <t>Sello IRAM en sus extintores (fichas técnicas F1)</t>
        </is>
      </c>
      <c r="H96" s="17" t="inlineStr">
        <is>
          <t>Fichas técnicas (sin cotización de repuestos)</t>
        </is>
      </c>
    </row>
    <row r="97">
      <c r="A97" s="17" t="inlineStr">
        <is>
          <t>DRAGO</t>
        </is>
      </c>
      <c r="B97" s="17" t="inlineStr">
        <is>
          <t>Drago (Luis Pasquinelli e Hijos S.A.)</t>
        </is>
      </c>
      <c r="C97" s="17" t="inlineStr">
        <is>
          <t>Fabricante de extintores</t>
        </is>
      </c>
      <c r="D97" s="17" t="inlineStr">
        <is>
          <t>Saladillo 1884, Castelar (PBA)</t>
        </is>
      </c>
      <c r="E97" s="17" t="inlineStr">
        <is>
          <t>≈ 30 km (aprox.)</t>
        </is>
      </c>
      <c r="F97" s="17" t="n"/>
      <c r="G97" s="17" t="inlineStr">
        <is>
          <t>Licencias IRAM 3523, 3525, 3527, 3694, 3504, 3509</t>
        </is>
      </c>
      <c r="H97" s="17" t="inlineStr">
        <is>
          <t>L-DRAGO (licencias)</t>
        </is>
      </c>
    </row>
    <row r="98">
      <c r="A98" s="17" t="inlineStr">
        <is>
          <t>MELISAM</t>
        </is>
      </c>
      <c r="B98" s="17" t="inlineStr">
        <is>
          <t>Melisam</t>
        </is>
      </c>
      <c r="C98" s="17" t="inlineStr">
        <is>
          <t>Fabricante de extintores</t>
        </is>
      </c>
      <c r="D98" s="17" t="inlineStr">
        <is>
          <t>Los Ceibos 428, San Isidro (PBA)</t>
        </is>
      </c>
      <c r="E98" s="17" t="inlineStr">
        <is>
          <t>≈ 30 km (aprox.)</t>
        </is>
      </c>
      <c r="F98" s="17" t="inlineStr">
        <is>
          <t>4766-6100</t>
        </is>
      </c>
      <c r="G98" s="17" t="inlineStr">
        <is>
          <t>Sello IRAM en sus extintores</t>
        </is>
      </c>
      <c r="H98" s="17" t="inlineStr">
        <is>
          <t>Fichas técnicas F2</t>
        </is>
      </c>
    </row>
    <row r="99">
      <c r="A99" s="17" t="inlineStr">
        <is>
          <t>RUEDAR</t>
        </is>
      </c>
      <c r="B99" s="17" t="inlineStr">
        <is>
          <t>Ruedar</t>
        </is>
      </c>
      <c r="C99" s="17" t="inlineStr">
        <is>
          <t>Fábrica de ruedas industriales</t>
        </is>
      </c>
      <c r="D99" s="17" t="inlineStr">
        <is>
          <t>Gral. Paunero 557, Ciudad Madero, La Matanza (PBA)</t>
        </is>
      </c>
      <c r="E99" s="17" t="inlineStr">
        <is>
          <t>≈ 20 km (aprox.)</t>
        </is>
      </c>
      <c r="F99" s="17" t="inlineStr">
        <is>
          <t>4442-4752</t>
        </is>
      </c>
      <c r="G99" s="17" t="inlineStr">
        <is>
          <t>Goma maciza vulcanizada: Ø300 × 60 (M-1509, buje 20, 250 kg); Ø350 × 60 (buje 20/25/28, 150 kg)</t>
        </is>
      </c>
      <c r="H99" s="17" t="inlineStr">
        <is>
          <t>Catálogo web ruedar.com.ar (sin cotización)</t>
        </is>
      </c>
    </row>
    <row r="100">
      <c r="A100" s="17" t="inlineStr">
        <is>
          <t>ESCANORT</t>
        </is>
      </c>
      <c r="B100" s="17" t="inlineStr">
        <is>
          <t>Escanort S.A.</t>
        </is>
      </c>
      <c r="C100" s="17" t="inlineStr">
        <is>
          <t>Escaleras, carros y ruedas</t>
        </is>
      </c>
      <c r="D100" s="17" t="inlineStr">
        <is>
          <t>San Martín 1930, Florida, Vicente López (PBA)</t>
        </is>
      </c>
      <c r="E100" s="17" t="inlineStr">
        <is>
          <t>≈ 22 km (aprox.)</t>
        </is>
      </c>
      <c r="F100" s="17" t="inlineStr">
        <is>
          <t>4795-0943</t>
        </is>
      </c>
      <c r="G100" s="17" t="inlineStr">
        <is>
          <t>Ø400 × 100 neumática, rodamiento para eje 25, 200 kg (no maciza)</t>
        </is>
      </c>
      <c r="H100" s="17" t="inlineStr">
        <is>
          <t>Web escanort.com.ar</t>
        </is>
      </c>
    </row>
    <row r="101">
      <c r="A101" s="17" t="inlineStr">
        <is>
          <t>ASTUPRINT</t>
        </is>
      </c>
      <c r="B101" s="17" t="inlineStr">
        <is>
          <t>Astuprint</t>
        </is>
      </c>
      <c r="C101" s="17" t="inlineStr">
        <is>
          <t>Etiquetas autoadhesivas industriales</t>
        </is>
      </c>
      <c r="D101" s="17" t="inlineStr">
        <is>
          <t>Tte. Cnel. Guiffra 970, Piñeyro, Avellaneda</t>
        </is>
      </c>
      <c r="E101" s="17" t="inlineStr">
        <is>
          <t>≈ 3 km (aprox.)</t>
        </is>
      </c>
      <c r="F101" s="17" t="n"/>
      <c r="G101" s="17" t="inlineStr">
        <is>
          <t>Vinilo / PP con laminado UV</t>
        </is>
      </c>
      <c r="H101" s="17" t="inlineStr">
        <is>
          <t>Web (sin cotización)</t>
        </is>
      </c>
    </row>
    <row r="102">
      <c r="A102" s="17" t="inlineStr">
        <is>
          <t>MULTILABEL</t>
        </is>
      </c>
      <c r="B102" s="17" t="inlineStr">
        <is>
          <t>Multilabel Argentina S.A.</t>
        </is>
      </c>
      <c r="C102" s="17" t="inlineStr">
        <is>
          <t>Impresión de etiquetas autoadhesivas</t>
        </is>
      </c>
      <c r="D102" s="17" t="inlineStr">
        <is>
          <t>Planta: Rodríguez Peña 1616 (GBA)</t>
        </is>
      </c>
      <c r="E102" s="17" t="inlineStr">
        <is>
          <t>a confirmar</t>
        </is>
      </c>
      <c r="F102" s="17" t="inlineStr">
        <is>
          <t>4664-7899</t>
        </is>
      </c>
      <c r="G102" s="17" t="inlineStr">
        <is>
          <t>-</t>
        </is>
      </c>
      <c r="H102" s="17" t="inlineStr">
        <is>
          <t>Web multilabel.com (producto verificado)</t>
        </is>
      </c>
    </row>
    <row r="103">
      <c r="A103" s="17" t="inlineStr">
        <is>
          <t>SONFUERTES</t>
        </is>
      </c>
      <c r="B103" s="17" t="inlineStr">
        <is>
          <t>SonFuertes (vía Papelera Damián)</t>
        </is>
      </c>
      <c r="C103" s="17" t="inlineStr">
        <is>
          <t>Precintos plásticos numerados y film</t>
        </is>
      </c>
      <c r="D103" s="17" t="inlineStr">
        <is>
          <t>GBA</t>
        </is>
      </c>
      <c r="E103" s="17" t="inlineStr">
        <is>
          <t>a confirmar</t>
        </is>
      </c>
      <c r="F103" s="17" t="n"/>
      <c r="G103" s="17" t="inlineStr">
        <is>
          <t>Numeración correlativa, color a pedido</t>
        </is>
      </c>
      <c r="H103" s="17" t="inlineStr">
        <is>
          <t>Web (sin cotización)</t>
        </is>
      </c>
    </row>
    <row r="104">
      <c r="A104" s="17" t="inlineStr">
        <is>
          <t>PRECINTER</t>
        </is>
      </c>
      <c r="B104" s="17" t="inlineStr">
        <is>
          <t>Precinter S.R.L.</t>
        </is>
      </c>
      <c r="C104" s="17" t="inlineStr">
        <is>
          <t>Fábrica de precintos de seguridad</t>
        </is>
      </c>
      <c r="D104" s="17" t="inlineStr">
        <is>
          <t>Vera 518, Villa Crespo, CABA</t>
        </is>
      </c>
      <c r="E104" s="17" t="inlineStr">
        <is>
          <t>≈ 10 km (aprox.)</t>
        </is>
      </c>
      <c r="F104" s="17" t="n"/>
      <c r="G104" s="17" t="inlineStr">
        <is>
          <t>Precintos de nylon numerados, de color y grabados</t>
        </is>
      </c>
      <c r="H104" s="17" t="inlineStr">
        <is>
          <t>Web precinter.com.ar (producto verificado)</t>
        </is>
      </c>
    </row>
    <row r="105">
      <c r="A105" s="17" t="inlineStr">
        <is>
          <t>MAXIPACK</t>
        </is>
      </c>
      <c r="B105" s="17" t="inlineStr">
        <is>
          <t>Maxipack</t>
        </is>
      </c>
      <c r="C105" s="17" t="inlineStr">
        <is>
          <t>Cajas de cartón corrugado a medida</t>
        </is>
      </c>
      <c r="D105" s="17" t="inlineStr">
        <is>
          <t>Aldecoa 953, Avellaneda</t>
        </is>
      </c>
      <c r="E105" s="17" t="inlineStr">
        <is>
          <t>≈ 3 km (aprox.)</t>
        </is>
      </c>
      <c r="F105" s="17" t="inlineStr">
        <is>
          <t>5281-8000</t>
        </is>
      </c>
      <c r="G105" s="17" t="inlineStr">
        <is>
          <t>Corrugado simple / doble</t>
        </is>
      </c>
      <c r="H105" s="17" t="inlineStr">
        <is>
          <t>Web (sin cotización)</t>
        </is>
      </c>
    </row>
    <row r="106">
      <c r="A106" s="17" t="inlineStr">
        <is>
          <t>CARTOCAN</t>
        </is>
      </c>
      <c r="B106" s="17" t="inlineStr">
        <is>
          <t>Cartocan</t>
        </is>
      </c>
      <c r="C106" s="17" t="inlineStr">
        <is>
          <t>Cajas de cartón corrugado</t>
        </is>
      </c>
      <c r="D106" s="17" t="inlineStr">
        <is>
          <t>La Rioja 1642, Avellaneda</t>
        </is>
      </c>
      <c r="E106" s="17" t="inlineStr">
        <is>
          <t>≈ 3 km (aprox.)</t>
        </is>
      </c>
      <c r="F106" s="17" t="inlineStr">
        <is>
          <t>4208-0997</t>
        </is>
      </c>
      <c r="G106" s="17" t="inlineStr">
        <is>
          <t>-</t>
        </is>
      </c>
      <c r="H106" s="17" t="inlineStr">
        <is>
          <t>Web (sin cotización)</t>
        </is>
      </c>
    </row>
    <row r="107">
      <c r="A107" s="17" t="inlineStr">
        <is>
          <t>INDUSPALLETS</t>
        </is>
      </c>
      <c r="B107" s="17" t="inlineStr">
        <is>
          <t>IndusPallets</t>
        </is>
      </c>
      <c r="C107" s="17" t="inlineStr">
        <is>
          <t>Pallets de madera</t>
        </is>
      </c>
      <c r="D107" s="17" t="inlineStr">
        <is>
          <t>Las Higueritas 548, Lanús Este (PBA)</t>
        </is>
      </c>
      <c r="E107" s="17" t="inlineStr">
        <is>
          <t>≈ 8 km (aprox.)</t>
        </is>
      </c>
      <c r="F107" s="17" t="inlineStr">
        <is>
          <t>4220-9600</t>
        </is>
      </c>
      <c r="G107" s="17" t="inlineStr">
        <is>
          <t>1200 × 1000 (IRAM 10016)</t>
        </is>
      </c>
      <c r="H107" s="17" t="inlineStr">
        <is>
          <t>Web (sin cotización)</t>
        </is>
      </c>
    </row>
    <row r="108">
      <c r="A108" s="17" t="inlineStr">
        <is>
          <t>MVEMB</t>
        </is>
      </c>
      <c r="B108" s="17" t="inlineStr">
        <is>
          <t>MV Embalajes</t>
        </is>
      </c>
      <c r="C108" s="17" t="inlineStr">
        <is>
          <t>Fabricación de film stretch y cintas de embalaje</t>
        </is>
      </c>
      <c r="D108" s="17" t="inlineStr">
        <is>
          <t>Zona Oeste (PBA)</t>
        </is>
      </c>
      <c r="E108" s="17" t="inlineStr">
        <is>
          <t>a confirmar</t>
        </is>
      </c>
      <c r="F108" s="17" t="inlineStr">
        <is>
          <t>7520-0870 · ventas@mvembalajes.com.ar</t>
        </is>
      </c>
      <c r="G108" s="17" t="inlineStr">
        <is>
          <t>Film stretch y cinta de embalaje</t>
        </is>
      </c>
      <c r="H108" s="17" t="inlineStr">
        <is>
          <t>Web mvembalajes.com (producto verificado)</t>
        </is>
      </c>
    </row>
    <row r="109">
      <c r="A109" s="17" t="inlineStr">
        <is>
          <t>EMBALPACK</t>
        </is>
      </c>
      <c r="B109" s="17" t="inlineStr">
        <is>
          <t>Embalpack</t>
        </is>
      </c>
      <c r="C109" s="17" t="inlineStr">
        <is>
          <t>Film stretch y embalaje</t>
        </is>
      </c>
      <c r="D109" s="17" t="inlineStr">
        <is>
          <t>Nicasio Oroño 2444, CABA</t>
        </is>
      </c>
      <c r="E109" s="17" t="inlineStr">
        <is>
          <t>≈ 10 km (aprox.)</t>
        </is>
      </c>
      <c r="F109" s="17" t="inlineStr">
        <is>
          <t>4581-7775</t>
        </is>
      </c>
      <c r="G109" s="17" t="inlineStr">
        <is>
          <t>-</t>
        </is>
      </c>
      <c r="H109" s="17" t="inlineStr">
        <is>
          <t>Web embalpack.com.ar (producto verificado)</t>
        </is>
      </c>
    </row>
    <row r="110">
      <c r="A110" s="17" t="inlineStr">
        <is>
          <t>ARGENSOLD</t>
        </is>
      </c>
      <c r="B110" s="17" t="inlineStr">
        <is>
          <t>Argensold</t>
        </is>
      </c>
      <c r="C110" s="17" t="inlineStr">
        <is>
          <t>Fábrica de O-rings y sellos</t>
        </is>
      </c>
      <c r="D110" s="17" t="inlineStr">
        <is>
          <t>Av. J. M. de Rosas 698, Lomas del Mirador (PBA)</t>
        </is>
      </c>
      <c r="E110" s="17" t="inlineStr">
        <is>
          <t>≈ 20 km (aprox.)</t>
        </is>
      </c>
      <c r="F110" s="17" t="inlineStr">
        <is>
          <t>4699-3788</t>
        </is>
      </c>
      <c r="G110" s="17" t="inlineStr">
        <is>
          <t>O-rings AS-568 en NBR</t>
        </is>
      </c>
      <c r="H110" s="17" t="inlineStr">
        <is>
          <t>Web o-ring.com.ar (producto verificado)</t>
        </is>
      </c>
    </row>
    <row r="111">
      <c r="A111" s="17" t="inlineStr">
        <is>
          <t>WURTH</t>
        </is>
      </c>
      <c r="B111" s="17" t="inlineStr">
        <is>
          <t>Würth Argentina</t>
        </is>
      </c>
      <c r="C111" s="17" t="inlineStr">
        <is>
          <t>Bulonería, tarugos y O-rings</t>
        </is>
      </c>
      <c r="D111" s="17" t="inlineStr">
        <is>
          <t>Sucursales GBA</t>
        </is>
      </c>
      <c r="E111" s="17" t="inlineStr">
        <is>
          <t>a confirmar</t>
        </is>
      </c>
      <c r="F111" s="17" t="n"/>
      <c r="G111" s="17" t="inlineStr">
        <is>
          <t>-</t>
        </is>
      </c>
      <c r="H111" s="17" t="inlineStr">
        <is>
          <t>Web (sin cotización)</t>
        </is>
      </c>
    </row>
    <row r="112">
      <c r="A112" s="17" t="inlineStr">
        <is>
          <t>MAXISEG</t>
        </is>
      </c>
      <c r="B112" s="17" t="inlineStr">
        <is>
          <t>Maxiseguridad</t>
        </is>
      </c>
      <c r="C112" s="17" t="inlineStr">
        <is>
          <t>Soportes y accesorios de extintores</t>
        </is>
      </c>
      <c r="D112" s="17" t="inlineStr">
        <is>
          <t>Vélez Sarsfield 5263, Munro (PBA)</t>
        </is>
      </c>
      <c r="E112" s="17" t="inlineStr">
        <is>
          <t>≈ 25 km (aprox.)</t>
        </is>
      </c>
      <c r="F112" s="17" t="inlineStr">
        <is>
          <t>4756-3979</t>
        </is>
      </c>
      <c r="G112" s="17" t="inlineStr">
        <is>
          <t>Soportes de chapa para 1 kg, de pared y de piso</t>
        </is>
      </c>
      <c r="H112" s="17" t="inlineStr">
        <is>
          <t>Web catalogo.maxiseguridad.com.ar (producto verificado)</t>
        </is>
      </c>
    </row>
    <row r="113">
      <c r="A113" s="17" t="inlineStr">
        <is>
          <t>CMREP</t>
        </is>
      </c>
      <c r="B113" s="17" t="inlineStr">
        <is>
          <t>CM Representaciones</t>
        </is>
      </c>
      <c r="C113" s="17" t="inlineStr">
        <is>
          <t>Repuestos para semirremolques</t>
        </is>
      </c>
      <c r="D113" s="17" t="inlineStr">
        <is>
          <t>GBA</t>
        </is>
      </c>
      <c r="E113" s="17" t="inlineStr">
        <is>
          <t>a confirmar</t>
        </is>
      </c>
      <c r="F113" s="17" t="n"/>
      <c r="G113" s="17" t="inlineStr">
        <is>
          <t>Soporte de chapa para matafuego de 10 kg (vehicular)</t>
        </is>
      </c>
      <c r="H113" s="17" t="inlineStr">
        <is>
          <t>Web cmrepresentaciones.com.ar</t>
        </is>
      </c>
    </row>
    <row r="114">
      <c r="A114" s="17" t="inlineStr">
        <is>
          <t>GS1</t>
        </is>
      </c>
      <c r="B114" s="17" t="inlineStr">
        <is>
          <t>GS1 Argentina</t>
        </is>
      </c>
      <c r="C114" s="17" t="inlineStr">
        <is>
          <t>Códigos GTIN 779</t>
        </is>
      </c>
      <c r="D114" s="17" t="inlineStr">
        <is>
          <t>CABA</t>
        </is>
      </c>
      <c r="E114" s="17" t="inlineStr">
        <is>
          <t>≈ 10 km (aprox.)</t>
        </is>
      </c>
      <c r="F114" s="17" t="n"/>
      <c r="G114" s="17" t="inlineStr">
        <is>
          <t>Estándar GS1</t>
        </is>
      </c>
      <c r="H114" s="17" t="inlineStr">
        <is>
          <t>Web</t>
        </is>
      </c>
    </row>
    <row r="115">
      <c r="A115" s="17" t="inlineStr">
        <is>
          <t>IRAM</t>
        </is>
      </c>
      <c r="B115" s="17" t="inlineStr">
        <is>
          <t>IRAM - Instituto Argentino de Normalización</t>
        </is>
      </c>
      <c r="C115" s="17" t="inlineStr">
        <is>
          <t>Estampilla de conformidad</t>
        </is>
      </c>
      <c r="D115" s="17" t="inlineStr">
        <is>
          <t>Perú 552/556, CABA</t>
        </is>
      </c>
      <c r="E115" s="17" t="inlineStr">
        <is>
          <t>≈ 6 km (aprox.)</t>
        </is>
      </c>
      <c r="F115" s="17" t="n"/>
      <c r="G115" s="17" t="inlineStr">
        <is>
          <t>Anexo R (DC-PG-129)</t>
        </is>
      </c>
      <c r="H115" s="17" t="inlineStr">
        <is>
          <t>N-3523</t>
        </is>
      </c>
    </row>
    <row r="116">
      <c r="A116" s="17" t="inlineStr">
        <is>
          <t>DPS</t>
        </is>
      </c>
      <c r="B116" s="17" t="inlineStr">
        <is>
          <t>Ministerio de Ambiente PBA (ex OPDS)</t>
        </is>
      </c>
      <c r="C116" s="17" t="inlineStr">
        <is>
          <t>Oblea y tarjetas DPS</t>
        </is>
      </c>
      <c r="D116" s="17" t="inlineStr">
        <is>
          <t>La Plata (PBA)</t>
        </is>
      </c>
      <c r="E116" s="17" t="inlineStr">
        <is>
          <t>≈ 55 km (aprox.)</t>
        </is>
      </c>
      <c r="F116" s="17" t="n"/>
      <c r="G116" s="17" t="inlineStr">
        <is>
          <t>Res. 522/07 · Res. 349/07</t>
        </is>
      </c>
      <c r="H116" s="17" t="inlineStr">
        <is>
          <t>N-349</t>
        </is>
      </c>
    </row>
    <row r="117">
      <c r="A117" s="17" t="inlineStr">
        <is>
          <t>AGC</t>
        </is>
      </c>
      <c r="B117" s="17" t="inlineStr">
        <is>
          <t>Agencia Gubernamental de Control (CABA)</t>
        </is>
      </c>
      <c r="C117" s="17" t="inlineStr">
        <is>
          <t>Tarjeta AGC</t>
        </is>
      </c>
      <c r="D117" s="17" t="inlineStr">
        <is>
          <t>CABA</t>
        </is>
      </c>
      <c r="E117" s="17" t="inlineStr">
        <is>
          <t>≈ 6 km (aprox.)</t>
        </is>
      </c>
      <c r="F117" s="17" t="n"/>
      <c r="G117" s="17" t="inlineStr">
        <is>
          <t>Ord. 40.473 · Res. AGC 32/15</t>
        </is>
      </c>
      <c r="H117" s="17" t="inlineStr">
        <is>
          <t>N-AGC</t>
        </is>
      </c>
    </row>
    <row r="118">
      <c r="A118" s="17" t="inlineStr">
        <is>
          <t>YUKON</t>
        </is>
      </c>
      <c r="B118" s="17" t="inlineStr">
        <is>
          <t>Yukon / MatafuegosYa S.R.L.</t>
        </is>
      </c>
      <c r="C118" s="17" t="inlineStr">
        <is>
          <t>Agentes y repuestos de matafuegos</t>
        </is>
      </c>
      <c r="D118" s="17" t="inlineStr">
        <is>
          <t>Estomba 954, CABA</t>
        </is>
      </c>
      <c r="E118" s="17" t="inlineStr">
        <is>
          <t>≈ 12 km (aprox.)</t>
        </is>
      </c>
      <c r="F118" s="17" t="inlineStr">
        <is>
          <t>4555-5100</t>
        </is>
      </c>
      <c r="G118" s="17" t="inlineStr">
        <is>
          <t>Vástagos, manómetros, etiquetas, mangueras, toberas y válvulas</t>
        </is>
      </c>
      <c r="H118" s="17" t="inlineStr">
        <is>
          <t>Registro de proveedores PJN · Q-YUKON (equipos)</t>
        </is>
      </c>
    </row>
    <row r="119">
      <c r="A119" s="17" t="inlineStr">
        <is>
          <t>IGLESIAS</t>
        </is>
      </c>
      <c r="B119" s="17" t="inlineStr">
        <is>
          <t>Matafuegos Iglesias</t>
        </is>
      </c>
      <c r="C119" s="17" t="inlineStr">
        <is>
          <t>Repuestos y accesorios de matafuegos</t>
        </is>
      </c>
      <c r="D119" s="17" t="inlineStr">
        <is>
          <t>Av. Entre Ríos 1127, CABA</t>
        </is>
      </c>
      <c r="E119" s="17" t="inlineStr">
        <is>
          <t>≈ 7 km (aprox.)</t>
        </is>
      </c>
      <c r="F119" s="17" t="inlineStr">
        <is>
          <t>15-5308-5666</t>
        </is>
      </c>
      <c r="G119" s="17" t="inlineStr">
        <is>
          <t>Manómetros, mangueras, O-rings, trabas, precintos, vástagos y válvulas</t>
        </is>
      </c>
      <c r="H119" s="17" t="inlineStr">
        <is>
          <t>Web matafuegosiglesias.com (producto verificado)</t>
        </is>
      </c>
    </row>
  </sheetData>
  <autoFilter ref="A5:O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13" customWidth="1" min="1" max="1"/>
    <col width="26" customWidth="1" min="2" max="2"/>
    <col width="46" customWidth="1" min="3" max="3"/>
    <col width="40" customWidth="1" min="4" max="4"/>
    <col width="30" customWidth="1" min="5" max="5"/>
    <col width="20" customWidth="1" min="6" max="6"/>
    <col width="70" customWidth="1" min="7" max="7"/>
  </cols>
  <sheetData>
    <row r="1">
      <c r="A1" s="4" t="inlineStr">
        <is>
          <t>Validación documental de materias primas, consumibles y componentes</t>
        </is>
      </c>
    </row>
    <row r="3" ht="32" customHeight="1">
      <c r="A3" s="16" t="inlineStr">
        <is>
          <t>Rubro</t>
        </is>
      </c>
      <c r="B3" s="16" t="inlineStr">
        <is>
          <t>Ítem</t>
        </is>
      </c>
      <c r="C3" s="16" t="inlineStr">
        <is>
          <t>Especificación adoptada en el BOM</t>
        </is>
      </c>
      <c r="D3" s="16" t="inlineStr">
        <is>
          <t>Requisito normativo</t>
        </is>
      </c>
      <c r="E3" s="16" t="inlineStr">
        <is>
          <t>Respaldo (ver tabla de documentos)</t>
        </is>
      </c>
      <c r="F3" s="16" t="inlineStr">
        <is>
          <t>Estado</t>
        </is>
      </c>
      <c r="G3" s="16" t="inlineStr">
        <is>
          <t>Acción para cerrar</t>
        </is>
      </c>
    </row>
    <row r="4">
      <c r="A4" s="17" t="inlineStr">
        <is>
          <t>Acero</t>
        </is>
      </c>
      <c r="B4" s="17" t="inlineStr">
        <is>
          <t>Chapa del cuerpo 2,5 / 5 / 10 kg</t>
        </is>
      </c>
      <c r="C4" s="17" t="inlineStr">
        <is>
          <t>LAF e = 1,25 / 1,6 / 2,0 (Ternium); calidad IRAM-IAS U 500-05</t>
        </is>
      </c>
      <c r="D4" s="17" t="inlineStr">
        <is>
          <t>IRAM 3523 3.2.1 a): acero al C U 500-04/-05/-506, e ≥ 0,71, recubrimiento exterior</t>
        </is>
      </c>
      <c r="E4" s="17" t="inlineStr">
        <is>
          <t>Q-PACHECO · Q-PRADECON · Q-PARROTTA · R-FADESA · I-FLAMA</t>
        </is>
      </c>
      <c r="F4" s="47" t="inlineStr">
        <is>
          <t>VALIDADA CON CONDICIÓN</t>
        </is>
      </c>
      <c r="G4" s="17" t="inlineStr">
        <is>
          <t>Formato y espesor: cotizados. La calidad U 500-05 no figura en ningún documento (Pacheco: «Requiere certificado: NO»). Pedir en la OC el certificado de calidad de la colada (Ternium).</t>
        </is>
      </c>
    </row>
    <row r="5">
      <c r="A5" s="17" t="inlineStr">
        <is>
          <t>Acero</t>
        </is>
      </c>
      <c r="B5" s="17" t="inlineStr">
        <is>
          <t>Fleje para cúpula y fondo 1 a 10 kg</t>
        </is>
      </c>
      <c r="C5" s="17" t="inlineStr">
        <is>
          <t>LAF e = 0,9 / 1,25 / 1,6 / 2,0 en bobina flejada</t>
        </is>
      </c>
      <c r="D5" s="17" t="inlineStr">
        <is>
          <t>IRAM 3523 3.2.1 a)</t>
        </is>
      </c>
      <c r="E5" s="17" t="inlineStr">
        <is>
          <t>Q-PACHECO · Q-PRADECON</t>
        </is>
      </c>
      <c r="F5" s="47" t="inlineStr">
        <is>
          <t>VALIDADA CON CONDICIÓN</t>
        </is>
      </c>
      <c r="G5" s="17" t="inlineStr">
        <is>
          <t>Ídem chapa: exigir certificado de colada.</t>
        </is>
      </c>
    </row>
    <row r="6">
      <c r="A6" s="17" t="inlineStr">
        <is>
          <t>Acero</t>
        </is>
      </c>
      <c r="B6" s="17" t="inlineStr">
        <is>
          <t>Cuerpo 1 kg</t>
        </is>
      </c>
      <c r="C6" s="17" t="inlineStr">
        <is>
          <t>Caño c-c LF Ø76,2 × 1,25, barra 6 m</t>
        </is>
      </c>
      <c r="D6" s="17" t="inlineStr">
        <is>
          <t>IRAM 3523 3.2.1 a) y 3.2.4.2 (costura automática: resistencia eléctrica)</t>
        </is>
      </c>
      <c r="E6" s="17" t="inlineStr">
        <is>
          <t>Q-METALPRI · I-FLAMA</t>
        </is>
      </c>
      <c r="F6" s="47" t="inlineStr">
        <is>
          <t>VALIDADA CON CONDICIÓN</t>
        </is>
      </c>
      <c r="G6" s="17" t="inlineStr">
        <is>
          <t>Confirmar con Metalpri que la costura es por resistencia eléctrica (ERW) y pedir certificado de material.</t>
        </is>
      </c>
    </row>
    <row r="7">
      <c r="A7" s="17" t="inlineStr">
        <is>
          <t>Acero</t>
        </is>
      </c>
      <c r="B7" s="17" t="inlineStr">
        <is>
          <t>Chapa del cuerpo rodantes</t>
        </is>
      </c>
      <c r="C7" s="17" t="inlineStr">
        <is>
          <t>LAC e = 3,2 (25 y 50 kg) / 4,75 (70 y 100 kg); IRAM-IAS U 500-04</t>
        </is>
      </c>
      <c r="D7" s="17" t="inlineStr">
        <is>
          <t>IRAM 3550 3.2.1; 4.1.3.1 fórmula; 4.1.3.2 mínimos 2,9 / 4,5 mm</t>
        </is>
      </c>
      <c r="E7" s="17" t="inlineStr">
        <is>
          <t>Q-PACHECO · Q-PRADECON · R-FADESA</t>
        </is>
      </c>
      <c r="F7" s="47" t="inlineStr">
        <is>
          <t>VALIDADA CON CONDICIÓN</t>
        </is>
      </c>
      <c r="G7" s="17" t="inlineStr">
        <is>
          <t>4,75 cumple el mínimo de 4,5 (Ø &gt; 320). 50 kg con 3,2 (igual que Fadesa G689) cumple la fórmula sólo con σf ≥ 265 MPa: exigirlo en el certificado o pasar a 4,0. Recortes 70 / 100 kg: 680 / 900 × 1212 (Ø390, proceso de carros) coinciden con el plano FL_REC.</t>
        </is>
      </c>
    </row>
    <row r="8">
      <c r="A8" s="17" t="inlineStr">
        <is>
          <t>Semielaborado</t>
        </is>
      </c>
      <c r="B8" s="17" t="inlineStr">
        <is>
          <t>Tapas (cúpula y fondo) de rodantes 25 / 50 / 70 / 100 kg</t>
        </is>
      </c>
      <c r="C8" s="17" t="inlineStr">
        <is>
          <t>Casquete embutido Ø276 / Ø320 × 3,2 y Ø390 × 4,75 (15", el mismo para 70 y 100 kg), embutido tercerizado en Gockel Ingeniería (Wilde, Avellaneda)</t>
        </is>
      </c>
      <c r="D8" s="17" t="inlineStr">
        <is>
          <t>IRAM 3550 3.2.1 / 4.1.3</t>
        </is>
      </c>
      <c r="E8" s="17" t="inlineStr">
        <is>
          <t>Proveedor de FLAMA (Gockel)</t>
        </is>
      </c>
      <c r="F8" s="47" t="inlineStr">
        <is>
          <t>VALIDADA CON CONDICIÓN</t>
        </is>
      </c>
      <c r="G8" s="17" t="inlineStr">
        <is>
          <t>Cotizar con matriz por diámetro y certificado de material de la chapa (σf ≥ 265 MPa).</t>
        </is>
      </c>
    </row>
    <row r="9">
      <c r="A9" s="17" t="inlineStr">
        <is>
          <t>Semielaborado</t>
        </is>
      </c>
      <c r="B9" s="17" t="inlineStr">
        <is>
          <t>Cuello roscado de manuales</t>
        </is>
      </c>
      <c r="C9" s="17" t="inlineStr">
        <is>
          <t>Asiento mecanizado SAE 1020 M22 / M30 × 1,5 (Eli-Met)</t>
        </is>
      </c>
      <c r="D9" s="17" t="inlineStr">
        <is>
          <t>IRAM 3523 4.1.2 (Ø int. ≥ 19); roscas IRAM 5058 / 5063</t>
        </is>
      </c>
      <c r="E9" s="17" t="inlineStr">
        <is>
          <t>I-FLAMA · R-FADESA</t>
        </is>
      </c>
      <c r="F9" s="42" t="inlineStr">
        <is>
          <t>A VALIDAR</t>
        </is>
      </c>
      <c r="G9" s="17" t="inlineStr">
        <is>
          <t>Sin cotización (planilla MP-18/19): pedir a Eli-Met con material y calibre de rosca.</t>
        </is>
      </c>
    </row>
    <row r="10">
      <c r="A10" s="17" t="inlineStr">
        <is>
          <t>Semielaborado</t>
        </is>
      </c>
      <c r="B10" s="17" t="inlineStr">
        <is>
          <t>Cupla soldable de rodantes</t>
        </is>
      </c>
      <c r="C10" s="17" t="inlineStr">
        <is>
          <t>Cupla M30 × 1,5 (25/50 kg) / RBSP 2½" (70/100 kg), Eli-Met</t>
        </is>
      </c>
      <c r="D10" s="17" t="inlineStr">
        <is>
          <t>IRAM 3550 4.1.5</t>
        </is>
      </c>
      <c r="E10" s="17" t="inlineStr">
        <is>
          <t>Planilla MP-20/21</t>
        </is>
      </c>
      <c r="F10" s="48" t="inlineStr">
        <is>
          <t>VALIDADA</t>
        </is>
      </c>
      <c r="G10" s="17" t="inlineStr">
        <is>
          <t>Cotizada: $5.261 / $13.479 c/u + IVA, 35-40 días.</t>
        </is>
      </c>
    </row>
    <row r="11">
      <c r="A11" s="17" t="inlineStr">
        <is>
          <t>Semielaborado</t>
        </is>
      </c>
      <c r="B11" s="17" t="inlineStr">
        <is>
          <t>Placas de refuerzo 70 / 100 kg</t>
        </is>
      </c>
      <c r="C11" s="17" t="inlineStr">
        <is>
          <t>2 placas 200 × 100 × 4,75 curvadas a Ø380, por dentro sobre la costura longitudinal, a 100 mm de cada boca</t>
        </is>
      </c>
      <c r="D11" s="17" t="inlineStr">
        <is>
          <t>—</t>
        </is>
      </c>
      <c r="E11" s="17" t="inlineStr">
        <is>
          <t>Proceso FLAMA de carros (corte, cilindrado y punteo)</t>
        </is>
      </c>
      <c r="F11" s="48" t="inlineStr">
        <is>
          <t>VALIDADA</t>
        </is>
      </c>
      <c r="G11" s="17" t="inlineStr">
        <is>
          <t>Salen de las orillas de 4,75 (sin compra).</t>
        </is>
      </c>
    </row>
    <row r="12">
      <c r="A12" s="17" t="inlineStr">
        <is>
          <t>Consumible</t>
        </is>
      </c>
      <c r="B12" s="17" t="inlineStr">
        <is>
          <t>Alambre de soldadura</t>
        </is>
      </c>
      <c r="C12" s="17" t="inlineStr">
        <is>
          <t>ER70S-6 Ø0,9 / 1,2 (AWS A5.18); consumo = depositado / 0,95</t>
        </is>
      </c>
      <c r="D12" s="17" t="inlineStr">
        <is>
          <t>IRAM 3523 3.2.4.2 / 3550 4.1.2</t>
        </is>
      </c>
      <c r="E12" s="17" t="inlineStr">
        <is>
          <t>I-FLAMA · Q-GETWELD · T2 (ESAB)</t>
        </is>
      </c>
      <c r="F12" s="18" t="inlineStr">
        <is>
          <t>ESTIMADA</t>
        </is>
      </c>
      <c r="G12" s="17" t="inlineStr">
        <is>
          <t>Rendimiento 0,95 de fuente técnica (ESAB 90-97 %): medir en la prueba de soldadura del equipo.</t>
        </is>
      </c>
    </row>
    <row r="13">
      <c r="A13" s="17" t="inlineStr">
        <is>
          <t>Consumible</t>
        </is>
      </c>
      <c r="B13" s="17" t="inlineStr">
        <is>
          <t>Gas de protección</t>
        </is>
      </c>
      <c r="C13" s="17" t="inlineStr">
        <is>
          <t>Arcal 21 / ARCAL Speed: Ar + 8 % CO₂ (M20) para MAG 135; 14 L/min × tiempo de arco (cordón / 600 mm/min)</t>
        </is>
      </c>
      <c r="D13" s="17" t="inlineStr">
        <is>
          <t>IRAM 3523 3.2.4.2 c) y 3550 3.2.2.2 c): «atmósfera inerte»</t>
        </is>
      </c>
      <c r="E13" s="17" t="inlineStr">
        <is>
          <t>Q-ARCAL · Q-GETWELD · T1</t>
        </is>
      </c>
      <c r="F13" s="47" t="inlineStr">
        <is>
          <t>VALIDADA CON CONDICIÓN</t>
        </is>
      </c>
      <c r="G13" s="17" t="inlineStr">
        <is>
          <t>Decisión FLAMA: MAG. Acreditar con el certificador (IRAM / BV) en el ensayo de tipo (probetas IRAM 609 y PH). Caudal y velocidad: fuentes técnicas, medir.</t>
        </is>
      </c>
    </row>
    <row r="14">
      <c r="A14" s="17" t="inlineStr">
        <is>
          <t>Consumible</t>
        </is>
      </c>
      <c r="B14" s="17" t="inlineStr">
        <is>
          <t>Granalla</t>
        </is>
      </c>
      <c r="C14" s="17" t="inlineStr">
        <is>
          <t>S330 / S390 (ISO 11124-3, SAE J444) — sólo manuales; rodantes por quemado; 3,4 kg/h ÷ 42,5 u/h = 0,08 kg/u</t>
        </is>
      </c>
      <c r="D14" s="17" t="inlineStr">
        <is>
          <t>DOC-01 (Sa 2½ ISO 8501-1)</t>
        </is>
      </c>
      <c r="E14" s="17" t="inlineStr">
        <is>
          <t>I-FLAMA · T3 (The Fabricator)</t>
        </is>
      </c>
      <c r="F14" s="18" t="inlineStr">
        <is>
          <t>ESTIMADA</t>
        </is>
      </c>
      <c r="G14" s="17" t="inlineStr">
        <is>
          <t>Consumo por regla HP / 2 lb/h de la G-100: medir. El 1 kg (Ø76,2) está fuera del rango de la G-100 (Ø80-200).</t>
        </is>
      </c>
    </row>
    <row r="15">
      <c r="A15" s="17" t="inlineStr">
        <is>
          <t>Servicio</t>
        </is>
      </c>
      <c r="B15" s="17" t="inlineStr">
        <is>
          <t>Pintura</t>
        </is>
      </c>
      <c r="C15" s="17" t="inlineStr">
        <is>
          <t>Servicio tercerizado de pintura en polvo al horno, rojo 03-1-050, por unidad</t>
        </is>
      </c>
      <c r="D15" s="17" t="inlineStr">
        <is>
          <t>IRAM 3523 5.3 / IRAM 3550 3.11; niebla salina IRAM 121 (3550 4.5: 240 h)</t>
        </is>
      </c>
      <c r="E15" s="17" t="inlineStr">
        <is>
          <t>Q-PRYMAX · Q-CARROS · N-349</t>
        </is>
      </c>
      <c r="F15" s="47" t="inlineStr">
        <is>
          <t>VALIDADA CON CONDICIÓN</t>
        </is>
      </c>
      <c r="G15" s="17" t="inlineStr">
        <is>
          <t>Res. 349/07 art. 18 d) lista cabina y equipo de pintura en el equipamiento del fabricante; la tercerización (Prymax / pintor de carros) queda sujeta a la aceptación del Ministerio de Ambiente PBA (autoridad de aplicación) en la inscripción. Exigir informe de niebla salina IRAM 121 del pintor.</t>
        </is>
      </c>
    </row>
    <row r="16">
      <c r="A16" s="17" t="inlineStr">
        <is>
          <t>Agente</t>
        </is>
      </c>
      <c r="B16" s="17" t="inlineStr">
        <is>
          <t>Polvo ABC</t>
        </is>
      </c>
      <c r="C16" s="17" t="inlineStr">
        <is>
          <t>Polvo con Sello IRAM 3569 del grado elegido; composición = la declarada por su fabricante</t>
        </is>
      </c>
      <c r="D16" s="17" t="inlineStr">
        <is>
          <t>IRAM 3569 (tabla de requisitos); IRAM 3523 7.13 e)</t>
        </is>
      </c>
      <c r="E16" s="17" t="inlineStr">
        <is>
          <t>N-3569 · L-DEMSA · L-DRAGO · Q-AGENTES</t>
        </is>
      </c>
      <c r="F16" s="47" t="inlineStr">
        <is>
          <t>VALIDADA CON CONDICIÓN</t>
        </is>
      </c>
      <c r="G16" s="17" t="inlineStr">
        <is>
          <t>Con DEM-60 / DEM-90 hay potencial de referencia (licencia Drago). La lista cotizada es Sancibrao ABC 55 / 75 / 90: con ese polvo el potencial sale del ensayo de tipo de FLAMA (IRAM 3542 / 3543). La bolsa debe declarar el % mínimo de fosfato monoamónico (Res. 349/07 art. 38 k).</t>
        </is>
      </c>
    </row>
    <row r="17">
      <c r="A17" s="17" t="inlineStr">
        <is>
          <t>Gas</t>
        </is>
      </c>
      <c r="B17" s="17" t="inlineStr">
        <is>
          <t>Nitrógeno de presurización</t>
        </is>
      </c>
      <c r="C17" s="17" t="inlineStr">
        <is>
          <t>N₂ ≥ 99,8 %, H₂O ≤ 40 ppm</t>
        </is>
      </c>
      <c r="D17" s="17" t="inlineStr">
        <is>
          <t>IRAM 3523 3.10 (N₂ seco); IRAM 3517-2 tabla 2</t>
        </is>
      </c>
      <c r="E17" s="17" t="inlineStr">
        <is>
          <t>Q-N2 · I-FLAMA</t>
        </is>
      </c>
      <c r="F17" s="48" t="inlineStr">
        <is>
          <t>VALIDADA</t>
        </is>
      </c>
      <c r="G17" s="17" t="inlineStr">
        <is>
          <t>—</t>
        </is>
      </c>
    </row>
    <row r="18">
      <c r="A18" s="17" t="inlineStr">
        <is>
          <t>Componente</t>
        </is>
      </c>
      <c r="B18" s="17" t="inlineStr">
        <is>
          <t>Válvula</t>
        </is>
      </c>
      <c r="C18" s="17" t="inlineStr">
        <is>
          <t>Válvula HZ armada (M-22 1 kg; M-30 2,5-10 kg; carro 25 kg; carro 50-100 kg)</t>
        </is>
      </c>
      <c r="D18" s="17" t="inlineStr">
        <is>
          <t>IRAM 3523 3.3 / IRAM 3550 3.4</t>
        </is>
      </c>
      <c r="E18" s="17" t="inlineStr">
        <is>
          <t>Q-AGENTES · R-FADESA</t>
        </is>
      </c>
      <c r="F18" s="47" t="inlineStr">
        <is>
          <t>VALIDADA CON CONDICIÓN</t>
        </is>
      </c>
      <c r="G18" s="17" t="inlineStr">
        <is>
          <t>Confirmar con el proveedor qué trae el kit (lista: resorte y tubo de pesca; vástago y junta se asumen incluidos).</t>
        </is>
      </c>
    </row>
    <row r="19">
      <c r="A19" s="17" t="inlineStr">
        <is>
          <t>Componente</t>
        </is>
      </c>
      <c r="B19" s="17" t="inlineStr">
        <is>
          <t>Manómetro</t>
        </is>
      </c>
      <c r="C19" s="17" t="inlineStr">
        <is>
          <t>Manómetro con sello IRAM 3533</t>
        </is>
      </c>
      <c r="D19" s="17" t="inlineStr">
        <is>
          <t>IRAM 3523 4.5</t>
        </is>
      </c>
      <c r="E19" s="17" t="inlineStr">
        <is>
          <t>I-FLAMA</t>
        </is>
      </c>
      <c r="F19" s="42" t="inlineStr">
        <is>
          <t>A VALIDAR</t>
        </is>
      </c>
      <c r="G19" s="17" t="inlineStr">
        <is>
          <t>Sin cotización ni ficha: cotizar a Georgia (venta mayorista) o Mozart (Valentín Alsina).</t>
        </is>
      </c>
    </row>
    <row r="20">
      <c r="A20" s="17" t="inlineStr">
        <is>
          <t>Componente</t>
        </is>
      </c>
      <c r="B20" s="17" t="inlineStr">
        <is>
          <t>Manga y tobera</t>
        </is>
      </c>
      <c r="C20" s="17" t="inlineStr">
        <is>
          <t>Manga de caucho + tobera</t>
        </is>
      </c>
      <c r="D20" s="17" t="inlineStr">
        <is>
          <t>IRAM 3523 4.2 (≥ 350 mm; PH 2 × Ps)</t>
        </is>
      </c>
      <c r="E20" s="17" t="inlineStr">
        <is>
          <t>I-FLAMA</t>
        </is>
      </c>
      <c r="F20" s="42" t="inlineStr">
        <is>
          <t>A VALIDAR</t>
        </is>
      </c>
      <c r="G20" s="17" t="inlineStr">
        <is>
          <t>Sin cotización: cotizar con ensayo de PH de la manga.</t>
        </is>
      </c>
    </row>
    <row r="21">
      <c r="A21" s="17" t="inlineStr">
        <is>
          <t>Componente</t>
        </is>
      </c>
      <c r="B21" s="17" t="inlineStr">
        <is>
          <t>Carro de rodantes</t>
        </is>
      </c>
      <c r="C21" s="17" t="inlineStr">
        <is>
          <t>Accesorios soldados al recipiente: 2 triángulos con V y caño del eje 1" / 1¼" × 2,0, manija de caño 1" × 2,0 con lengüetas 40 × 60, 2 flejes del soporte de manga y pata delantera; eje SAE 1045 Ø20 / Ø25, 4 arandelas, 2 pasadores y ruedas compradas al montaje final</t>
        </is>
      </c>
      <c r="D21" s="17" t="inlineStr">
        <is>
          <t>IRAM 3550 6.1.1, 3.12 y 4.8 (ruedas ≥ Ø300 × 50)</t>
        </is>
      </c>
      <c r="E21" s="17" t="inlineStr">
        <is>
          <t>Proceso FLAMA de carros · Catálogo Ruedar / Escanort</t>
        </is>
      </c>
      <c r="F21" s="42" t="inlineStr">
        <is>
          <t>A VALIDAR</t>
        </is>
      </c>
      <c r="G21" s="17" t="inlineStr">
        <is>
          <t>Medidas de los accesorios = proceso FLAMA de carros v2 (kit 2,9-3,8 kg). Ruedas: Ruedar Ø300 (buje 20 = eje del 25 kg) y Ø350 × 60 (buje 25, 150 kg); Ø400 maciza sin proveedor nacional hallado (Escanort Ø400 neumática).</t>
        </is>
      </c>
    </row>
    <row r="22">
      <c r="A22" s="17" t="inlineStr">
        <is>
          <t>Referencia</t>
        </is>
      </c>
      <c r="B22" s="17" t="inlineStr">
        <is>
          <t>Recipiente inoxidable de revendidos (agua, AFFF 10 L, sales K)</t>
        </is>
      </c>
      <c r="C22" s="17" t="inlineStr">
        <is>
          <t>Chapa inoxidable 304 soldada, TIG con Ar puro</t>
        </is>
      </c>
      <c r="D22" s="17" t="inlineStr">
        <is>
          <t>IRAM 3525 3.2.1 b) e ≥ 0,63; 3.2.2 ≤ 1 long. + 2 transv., automático, atmósfera inerte; IRAM 3517-2 9.4.21</t>
        </is>
      </c>
      <c r="E22" s="17" t="inlineStr">
        <is>
          <t>T5 · mercado (recipientes soldados, PH 100 %)</t>
        </is>
      </c>
      <c r="F22" s="18" t="inlineStr">
        <is>
          <t>ESTIMADA</t>
        </is>
      </c>
      <c r="G22" s="17" t="inlineStr">
        <is>
          <t>Soldado (no sin costura) confirmado por norma y mercado; proceso exacto no publicado por los fabricantes.</t>
        </is>
      </c>
    </row>
    <row r="23">
      <c r="A23" s="17" t="inlineStr">
        <is>
          <t>Identificación</t>
        </is>
      </c>
      <c r="B23" s="17" t="inlineStr">
        <is>
          <t>Etiqueta, oblea, estampilla, tarjeta, precinto, faja</t>
        </is>
      </c>
      <c r="C23" s="17" t="inlineStr">
        <is>
          <t>Según hoja 4 de cada plano FL_MAT</t>
        </is>
      </c>
      <c r="D23" s="17" t="inlineStr">
        <is>
          <t>IRAM 3534; Anexo R; Res. 522/07; Ord. 40.473; IRAM 3517-2 9.4.13</t>
        </is>
      </c>
      <c r="E23" s="17" t="inlineStr">
        <is>
          <t>N-3517 · fotos de mercado</t>
        </is>
      </c>
      <c r="F23" s="47" t="inlineStr">
        <is>
          <t>VALIDADA CON CONDICIÓN</t>
        </is>
      </c>
      <c r="G23" s="17" t="inlineStr">
        <is>
          <t>Formato respaldado; proveedor de etiquetas a cotizar.</t>
        </is>
      </c>
    </row>
    <row r="24">
      <c r="A24" s="17" t="inlineStr">
        <is>
          <t>Embalaje</t>
        </is>
      </c>
      <c r="B24" s="17" t="inlineStr">
        <is>
          <t>Caja y pallet</t>
        </is>
      </c>
      <c r="C24" s="17" t="inlineStr">
        <is>
          <t>Caja a medida del modelo; pallet 1200 × 1000</t>
        </is>
      </c>
      <c r="D24" s="17" t="inlineStr">
        <is>
          <t>—</t>
        </is>
      </c>
      <c r="E24" s="17" t="inlineStr">
        <is>
          <t>Plano (medidas) · planilla MP-59/60</t>
        </is>
      </c>
      <c r="F24" s="42" t="inlineStr">
        <is>
          <t>A VALIDAR</t>
        </is>
      </c>
      <c r="G24" s="17" t="inlineStr">
        <is>
          <t>Cotizar a Maxipack / Cartocan (Avellaneda) e IndusPallets (Lanús).</t>
        </is>
      </c>
    </row>
    <row r="25">
      <c r="A25" s="17" t="inlineStr">
        <is>
          <t>Embalaje</t>
        </is>
      </c>
      <c r="B25" s="17" t="inlineStr">
        <is>
          <t>Film stretch</t>
        </is>
      </c>
      <c r="C25" s="17" t="inlineStr">
        <is>
          <t>LLDPE 23 µm × 500 mm, 0,12 kg por pallet</t>
        </is>
      </c>
      <c r="D25" s="17" t="inlineStr">
        <is>
          <t>—</t>
        </is>
      </c>
      <c r="E25" s="17" t="inlineStr">
        <is>
          <t>Fichas de film · pre-estirado 250 %</t>
        </is>
      </c>
      <c r="F25" s="18" t="inlineStr">
        <is>
          <t>ESTIMADA</t>
        </is>
      </c>
      <c r="G25" s="17" t="inlineStr">
        <is>
          <t>Cálculo 40 m aplicados / 3,5 × 0,5 m × 23 µm × 0,92: medir en la envolvedora EDOS PS5.</t>
        </is>
      </c>
    </row>
    <row r="27">
      <c r="A27" s="2" t="inlineStr">
        <is>
          <t>Documentos citados</t>
        </is>
      </c>
    </row>
    <row r="28" ht="20" customHeight="1">
      <c r="A28" s="16" t="inlineStr">
        <is>
          <t>Id</t>
        </is>
      </c>
      <c r="B28" s="16" t="inlineStr">
        <is>
          <t>Documento</t>
        </is>
      </c>
      <c r="C28" s="16" t="inlineStr">
        <is>
          <t>Qué respalda</t>
        </is>
      </c>
    </row>
    <row r="29">
      <c r="A29" s="17" t="inlineStr">
        <is>
          <t>Q-PACHECO</t>
        </is>
      </c>
      <c r="B29" s="17" t="inlineStr">
        <is>
          <t>Cotización Pacheco Chapas PR-42021 y PR-42024 (09/09/2026)</t>
        </is>
      </c>
      <c r="C29" s="17" t="inlineStr">
        <is>
          <t>LAF 1,25 / 1,6 / 2,0 en rollos (fleje 200-300) y recortes 385×270, 330×475, 495×563; LAC 3,2 recortes 490×858 y 640×994; LAC 4,75 recortes 1212×680 y 1212×900. Formulario: «Requiere certificado: NO».</t>
        </is>
      </c>
    </row>
    <row r="30">
      <c r="A30" s="17" t="inlineStr">
        <is>
          <t>Q-PRADECON</t>
        </is>
      </c>
      <c r="B30" s="17" t="inlineStr">
        <is>
          <t>Presupuestos Pradecon 173170 y 173195 (28/09/2026) + mail de ventas</t>
        </is>
      </c>
      <c r="C30" s="17" t="inlineStr">
        <is>
          <t>Bobina flejada LAF 0,90 / 1,25 / 1,60 / 2,00 (C20-C14) y LAC 3,20 y 4,75; bobinas de origen Ternium; las normas del material remiten a la web de Pradecon (ficha no adjunta).</t>
        </is>
      </c>
    </row>
    <row r="31">
      <c r="A31" s="17" t="inlineStr">
        <is>
          <t>Q-PARROTTA</t>
        </is>
      </c>
      <c r="B31" s="17" t="inlineStr">
        <is>
          <t>Presupuesto Hierros Parrotta 00413329 (28/09/2026)</t>
        </is>
      </c>
      <c r="C31" s="17" t="inlineStr">
        <is>
          <t>Chapa doble decapada N° 20/18/16/14 (0,9/1,2/1,6/2,0) y LAC 1/8" y 3/16" en hojas.</t>
        </is>
      </c>
    </row>
    <row r="32">
      <c r="A32" s="17" t="inlineStr">
        <is>
          <t>Q-POLIMETAL</t>
        </is>
      </c>
      <c r="B32" s="17" t="inlineStr">
        <is>
          <t>Cotización Polimetal (10/09/2026, descartada)</t>
        </is>
      </c>
      <c r="C32" s="17" t="inlineStr">
        <is>
          <t>Recortes a medida 270×385×1,2; 330×475×1,6; 495×563×2; 490×858×3,2; 640×994×3,2; 680/900×1212×4,8.</t>
        </is>
      </c>
    </row>
    <row r="33">
      <c r="A33" s="17" t="inlineStr">
        <is>
          <t>Q-METALPRI</t>
        </is>
      </c>
      <c r="B33" s="17" t="inlineStr">
        <is>
          <t>Mail Metalpri / Prilux (09/09/2026)</t>
        </is>
      </c>
      <c r="C33" s="17" t="inlineStr">
        <is>
          <t>Caño c-c LF Ø76,2 × 0,90 y × 1,25 mm, barra de 6 m.</t>
        </is>
      </c>
    </row>
    <row r="34">
      <c r="A34" s="17" t="inlineStr">
        <is>
          <t>Q-MID</t>
        </is>
      </c>
      <c r="B34" s="17" t="inlineStr">
        <is>
          <t>Cotización Comercial MID 27626 (08/09/2026)</t>
        </is>
      </c>
      <c r="C34" s="17" t="inlineStr">
        <is>
          <t>Caño NGO BIS STD 2½" 76 × 2,6 mm.</t>
        </is>
      </c>
    </row>
    <row r="35">
      <c r="A35" s="17" t="inlineStr">
        <is>
          <t>Q-N2</t>
        </is>
      </c>
      <c r="B35" s="17" t="inlineStr">
        <is>
          <t>Air Liquide, ficha técnica Nitrógeno V2.3 (2026)</t>
        </is>
      </c>
      <c r="C35" s="17" t="inlineStr">
        <is>
          <t>Pureza ≥ 99,8 %; H₂O ≤ 40 ppm; O₂ ≤ 100 ppm.</t>
        </is>
      </c>
    </row>
    <row r="36">
      <c r="A36" s="17" t="inlineStr">
        <is>
          <t>Q-ARCAL</t>
        </is>
      </c>
      <c r="B36" s="17" t="inlineStr">
        <is>
          <t>Air Liquide, ficha técnica ARCAL Speed V1.5 (2025)</t>
        </is>
      </c>
      <c r="C36" s="17" t="inlineStr">
        <is>
          <t>Ar + 8 % CO₂ (± 0,8), EN ISO 14175 M20-ArC-8, para soldadura MAG de aceros al carbono.</t>
        </is>
      </c>
    </row>
    <row r="37">
      <c r="A37" s="17" t="inlineStr">
        <is>
          <t>Q-GETWELD</t>
        </is>
      </c>
      <c r="B37" s="17" t="inlineStr">
        <is>
          <t>Cotización Getweld equipos de soldadura (18/09/2026)</t>
        </is>
      </c>
      <c r="C37" s="17" t="inlineStr">
        <is>
          <t>MIG con 90 % Ar + 10 % CO₂ sobre SAE 1010 de 1,2-2,0 mm; velocidad 0-1500 mm/min.</t>
        </is>
      </c>
    </row>
    <row r="38">
      <c r="A38" s="17" t="inlineStr">
        <is>
          <t>Q-AGENTES</t>
        </is>
      </c>
      <c r="B38" s="17" t="inlineStr">
        <is>
          <t>Lista de precios de agentes y válvulas (2026)</t>
        </is>
      </c>
      <c r="C38" s="17" t="inlineStr">
        <is>
          <t>Polvo ABC 55 / 75 / 90 (Sancibrao), BC Polvexi, acetato de potasio Gastro K, AFFF 3 % y 6 %; válvulas HZ: M-22 1 kg c/tubo de pesca plástico, M-30 c/resorte y tubo 7/8 (2,5-5-10 kg), carro 25 kg c/traba, manija y resorte, carro 50-70-100 kg.</t>
        </is>
      </c>
    </row>
    <row r="39">
      <c r="A39" s="17" t="inlineStr">
        <is>
          <t>Q-PRYMAX</t>
        </is>
      </c>
      <c r="B39" s="17" t="inlineStr">
        <is>
          <t>Presupuesto Prymax S00469 (18/09/2026)</t>
        </is>
      </c>
      <c r="C39" s="17" t="inlineStr">
        <is>
          <t>Servicio de pintura en polvo al horno, rojo, por unidad: cilindros de 1 / 2,5 / 5 / 10 kg.</t>
        </is>
      </c>
    </row>
    <row r="40">
      <c r="A40" s="17" t="inlineStr">
        <is>
          <t>Q-CARROS</t>
        </is>
      </c>
      <c r="B40" s="17" t="inlineStr">
        <is>
          <t>Cotización servicio de pintura de carros (mensaje)</t>
        </is>
      </c>
      <c r="C40" s="17" t="inlineStr">
        <is>
          <t>Carro 25 / 50 / 70 / 100 kg por unidad.</t>
        </is>
      </c>
    </row>
    <row r="41">
      <c r="A41" s="17" t="inlineStr">
        <is>
          <t>Q-YUKON</t>
        </is>
      </c>
      <c r="B41" s="17" t="inlineStr">
        <is>
          <t>Fichas Yukon M-000200 (PH) y M-000150 (presurización)</t>
        </is>
      </c>
      <c r="C41" s="17" t="inlineStr">
        <is>
          <t>PH hasta 30 MPa con lectura de deformación; presurización con N₂ seco.</t>
        </is>
      </c>
    </row>
    <row r="42">
      <c r="A42" s="17" t="inlineStr">
        <is>
          <t>I-FLAMA</t>
        </is>
      </c>
      <c r="B42" s="17" t="inlineStr">
        <is>
          <t>Investigación de mercado FLAMA (Investigación mercado - maquinarias y MP.xlsx; Materias Primas.xlsx)</t>
        </is>
      </c>
      <c r="C42" s="17" t="inlineStr">
        <is>
          <t>Chapa LAF/LAC SAE 1010 de Ternium; tubo Ø76 para 1 kg; tapas de rodantes y cuello roscado tercerizados (Eli-Met); carro de rodantes comprado armado (reemplazado por el tren soldado del proceso de carros); alambre ER70S-6 AWS A5.18; granalla S330/S390 ISO 11124-3 / SAE J444; N₂ ≥ 99,9 % rocío &lt; -40 °C; manómetro IRAM 3533; pintura de rodantes tercerizada por quemado (sin granalla).</t>
        </is>
      </c>
    </row>
    <row r="43">
      <c r="A43" s="17" t="inlineStr">
        <is>
          <t>R-FADESA</t>
        </is>
      </c>
      <c r="B43" s="17" t="inlineStr">
        <is>
          <t>Planos Fadesa / Cautio SRL (2015-2017)</t>
        </is>
      </c>
      <c r="C43" s="17" t="inlineStr">
        <is>
          <t>Material indicado «Acero IRAM 3523» / «Acero IRAM 3550»; recipientes 2,5-10 kg (G731-G733), 25 kg (G690), 50 kg (G689); válvula HZ en manuales; espesores 1,25 / 1,6 / 2,0 / 3,2.</t>
        </is>
      </c>
    </row>
    <row r="44">
      <c r="A44" s="17" t="inlineStr">
        <is>
          <t>L-DEMSA</t>
        </is>
      </c>
      <c r="B44" s="17" t="inlineStr">
        <is>
          <t>DEMSA: catálogo y hojas técnicas / HDS ABC 40-90, BC, Kitchen, AFFF</t>
        </is>
      </c>
      <c r="C44" s="17" t="inlineStr">
        <is>
          <t>Polvo ABC con Sello IRAM 3569 y BVQI; MAP nominal ± 5 %; relleno sulfato de amonio; densidad aparente &gt; 0,85.</t>
        </is>
      </c>
    </row>
    <row r="45">
      <c r="A45" s="17" t="inlineStr">
        <is>
          <t>L-DRAGO</t>
        </is>
      </c>
      <c r="B45" s="17" t="inlineStr">
        <is>
          <t>Licencia IRAM 3523 Drago/Norbco (anexo I)</t>
        </is>
      </c>
      <c r="C45" s="17" t="inlineStr">
        <is>
          <t>Potencial por polvo: 1 kg DEM-60 1A-5B; 2,5 kg DEM-60 3A-20B; 5 kg DEM-60 6A-40B, DEM-90 10A-40B; 10 kg DEM-60 6A-60B, DEM-90 10A-60B (otros polvos: Pyrochem).</t>
        </is>
      </c>
    </row>
    <row r="46">
      <c r="A46" s="17" t="inlineStr">
        <is>
          <t>N-3569</t>
        </is>
      </c>
      <c r="B46" s="17" t="inlineStr">
        <is>
          <t>IRAM 3569:1996 (polvos ABC)</t>
        </is>
      </c>
      <c r="C46" s="17" t="inlineStr">
        <is>
          <t>La norma no fija el % de fosfato: la composición la declara el fabricante del polvo, con tolerancia ± 10 % relativa (componentes &lt; 50 %) o ± 5 % (&gt; 50 %), y debe ser la del polvo calificado en el ensayo de potencial; color grisáceo (3.2); humedad ≤ 0,25 g/100 g; higroscopicidad ≤ 3.</t>
        </is>
      </c>
    </row>
    <row r="47">
      <c r="A47" s="17" t="inlineStr">
        <is>
          <t>N-3523</t>
        </is>
      </c>
      <c r="B47" s="17" t="inlineStr">
        <is>
          <t>IRAM 3523:1983</t>
        </is>
      </c>
      <c r="C47" s="17" t="inlineStr">
        <is>
          <t>3.2.1 a) material; 3.2.4 costuras y procesos; 3.3 válvula; 3.10 N₂ seco; 4.1 recipiente; 4.2 manga; 4.5 manómetro; 5.1 marcado; 5.3 pintura.</t>
        </is>
      </c>
    </row>
    <row r="48">
      <c r="A48" s="17" t="inlineStr">
        <is>
          <t>N-3550</t>
        </is>
      </c>
      <c r="B48" s="17" t="inlineStr">
        <is>
          <t>IRAM 3550:1981</t>
        </is>
      </c>
      <c r="C48" s="17" t="inlineStr">
        <is>
          <t>3.2.1 material; 3.2.2 costuras; 3.11 pintura; 3.12 tren de rodaje; 4.1.2 soldadura; 4.1.3 espesor; 4.5 niebla salina.</t>
        </is>
      </c>
    </row>
    <row r="49">
      <c r="A49" s="17" t="inlineStr">
        <is>
          <t>N-349</t>
        </is>
      </c>
      <c r="B49" s="17" t="inlineStr">
        <is>
          <t>Res. 349/07 PBA (mod. 717/07)</t>
        </is>
      </c>
      <c r="C49" s="17" t="inlineStr">
        <is>
          <t>Art. 18 equipamiento mínimo del fabricante (cabina de pintura, niebla salina, etc.); art. 26 vida útil 20 años (CO₂ 30); art. 28-29 grabados en recarga y PH; art. 32 sustituto habilitado; art. 38 etiqueta de la bolsa de polvo con % mínimo de MAP; anexo IV cuño DPS 15 × 7.</t>
        </is>
      </c>
    </row>
    <row r="50">
      <c r="A50" s="17" t="inlineStr">
        <is>
          <t>N-AGC</t>
        </is>
      </c>
      <c r="B50" s="17" t="inlineStr">
        <is>
          <t>Res. AGC 32/15 (CABA) anexos I y II</t>
        </is>
      </c>
      <c r="C50" s="17" t="inlineStr">
        <is>
          <t>Tarjeta de dos módulos (papel con QR + etiqueta AGC); datos obligatorios (incluye vida útil); «Es sustituto».</t>
        </is>
      </c>
    </row>
    <row r="51">
      <c r="A51" s="17" t="inlineStr">
        <is>
          <t>N-3517</t>
        </is>
      </c>
      <c r="B51" s="17" t="inlineStr">
        <is>
          <t>IRAM 3517-2:2020</t>
        </is>
      </c>
      <c r="C51" s="17" t="inlineStr">
        <is>
          <t>5.3 dotación de reserva (del cliente); 9.4.5 extintores sustitutos (faja amarilla ≤ 40 mm); tabla 2 gas impulsor; 9.4.13 precinto.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E173"/>
  <sheetViews>
    <sheetView workbookViewId="0">
      <pane xSplit="6" ySplit="6" topLeftCell="G7" activePane="bottomRight" state="frozen"/>
      <selection pane="topRight"/>
      <selection pane="bottomLeft"/>
      <selection pane="bottomRight" activeCell="A1" sqref="A1"/>
    </sheetView>
  </sheetViews>
  <sheetFormatPr baseColWidth="8" defaultRowHeight="15"/>
  <cols>
    <col width="24" customWidth="1" min="1" max="1"/>
    <col width="60" customWidth="1" min="2" max="2"/>
    <col width="9" customWidth="1" min="3" max="3"/>
    <col width="9" customWidth="1" min="4" max="4"/>
    <col width="28" customWidth="1" min="5" max="5"/>
    <col width="30"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7" customWidth="1" min="61" max="61"/>
    <col width="7" customWidth="1" min="62" max="62"/>
    <col width="7" customWidth="1" min="63" max="63"/>
    <col width="7" customWidth="1" min="64" max="64"/>
    <col width="7" customWidth="1" min="65" max="65"/>
    <col width="7" customWidth="1" min="66" max="66"/>
    <col width="7" customWidth="1" min="67" max="67"/>
    <col width="7" customWidth="1" min="68" max="68"/>
    <col width="7" customWidth="1" min="69" max="69"/>
    <col width="7" customWidth="1" min="70" max="70"/>
    <col width="7" customWidth="1" min="71" max="71"/>
    <col width="7" customWidth="1" min="72" max="72"/>
    <col width="7" customWidth="1" min="73" max="73"/>
    <col width="7" customWidth="1" min="74" max="74"/>
    <col width="7" customWidth="1" min="75" max="75"/>
    <col width="7" customWidth="1" min="76" max="76"/>
    <col width="7" customWidth="1" min="77" max="77"/>
    <col width="7" customWidth="1" min="78" max="78"/>
    <col width="7" customWidth="1" min="79" max="79"/>
    <col width="7" customWidth="1" min="80" max="80"/>
    <col width="7" customWidth="1" min="81" max="81"/>
    <col width="7" customWidth="1" min="82" max="82"/>
    <col width="7" customWidth="1" min="83" max="83"/>
    <col width="7" customWidth="1" min="84" max="84"/>
    <col width="7" customWidth="1" min="85" max="85"/>
    <col width="7" customWidth="1" min="86" max="86"/>
    <col width="7" customWidth="1" min="87" max="87"/>
    <col width="7" customWidth="1" min="88" max="88"/>
    <col width="7" customWidth="1" min="89" max="89"/>
    <col width="7" customWidth="1" min="90" max="90"/>
    <col width="7" customWidth="1" min="91" max="91"/>
    <col width="7" customWidth="1" min="92" max="92"/>
    <col width="7" customWidth="1" min="93" max="93"/>
    <col width="7" customWidth="1" min="94" max="94"/>
    <col width="7" customWidth="1" min="95" max="95"/>
    <col width="7" customWidth="1" min="96" max="96"/>
    <col width="7" customWidth="1" min="97" max="97"/>
    <col width="7" customWidth="1" min="98" max="98"/>
    <col width="7" customWidth="1" min="99" max="99"/>
    <col width="7" customWidth="1" min="100" max="100"/>
    <col width="7" customWidth="1" min="101" max="101"/>
    <col width="7" customWidth="1" min="102" max="102"/>
    <col width="7" customWidth="1" min="103" max="103"/>
    <col width="7" customWidth="1" min="104" max="104"/>
    <col width="7" customWidth="1" min="105" max="105"/>
    <col width="7" customWidth="1" min="106" max="106"/>
    <col width="7" customWidth="1" min="107" max="107"/>
    <col width="7" customWidth="1" min="108" max="108"/>
    <col width="7" customWidth="1" min="109" max="109"/>
  </cols>
  <sheetData>
    <row r="1">
      <c r="A1" s="4" t="inlineStr">
        <is>
          <t>Maestro consolidado de materias primas e insumos: todo lo que se COMPRA para cada producto (matafuegos, cilindros, kits de sustituto y kits de recarga), por unidad</t>
        </is>
      </c>
    </row>
    <row r="2">
      <c r="A2" t="inlineStr">
        <is>
          <t>Sólo ítems con Entra MRP = Sí. Lo que se fabrica figura por su materia prima; lo que viene dentro de un conjunto comprado (válvula HZ, rueda) y las piezas internas de los revendidos no se compran y quedan sólo en las hojas BOM_ de cada producto. Destino: CABA / PBA = el MRP aplica la proporción de destino del año. Al final: insumos de cada proceso que no van por unidad.</t>
        </is>
      </c>
    </row>
    <row r="3">
      <c r="A3" s="11" t="inlineStr">
        <is>
          <t>Colores:</t>
        </is>
      </c>
      <c r="B3" s="12" t="inlineStr">
        <is>
          <t>Validado</t>
        </is>
      </c>
      <c r="D3" s="13" t="inlineStr">
        <is>
          <t>Estimado</t>
        </is>
      </c>
      <c r="F3" s="14" t="inlineStr">
        <is>
          <t>A validar</t>
        </is>
      </c>
      <c r="H3" s="15" t="inlineStr">
        <is>
          <t>No cumple o decisión pendiente</t>
        </is>
      </c>
    </row>
    <row r="5" ht="95" customHeight="1">
      <c r="G5" s="49" t="inlineStr">
        <is>
          <t>Matafuego FL_MAT</t>
        </is>
      </c>
      <c r="H5" s="49" t="inlineStr">
        <is>
          <t>Matafuego FL_MAT</t>
        </is>
      </c>
      <c r="I5" s="49" t="inlineStr">
        <is>
          <t>Matafuego FL_MAT</t>
        </is>
      </c>
      <c r="J5" s="49" t="inlineStr">
        <is>
          <t>Matafuego FL_MAT</t>
        </is>
      </c>
      <c r="K5" s="49" t="inlineStr">
        <is>
          <t>Matafuego FL_MAT</t>
        </is>
      </c>
      <c r="L5" s="49" t="inlineStr">
        <is>
          <t>Matafuego FL_MAT</t>
        </is>
      </c>
      <c r="M5" s="49" t="inlineStr">
        <is>
          <t>Matafuego FL_MAT</t>
        </is>
      </c>
      <c r="N5" s="49" t="inlineStr">
        <is>
          <t>Matafuego FL_MAT</t>
        </is>
      </c>
      <c r="O5" s="49" t="inlineStr">
        <is>
          <t>Matafuego FL_MAT</t>
        </is>
      </c>
      <c r="P5" s="49" t="inlineStr">
        <is>
          <t>Matafuego FL_MAT</t>
        </is>
      </c>
      <c r="Q5" s="49" t="inlineStr">
        <is>
          <t>Matafuego FL_MAT</t>
        </is>
      </c>
      <c r="R5" s="49" t="inlineStr">
        <is>
          <t>Matafuego FL_MAT</t>
        </is>
      </c>
      <c r="S5" s="49" t="inlineStr">
        <is>
          <t>Matafuego FL_MAT</t>
        </is>
      </c>
      <c r="T5" s="49" t="inlineStr">
        <is>
          <t>Matafuego FL_MAT</t>
        </is>
      </c>
      <c r="U5" s="49" t="inlineStr">
        <is>
          <t>Matafuego FL_MAT</t>
        </is>
      </c>
      <c r="V5" s="49" t="inlineStr">
        <is>
          <t>Matafuego FL_MAT</t>
        </is>
      </c>
      <c r="W5" s="49" t="inlineStr">
        <is>
          <t>Matafuego FL_MAT</t>
        </is>
      </c>
      <c r="X5" s="49" t="inlineStr">
        <is>
          <t>Cilindro FL_REC</t>
        </is>
      </c>
      <c r="Y5" s="49" t="inlineStr">
        <is>
          <t>Cilindro FL_REC</t>
        </is>
      </c>
      <c r="Z5" s="49" t="inlineStr">
        <is>
          <t>Cilindro FL_REC</t>
        </is>
      </c>
      <c r="AA5" s="49" t="inlineStr">
        <is>
          <t>Cilindro FL_REC</t>
        </is>
      </c>
      <c r="AB5" s="49" t="inlineStr">
        <is>
          <t>Cilindro FL_REC</t>
        </is>
      </c>
      <c r="AC5" s="49" t="inlineStr">
        <is>
          <t>Cilindro FL_REC</t>
        </is>
      </c>
      <c r="AD5" s="49" t="inlineStr">
        <is>
          <t>Cilindro FL_REC</t>
        </is>
      </c>
      <c r="AE5" s="49" t="inlineStr">
        <is>
          <t>Cilindro FL_REC</t>
        </is>
      </c>
      <c r="AF5" s="49" t="inlineStr">
        <is>
          <t>Kit de sustituto FL_SUS</t>
        </is>
      </c>
      <c r="AG5" s="49" t="inlineStr">
        <is>
          <t>Kit de sustituto FL_SUS</t>
        </is>
      </c>
      <c r="AH5" s="49" t="inlineStr">
        <is>
          <t>Kit de sustituto FL_SUS</t>
        </is>
      </c>
      <c r="AI5" s="49" t="inlineStr">
        <is>
          <t>Kit de sustituto FL_SUS</t>
        </is>
      </c>
      <c r="AJ5" s="49" t="inlineStr">
        <is>
          <t>Kit de sustituto FL_SUS</t>
        </is>
      </c>
      <c r="AK5" s="49" t="inlineStr">
        <is>
          <t>Kit de sustituto FL_SUS</t>
        </is>
      </c>
      <c r="AL5" s="49" t="inlineStr">
        <is>
          <t>Kit de sustituto FL_SUS</t>
        </is>
      </c>
      <c r="AM5" s="49" t="inlineStr">
        <is>
          <t>Kit de sustituto FL_SUS</t>
        </is>
      </c>
      <c r="AN5" s="49" t="inlineStr">
        <is>
          <t>Kit de sustituto FL_SUS</t>
        </is>
      </c>
      <c r="AO5" s="49" t="inlineStr">
        <is>
          <t>Kit de sustituto FL_SUS</t>
        </is>
      </c>
      <c r="AP5" s="49" t="inlineStr">
        <is>
          <t>Kit de sustituto FL_SUS</t>
        </is>
      </c>
      <c r="AQ5" s="49" t="inlineStr">
        <is>
          <t>Kit de sustituto FL_SUS</t>
        </is>
      </c>
      <c r="AR5" s="49" t="inlineStr">
        <is>
          <t>Kit de sustituto FL_SUS</t>
        </is>
      </c>
      <c r="AS5" s="49" t="inlineStr">
        <is>
          <t>Kit de sustituto FL_SUS</t>
        </is>
      </c>
      <c r="AT5" s="49" t="inlineStr">
        <is>
          <t>Kit de sustituto FL_SUS</t>
        </is>
      </c>
      <c r="AU5" s="49" t="inlineStr">
        <is>
          <t>Kit de sustituto FL_SUS</t>
        </is>
      </c>
      <c r="AV5" s="49" t="inlineStr">
        <is>
          <t>Kit de sustituto FL_SUS</t>
        </is>
      </c>
      <c r="AW5" s="49" t="inlineStr">
        <is>
          <t>Kit de recarga RK</t>
        </is>
      </c>
      <c r="AX5" s="49" t="inlineStr">
        <is>
          <t>Kit de recarga RK</t>
        </is>
      </c>
      <c r="AY5" s="49" t="inlineStr">
        <is>
          <t>Kit de recarga RK</t>
        </is>
      </c>
      <c r="AZ5" s="49" t="inlineStr">
        <is>
          <t>Kit de recarga RK</t>
        </is>
      </c>
      <c r="BA5" s="49" t="inlineStr">
        <is>
          <t>Kit de recarga RK</t>
        </is>
      </c>
      <c r="BB5" s="49" t="inlineStr">
        <is>
          <t>Kit de recarga RK</t>
        </is>
      </c>
      <c r="BC5" s="49" t="inlineStr">
        <is>
          <t>Kit de recarga RK</t>
        </is>
      </c>
      <c r="BD5" s="49" t="inlineStr">
        <is>
          <t>Kit de recarga RK</t>
        </is>
      </c>
      <c r="BE5" s="49" t="inlineStr">
        <is>
          <t>Kit de recarga RK</t>
        </is>
      </c>
      <c r="BF5" s="49" t="inlineStr">
        <is>
          <t>Kit de recarga RK</t>
        </is>
      </c>
      <c r="BG5" s="49" t="inlineStr">
        <is>
          <t>Kit de recarga RK</t>
        </is>
      </c>
      <c r="BH5" s="49" t="inlineStr">
        <is>
          <t>Kit de recarga RK</t>
        </is>
      </c>
      <c r="BI5" s="49" t="inlineStr">
        <is>
          <t>Kit de recarga RK</t>
        </is>
      </c>
      <c r="BJ5" s="49" t="inlineStr">
        <is>
          <t>Kit de recarga RK</t>
        </is>
      </c>
      <c r="BK5" s="49" t="inlineStr">
        <is>
          <t>Kit de recarga RK</t>
        </is>
      </c>
      <c r="BL5" s="49" t="inlineStr">
        <is>
          <t>Kit de recarga RK</t>
        </is>
      </c>
      <c r="BM5" s="49" t="inlineStr">
        <is>
          <t>Kit de recarga RK</t>
        </is>
      </c>
      <c r="BN5" s="49" t="inlineStr">
        <is>
          <t>Kit de recarga RK</t>
        </is>
      </c>
      <c r="BO5" s="49" t="inlineStr">
        <is>
          <t>Kit de recarga RK</t>
        </is>
      </c>
      <c r="BP5" s="49" t="inlineStr">
        <is>
          <t>Kit de recarga RK</t>
        </is>
      </c>
      <c r="BQ5" s="49" t="inlineStr">
        <is>
          <t>Kit de recarga RK</t>
        </is>
      </c>
      <c r="BR5" s="49" t="inlineStr">
        <is>
          <t>Kit de recarga RK</t>
        </is>
      </c>
      <c r="BS5" s="49" t="inlineStr">
        <is>
          <t>Kit de recarga RK</t>
        </is>
      </c>
      <c r="BT5" s="49" t="inlineStr">
        <is>
          <t>Kit de recarga RK</t>
        </is>
      </c>
      <c r="BU5" s="49" t="inlineStr">
        <is>
          <t>Kit de recarga RK</t>
        </is>
      </c>
      <c r="BV5" s="49" t="inlineStr">
        <is>
          <t>Kit de recarga RK</t>
        </is>
      </c>
      <c r="BW5" s="49" t="inlineStr">
        <is>
          <t>Kit de recarga RK</t>
        </is>
      </c>
      <c r="BX5" s="49" t="inlineStr">
        <is>
          <t>Kit de recarga RK</t>
        </is>
      </c>
      <c r="BY5" s="49" t="inlineStr">
        <is>
          <t>Kit de recarga RK</t>
        </is>
      </c>
      <c r="BZ5" s="49" t="inlineStr">
        <is>
          <t>Kit de recarga RK</t>
        </is>
      </c>
      <c r="CA5" s="49" t="inlineStr">
        <is>
          <t>Kit de recarga RK</t>
        </is>
      </c>
      <c r="CB5" s="49" t="inlineStr">
        <is>
          <t>Kit de recarga RK</t>
        </is>
      </c>
      <c r="CC5" s="49" t="inlineStr">
        <is>
          <t>Kit de recarga RK</t>
        </is>
      </c>
      <c r="CD5" s="49" t="inlineStr">
        <is>
          <t>Kit de recarga RK</t>
        </is>
      </c>
      <c r="CE5" s="49" t="inlineStr">
        <is>
          <t>Kit de recarga RK</t>
        </is>
      </c>
      <c r="CF5" s="49" t="inlineStr">
        <is>
          <t>Kit de recarga RK</t>
        </is>
      </c>
      <c r="CG5" s="49" t="inlineStr">
        <is>
          <t>Kit de recarga RK</t>
        </is>
      </c>
      <c r="CH5" s="49" t="inlineStr">
        <is>
          <t>Kit de recarga RK</t>
        </is>
      </c>
      <c r="CI5" s="49" t="inlineStr">
        <is>
          <t>Kit de recarga RK</t>
        </is>
      </c>
      <c r="CJ5" s="49" t="inlineStr">
        <is>
          <t>Kit de recarga RK</t>
        </is>
      </c>
      <c r="CK5" s="49" t="inlineStr">
        <is>
          <t>Kit de recarga RK</t>
        </is>
      </c>
      <c r="CL5" s="49" t="inlineStr">
        <is>
          <t>Kit de recarga RK</t>
        </is>
      </c>
      <c r="CM5" s="49" t="inlineStr">
        <is>
          <t>Kit de recarga RK</t>
        </is>
      </c>
      <c r="CN5" s="49" t="inlineStr">
        <is>
          <t>Kit de recarga RK</t>
        </is>
      </c>
      <c r="CO5" s="49" t="inlineStr">
        <is>
          <t>Kit de recarga RK</t>
        </is>
      </c>
      <c r="CP5" s="49" t="inlineStr">
        <is>
          <t>Kit de recarga RK</t>
        </is>
      </c>
      <c r="CQ5" s="49" t="inlineStr">
        <is>
          <t>Kit de recarga RK</t>
        </is>
      </c>
      <c r="CR5" s="49" t="inlineStr">
        <is>
          <t>Kit de recarga RK</t>
        </is>
      </c>
      <c r="CS5" s="49" t="inlineStr">
        <is>
          <t>Kit de recarga RK</t>
        </is>
      </c>
      <c r="CT5" s="49" t="inlineStr">
        <is>
          <t>Kit de recarga RK</t>
        </is>
      </c>
      <c r="CU5" s="49" t="inlineStr">
        <is>
          <t>Kit de recarga RK</t>
        </is>
      </c>
      <c r="CV5" s="49" t="inlineStr">
        <is>
          <t>Kit de recarga RK</t>
        </is>
      </c>
      <c r="CW5" s="49" t="inlineStr">
        <is>
          <t>Kit de recarga RK</t>
        </is>
      </c>
      <c r="CX5" s="49" t="inlineStr">
        <is>
          <t>Kit de recarga RK</t>
        </is>
      </c>
      <c r="CY5" s="49" t="inlineStr">
        <is>
          <t>Kit de recarga RK</t>
        </is>
      </c>
      <c r="CZ5" s="49" t="inlineStr">
        <is>
          <t>Kit de recarga RK</t>
        </is>
      </c>
      <c r="DA5" s="49" t="inlineStr">
        <is>
          <t>Kit de recarga RK</t>
        </is>
      </c>
      <c r="DB5" s="49" t="inlineStr">
        <is>
          <t>Kit de recarga RK</t>
        </is>
      </c>
      <c r="DC5" s="49" t="inlineStr">
        <is>
          <t>Kit de recarga RK</t>
        </is>
      </c>
      <c r="DD5" s="49" t="inlineStr">
        <is>
          <t>Kit de recarga RK</t>
        </is>
      </c>
      <c r="DE5" s="49" t="inlineStr">
        <is>
          <t>Kit de recarga RK</t>
        </is>
      </c>
    </row>
    <row r="6" ht="110" customHeight="1">
      <c r="A6" s="16" t="inlineStr">
        <is>
          <t>Rubro</t>
        </is>
      </c>
      <c r="B6" s="16" t="inlineStr">
        <is>
          <t>Ítem</t>
        </is>
      </c>
      <c r="C6" s="16" t="inlineStr">
        <is>
          <t>UM</t>
        </is>
      </c>
      <c r="D6" s="16" t="inlineStr">
        <is>
          <t>Destino</t>
        </is>
      </c>
      <c r="E6" s="16" t="inlineStr">
        <is>
          <t>Proveedor principal</t>
        </is>
      </c>
      <c r="F6" s="16" t="inlineStr">
        <is>
          <t>Proceso / operación</t>
        </is>
      </c>
      <c r="G6" s="50" t="inlineStr">
        <is>
          <t>MAT ABC_1kg</t>
        </is>
      </c>
      <c r="H6" s="50" t="inlineStr">
        <is>
          <t>MAT ABC_2.5kg</t>
        </is>
      </c>
      <c r="I6" s="50" t="inlineStr">
        <is>
          <t>MAT ABC_5kg</t>
        </is>
      </c>
      <c r="J6" s="50" t="inlineStr">
        <is>
          <t>MAT ABC_10kg</t>
        </is>
      </c>
      <c r="K6" s="50" t="inlineStr">
        <is>
          <t>MAT AGUA_10l</t>
        </is>
      </c>
      <c r="L6" s="50" t="inlineStr">
        <is>
          <t>MAT AFFF_10l</t>
        </is>
      </c>
      <c r="M6" s="50" t="inlineStr">
        <is>
          <t>MAT AFFF_50l</t>
        </is>
      </c>
      <c r="N6" s="50" t="inlineStr">
        <is>
          <t>MAT BC_5kg</t>
        </is>
      </c>
      <c r="O6" s="50" t="inlineStr">
        <is>
          <t>MAT SALESK_6l</t>
        </is>
      </c>
      <c r="P6" s="50" t="inlineStr">
        <is>
          <t>MAT CO2_2kg</t>
        </is>
      </c>
      <c r="Q6" s="50" t="inlineStr">
        <is>
          <t>MAT CO2_5kg</t>
        </is>
      </c>
      <c r="R6" s="50" t="inlineStr">
        <is>
          <t>MAT HCFC-HFC_5kg</t>
        </is>
      </c>
      <c r="S6" s="50" t="inlineStr">
        <is>
          <t>MAT CLASED_9l</t>
        </is>
      </c>
      <c r="T6" s="50" t="inlineStr">
        <is>
          <t>MAT ABC_25kg</t>
        </is>
      </c>
      <c r="U6" s="50" t="inlineStr">
        <is>
          <t>MAT ABC_50kg</t>
        </is>
      </c>
      <c r="V6" s="50" t="inlineStr">
        <is>
          <t>MAT ABC_70kg</t>
        </is>
      </c>
      <c r="W6" s="50" t="inlineStr">
        <is>
          <t>MAT ABC_100kg</t>
        </is>
      </c>
      <c r="X6" s="50" t="inlineStr">
        <is>
          <t>REC ABC_1kg</t>
        </is>
      </c>
      <c r="Y6" s="50" t="inlineStr">
        <is>
          <t>REC ABC_2.5kg</t>
        </is>
      </c>
      <c r="Z6" s="50" t="inlineStr">
        <is>
          <t>REC ABC_5kg</t>
        </is>
      </c>
      <c r="AA6" s="50" t="inlineStr">
        <is>
          <t>REC ABC_10kg</t>
        </is>
      </c>
      <c r="AB6" s="50" t="inlineStr">
        <is>
          <t>REC ABC_25kg</t>
        </is>
      </c>
      <c r="AC6" s="50" t="inlineStr">
        <is>
          <t>REC ABC_50kg</t>
        </is>
      </c>
      <c r="AD6" s="50" t="inlineStr">
        <is>
          <t>REC ABC_70kg</t>
        </is>
      </c>
      <c r="AE6" s="50" t="inlineStr">
        <is>
          <t>REC ABC_100kg</t>
        </is>
      </c>
      <c r="AF6" s="50" t="inlineStr">
        <is>
          <t>SUS ABC_1kg</t>
        </is>
      </c>
      <c r="AG6" s="50" t="inlineStr">
        <is>
          <t>SUS ABC_2.5kg</t>
        </is>
      </c>
      <c r="AH6" s="50" t="inlineStr">
        <is>
          <t>SUS ABC_5kg</t>
        </is>
      </c>
      <c r="AI6" s="50" t="inlineStr">
        <is>
          <t>SUS ABC_10kg</t>
        </is>
      </c>
      <c r="AJ6" s="50" t="inlineStr">
        <is>
          <t>SUS AGUA_10l</t>
        </is>
      </c>
      <c r="AK6" s="50" t="inlineStr">
        <is>
          <t>SUS AFFF_10l</t>
        </is>
      </c>
      <c r="AL6" s="50" t="inlineStr">
        <is>
          <t>SUS AFFF_50l</t>
        </is>
      </c>
      <c r="AM6" s="50" t="inlineStr">
        <is>
          <t>SUS BC_5kg</t>
        </is>
      </c>
      <c r="AN6" s="50" t="inlineStr">
        <is>
          <t>SUS SALESK_6l</t>
        </is>
      </c>
      <c r="AO6" s="50" t="inlineStr">
        <is>
          <t>SUS CO2_2kg</t>
        </is>
      </c>
      <c r="AP6" s="50" t="inlineStr">
        <is>
          <t>SUS CO2_5kg</t>
        </is>
      </c>
      <c r="AQ6" s="50" t="inlineStr">
        <is>
          <t>SUS HCFC-HFC_5kg</t>
        </is>
      </c>
      <c r="AR6" s="50" t="inlineStr">
        <is>
          <t>SUS CLASED_9l</t>
        </is>
      </c>
      <c r="AS6" s="50" t="inlineStr">
        <is>
          <t>SUS ABC_25kg</t>
        </is>
      </c>
      <c r="AT6" s="50" t="inlineStr">
        <is>
          <t>SUS ABC_50kg</t>
        </is>
      </c>
      <c r="AU6" s="50" t="inlineStr">
        <is>
          <t>SUS ABC_70kg</t>
        </is>
      </c>
      <c r="AV6" s="50" t="inlineStr">
        <is>
          <t>SUS ABC_100kg</t>
        </is>
      </c>
      <c r="AW6" s="50" t="inlineStr">
        <is>
          <t>RK-ABC1-A</t>
        </is>
      </c>
      <c r="AX6" s="50" t="inlineStr">
        <is>
          <t>RK-ABC1-B</t>
        </is>
      </c>
      <c r="AY6" s="50" t="inlineStr">
        <is>
          <t>RK-ABC1-C</t>
        </is>
      </c>
      <c r="AZ6" s="50" t="inlineStr">
        <is>
          <t>RK-ABC1-I</t>
        </is>
      </c>
      <c r="BA6" s="50" t="inlineStr">
        <is>
          <t>RK-ABC2.5-A</t>
        </is>
      </c>
      <c r="BB6" s="50" t="inlineStr">
        <is>
          <t>RK-ABC2.5-B</t>
        </is>
      </c>
      <c r="BC6" s="50" t="inlineStr">
        <is>
          <t>RK-ABC2.5-C</t>
        </is>
      </c>
      <c r="BD6" s="50" t="inlineStr">
        <is>
          <t>RK-ABC2.5-I</t>
        </is>
      </c>
      <c r="BE6" s="50" t="inlineStr">
        <is>
          <t>RK-ABC5-A</t>
        </is>
      </c>
      <c r="BF6" s="50" t="inlineStr">
        <is>
          <t>RK-ABC5-B</t>
        </is>
      </c>
      <c r="BG6" s="50" t="inlineStr">
        <is>
          <t>RK-ABC5-C</t>
        </is>
      </c>
      <c r="BH6" s="50" t="inlineStr">
        <is>
          <t>RK-ABC5-I</t>
        </is>
      </c>
      <c r="BI6" s="50" t="inlineStr">
        <is>
          <t>RK-ABC10-A</t>
        </is>
      </c>
      <c r="BJ6" s="50" t="inlineStr">
        <is>
          <t>RK-ABC10-B</t>
        </is>
      </c>
      <c r="BK6" s="50" t="inlineStr">
        <is>
          <t>RK-ABC10-C</t>
        </is>
      </c>
      <c r="BL6" s="50" t="inlineStr">
        <is>
          <t>RK-ABC10-I</t>
        </is>
      </c>
      <c r="BM6" s="50" t="inlineStr">
        <is>
          <t>RK-AGUA10-A</t>
        </is>
      </c>
      <c r="BN6" s="50" t="inlineStr">
        <is>
          <t>RK-AGUA10-B</t>
        </is>
      </c>
      <c r="BO6" s="50" t="inlineStr">
        <is>
          <t>RK-AGUA10-I</t>
        </is>
      </c>
      <c r="BP6" s="50" t="inlineStr">
        <is>
          <t>RK-AFFF10-A</t>
        </is>
      </c>
      <c r="BQ6" s="50" t="inlineStr">
        <is>
          <t>RK-AFFF10-B</t>
        </is>
      </c>
      <c r="BR6" s="50" t="inlineStr">
        <is>
          <t>RK-AFFF10-I</t>
        </is>
      </c>
      <c r="BS6" s="50" t="inlineStr">
        <is>
          <t>RK-AFFF50-A</t>
        </is>
      </c>
      <c r="BT6" s="50" t="inlineStr">
        <is>
          <t>RK-AFFF50-B</t>
        </is>
      </c>
      <c r="BU6" s="50" t="inlineStr">
        <is>
          <t>RK-AFFF50-I</t>
        </is>
      </c>
      <c r="BV6" s="50" t="inlineStr">
        <is>
          <t>RK-BC5-A</t>
        </is>
      </c>
      <c r="BW6" s="50" t="inlineStr">
        <is>
          <t>RK-BC5-B</t>
        </is>
      </c>
      <c r="BX6" s="50" t="inlineStr">
        <is>
          <t>RK-BC5-C</t>
        </is>
      </c>
      <c r="BY6" s="50" t="inlineStr">
        <is>
          <t>RK-BC5-I</t>
        </is>
      </c>
      <c r="BZ6" s="50" t="inlineStr">
        <is>
          <t>RK-SALESK6-A</t>
        </is>
      </c>
      <c r="CA6" s="50" t="inlineStr">
        <is>
          <t>RK-SALESK6-B</t>
        </is>
      </c>
      <c r="CB6" s="50" t="inlineStr">
        <is>
          <t>RK-SALESK6-I</t>
        </is>
      </c>
      <c r="CC6" s="50" t="inlineStr">
        <is>
          <t>RK-CO22-A</t>
        </is>
      </c>
      <c r="CD6" s="50" t="inlineStr">
        <is>
          <t>RK-CO22-B</t>
        </is>
      </c>
      <c r="CE6" s="50" t="inlineStr">
        <is>
          <t>RK-CO22-I</t>
        </is>
      </c>
      <c r="CF6" s="50" t="inlineStr">
        <is>
          <t>RK-CO25-A</t>
        </is>
      </c>
      <c r="CG6" s="50" t="inlineStr">
        <is>
          <t>RK-CO25-B</t>
        </is>
      </c>
      <c r="CH6" s="50" t="inlineStr">
        <is>
          <t>RK-CO25-I</t>
        </is>
      </c>
      <c r="CI6" s="50" t="inlineStr">
        <is>
          <t>RK-HCFCHFC5-A</t>
        </is>
      </c>
      <c r="CJ6" s="50" t="inlineStr">
        <is>
          <t>RK-HCFCHFC5-B</t>
        </is>
      </c>
      <c r="CK6" s="50" t="inlineStr">
        <is>
          <t>RK-HCFCHFC5-I</t>
        </is>
      </c>
      <c r="CL6" s="50" t="inlineStr">
        <is>
          <t>RK-CLASED9-A</t>
        </is>
      </c>
      <c r="CM6" s="50" t="inlineStr">
        <is>
          <t>RK-CLASED9-B</t>
        </is>
      </c>
      <c r="CN6" s="50" t="inlineStr">
        <is>
          <t>RK-CLASED9-C</t>
        </is>
      </c>
      <c r="CO6" s="50" t="inlineStr">
        <is>
          <t>RK-CLASED9-I</t>
        </is>
      </c>
      <c r="CP6" s="50" t="inlineStr">
        <is>
          <t>RK-ABC25-A</t>
        </is>
      </c>
      <c r="CQ6" s="50" t="inlineStr">
        <is>
          <t>RK-ABC25-B</t>
        </is>
      </c>
      <c r="CR6" s="50" t="inlineStr">
        <is>
          <t>RK-ABC25-C</t>
        </is>
      </c>
      <c r="CS6" s="50" t="inlineStr">
        <is>
          <t>RK-ABC25-I</t>
        </is>
      </c>
      <c r="CT6" s="50" t="inlineStr">
        <is>
          <t>RK-ABC50-A</t>
        </is>
      </c>
      <c r="CU6" s="50" t="inlineStr">
        <is>
          <t>RK-ABC50-B</t>
        </is>
      </c>
      <c r="CV6" s="50" t="inlineStr">
        <is>
          <t>RK-ABC50-C</t>
        </is>
      </c>
      <c r="CW6" s="50" t="inlineStr">
        <is>
          <t>RK-ABC50-I</t>
        </is>
      </c>
      <c r="CX6" s="50" t="inlineStr">
        <is>
          <t>RK-ABC70-A</t>
        </is>
      </c>
      <c r="CY6" s="50" t="inlineStr">
        <is>
          <t>RK-ABC70-B</t>
        </is>
      </c>
      <c r="CZ6" s="50" t="inlineStr">
        <is>
          <t>RK-ABC70-C</t>
        </is>
      </c>
      <c r="DA6" s="50" t="inlineStr">
        <is>
          <t>RK-ABC70-I</t>
        </is>
      </c>
      <c r="DB6" s="50" t="inlineStr">
        <is>
          <t>RK-ABC100-A</t>
        </is>
      </c>
      <c r="DC6" s="50" t="inlineStr">
        <is>
          <t>RK-ABC100-B</t>
        </is>
      </c>
      <c r="DD6" s="50" t="inlineStr">
        <is>
          <t>RK-ABC100-C</t>
        </is>
      </c>
      <c r="DE6" s="50" t="inlineStr">
        <is>
          <t>RK-ABC100-I</t>
        </is>
      </c>
    </row>
    <row r="7">
      <c r="A7" t="inlineStr">
        <is>
          <t>Materia prima</t>
        </is>
      </c>
      <c r="B7" t="inlineStr">
        <is>
          <t>Barra trefilada SAE 1045 1"</t>
        </is>
      </c>
      <c r="C7" t="inlineStr">
        <is>
          <t>barra 6 m</t>
        </is>
      </c>
      <c r="D7" t="inlineStr">
        <is>
          <t>Todos</t>
        </is>
      </c>
      <c r="E7" t="inlineStr">
        <is>
          <t>Vladimirsky</t>
        </is>
      </c>
      <c r="F7" t="inlineStr">
        <is>
          <t>Corte en sierra</t>
        </is>
      </c>
      <c r="U7" t="n">
        <v>0.0867</v>
      </c>
      <c r="V7" t="n">
        <v>0.0917</v>
      </c>
      <c r="W7" t="n">
        <v>0.1083</v>
      </c>
    </row>
    <row r="8">
      <c r="A8" t="inlineStr">
        <is>
          <t>Materia prima</t>
        </is>
      </c>
      <c r="B8" t="inlineStr">
        <is>
          <t>Barra trefilada SAE 1045 3/4"</t>
        </is>
      </c>
      <c r="C8" t="inlineStr">
        <is>
          <t>barra 6 m</t>
        </is>
      </c>
      <c r="D8" t="inlineStr">
        <is>
          <t>Todos</t>
        </is>
      </c>
      <c r="E8" t="inlineStr">
        <is>
          <t>Vladimirsky</t>
        </is>
      </c>
      <c r="F8" t="inlineStr">
        <is>
          <t>Corte en sierra</t>
        </is>
      </c>
      <c r="T8" t="n">
        <v>0.08</v>
      </c>
    </row>
    <row r="9">
      <c r="A9" t="inlineStr">
        <is>
          <t>Materia prima</t>
        </is>
      </c>
      <c r="B9" t="inlineStr">
        <is>
          <t>Caño SAE 1010 1" × 2,0</t>
        </is>
      </c>
      <c r="C9" t="inlineStr">
        <is>
          <t>barra 6 m</t>
        </is>
      </c>
      <c r="D9" t="inlineStr">
        <is>
          <t>Todos</t>
        </is>
      </c>
      <c r="E9" t="inlineStr">
        <is>
          <t>Metalpri / Prilux</t>
        </is>
      </c>
      <c r="F9" t="inlineStr">
        <is>
          <t>Corte en sierra</t>
        </is>
      </c>
      <c r="T9" t="n">
        <v>0.324</v>
      </c>
      <c r="U9" t="n">
        <v>0.2433</v>
      </c>
      <c r="V9" t="n">
        <v>0.2467</v>
      </c>
      <c r="W9" t="n">
        <v>0.2283</v>
      </c>
    </row>
    <row r="10">
      <c r="A10" t="inlineStr">
        <is>
          <t>Materia prima</t>
        </is>
      </c>
      <c r="B10" t="inlineStr">
        <is>
          <t>Caño SAE 1010 1¼" × 2,0</t>
        </is>
      </c>
      <c r="C10" t="inlineStr">
        <is>
          <t>barra 6 m</t>
        </is>
      </c>
      <c r="D10" t="inlineStr">
        <is>
          <t>Todos</t>
        </is>
      </c>
      <c r="E10" t="inlineStr">
        <is>
          <t>Metalpri / Prilux</t>
        </is>
      </c>
      <c r="F10" t="inlineStr">
        <is>
          <t>Corte en sierra</t>
        </is>
      </c>
      <c r="U10" t="n">
        <v>0.0607</v>
      </c>
      <c r="V10" t="n">
        <v>0.06569999999999999</v>
      </c>
      <c r="W10" t="n">
        <v>0.0823</v>
      </c>
    </row>
    <row r="11">
      <c r="A11" t="inlineStr">
        <is>
          <t>Materia prima</t>
        </is>
      </c>
      <c r="B11" t="inlineStr">
        <is>
          <t>Caño Ø76,2 × 1,25</t>
        </is>
      </c>
      <c r="C11" t="inlineStr">
        <is>
          <t>barra 6 m</t>
        </is>
      </c>
      <c r="D11" t="inlineStr">
        <is>
          <t>Todos</t>
        </is>
      </c>
      <c r="E11" t="inlineStr">
        <is>
          <t>Metalpri / Prilux</t>
        </is>
      </c>
      <c r="F11" t="inlineStr">
        <is>
          <t>AL-1T cantiléver</t>
        </is>
      </c>
      <c r="G11" t="n">
        <v>0.0435</v>
      </c>
      <c r="X11" t="n">
        <v>0.0435</v>
      </c>
    </row>
    <row r="12">
      <c r="A12" t="inlineStr">
        <is>
          <t>Materia prima</t>
        </is>
      </c>
      <c r="B12" t="inlineStr">
        <is>
          <t>Chapa LAC 1500 × 3000 e=3,2</t>
        </is>
      </c>
      <c r="C12" t="inlineStr">
        <is>
          <t>kg</t>
        </is>
      </c>
      <c r="D12" t="inlineStr">
        <is>
          <t>Todos</t>
        </is>
      </c>
      <c r="E12" t="inlineStr">
        <is>
          <t>Pradecon S.A.</t>
        </is>
      </c>
      <c r="F12" t="inlineStr">
        <is>
          <t>AL-1H paquetes de hojas</t>
        </is>
      </c>
      <c r="T12" t="n">
        <v>12.558</v>
      </c>
      <c r="U12" t="n">
        <v>18.845</v>
      </c>
      <c r="AB12" t="n">
        <v>12.558</v>
      </c>
      <c r="AC12" t="n">
        <v>18.845</v>
      </c>
    </row>
    <row r="13">
      <c r="A13" t="inlineStr">
        <is>
          <t>Materia prima</t>
        </is>
      </c>
      <c r="B13" t="inlineStr">
        <is>
          <t>Chapa LAC 1500 × 3000 e=4,75</t>
        </is>
      </c>
      <c r="C13" t="inlineStr">
        <is>
          <t>kg</t>
        </is>
      </c>
      <c r="D13" t="inlineStr">
        <is>
          <t>Todos</t>
        </is>
      </c>
      <c r="E13" t="inlineStr">
        <is>
          <t>Pradecon S.A.</t>
        </is>
      </c>
      <c r="F13" t="inlineStr">
        <is>
          <t>AL-1H paquetes de hojas</t>
        </is>
      </c>
      <c r="V13" t="n">
        <v>38.802</v>
      </c>
      <c r="W13" t="n">
        <v>51.355</v>
      </c>
      <c r="AD13" t="n">
        <v>38.802</v>
      </c>
      <c r="AE13" t="n">
        <v>51.355</v>
      </c>
    </row>
    <row r="14">
      <c r="A14" t="inlineStr">
        <is>
          <t>Materia prima</t>
        </is>
      </c>
      <c r="B14" t="inlineStr">
        <is>
          <t>Chapa LAF 1000 × 2000 e=1,6</t>
        </is>
      </c>
      <c r="C14" t="inlineStr">
        <is>
          <t>kg</t>
        </is>
      </c>
      <c r="D14" t="inlineStr">
        <is>
          <t>Todos</t>
        </is>
      </c>
      <c r="E14" t="inlineStr">
        <is>
          <t>Pradecon S.A.</t>
        </is>
      </c>
      <c r="F14" t="inlineStr">
        <is>
          <t>AL-1H paquetes de hojas</t>
        </is>
      </c>
      <c r="I14" t="n">
        <v>2.092</v>
      </c>
      <c r="Z14" t="n">
        <v>2.092</v>
      </c>
    </row>
    <row r="15">
      <c r="A15" t="inlineStr">
        <is>
          <t>Materia prima</t>
        </is>
      </c>
      <c r="B15" t="inlineStr">
        <is>
          <t>Chapa LAF 1220 × 2440 e=1,25</t>
        </is>
      </c>
      <c r="C15" t="inlineStr">
        <is>
          <t>kg</t>
        </is>
      </c>
      <c r="D15" t="inlineStr">
        <is>
          <t>Todos</t>
        </is>
      </c>
      <c r="E15" t="inlineStr">
        <is>
          <t>Pradecon S.A.</t>
        </is>
      </c>
      <c r="F15" t="inlineStr">
        <is>
          <t>AL-1H paquetes de hojas</t>
        </is>
      </c>
      <c r="H15" t="n">
        <v>1.082</v>
      </c>
      <c r="Y15" t="n">
        <v>1.082</v>
      </c>
    </row>
    <row r="16">
      <c r="A16" t="inlineStr">
        <is>
          <t>Materia prima</t>
        </is>
      </c>
      <c r="B16" t="inlineStr">
        <is>
          <t>Chapa LAF 1500 × 3000 e=2</t>
        </is>
      </c>
      <c r="C16" t="inlineStr">
        <is>
          <t>kg</t>
        </is>
      </c>
      <c r="D16" t="inlineStr">
        <is>
          <t>Todos</t>
        </is>
      </c>
      <c r="E16" t="inlineStr">
        <is>
          <t>Pradecon S.A.</t>
        </is>
      </c>
      <c r="F16" t="inlineStr">
        <is>
          <t>AL-1H paquetes de hojas</t>
        </is>
      </c>
      <c r="J16" t="n">
        <v>4.71</v>
      </c>
      <c r="AA16" t="n">
        <v>4.71</v>
      </c>
    </row>
    <row r="17">
      <c r="A17" t="inlineStr">
        <is>
          <t>Materia prima</t>
        </is>
      </c>
      <c r="B17" t="inlineStr">
        <is>
          <t>Fleje e=0,9 × 114</t>
        </is>
      </c>
      <c r="C17" t="inlineStr">
        <is>
          <t>m</t>
        </is>
      </c>
      <c r="D17" t="inlineStr">
        <is>
          <t>Todos</t>
        </is>
      </c>
      <c r="E17" t="inlineStr">
        <is>
          <t>Pacheco Chapas</t>
        </is>
      </c>
      <c r="F17" t="inlineStr">
        <is>
          <t>AL-1F porta-flejes</t>
        </is>
      </c>
      <c r="G17" t="n">
        <v>0.111</v>
      </c>
      <c r="X17" t="n">
        <v>0.111</v>
      </c>
    </row>
    <row r="18">
      <c r="A18" t="inlineStr">
        <is>
          <t>Materia prima</t>
        </is>
      </c>
      <c r="B18" t="inlineStr">
        <is>
          <t>Fleje e=1,25 × 106</t>
        </is>
      </c>
      <c r="C18" t="inlineStr">
        <is>
          <t>m</t>
        </is>
      </c>
      <c r="D18" t="inlineStr">
        <is>
          <t>Todos</t>
        </is>
      </c>
      <c r="E18" t="inlineStr">
        <is>
          <t>Pacheco Chapas</t>
        </is>
      </c>
      <c r="F18" t="inlineStr">
        <is>
          <t>AL-1F porta-flejes</t>
        </is>
      </c>
      <c r="G18" t="n">
        <v>0.103</v>
      </c>
      <c r="X18" t="n">
        <v>0.103</v>
      </c>
    </row>
    <row r="19">
      <c r="A19" t="inlineStr">
        <is>
          <t>Materia prima</t>
        </is>
      </c>
      <c r="B19" t="inlineStr">
        <is>
          <t>Fleje e=1,25 × 200</t>
        </is>
      </c>
      <c r="C19" t="inlineStr">
        <is>
          <t>m</t>
        </is>
      </c>
      <c r="D19" t="inlineStr">
        <is>
          <t>Todos</t>
        </is>
      </c>
      <c r="E19" t="inlineStr">
        <is>
          <t>Pacheco Chapas</t>
        </is>
      </c>
      <c r="F19" t="inlineStr">
        <is>
          <t>AL-1F porta-flejes</t>
        </is>
      </c>
      <c r="H19" t="n">
        <v>0.333</v>
      </c>
      <c r="Y19" t="n">
        <v>0.333</v>
      </c>
    </row>
    <row r="20">
      <c r="A20" t="inlineStr">
        <is>
          <t>Materia prima</t>
        </is>
      </c>
      <c r="B20" t="inlineStr">
        <is>
          <t>Fleje e=1,6 × 200</t>
        </is>
      </c>
      <c r="C20" t="inlineStr">
        <is>
          <t>m</t>
        </is>
      </c>
      <c r="D20" t="inlineStr">
        <is>
          <t>Todos</t>
        </is>
      </c>
      <c r="E20" t="inlineStr">
        <is>
          <t>Pacheco Chapas</t>
        </is>
      </c>
      <c r="F20" t="inlineStr">
        <is>
          <t>AL-1F porta-flejes</t>
        </is>
      </c>
      <c r="I20" t="n">
        <v>0.18</v>
      </c>
      <c r="Z20" t="n">
        <v>0.18</v>
      </c>
    </row>
    <row r="21">
      <c r="A21" t="inlineStr">
        <is>
          <t>Materia prima</t>
        </is>
      </c>
      <c r="B21" t="inlineStr">
        <is>
          <t>Fleje e=1,6 × 250</t>
        </is>
      </c>
      <c r="C21" t="inlineStr">
        <is>
          <t>m</t>
        </is>
      </c>
      <c r="D21" t="inlineStr">
        <is>
          <t>Todos</t>
        </is>
      </c>
      <c r="E21" t="inlineStr">
        <is>
          <t>Pacheco Chapas</t>
        </is>
      </c>
      <c r="F21" t="inlineStr">
        <is>
          <t>AL-1F porta-flejes</t>
        </is>
      </c>
      <c r="I21" t="n">
        <v>0.224</v>
      </c>
      <c r="Z21" t="n">
        <v>0.224</v>
      </c>
    </row>
    <row r="22">
      <c r="A22" t="inlineStr">
        <is>
          <t>Materia prima</t>
        </is>
      </c>
      <c r="B22" t="inlineStr">
        <is>
          <t>Fleje e=1,6 × 300</t>
        </is>
      </c>
      <c r="C22" t="inlineStr">
        <is>
          <t>m</t>
        </is>
      </c>
      <c r="D22" t="inlineStr">
        <is>
          <t>Todos</t>
        </is>
      </c>
      <c r="E22" t="inlineStr">
        <is>
          <t>Pacheco Chapas</t>
        </is>
      </c>
      <c r="F22" t="inlineStr">
        <is>
          <t>AL-1F porta-flejes</t>
        </is>
      </c>
      <c r="J22" t="n">
        <v>0.261</v>
      </c>
      <c r="AA22" t="n">
        <v>0.261</v>
      </c>
    </row>
    <row r="23">
      <c r="A23" t="inlineStr">
        <is>
          <t>Materia prima</t>
        </is>
      </c>
      <c r="B23" t="inlineStr">
        <is>
          <t>Fleje e=2 × 249</t>
        </is>
      </c>
      <c r="C23" t="inlineStr">
        <is>
          <t>m</t>
        </is>
      </c>
      <c r="D23" t="inlineStr">
        <is>
          <t>Todos</t>
        </is>
      </c>
      <c r="E23" t="inlineStr">
        <is>
          <t>Pacheco Chapas</t>
        </is>
      </c>
      <c r="F23" t="inlineStr">
        <is>
          <t>AL-1F porta-flejes</t>
        </is>
      </c>
      <c r="J23" t="n">
        <v>0.208</v>
      </c>
      <c r="AA23" t="n">
        <v>0.208</v>
      </c>
    </row>
    <row r="24">
      <c r="A24" t="inlineStr">
        <is>
          <t>Semielaborado comprado</t>
        </is>
      </c>
      <c r="B24" t="inlineStr">
        <is>
          <t>Cuello roscado — Ø29 × 12,5 de alto, rosca M22x1,5, asiento Ø26</t>
        </is>
      </c>
      <c r="C24" t="inlineStr">
        <is>
          <t>u</t>
        </is>
      </c>
      <c r="D24" t="inlineStr">
        <is>
          <t>Todos</t>
        </is>
      </c>
      <c r="E24" t="inlineStr">
        <is>
          <t>Eli-Met</t>
        </is>
      </c>
      <c r="F24" t="inlineStr">
        <is>
          <t>Compra -&gt; 8 soldadura de cuello</t>
        </is>
      </c>
      <c r="G24" t="n">
        <v>1</v>
      </c>
      <c r="X24" t="n">
        <v>1</v>
      </c>
    </row>
    <row r="25">
      <c r="A25" t="inlineStr">
        <is>
          <t>Semielaborado comprado</t>
        </is>
      </c>
      <c r="B25" t="inlineStr">
        <is>
          <t>Cuello roscado — Ø36,8 × 14 de alto, rosca M30x1,5, asiento Ø35</t>
        </is>
      </c>
      <c r="C25" t="inlineStr">
        <is>
          <t>u</t>
        </is>
      </c>
      <c r="D25" t="inlineStr">
        <is>
          <t>Todos</t>
        </is>
      </c>
      <c r="E25" t="inlineStr">
        <is>
          <t>Eli-Met</t>
        </is>
      </c>
      <c r="F25" t="inlineStr">
        <is>
          <t>Compra -&gt; 8 soldadura de cuello</t>
        </is>
      </c>
      <c r="J25" t="n">
        <v>1</v>
      </c>
      <c r="AA25" t="n">
        <v>1</v>
      </c>
    </row>
    <row r="26">
      <c r="A26" t="inlineStr">
        <is>
          <t>Semielaborado comprado</t>
        </is>
      </c>
      <c r="B26" t="inlineStr">
        <is>
          <t>Cuello roscado — Ø37 × 14 de alto, rosca M30x1,5, asiento Ø35</t>
        </is>
      </c>
      <c r="C26" t="inlineStr">
        <is>
          <t>u</t>
        </is>
      </c>
      <c r="D26" t="inlineStr">
        <is>
          <t>Todos</t>
        </is>
      </c>
      <c r="E26" t="inlineStr">
        <is>
          <t>Eli-Met</t>
        </is>
      </c>
      <c r="F26" t="inlineStr">
        <is>
          <t>Compra -&gt; 8 soldadura de cuello</t>
        </is>
      </c>
      <c r="H26" t="n">
        <v>1</v>
      </c>
      <c r="Y26" t="n">
        <v>1</v>
      </c>
    </row>
    <row r="27">
      <c r="A27" t="inlineStr">
        <is>
          <t>Semielaborado comprado</t>
        </is>
      </c>
      <c r="B27" t="inlineStr">
        <is>
          <t>Cuello roscado — Ø37 × 15 de alto, rosca M30x1,5, asiento Ø35</t>
        </is>
      </c>
      <c r="C27" t="inlineStr">
        <is>
          <t>u</t>
        </is>
      </c>
      <c r="D27" t="inlineStr">
        <is>
          <t>Todos</t>
        </is>
      </c>
      <c r="E27" t="inlineStr">
        <is>
          <t>Eli-Met</t>
        </is>
      </c>
      <c r="F27" t="inlineStr">
        <is>
          <t>Compra -&gt; 8 soldadura de cuello</t>
        </is>
      </c>
      <c r="I27" t="n">
        <v>1</v>
      </c>
      <c r="Z27" t="n">
        <v>1</v>
      </c>
    </row>
    <row r="28">
      <c r="A28" t="inlineStr">
        <is>
          <t>Semielaborado comprado</t>
        </is>
      </c>
      <c r="B28" t="inlineStr">
        <is>
          <t>Cuello roscado — Ø37 × 35 de alto, rosca M30x1,5, asiento Ø35</t>
        </is>
      </c>
      <c r="C28" t="inlineStr">
        <is>
          <t>u</t>
        </is>
      </c>
      <c r="D28" t="inlineStr">
        <is>
          <t>Todos</t>
        </is>
      </c>
      <c r="E28" t="inlineStr">
        <is>
          <t>Eli-Met</t>
        </is>
      </c>
      <c r="F28" t="inlineStr">
        <is>
          <t>Compra -&gt; 6 soldadura de cupla en la cúpula (tapón plástico hasta la carga)</t>
        </is>
      </c>
      <c r="T28" t="n">
        <v>1</v>
      </c>
      <c r="AB28" t="n">
        <v>1</v>
      </c>
    </row>
    <row r="29">
      <c r="A29" t="inlineStr">
        <is>
          <t>Semielaborado comprado</t>
        </is>
      </c>
      <c r="B29" t="inlineStr">
        <is>
          <t>Cuello roscado — Ø88 × 37 de alto, rosca RBSP 2 1/2"-11 h, asiento Ø80</t>
        </is>
      </c>
      <c r="C29" t="inlineStr">
        <is>
          <t>u</t>
        </is>
      </c>
      <c r="D29" t="inlineStr">
        <is>
          <t>Todos</t>
        </is>
      </c>
      <c r="E29" t="inlineStr">
        <is>
          <t>Eli-Met</t>
        </is>
      </c>
      <c r="F29" t="inlineStr">
        <is>
          <t>Compra -&gt; 6 soldadura de cupla en la cúpula (tapón plástico hasta la carga)</t>
        </is>
      </c>
      <c r="U29" t="n">
        <v>1</v>
      </c>
      <c r="V29" t="n">
        <v>1</v>
      </c>
      <c r="W29" t="n">
        <v>1</v>
      </c>
      <c r="AC29" t="n">
        <v>1</v>
      </c>
      <c r="AD29" t="n">
        <v>1</v>
      </c>
      <c r="AE29" t="n">
        <v>1</v>
      </c>
    </row>
    <row r="30">
      <c r="A30" t="inlineStr">
        <is>
          <t>Semielaborado comprado</t>
        </is>
      </c>
      <c r="B30" t="inlineStr">
        <is>
          <t>Cúpula — Ø276,5 × e3,2 × 94,4 de alto; disco Ø358,3</t>
        </is>
      </c>
      <c r="C30" t="inlineStr">
        <is>
          <t>u</t>
        </is>
      </c>
      <c r="D30" t="inlineStr">
        <is>
          <t>Todos</t>
        </is>
      </c>
      <c r="E30" t="inlineStr">
        <is>
          <t>Gockel Ingeniería S.R.L.</t>
        </is>
      </c>
      <c r="F30" t="inlineStr">
        <is>
          <t>Compra -&gt; 6 soldadura de cupla -&gt; 7 armado y sold. circunferencial -&gt; 11 marcado (estampado en arco junto al cuello)</t>
        </is>
      </c>
      <c r="T30" t="n">
        <v>1</v>
      </c>
      <c r="AB30" t="n">
        <v>1</v>
      </c>
    </row>
    <row r="31">
      <c r="A31" t="inlineStr">
        <is>
          <t>Semielaborado comprado</t>
        </is>
      </c>
      <c r="B31" t="inlineStr">
        <is>
          <t>Cúpula — Ø320 × e3,2 × 109,9 de alto; disco Ø410,8</t>
        </is>
      </c>
      <c r="C31" t="inlineStr">
        <is>
          <t>u</t>
        </is>
      </c>
      <c r="D31" t="inlineStr">
        <is>
          <t>Todos</t>
        </is>
      </c>
      <c r="E31" t="inlineStr">
        <is>
          <t>Gockel Ingeniería S.R.L.</t>
        </is>
      </c>
      <c r="F31" t="inlineStr">
        <is>
          <t>Compra -&gt; 6 soldadura de cupla -&gt; 7 armado y sold. circunferencial -&gt; 11 marcado (estampado en arco junto al cuello)</t>
        </is>
      </c>
      <c r="U31" t="n">
        <v>1</v>
      </c>
      <c r="AC31" t="n">
        <v>1</v>
      </c>
    </row>
    <row r="32">
      <c r="A32" t="inlineStr">
        <is>
          <t>Semielaborado comprado</t>
        </is>
      </c>
      <c r="B32" t="inlineStr">
        <is>
          <t>Cúpula — Ø390 × e4,75 × 137,3 de alto; disco Ø507,3</t>
        </is>
      </c>
      <c r="C32" t="inlineStr">
        <is>
          <t>u</t>
        </is>
      </c>
      <c r="D32" t="inlineStr">
        <is>
          <t>Todos</t>
        </is>
      </c>
      <c r="E32" t="inlineStr">
        <is>
          <t>Gockel Ingeniería S.R.L.</t>
        </is>
      </c>
      <c r="F32" t="inlineStr">
        <is>
          <t>Compra -&gt; 6 soldadura de cupla -&gt; 7 armado y sold. circunferencial -&gt; 11 marcado (estampado en arco junto al cuello)</t>
        </is>
      </c>
      <c r="V32" t="n">
        <v>1</v>
      </c>
      <c r="W32" t="n">
        <v>1</v>
      </c>
      <c r="AD32" t="n">
        <v>1</v>
      </c>
      <c r="AE32" t="n">
        <v>1</v>
      </c>
    </row>
    <row r="33">
      <c r="A33" t="inlineStr">
        <is>
          <t>Semielaborado comprado</t>
        </is>
      </c>
      <c r="B33" t="inlineStr">
        <is>
          <t>Fondo — Ø276,5 × e3,2 × 95 de alto; disco Ø362,5</t>
        </is>
      </c>
      <c r="C33" t="inlineStr">
        <is>
          <t>u</t>
        </is>
      </c>
      <c r="D33" t="inlineStr">
        <is>
          <t>Todos</t>
        </is>
      </c>
      <c r="E33" t="inlineStr">
        <is>
          <t>Gockel Ingeniería S.R.L.</t>
        </is>
      </c>
      <c r="F33" t="inlineStr">
        <is>
          <t>Compra -&gt; 7 armado y sold. circunferencial</t>
        </is>
      </c>
      <c r="T33" t="n">
        <v>1</v>
      </c>
      <c r="AB33" t="n">
        <v>1</v>
      </c>
    </row>
    <row r="34">
      <c r="A34" t="inlineStr">
        <is>
          <t>Semielaborado comprado</t>
        </is>
      </c>
      <c r="B34" t="inlineStr">
        <is>
          <t>Fondo — Ø320 × e3,2 × 113 de alto; disco Ø423,5</t>
        </is>
      </c>
      <c r="C34" t="inlineStr">
        <is>
          <t>u</t>
        </is>
      </c>
      <c r="D34" t="inlineStr">
        <is>
          <t>Todos</t>
        </is>
      </c>
      <c r="E34" t="inlineStr">
        <is>
          <t>Gockel Ingeniería S.R.L.</t>
        </is>
      </c>
      <c r="F34" t="inlineStr">
        <is>
          <t>Compra -&gt; 7 armado y sold. circunferencial</t>
        </is>
      </c>
      <c r="U34" t="n">
        <v>1</v>
      </c>
      <c r="AC34" t="n">
        <v>1</v>
      </c>
    </row>
    <row r="35">
      <c r="A35" t="inlineStr">
        <is>
          <t>Semielaborado comprado</t>
        </is>
      </c>
      <c r="B35" t="inlineStr">
        <is>
          <t>Fondo — Ø390 × e4,75 × 139,8 de alto; disco Ø518,1</t>
        </is>
      </c>
      <c r="C35" t="inlineStr">
        <is>
          <t>u</t>
        </is>
      </c>
      <c r="D35" t="inlineStr">
        <is>
          <t>Todos</t>
        </is>
      </c>
      <c r="E35" t="inlineStr">
        <is>
          <t>Gockel Ingeniería S.R.L.</t>
        </is>
      </c>
      <c r="F35" t="inlineStr">
        <is>
          <t>Compra -&gt; 7 armado y sold. circunferencial</t>
        </is>
      </c>
      <c r="V35" t="n">
        <v>1</v>
      </c>
      <c r="W35" t="n">
        <v>1</v>
      </c>
      <c r="AD35" t="n">
        <v>1</v>
      </c>
      <c r="AE35" t="n">
        <v>1</v>
      </c>
    </row>
    <row r="36">
      <c r="A36" t="inlineStr">
        <is>
          <t>Componente comprado</t>
        </is>
      </c>
      <c r="B36" t="inlineStr">
        <is>
          <t>Arandelas de tope (4) — 4 × Ø40 × Ø20,1 × 4 (a cada lado de cada rueda)</t>
        </is>
      </c>
      <c r="C36" t="inlineStr">
        <is>
          <t>u</t>
        </is>
      </c>
      <c r="D36" t="inlineStr">
        <is>
          <t>Todos</t>
        </is>
      </c>
      <c r="E36" t="inlineStr">
        <is>
          <t>Hierros Parrotta</t>
        </is>
      </c>
      <c r="F36" t="inlineStr">
        <is>
          <t>Después de 12 pintura: ruedas montadas sobre el eje</t>
        </is>
      </c>
      <c r="T36" t="n">
        <v>1</v>
      </c>
    </row>
    <row r="37">
      <c r="A37" t="inlineStr">
        <is>
          <t>Componente comprado</t>
        </is>
      </c>
      <c r="B37" t="inlineStr">
        <is>
          <t>Arandelas de tope (4) — 4 × Ø40 × Ø26,4 × 4 (a cada lado de cada rueda)</t>
        </is>
      </c>
      <c r="C37" t="inlineStr">
        <is>
          <t>u</t>
        </is>
      </c>
      <c r="D37" t="inlineStr">
        <is>
          <t>Todos</t>
        </is>
      </c>
      <c r="E37" t="inlineStr">
        <is>
          <t>Hierros Parrotta</t>
        </is>
      </c>
      <c r="F37" t="inlineStr">
        <is>
          <t>Después de 12 pintura: ruedas montadas sobre el eje</t>
        </is>
      </c>
      <c r="U37" t="n">
        <v>1</v>
      </c>
      <c r="V37" t="n">
        <v>1</v>
      </c>
      <c r="W37" t="n">
        <v>1</v>
      </c>
    </row>
    <row r="38">
      <c r="A38" t="inlineStr">
        <is>
          <t>Componente comprado</t>
        </is>
      </c>
      <c r="B38" t="inlineStr">
        <is>
          <t>Faja amarilla de sustituto en la pollera (3 leyendas) — 30 × 410 (alto ≤ 40; perímetro + 20 de solape)</t>
        </is>
      </c>
      <c r="C38" t="inlineStr">
        <is>
          <t>u</t>
        </is>
      </c>
      <c r="D38" t="inlineStr">
        <is>
          <t>Todos</t>
        </is>
      </c>
      <c r="E38" t="inlineStr">
        <is>
          <t>Astuprint</t>
        </is>
      </c>
      <c r="AG38" t="n">
        <v>1</v>
      </c>
    </row>
    <row r="39">
      <c r="A39" t="inlineStr">
        <is>
          <t>Componente comprado</t>
        </is>
      </c>
      <c r="B39" t="inlineStr">
        <is>
          <t>Faja amarilla de sustituto en la pollera (3 leyendas) — 33 × 378 (alto ≤ 40; perímetro + 20 de solape)</t>
        </is>
      </c>
      <c r="C39" t="inlineStr">
        <is>
          <t>u</t>
        </is>
      </c>
      <c r="D39" t="inlineStr">
        <is>
          <t>Todos</t>
        </is>
      </c>
      <c r="E39" t="inlineStr">
        <is>
          <t>Astuprint</t>
        </is>
      </c>
      <c r="AO39" t="n">
        <v>1</v>
      </c>
    </row>
    <row r="40">
      <c r="A40" t="inlineStr">
        <is>
          <t>Componente comprado</t>
        </is>
      </c>
      <c r="B40" t="inlineStr">
        <is>
          <t>Faja amarilla de sustituto en la pollera (3 leyendas) — 36 × 259 (alto ≤ 40; perímetro + 20 de solape)</t>
        </is>
      </c>
      <c r="C40" t="inlineStr">
        <is>
          <t>u</t>
        </is>
      </c>
      <c r="D40" t="inlineStr">
        <is>
          <t>Todos</t>
        </is>
      </c>
      <c r="E40" t="inlineStr">
        <is>
          <t>Astuprint</t>
        </is>
      </c>
      <c r="AF40" t="n">
        <v>1</v>
      </c>
    </row>
    <row r="41">
      <c r="A41" t="inlineStr">
        <is>
          <t>Componente comprado</t>
        </is>
      </c>
      <c r="B41" t="inlineStr">
        <is>
          <t>Faja amarilla de sustituto en la pollera (3 leyendas) — 40 × 1025 (alto ≤ 40; perímetro + 20 de solape)</t>
        </is>
      </c>
      <c r="C41" t="inlineStr">
        <is>
          <t>u</t>
        </is>
      </c>
      <c r="D41" t="inlineStr">
        <is>
          <t>Todos</t>
        </is>
      </c>
      <c r="E41" t="inlineStr">
        <is>
          <t>Astuprint</t>
        </is>
      </c>
      <c r="AL41" t="n">
        <v>1</v>
      </c>
      <c r="AT41" t="n">
        <v>1</v>
      </c>
    </row>
    <row r="42">
      <c r="A42" t="inlineStr">
        <is>
          <t>Componente comprado</t>
        </is>
      </c>
      <c r="B42" t="inlineStr">
        <is>
          <t>Faja amarilla de sustituto en la pollera (3 leyendas) — 40 × 1245 (alto ≤ 40; perímetro + 20 de solape)</t>
        </is>
      </c>
      <c r="C42" t="inlineStr">
        <is>
          <t>u</t>
        </is>
      </c>
      <c r="D42" t="inlineStr">
        <is>
          <t>Todos</t>
        </is>
      </c>
      <c r="E42" t="inlineStr">
        <is>
          <t>Astuprint</t>
        </is>
      </c>
      <c r="AU42" t="n">
        <v>1</v>
      </c>
      <c r="AV42" t="n">
        <v>1</v>
      </c>
    </row>
    <row r="43">
      <c r="A43" t="inlineStr">
        <is>
          <t>Componente comprado</t>
        </is>
      </c>
      <c r="B43" t="inlineStr">
        <is>
          <t>Faja amarilla de sustituto en la pollera (3 leyendas) — 40 × 460 (alto ≤ 40; perímetro + 20 de solape)</t>
        </is>
      </c>
      <c r="C43" t="inlineStr">
        <is>
          <t>u</t>
        </is>
      </c>
      <c r="D43" t="inlineStr">
        <is>
          <t>Todos</t>
        </is>
      </c>
      <c r="E43" t="inlineStr">
        <is>
          <t>Astuprint</t>
        </is>
      </c>
      <c r="AP43" t="n">
        <v>1</v>
      </c>
    </row>
    <row r="44">
      <c r="A44" t="inlineStr">
        <is>
          <t>Componente comprado</t>
        </is>
      </c>
      <c r="B44" t="inlineStr">
        <is>
          <t>Faja amarilla de sustituto en la pollera (3 leyendas) — 40 × 501 (alto ≤ 40; perímetro + 20 de solape)</t>
        </is>
      </c>
      <c r="C44" t="inlineStr">
        <is>
          <t>u</t>
        </is>
      </c>
      <c r="D44" t="inlineStr">
        <is>
          <t>Todos</t>
        </is>
      </c>
      <c r="E44" t="inlineStr">
        <is>
          <t>Astuprint</t>
        </is>
      </c>
      <c r="AH44" t="n">
        <v>1</v>
      </c>
      <c r="AM44" t="n">
        <v>1</v>
      </c>
      <c r="AQ44" t="n">
        <v>1</v>
      </c>
    </row>
    <row r="45">
      <c r="A45" t="inlineStr">
        <is>
          <t>Componente comprado</t>
        </is>
      </c>
      <c r="B45" t="inlineStr">
        <is>
          <t>Faja amarilla de sustituto en la pollera (3 leyendas) — 40 × 590 (alto ≤ 40; perímetro + 20 de solape)</t>
        </is>
      </c>
      <c r="C45" t="inlineStr">
        <is>
          <t>u</t>
        </is>
      </c>
      <c r="D45" t="inlineStr">
        <is>
          <t>Todos</t>
        </is>
      </c>
      <c r="E45" t="inlineStr">
        <is>
          <t>Astuprint</t>
        </is>
      </c>
      <c r="AI45" t="n">
        <v>1</v>
      </c>
      <c r="AR45" t="n">
        <v>1</v>
      </c>
    </row>
    <row r="46">
      <c r="A46" t="inlineStr">
        <is>
          <t>Componente comprado</t>
        </is>
      </c>
      <c r="B46" t="inlineStr">
        <is>
          <t>Faja amarilla de sustituto en la pollera (3 leyendas) — 40 × 617 (alto ≤ 40; perímetro + 20 de solape)</t>
        </is>
      </c>
      <c r="C46" t="inlineStr">
        <is>
          <t>u</t>
        </is>
      </c>
      <c r="D46" t="inlineStr">
        <is>
          <t>Todos</t>
        </is>
      </c>
      <c r="E46" t="inlineStr">
        <is>
          <t>Astuprint</t>
        </is>
      </c>
      <c r="AJ46" t="n">
        <v>1</v>
      </c>
      <c r="AK46" t="n">
        <v>1</v>
      </c>
      <c r="AN46" t="n">
        <v>1</v>
      </c>
    </row>
    <row r="47">
      <c r="A47" t="inlineStr">
        <is>
          <t>Componente comprado</t>
        </is>
      </c>
      <c r="B47" t="inlineStr">
        <is>
          <t>Faja amarilla de sustituto en la pollera (3 leyendas) — 40 × 889 (alto ≤ 40; perímetro + 20 de solape)</t>
        </is>
      </c>
      <c r="C47" t="inlineStr">
        <is>
          <t>u</t>
        </is>
      </c>
      <c r="D47" t="inlineStr">
        <is>
          <t>Todos</t>
        </is>
      </c>
      <c r="E47" t="inlineStr">
        <is>
          <t>Astuprint</t>
        </is>
      </c>
      <c r="AS47" t="n">
        <v>1</v>
      </c>
    </row>
    <row r="48">
      <c r="A48" t="inlineStr">
        <is>
          <t>Componente comprado</t>
        </is>
      </c>
      <c r="B48" t="inlineStr">
        <is>
          <t>Junta tórica de asiento — Ø24 ext. × cordón 3</t>
        </is>
      </c>
      <c r="C48" t="inlineStr">
        <is>
          <t>u</t>
        </is>
      </c>
      <c r="D48" t="inlineStr">
        <is>
          <t>Todos</t>
        </is>
      </c>
      <c r="E48" t="inlineStr">
        <is>
          <t>Argensold</t>
        </is>
      </c>
      <c r="F48" t="inlineStr">
        <is>
          <t>19 Ensamblaje de válvula (T03/T04)</t>
        </is>
      </c>
      <c r="G48" t="n">
        <v>1</v>
      </c>
    </row>
    <row r="49">
      <c r="A49" t="inlineStr">
        <is>
          <t>Componente comprado</t>
        </is>
      </c>
      <c r="B49" t="inlineStr">
        <is>
          <t>Junta tórica de asiento — Ø32,8 ext. × cordón 3</t>
        </is>
      </c>
      <c r="C49" t="inlineStr">
        <is>
          <t>u</t>
        </is>
      </c>
      <c r="D49" t="inlineStr">
        <is>
          <t>Todos</t>
        </is>
      </c>
      <c r="E49" t="inlineStr">
        <is>
          <t>Argensold</t>
        </is>
      </c>
      <c r="F49" t="inlineStr">
        <is>
          <t>19 Ensamblaje de válvula (T03/T04)</t>
        </is>
      </c>
      <c r="H49" t="n">
        <v>1</v>
      </c>
      <c r="I49" t="n">
        <v>1</v>
      </c>
      <c r="J49" t="n">
        <v>1</v>
      </c>
      <c r="T49" t="n">
        <v>1</v>
      </c>
    </row>
    <row r="50">
      <c r="A50" t="inlineStr">
        <is>
          <t>Componente comprado</t>
        </is>
      </c>
      <c r="B50" t="inlineStr">
        <is>
          <t>Junta tórica de asiento — Ø78 ext. × cordón 3</t>
        </is>
      </c>
      <c r="C50" t="inlineStr">
        <is>
          <t>u</t>
        </is>
      </c>
      <c r="D50" t="inlineStr">
        <is>
          <t>Todos</t>
        </is>
      </c>
      <c r="E50" t="inlineStr">
        <is>
          <t>Argensold</t>
        </is>
      </c>
      <c r="F50" t="inlineStr">
        <is>
          <t>13 carga de polvo y N₂: armado de válvula</t>
        </is>
      </c>
      <c r="U50" t="n">
        <v>1</v>
      </c>
      <c r="V50" t="n">
        <v>1</v>
      </c>
      <c r="W50" t="n">
        <v>1</v>
      </c>
    </row>
    <row r="51">
      <c r="A51" t="inlineStr">
        <is>
          <t>Componente comprado</t>
        </is>
      </c>
      <c r="B51" t="inlineStr">
        <is>
          <t>Manguera (tramo enrollado) — Ø23,5 × 11.007 de largo desarrollado: lazo vertical de 4 vueltas alrededor de los flejes, por afuera de las patas y detrás de las orejas</t>
        </is>
      </c>
      <c r="C51" t="inlineStr">
        <is>
          <t>u</t>
        </is>
      </c>
      <c r="D51" t="inlineStr">
        <is>
          <t>Todos</t>
        </is>
      </c>
      <c r="E51" t="inlineStr">
        <is>
          <t>Yukon / MatafuegosYa S.R.L.</t>
        </is>
      </c>
      <c r="F51" t="inlineStr">
        <is>
          <t>Después de 12 pintura: manguera, válvula esférica y tobera</t>
        </is>
      </c>
      <c r="W51" t="n">
        <v>1</v>
      </c>
    </row>
    <row r="52">
      <c r="A52" t="inlineStr">
        <is>
          <t>Componente comprado</t>
        </is>
      </c>
      <c r="B52" t="inlineStr">
        <is>
          <t>Manguera (tramo enrollado) — Ø23,5 × 4.241 de largo desarrollado: lazo vertical de 2 vueltas alrededor de los flejes, por afuera de las patas y detrás de las orejas</t>
        </is>
      </c>
      <c r="C52" t="inlineStr">
        <is>
          <t>u</t>
        </is>
      </c>
      <c r="D52" t="inlineStr">
        <is>
          <t>Todos</t>
        </is>
      </c>
      <c r="E52" t="inlineStr">
        <is>
          <t>Yukon / MatafuegosYa S.R.L.</t>
        </is>
      </c>
      <c r="F52" t="inlineStr">
        <is>
          <t>Después de 12 pintura: manguera, válvula esférica y tobera</t>
        </is>
      </c>
      <c r="V52" t="n">
        <v>1</v>
      </c>
    </row>
    <row r="53">
      <c r="A53" t="inlineStr">
        <is>
          <t>Componente comprado</t>
        </is>
      </c>
      <c r="B53" t="inlineStr">
        <is>
          <t>Manguera (tramo enrollado) — Ø23,5 × 4.504 de largo desarrollado: lazo vertical de 3 vueltas alrededor de los flejes, por afuera de las patas y detrás de las orejas</t>
        </is>
      </c>
      <c r="C53" t="inlineStr">
        <is>
          <t>u</t>
        </is>
      </c>
      <c r="D53" t="inlineStr">
        <is>
          <t>Todos</t>
        </is>
      </c>
      <c r="E53" t="inlineStr">
        <is>
          <t>Yukon / MatafuegosYa S.R.L.</t>
        </is>
      </c>
      <c r="F53" t="inlineStr">
        <is>
          <t>Después de 12 pintura: manguera, válvula esférica y tobera</t>
        </is>
      </c>
      <c r="T53" t="n">
        <v>1</v>
      </c>
    </row>
    <row r="54">
      <c r="A54" t="inlineStr">
        <is>
          <t>Componente comprado</t>
        </is>
      </c>
      <c r="B54" t="inlineStr">
        <is>
          <t>Manguera (tramo enrollado) — Ø23,5 × 5.414 de largo desarrollado: lazo vertical de 3 vueltas alrededor de los flejes, por afuera de las patas y detrás de las orejas</t>
        </is>
      </c>
      <c r="C54" t="inlineStr">
        <is>
          <t>u</t>
        </is>
      </c>
      <c r="D54" t="inlineStr">
        <is>
          <t>Todos</t>
        </is>
      </c>
      <c r="E54" t="inlineStr">
        <is>
          <t>Yukon / MatafuegosYa S.R.L.</t>
        </is>
      </c>
      <c r="F54" t="inlineStr">
        <is>
          <t>Después de 12 pintura: manguera, válvula esférica y tobera</t>
        </is>
      </c>
      <c r="U54" t="n">
        <v>1</v>
      </c>
    </row>
    <row r="55">
      <c r="A55" t="inlineStr">
        <is>
          <t>Componente comprado</t>
        </is>
      </c>
      <c r="B55" t="inlineStr">
        <is>
          <t>Manguera — Ø16 × 238 de largo desarrollado</t>
        </is>
      </c>
      <c r="C55" t="inlineStr">
        <is>
          <t>u</t>
        </is>
      </c>
      <c r="D55" t="inlineStr">
        <is>
          <t>Todos</t>
        </is>
      </c>
      <c r="E55" t="inlineStr">
        <is>
          <t>Yukon / MatafuegosYa S.R.L.</t>
        </is>
      </c>
      <c r="F55" t="inlineStr">
        <is>
          <t>19 Ensamblaje (T03/T04)</t>
        </is>
      </c>
      <c r="H55" t="n">
        <v>1</v>
      </c>
    </row>
    <row r="56">
      <c r="A56" t="inlineStr">
        <is>
          <t>Componente comprado</t>
        </is>
      </c>
      <c r="B56" t="inlineStr">
        <is>
          <t>Manguera — Ø16 × 329 de largo desarrollado</t>
        </is>
      </c>
      <c r="C56" t="inlineStr">
        <is>
          <t>u</t>
        </is>
      </c>
      <c r="D56" t="inlineStr">
        <is>
          <t>Todos</t>
        </is>
      </c>
      <c r="E56" t="inlineStr">
        <is>
          <t>Yukon / MatafuegosYa S.R.L.</t>
        </is>
      </c>
      <c r="F56" t="inlineStr">
        <is>
          <t>19 Ensamblaje (T03/T04)</t>
        </is>
      </c>
      <c r="I56" t="n">
        <v>1</v>
      </c>
    </row>
    <row r="57">
      <c r="A57" t="inlineStr">
        <is>
          <t>Componente comprado</t>
        </is>
      </c>
      <c r="B57" t="inlineStr">
        <is>
          <t>Manguera — Ø16 × 518 de largo desarrollado</t>
        </is>
      </c>
      <c r="C57" t="inlineStr">
        <is>
          <t>u</t>
        </is>
      </c>
      <c r="D57" t="inlineStr">
        <is>
          <t>Todos</t>
        </is>
      </c>
      <c r="E57" t="inlineStr">
        <is>
          <t>Yukon / MatafuegosYa S.R.L.</t>
        </is>
      </c>
      <c r="F57" t="inlineStr">
        <is>
          <t>19 Ensamblaje (T03/T04)</t>
        </is>
      </c>
      <c r="J57" t="n">
        <v>1</v>
      </c>
    </row>
    <row r="58">
      <c r="A58" t="inlineStr">
        <is>
          <t>Componente comprado</t>
        </is>
      </c>
      <c r="B58" t="inlineStr">
        <is>
          <t>Manguera — Ø23,5 × 1.032 de largo desarrollado</t>
        </is>
      </c>
      <c r="C58" t="inlineStr">
        <is>
          <t>u</t>
        </is>
      </c>
      <c r="D58" t="inlineStr">
        <is>
          <t>Todos</t>
        </is>
      </c>
      <c r="E58" t="inlineStr">
        <is>
          <t>Yukon / MatafuegosYa S.R.L.</t>
        </is>
      </c>
      <c r="F58" t="inlineStr">
        <is>
          <t>Después de 12 pintura: manguera, válvula esférica y tobera</t>
        </is>
      </c>
      <c r="W58" t="n">
        <v>1</v>
      </c>
    </row>
    <row r="59">
      <c r="A59" t="inlineStr">
        <is>
          <t>Componente comprado</t>
        </is>
      </c>
      <c r="B59" t="inlineStr">
        <is>
          <t>Manguera — Ø23,5 × 503 de largo desarrollado</t>
        </is>
      </c>
      <c r="C59" t="inlineStr">
        <is>
          <t>u</t>
        </is>
      </c>
      <c r="D59" t="inlineStr">
        <is>
          <t>Todos</t>
        </is>
      </c>
      <c r="E59" t="inlineStr">
        <is>
          <t>Yukon / MatafuegosYa S.R.L.</t>
        </is>
      </c>
      <c r="F59" t="inlineStr">
        <is>
          <t>Después de 12 pintura: manguera, válvula esférica y tobera</t>
        </is>
      </c>
      <c r="T59" t="n">
        <v>1</v>
      </c>
    </row>
    <row r="60">
      <c r="A60" t="inlineStr">
        <is>
          <t>Componente comprado</t>
        </is>
      </c>
      <c r="B60" t="inlineStr">
        <is>
          <t>Manguera — Ø23,5 × 686 de largo desarrollado</t>
        </is>
      </c>
      <c r="C60" t="inlineStr">
        <is>
          <t>u</t>
        </is>
      </c>
      <c r="D60" t="inlineStr">
        <is>
          <t>Todos</t>
        </is>
      </c>
      <c r="E60" t="inlineStr">
        <is>
          <t>Yukon / MatafuegosYa S.R.L.</t>
        </is>
      </c>
      <c r="F60" t="inlineStr">
        <is>
          <t>Después de 12 pintura: manguera, válvula esférica y tobera</t>
        </is>
      </c>
      <c r="U60" t="n">
        <v>1</v>
      </c>
    </row>
    <row r="61">
      <c r="A61" t="inlineStr">
        <is>
          <t>Componente comprado</t>
        </is>
      </c>
      <c r="B61" t="inlineStr">
        <is>
          <t>Manguera — Ø23,5 × 762 de largo desarrollado</t>
        </is>
      </c>
      <c r="C61" t="inlineStr">
        <is>
          <t>u</t>
        </is>
      </c>
      <c r="D61" t="inlineStr">
        <is>
          <t>Todos</t>
        </is>
      </c>
      <c r="E61" t="inlineStr">
        <is>
          <t>Yukon / MatafuegosYa S.R.L.</t>
        </is>
      </c>
      <c r="F61" t="inlineStr">
        <is>
          <t>Después de 12 pintura: manguera, válvula esférica y tobera</t>
        </is>
      </c>
      <c r="V61" t="n">
        <v>1</v>
      </c>
    </row>
    <row r="62">
      <c r="A62" s="51" t="inlineStr">
        <is>
          <t>Componente comprado</t>
        </is>
      </c>
      <c r="B62" s="51" t="inlineStr">
        <is>
          <t>Manómetro — Ø36 esfera, rango 0-3,5 MPa, sector verde en 1,4</t>
        </is>
      </c>
      <c r="C62" s="51" t="inlineStr">
        <is>
          <t>u</t>
        </is>
      </c>
      <c r="D62" s="51" t="inlineStr">
        <is>
          <t>Todos</t>
        </is>
      </c>
      <c r="E62" s="51" t="inlineStr">
        <is>
          <t>Yukon / MatafuegosYa S.R.L.</t>
        </is>
      </c>
      <c r="F62" s="51" t="inlineStr">
        <is>
          <t>19 Ensamblaje de válvula (T03/T04)</t>
        </is>
      </c>
      <c r="G62" t="n">
        <v>1</v>
      </c>
      <c r="H62" t="n">
        <v>1</v>
      </c>
      <c r="I62" t="n">
        <v>1</v>
      </c>
      <c r="J62" t="n">
        <v>1</v>
      </c>
    </row>
    <row r="63">
      <c r="A63" s="51" t="inlineStr">
        <is>
          <t>Componente comprado</t>
        </is>
      </c>
      <c r="B63" s="51" t="inlineStr">
        <is>
          <t>Manómetro — Ø47 esfera, rango 0-3,5 MPa, sector verde en 1,4</t>
        </is>
      </c>
      <c r="C63" s="51" t="inlineStr">
        <is>
          <t>u</t>
        </is>
      </c>
      <c r="D63" s="51" t="inlineStr">
        <is>
          <t>Todos</t>
        </is>
      </c>
      <c r="E63" s="51" t="inlineStr">
        <is>
          <t>Yukon / MatafuegosYa S.R.L.</t>
        </is>
      </c>
      <c r="F63" s="51" t="inlineStr">
        <is>
          <t>13 carga de polvo y N₂: armado de válvula</t>
        </is>
      </c>
      <c r="T63" t="n">
        <v>1</v>
      </c>
      <c r="U63" t="n">
        <v>1</v>
      </c>
      <c r="V63" t="n">
        <v>1</v>
      </c>
      <c r="W63" t="n">
        <v>1</v>
      </c>
    </row>
    <row r="64">
      <c r="A64" s="51" t="inlineStr">
        <is>
          <t>Componente comprado</t>
        </is>
      </c>
      <c r="B64" s="51" t="inlineStr">
        <is>
          <t>Neumático macizo — Ø300 × 50 de ancho</t>
        </is>
      </c>
      <c r="C64" s="51" t="inlineStr">
        <is>
          <t>u</t>
        </is>
      </c>
      <c r="D64" s="51" t="inlineStr">
        <is>
          <t>Todos</t>
        </is>
      </c>
      <c r="E64" s="51" t="inlineStr">
        <is>
          <t>Ruedar</t>
        </is>
      </c>
      <c r="F64" s="51" t="inlineStr">
        <is>
          <t>Después de 12 pintura: ruedas montadas sobre el eje</t>
        </is>
      </c>
      <c r="T64" t="n">
        <v>2</v>
      </c>
    </row>
    <row r="65">
      <c r="A65" t="inlineStr">
        <is>
          <t>Componente comprado</t>
        </is>
      </c>
      <c r="B65" t="inlineStr">
        <is>
          <t>Neumático macizo — Ø350 × 60 de ancho</t>
        </is>
      </c>
      <c r="C65" t="inlineStr">
        <is>
          <t>u</t>
        </is>
      </c>
      <c r="D65" t="inlineStr">
        <is>
          <t>Todos</t>
        </is>
      </c>
      <c r="E65" t="inlineStr">
        <is>
          <t>Ruedar</t>
        </is>
      </c>
      <c r="F65" t="inlineStr">
        <is>
          <t>Después de 12 pintura: ruedas montadas sobre el eje</t>
        </is>
      </c>
      <c r="U65" t="n">
        <v>2</v>
      </c>
      <c r="V65" t="n">
        <v>2</v>
      </c>
    </row>
    <row r="66">
      <c r="A66" t="inlineStr">
        <is>
          <t>Componente comprado</t>
        </is>
      </c>
      <c r="B66" t="inlineStr">
        <is>
          <t>Neumático macizo — Ø400 × 60 de ancho</t>
        </is>
      </c>
      <c r="C66" t="inlineStr">
        <is>
          <t>u</t>
        </is>
      </c>
      <c r="D66" t="inlineStr">
        <is>
          <t>Todos</t>
        </is>
      </c>
      <c r="E66" t="inlineStr">
        <is>
          <t>Escanort S.A.</t>
        </is>
      </c>
      <c r="F66" t="inlineStr">
        <is>
          <t>Después de 12 pintura: ruedas montadas sobre el eje</t>
        </is>
      </c>
      <c r="W66" t="n">
        <v>2</v>
      </c>
    </row>
    <row r="67">
      <c r="A67" t="inlineStr">
        <is>
          <t>Componente comprado</t>
        </is>
      </c>
      <c r="B67" t="inlineStr">
        <is>
          <t>Pasadores del eje (2) — 2 pasadores partidos Ø4 × 40, uno en cada punta del eje, por fuera de la arandela</t>
        </is>
      </c>
      <c r="C67" t="inlineStr">
        <is>
          <t>u</t>
        </is>
      </c>
      <c r="D67" t="inlineStr">
        <is>
          <t>Todos</t>
        </is>
      </c>
      <c r="E67" t="inlineStr">
        <is>
          <t>Hierros Parrotta</t>
        </is>
      </c>
      <c r="F67" t="inlineStr">
        <is>
          <t>Después de 12 pintura: ruedas montadas sobre el eje</t>
        </is>
      </c>
      <c r="T67" t="n">
        <v>1</v>
      </c>
      <c r="U67" t="n">
        <v>1</v>
      </c>
      <c r="V67" t="n">
        <v>1</v>
      </c>
      <c r="W67" t="n">
        <v>1</v>
      </c>
    </row>
    <row r="68">
      <c r="A68" t="inlineStr">
        <is>
          <t>Componente comprado</t>
        </is>
      </c>
      <c r="B68" t="inlineStr">
        <is>
          <t>Racor de manguera — 19,4 × 18,8 × 18,8</t>
        </is>
      </c>
      <c r="C68" t="inlineStr">
        <is>
          <t>u</t>
        </is>
      </c>
      <c r="D68" t="inlineStr">
        <is>
          <t>Todos</t>
        </is>
      </c>
      <c r="E68" t="inlineStr">
        <is>
          <t>Yukon / MatafuegosYa S.R.L.</t>
        </is>
      </c>
      <c r="F68" t="inlineStr">
        <is>
          <t>19 Ensamblaje (T03/T04)</t>
        </is>
      </c>
      <c r="H68" t="n">
        <v>1</v>
      </c>
      <c r="I68" t="n">
        <v>1</v>
      </c>
      <c r="J68" t="n">
        <v>1</v>
      </c>
    </row>
    <row r="69">
      <c r="A69" t="inlineStr">
        <is>
          <t>Componente comprado</t>
        </is>
      </c>
      <c r="B69" t="inlineStr">
        <is>
          <t>Racor de manguera — 24 × 24 × 16</t>
        </is>
      </c>
      <c r="C69" t="inlineStr">
        <is>
          <t>u</t>
        </is>
      </c>
      <c r="D69" t="inlineStr">
        <is>
          <t>Todos</t>
        </is>
      </c>
      <c r="E69" t="inlineStr">
        <is>
          <t>Yukon / MatafuegosYa S.R.L.</t>
        </is>
      </c>
      <c r="F69" t="inlineStr">
        <is>
          <t>Después de 12 pintura: manguera, válvula esférica y tobera</t>
        </is>
      </c>
      <c r="T69" t="n">
        <v>1</v>
      </c>
      <c r="U69" t="n">
        <v>1</v>
      </c>
      <c r="V69" t="n">
        <v>1</v>
      </c>
      <c r="W69" t="n">
        <v>1</v>
      </c>
    </row>
    <row r="70">
      <c r="A70" t="inlineStr">
        <is>
          <t>Componente comprado</t>
        </is>
      </c>
      <c r="B70" t="inlineStr">
        <is>
          <t>Remito de préstamo con membrete (n° de extintor, puesto, equipo retirado, fechas) — A5 duplicado</t>
        </is>
      </c>
      <c r="C70" t="inlineStr">
        <is>
          <t>u/préstamo</t>
        </is>
      </c>
      <c r="D70" t="inlineStr">
        <is>
          <t>Todos</t>
        </is>
      </c>
      <c r="E70" t="inlineStr">
        <is>
          <t>Astuprint</t>
        </is>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row>
    <row r="71">
      <c r="A71" t="inlineStr">
        <is>
          <t>Componente comprado</t>
        </is>
      </c>
      <c r="B71" t="inlineStr">
        <is>
          <t>Suncho portatobera — 137,6 × 127,6 × 14,4</t>
        </is>
      </c>
      <c r="C71" t="inlineStr">
        <is>
          <t>u</t>
        </is>
      </c>
      <c r="D71" t="inlineStr">
        <is>
          <t>Todos</t>
        </is>
      </c>
      <c r="E71" t="inlineStr">
        <is>
          <t>Yukon / MatafuegosYa S.R.L.</t>
        </is>
      </c>
      <c r="F71" t="inlineStr">
        <is>
          <t>19 Ensamblaje (T03/T04)</t>
        </is>
      </c>
      <c r="H71" t="n">
        <v>1</v>
      </c>
    </row>
    <row r="72">
      <c r="A72" t="inlineStr">
        <is>
          <t>Componente comprado</t>
        </is>
      </c>
      <c r="B72" t="inlineStr">
        <is>
          <t>Suncho portatobera — 166,6 × 156,6 × 14,4</t>
        </is>
      </c>
      <c r="C72" t="inlineStr">
        <is>
          <t>u</t>
        </is>
      </c>
      <c r="D72" t="inlineStr">
        <is>
          <t>Todos</t>
        </is>
      </c>
      <c r="E72" t="inlineStr">
        <is>
          <t>Yukon / MatafuegosYa S.R.L.</t>
        </is>
      </c>
      <c r="F72" t="inlineStr">
        <is>
          <t>19 Ensamblaje (T03/T04)</t>
        </is>
      </c>
      <c r="I72" t="n">
        <v>1</v>
      </c>
    </row>
    <row r="73">
      <c r="A73" t="inlineStr">
        <is>
          <t>Componente comprado</t>
        </is>
      </c>
      <c r="B73" t="inlineStr">
        <is>
          <t>Suncho portatobera — 195,1 × 185,1 × 14,4</t>
        </is>
      </c>
      <c r="C73" t="inlineStr">
        <is>
          <t>u</t>
        </is>
      </c>
      <c r="D73" t="inlineStr">
        <is>
          <t>Todos</t>
        </is>
      </c>
      <c r="E73" t="inlineStr">
        <is>
          <t>Yukon / MatafuegosYa S.R.L.</t>
        </is>
      </c>
      <c r="F73" t="inlineStr">
        <is>
          <t>19 Ensamblaje (T03/T04)</t>
        </is>
      </c>
      <c r="J73" t="n">
        <v>1</v>
      </c>
    </row>
    <row r="74">
      <c r="A74" t="inlineStr">
        <is>
          <t>Componente comprado</t>
        </is>
      </c>
      <c r="B74" t="inlineStr">
        <is>
          <t>Tarjeta AGC con «Es sustituto» (sin domicilio de instalación) — formato oficial</t>
        </is>
      </c>
      <c r="C74" t="inlineStr">
        <is>
          <t>u</t>
        </is>
      </c>
      <c r="D74" t="inlineStr">
        <is>
          <t>CABA</t>
        </is>
      </c>
      <c r="E74" t="inlineStr">
        <is>
          <t>Agencia Gubernamental de Control (CABA)</t>
        </is>
      </c>
      <c r="AF74" t="n">
        <v>1</v>
      </c>
      <c r="AG74" t="n">
        <v>1</v>
      </c>
      <c r="AH74" t="n">
        <v>1</v>
      </c>
      <c r="AI74" t="n">
        <v>1</v>
      </c>
      <c r="AJ74" t="n">
        <v>1</v>
      </c>
      <c r="AK74" t="n">
        <v>1</v>
      </c>
      <c r="AL74" t="n">
        <v>1</v>
      </c>
      <c r="AM74" t="n">
        <v>1</v>
      </c>
      <c r="AN74" t="n">
        <v>1</v>
      </c>
      <c r="AO74" t="n">
        <v>1</v>
      </c>
      <c r="AP74" t="n">
        <v>1</v>
      </c>
      <c r="AQ74" t="n">
        <v>1</v>
      </c>
      <c r="AR74" t="n">
        <v>1</v>
      </c>
      <c r="AS74" t="n">
        <v>1</v>
      </c>
      <c r="AT74" t="n">
        <v>1</v>
      </c>
      <c r="AU74" t="n">
        <v>1</v>
      </c>
      <c r="AV74" t="n">
        <v>1</v>
      </c>
    </row>
    <row r="75">
      <c r="A75" t="inlineStr">
        <is>
          <t>Componente comprado</t>
        </is>
      </c>
      <c r="B75" t="inlineStr">
        <is>
          <t>Tarjeta de identificación DPS con sello «SUSTITUTO HABILITADO» — formato oficial</t>
        </is>
      </c>
      <c r="C75" t="inlineStr">
        <is>
          <t>u</t>
        </is>
      </c>
      <c r="D75" t="inlineStr">
        <is>
          <t>PBA</t>
        </is>
      </c>
      <c r="E75" t="inlineStr">
        <is>
          <t>Ministerio de Ambiente PBA (ex OPDS)</t>
        </is>
      </c>
      <c r="AF75" t="n">
        <v>1</v>
      </c>
      <c r="AG75" t="n">
        <v>1</v>
      </c>
      <c r="AH75" t="n">
        <v>1</v>
      </c>
      <c r="AI75" t="n">
        <v>1</v>
      </c>
      <c r="AJ75" t="n">
        <v>1</v>
      </c>
      <c r="AK75" t="n">
        <v>1</v>
      </c>
      <c r="AL75" t="n">
        <v>1</v>
      </c>
      <c r="AM75" t="n">
        <v>1</v>
      </c>
      <c r="AN75" t="n">
        <v>1</v>
      </c>
      <c r="AO75" t="n">
        <v>1</v>
      </c>
      <c r="AP75" t="n">
        <v>1</v>
      </c>
      <c r="AQ75" t="n">
        <v>1</v>
      </c>
      <c r="AR75" t="n">
        <v>1</v>
      </c>
      <c r="AS75" t="n">
        <v>1</v>
      </c>
      <c r="AT75" t="n">
        <v>1</v>
      </c>
      <c r="AU75" t="n">
        <v>1</v>
      </c>
      <c r="AV75" t="n">
        <v>1</v>
      </c>
    </row>
    <row r="76">
      <c r="A76" t="inlineStr">
        <is>
          <t>Componente comprado</t>
        </is>
      </c>
      <c r="B76" t="inlineStr">
        <is>
          <t>Tobera campana — 204,6 × 74 × 68</t>
        </is>
      </c>
      <c r="C76" t="inlineStr">
        <is>
          <t>u</t>
        </is>
      </c>
      <c r="D76" t="inlineStr">
        <is>
          <t>Todos</t>
        </is>
      </c>
      <c r="E76" t="inlineStr">
        <is>
          <t>Yukon / MatafuegosYa S.R.L.</t>
        </is>
      </c>
      <c r="F76" t="inlineStr">
        <is>
          <t>Después de 12 pintura: manguera, válvula esférica y tobera</t>
        </is>
      </c>
      <c r="V76" t="n">
        <v>1</v>
      </c>
    </row>
    <row r="77">
      <c r="A77" t="inlineStr">
        <is>
          <t>Componente comprado</t>
        </is>
      </c>
      <c r="B77" t="inlineStr">
        <is>
          <t>Tobera campana — 205,4 × 80,7 × 68</t>
        </is>
      </c>
      <c r="C77" t="inlineStr">
        <is>
          <t>u</t>
        </is>
      </c>
      <c r="D77" t="inlineStr">
        <is>
          <t>Todos</t>
        </is>
      </c>
      <c r="E77" t="inlineStr">
        <is>
          <t>Yukon / MatafuegosYa S.R.L.</t>
        </is>
      </c>
      <c r="F77" t="inlineStr">
        <is>
          <t>Después de 12 pintura: manguera, válvula esférica y tobera</t>
        </is>
      </c>
      <c r="U77" t="n">
        <v>1</v>
      </c>
    </row>
    <row r="78">
      <c r="A78" t="inlineStr">
        <is>
          <t>Componente comprado</t>
        </is>
      </c>
      <c r="B78" t="inlineStr">
        <is>
          <t>Tobera campana — 205,9 × 106,3 × 68</t>
        </is>
      </c>
      <c r="C78" t="inlineStr">
        <is>
          <t>u</t>
        </is>
      </c>
      <c r="D78" t="inlineStr">
        <is>
          <t>Todos</t>
        </is>
      </c>
      <c r="E78" t="inlineStr">
        <is>
          <t>Yukon / MatafuegosYa S.R.L.</t>
        </is>
      </c>
      <c r="F78" t="inlineStr">
        <is>
          <t>Después de 12 pintura: manguera, válvula esférica y tobera</t>
        </is>
      </c>
      <c r="W78" t="n">
        <v>1</v>
      </c>
    </row>
    <row r="79">
      <c r="A79" t="inlineStr">
        <is>
          <t>Componente comprado</t>
        </is>
      </c>
      <c r="B79" t="inlineStr">
        <is>
          <t>Tobera campana — 206,1 × 96,8 × 67,8</t>
        </is>
      </c>
      <c r="C79" t="inlineStr">
        <is>
          <t>u</t>
        </is>
      </c>
      <c r="D79" t="inlineStr">
        <is>
          <t>Todos</t>
        </is>
      </c>
      <c r="E79" t="inlineStr">
        <is>
          <t>Yukon / MatafuegosYa S.R.L.</t>
        </is>
      </c>
      <c r="F79" t="inlineStr">
        <is>
          <t>Después de 12 pintura: manguera, válvula esférica y tobera</t>
        </is>
      </c>
      <c r="T79" t="n">
        <v>1</v>
      </c>
    </row>
    <row r="80">
      <c r="A80" t="inlineStr">
        <is>
          <t>Componente comprado</t>
        </is>
      </c>
      <c r="B80" t="inlineStr">
        <is>
          <t>Tobera con portatobera — 73,5 × 19,9 × 19,9</t>
        </is>
      </c>
      <c r="C80" t="inlineStr">
        <is>
          <t>u</t>
        </is>
      </c>
      <c r="D80" t="inlineStr">
        <is>
          <t>Todos</t>
        </is>
      </c>
      <c r="E80" t="inlineStr">
        <is>
          <t>Yukon / MatafuegosYa S.R.L.</t>
        </is>
      </c>
      <c r="F80" t="inlineStr">
        <is>
          <t>19 Ensamblaje (T03/T04)</t>
        </is>
      </c>
      <c r="H80" t="n">
        <v>1</v>
      </c>
      <c r="I80" t="n">
        <v>1</v>
      </c>
      <c r="J80" t="n">
        <v>1</v>
      </c>
    </row>
    <row r="81">
      <c r="A81" t="inlineStr">
        <is>
          <t>Componente comprado</t>
        </is>
      </c>
      <c r="B81" t="inlineStr">
        <is>
          <t>Tobera — 12 × 12 × 10</t>
        </is>
      </c>
      <c r="C81" t="inlineStr">
        <is>
          <t>u</t>
        </is>
      </c>
      <c r="D81" t="inlineStr">
        <is>
          <t>Todos</t>
        </is>
      </c>
      <c r="E81" t="inlineStr">
        <is>
          <t>Yukon / MatafuegosYa S.R.L.</t>
        </is>
      </c>
      <c r="F81" t="inlineStr">
        <is>
          <t>19 Ensamblaje (T03/T04)</t>
        </is>
      </c>
      <c r="G81" t="n">
        <v>1</v>
      </c>
    </row>
    <row r="82">
      <c r="A82" t="inlineStr">
        <is>
          <t>Componente comprado</t>
        </is>
      </c>
      <c r="B82" t="inlineStr">
        <is>
          <t>Válvula HZ armada M-22 1 kg c/tubo de pesca plástico</t>
        </is>
      </c>
      <c r="C82" t="inlineStr">
        <is>
          <t>u</t>
        </is>
      </c>
      <c r="D82" t="inlineStr">
        <is>
          <t>Todos</t>
        </is>
      </c>
      <c r="E82" t="inlineStr">
        <is>
          <t>Polvex S.R.L. / Sancibrao</t>
        </is>
      </c>
      <c r="F82" t="inlineStr">
        <is>
          <t>19 Ensamblaje de válvula</t>
        </is>
      </c>
      <c r="G82" t="n">
        <v>1</v>
      </c>
    </row>
    <row r="83">
      <c r="A83" t="inlineStr">
        <is>
          <t>Componente comprado</t>
        </is>
      </c>
      <c r="B83" t="inlineStr">
        <is>
          <t>Válvula HZ armada M-30 c/resorte y tubo 7/8</t>
        </is>
      </c>
      <c r="C83" t="inlineStr">
        <is>
          <t>u</t>
        </is>
      </c>
      <c r="D83" t="inlineStr">
        <is>
          <t>Todos</t>
        </is>
      </c>
      <c r="E83" t="inlineStr">
        <is>
          <t>Polvex S.R.L. / Sancibrao</t>
        </is>
      </c>
      <c r="F83" t="inlineStr">
        <is>
          <t>19 Ensamblaje de válvula</t>
        </is>
      </c>
      <c r="H83" t="n">
        <v>1</v>
      </c>
      <c r="I83" t="n">
        <v>1</v>
      </c>
      <c r="J83" t="n">
        <v>1</v>
      </c>
    </row>
    <row r="84">
      <c r="A84" t="inlineStr">
        <is>
          <t>Componente comprado</t>
        </is>
      </c>
      <c r="B84" t="inlineStr">
        <is>
          <t>Válvula HZ armada de carro 25 kg c/traba, manija y resorte</t>
        </is>
      </c>
      <c r="C84" t="inlineStr">
        <is>
          <t>u</t>
        </is>
      </c>
      <c r="D84" t="inlineStr">
        <is>
          <t>Todos</t>
        </is>
      </c>
      <c r="E84" t="inlineStr">
        <is>
          <t>Polvex S.R.L. / Sancibrao</t>
        </is>
      </c>
      <c r="F84" t="inlineStr">
        <is>
          <t>19 Ensamblaje de válvula</t>
        </is>
      </c>
      <c r="T84" t="n">
        <v>1</v>
      </c>
    </row>
    <row r="85">
      <c r="A85" t="inlineStr">
        <is>
          <t>Componente comprado</t>
        </is>
      </c>
      <c r="B85" t="inlineStr">
        <is>
          <t>Válvula HZ armada de carro 50-70-100 kg</t>
        </is>
      </c>
      <c r="C85" t="inlineStr">
        <is>
          <t>u</t>
        </is>
      </c>
      <c r="D85" t="inlineStr">
        <is>
          <t>Todos</t>
        </is>
      </c>
      <c r="E85" t="inlineStr">
        <is>
          <t>Polvex S.R.L. / Sancibrao</t>
        </is>
      </c>
      <c r="F85" t="inlineStr">
        <is>
          <t>19 Ensamblaje de válvula</t>
        </is>
      </c>
      <c r="U85" t="n">
        <v>1</v>
      </c>
      <c r="V85" t="n">
        <v>1</v>
      </c>
      <c r="W85" t="n">
        <v>1</v>
      </c>
    </row>
    <row r="86">
      <c r="A86" t="inlineStr">
        <is>
          <t>Componente comprado</t>
        </is>
      </c>
      <c r="B86" t="inlineStr">
        <is>
          <t>Válvula esférica — cuerpo Ø40 × 56 con hexágonos 46, paso total, rosca a la manga y a la tobera; palanca 105 con empuñadura (cerrada: atravesada al caño)</t>
        </is>
      </c>
      <c r="C86" t="inlineStr">
        <is>
          <t>u</t>
        </is>
      </c>
      <c r="D86" t="inlineStr">
        <is>
          <t>Todos</t>
        </is>
      </c>
      <c r="E86" t="inlineStr">
        <is>
          <t>Yukon / MatafuegosYa S.R.L.</t>
        </is>
      </c>
      <c r="F86" t="inlineStr">
        <is>
          <t>Después de 12 pintura: manguera, válvula esférica y tobera</t>
        </is>
      </c>
      <c r="T86" t="n">
        <v>1</v>
      </c>
      <c r="U86" t="n">
        <v>1</v>
      </c>
      <c r="V86" t="n">
        <v>1</v>
      </c>
      <c r="W86" t="n">
        <v>1</v>
      </c>
    </row>
    <row r="87">
      <c r="A87" s="52" t="inlineStr">
        <is>
          <t>Consumible de proceso</t>
        </is>
      </c>
      <c r="B87" s="52" t="inlineStr">
        <is>
          <t>Alambre MAG ER70S-6 Ø0,9 (AWS A5.18)</t>
        </is>
      </c>
      <c r="C87" s="52" t="inlineStr">
        <is>
          <t>kg</t>
        </is>
      </c>
      <c r="D87" s="52" t="inlineStr">
        <is>
          <t>Todos</t>
        </is>
      </c>
      <c r="E87" s="52" t="inlineStr">
        <is>
          <t>Conarco (ESAB Argentina)</t>
        </is>
      </c>
      <c r="F87" s="52" t="inlineStr">
        <is>
          <t>4 sold. long. / 8 cuello / 11 circunferencial</t>
        </is>
      </c>
      <c r="G87" t="n">
        <v>0.0146</v>
      </c>
      <c r="H87" t="n">
        <v>0.0292</v>
      </c>
      <c r="I87" t="n">
        <v>0.0551</v>
      </c>
      <c r="J87" t="n">
        <v>0.0985</v>
      </c>
      <c r="X87" t="n">
        <v>0.0146</v>
      </c>
      <c r="Y87" t="n">
        <v>0.0292</v>
      </c>
      <c r="Z87" t="n">
        <v>0.0551</v>
      </c>
      <c r="AA87" t="n">
        <v>0.0985</v>
      </c>
    </row>
    <row r="88">
      <c r="A88" s="52" t="inlineStr">
        <is>
          <t>Consumible de proceso</t>
        </is>
      </c>
      <c r="B88" s="52" t="inlineStr">
        <is>
          <t>Alambre MAG ER70S-6 Ø1,0 (AWS A5.18)</t>
        </is>
      </c>
      <c r="C88" s="52" t="inlineStr">
        <is>
          <t>kg</t>
        </is>
      </c>
      <c r="D88" s="52" t="inlineStr">
        <is>
          <t>Todos</t>
        </is>
      </c>
      <c r="E88" s="52" t="inlineStr">
        <is>
          <t>Conarco (ESAB Argentina)</t>
        </is>
      </c>
      <c r="F88" s="52" t="inlineStr">
        <is>
          <t>5 sold. long. / 6 cupla / 7 circunferencial</t>
        </is>
      </c>
      <c r="T88" t="n">
        <v>0.3431</v>
      </c>
      <c r="U88" t="n">
        <v>0.4262</v>
      </c>
      <c r="V88" t="n">
        <v>1.0749</v>
      </c>
      <c r="W88" t="n">
        <v>1.0956</v>
      </c>
      <c r="AB88" t="n">
        <v>0.3431</v>
      </c>
      <c r="AC88" t="n">
        <v>0.4262</v>
      </c>
      <c r="AD88" t="n">
        <v>1.0749</v>
      </c>
      <c r="AE88" t="n">
        <v>1.0956</v>
      </c>
    </row>
    <row r="89">
      <c r="A89" s="52" t="inlineStr">
        <is>
          <t>Consumible de proceso</t>
        </is>
      </c>
      <c r="B89" s="52" t="inlineStr">
        <is>
          <t>Gas de protección MAG Arcal 21 / ARCAL Speed (Ar + 8 % CO₂, M20)</t>
        </is>
      </c>
      <c r="C89" s="52" t="inlineStr">
        <is>
          <t>L</t>
        </is>
      </c>
      <c r="D89" s="52" t="inlineStr">
        <is>
          <t>Todos</t>
        </is>
      </c>
      <c r="E89" s="52" t="inlineStr">
        <is>
          <t>Air Liquide Argentina - sucursal Piñeyro</t>
        </is>
      </c>
      <c r="F89" s="52" t="inlineStr">
        <is>
          <t>Colector SC</t>
        </is>
      </c>
      <c r="G89" t="n">
        <v>13.3</v>
      </c>
      <c r="H89" t="n">
        <v>27.1</v>
      </c>
      <c r="I89" t="n">
        <v>32.8</v>
      </c>
      <c r="J89" t="n">
        <v>40.8</v>
      </c>
      <c r="T89" t="n">
        <v>54.8</v>
      </c>
      <c r="U89" t="n">
        <v>68.3</v>
      </c>
      <c r="V89" t="n">
        <v>79.5</v>
      </c>
      <c r="W89" t="n">
        <v>84.59999999999999</v>
      </c>
      <c r="X89" t="n">
        <v>13.3</v>
      </c>
      <c r="Y89" t="n">
        <v>27.1</v>
      </c>
      <c r="Z89" t="n">
        <v>32.8</v>
      </c>
      <c r="AA89" t="n">
        <v>40.8</v>
      </c>
      <c r="AB89" t="n">
        <v>54.8</v>
      </c>
      <c r="AC89" t="n">
        <v>68.3</v>
      </c>
      <c r="AD89" t="n">
        <v>79.5</v>
      </c>
      <c r="AE89" t="n">
        <v>84.59999999999999</v>
      </c>
    </row>
    <row r="90">
      <c r="A90" s="53" t="inlineStr">
        <is>
          <t>Consumible de proceso</t>
        </is>
      </c>
      <c r="B90" s="53" t="inlineStr">
        <is>
          <t>Granalla de acero S330 / S390 (ISO 11124-3, SAE J444)</t>
        </is>
      </c>
      <c r="C90" s="53" t="inlineStr">
        <is>
          <t>kg</t>
        </is>
      </c>
      <c r="D90" s="53" t="inlineStr">
        <is>
          <t>Todos</t>
        </is>
      </c>
      <c r="E90" s="53" t="inlineStr">
        <is>
          <t>CyM Materiales</t>
        </is>
      </c>
      <c r="F90" s="53" t="inlineStr">
        <is>
          <t>14 Granallado (B08)</t>
        </is>
      </c>
      <c r="G90" t="n">
        <v>0.08</v>
      </c>
      <c r="H90" t="n">
        <v>0.08</v>
      </c>
      <c r="I90" t="n">
        <v>0.08</v>
      </c>
      <c r="J90" t="n">
        <v>0.08</v>
      </c>
      <c r="X90" t="n">
        <v>0.08</v>
      </c>
      <c r="Y90" t="n">
        <v>0.08</v>
      </c>
      <c r="Z90" t="n">
        <v>0.08</v>
      </c>
      <c r="AA90" t="n">
        <v>0.08</v>
      </c>
    </row>
    <row r="91">
      <c r="A91" t="inlineStr">
        <is>
          <t>Servicio</t>
        </is>
      </c>
      <c r="B91" t="inlineStr">
        <is>
          <t>Servicio de pintura en polvo al horno, rojo 03-1-050</t>
        </is>
      </c>
      <c r="C91" t="inlineStr">
        <is>
          <t>u</t>
        </is>
      </c>
      <c r="D91" t="inlineStr">
        <is>
          <t>Todos</t>
        </is>
      </c>
      <c r="E91" t="inlineStr">
        <is>
          <t>Prymax</t>
        </is>
      </c>
      <c r="F91" t="inlineStr">
        <is>
          <t>17 Pintura tercerizada</t>
        </is>
      </c>
      <c r="G91" t="n">
        <v>1</v>
      </c>
      <c r="H91" t="n">
        <v>1</v>
      </c>
      <c r="I91" t="n">
        <v>1</v>
      </c>
      <c r="J91" t="n">
        <v>1</v>
      </c>
      <c r="X91" t="n">
        <v>1</v>
      </c>
      <c r="Y91" t="n">
        <v>1</v>
      </c>
      <c r="Z91" t="n">
        <v>1</v>
      </c>
      <c r="AA91" t="n">
        <v>1</v>
      </c>
    </row>
    <row r="92">
      <c r="A92" t="inlineStr">
        <is>
          <t>Servicio</t>
        </is>
      </c>
      <c r="B92" t="inlineStr">
        <is>
          <t>Servicio de pintura en polvo al horno, rojo 03-1-050 (con preparación por quemado)</t>
        </is>
      </c>
      <c r="C92" t="inlineStr">
        <is>
          <t>u</t>
        </is>
      </c>
      <c r="D92" t="inlineStr">
        <is>
          <t>Todos</t>
        </is>
      </c>
      <c r="E92" t="inlineStr">
        <is>
          <t>Pintor de carros (cotización por mensaje)</t>
        </is>
      </c>
      <c r="F92" t="inlineStr">
        <is>
          <t>17 Pintura tercerizada</t>
        </is>
      </c>
      <c r="T92" t="n">
        <v>1</v>
      </c>
      <c r="U92" t="n">
        <v>1</v>
      </c>
      <c r="V92" t="n">
        <v>1</v>
      </c>
      <c r="W92" t="n">
        <v>1</v>
      </c>
      <c r="AB92" t="n">
        <v>1</v>
      </c>
      <c r="AC92" t="n">
        <v>1</v>
      </c>
      <c r="AD92" t="n">
        <v>1</v>
      </c>
      <c r="AE92" t="n">
        <v>1</v>
      </c>
    </row>
    <row r="93">
      <c r="A93" s="52" t="inlineStr">
        <is>
          <t>Carga (agente y gas)</t>
        </is>
      </c>
      <c r="B93" s="52" t="inlineStr">
        <is>
          <t>Gas impulsor: N₂</t>
        </is>
      </c>
      <c r="C93" s="52" t="inlineStr">
        <is>
          <t>kg</t>
        </is>
      </c>
      <c r="D93" s="52" t="inlineStr">
        <is>
          <t>Todos</t>
        </is>
      </c>
      <c r="E93" s="52" t="inlineStr">
        <is>
          <t>Air Liquide Argentina - sucursal Piñeyro</t>
        </is>
      </c>
      <c r="F93" s="52" t="inlineStr">
        <is>
          <t>20 Presurización (T05) / C10</t>
        </is>
      </c>
      <c r="G93" t="n">
        <v>0.0047</v>
      </c>
      <c r="H93" t="n">
        <v>0.0212</v>
      </c>
      <c r="I93" t="n">
        <v>0.0251</v>
      </c>
      <c r="J93" t="n">
        <v>0.0588</v>
      </c>
      <c r="T93" t="n">
        <v>0.2013</v>
      </c>
      <c r="U93" t="n">
        <v>0.2819</v>
      </c>
      <c r="V93" t="n">
        <v>0.5581</v>
      </c>
      <c r="W93" t="n">
        <v>0.5189</v>
      </c>
      <c r="AW93" t="n">
        <v>0.0047</v>
      </c>
      <c r="AX93" t="n">
        <v>0.0047</v>
      </c>
      <c r="AY93" t="n">
        <v>0.0047</v>
      </c>
      <c r="BA93" t="n">
        <v>0.0212</v>
      </c>
      <c r="BB93" t="n">
        <v>0.0212</v>
      </c>
      <c r="BC93" t="n">
        <v>0.0212</v>
      </c>
      <c r="BE93" t="n">
        <v>0.0251</v>
      </c>
      <c r="BF93" t="n">
        <v>0.0251</v>
      </c>
      <c r="BG93" t="n">
        <v>0.0251</v>
      </c>
      <c r="BI93" t="n">
        <v>0.0588</v>
      </c>
      <c r="BJ93" t="n">
        <v>0.0588</v>
      </c>
      <c r="BK93" t="n">
        <v>0.0588</v>
      </c>
      <c r="BV93" t="n">
        <v>0.0077</v>
      </c>
      <c r="BW93" t="n">
        <v>0.0077</v>
      </c>
      <c r="BX93" t="n">
        <v>0.0077</v>
      </c>
      <c r="BZ93" t="n">
        <v>0.0306</v>
      </c>
      <c r="CA93" t="n">
        <v>0.0306</v>
      </c>
      <c r="CL93" t="n">
        <v>0.0604</v>
      </c>
      <c r="CM93" t="n">
        <v>0.0604</v>
      </c>
      <c r="CN93" t="n">
        <v>0.0604</v>
      </c>
      <c r="CP93" t="n">
        <v>0.2013</v>
      </c>
      <c r="CQ93" t="n">
        <v>0.2013</v>
      </c>
      <c r="CR93" t="n">
        <v>0.2013</v>
      </c>
      <c r="CT93" t="n">
        <v>0.2819</v>
      </c>
      <c r="CU93" t="n">
        <v>0.2819</v>
      </c>
      <c r="CV93" t="n">
        <v>0.2819</v>
      </c>
      <c r="CX93" t="n">
        <v>0.5581</v>
      </c>
      <c r="CY93" t="n">
        <v>0.5581</v>
      </c>
      <c r="CZ93" t="n">
        <v>0.5581</v>
      </c>
      <c r="DB93" t="n">
        <v>0.5189</v>
      </c>
      <c r="DC93" t="n">
        <v>0.5189</v>
      </c>
      <c r="DD93" t="n">
        <v>0.5189</v>
      </c>
    </row>
    <row r="94">
      <c r="A94" t="inlineStr">
        <is>
          <t>Carga (agente y gas)</t>
        </is>
      </c>
      <c r="B94" t="inlineStr">
        <is>
          <t>Polvo químico seco ABC 60 (Sello IRAM 3569)</t>
        </is>
      </c>
      <c r="C94" t="inlineStr">
        <is>
          <t>kg</t>
        </is>
      </c>
      <c r="D94" t="inlineStr">
        <is>
          <t>Todos</t>
        </is>
      </c>
      <c r="E94" t="inlineStr">
        <is>
          <t>DEM S.A. (DEMSA)</t>
        </is>
      </c>
      <c r="F94" t="inlineStr">
        <is>
          <t>SP-1 almacén previo a la carga</t>
        </is>
      </c>
      <c r="G94" t="n">
        <v>1.05</v>
      </c>
      <c r="H94" t="n">
        <v>2.55</v>
      </c>
      <c r="I94" t="n">
        <v>5.15</v>
      </c>
      <c r="J94" t="n">
        <v>10.15</v>
      </c>
      <c r="AW94" t="n">
        <v>1.05</v>
      </c>
      <c r="AX94" t="n">
        <v>0.05</v>
      </c>
      <c r="AY94" t="n">
        <v>1.05</v>
      </c>
      <c r="BA94" t="n">
        <v>2.55</v>
      </c>
      <c r="BB94" t="n">
        <v>0.05</v>
      </c>
      <c r="BC94" t="n">
        <v>2.55</v>
      </c>
      <c r="BE94" t="n">
        <v>5.15</v>
      </c>
      <c r="BF94" t="n">
        <v>0.15</v>
      </c>
      <c r="BG94" t="n">
        <v>5.15</v>
      </c>
      <c r="BI94" t="n">
        <v>10.15</v>
      </c>
      <c r="BJ94" t="n">
        <v>0.15</v>
      </c>
      <c r="BK94" t="n">
        <v>10.15</v>
      </c>
    </row>
    <row r="95">
      <c r="A95" t="inlineStr">
        <is>
          <t>Carga (agente y gas)</t>
        </is>
      </c>
      <c r="B95" t="inlineStr">
        <is>
          <t>Polvo químico seco ABC 90 (Sello IRAM 3569)</t>
        </is>
      </c>
      <c r="C95" t="inlineStr">
        <is>
          <t>kg</t>
        </is>
      </c>
      <c r="D95" t="inlineStr">
        <is>
          <t>Todos</t>
        </is>
      </c>
      <c r="E95" t="inlineStr">
        <is>
          <t>DEM S.A. (DEMSA)</t>
        </is>
      </c>
      <c r="F95" t="inlineStr">
        <is>
          <t>SP-1 almacén previo a la carga</t>
        </is>
      </c>
      <c r="T95" t="n">
        <v>25</v>
      </c>
      <c r="U95" t="n">
        <v>50</v>
      </c>
      <c r="V95" t="n">
        <v>70</v>
      </c>
      <c r="W95" t="n">
        <v>100</v>
      </c>
      <c r="CP95" t="n">
        <v>25</v>
      </c>
      <c r="CQ95" t="n">
        <v>0.75</v>
      </c>
      <c r="CR95" t="n">
        <v>25</v>
      </c>
      <c r="CT95" t="n">
        <v>50</v>
      </c>
      <c r="CU95" t="n">
        <v>1.5</v>
      </c>
      <c r="CV95" t="n">
        <v>50</v>
      </c>
      <c r="CX95" t="n">
        <v>70</v>
      </c>
      <c r="CY95" t="n">
        <v>2.1</v>
      </c>
      <c r="CZ95" t="n">
        <v>70</v>
      </c>
      <c r="DB95" t="n">
        <v>100</v>
      </c>
      <c r="DC95" t="n">
        <v>3</v>
      </c>
      <c r="DD95" t="n">
        <v>100</v>
      </c>
    </row>
    <row r="96">
      <c r="A96" t="inlineStr">
        <is>
          <t>Identificación</t>
        </is>
      </c>
      <c r="B96" t="inlineStr">
        <is>
          <t>Estampilla IRAM de conformidad — 60 × 40</t>
        </is>
      </c>
      <c r="C96" t="inlineStr">
        <is>
          <t>u</t>
        </is>
      </c>
      <c r="D96" t="inlineStr">
        <is>
          <t>Todos</t>
        </is>
      </c>
      <c r="E96" t="inlineStr">
        <is>
          <t>IRAM - Instituto Argentino de Normalización</t>
        </is>
      </c>
      <c r="F96" t="inlineStr">
        <is>
          <t>22 Etiquetado (T07)</t>
        </is>
      </c>
      <c r="G96" t="n">
        <v>1</v>
      </c>
      <c r="H96" t="n">
        <v>1</v>
      </c>
      <c r="I96" t="n">
        <v>1</v>
      </c>
      <c r="J96" t="n">
        <v>1</v>
      </c>
      <c r="T96" t="n">
        <v>1</v>
      </c>
      <c r="U96" t="n">
        <v>1</v>
      </c>
      <c r="V96" t="n">
        <v>1</v>
      </c>
      <c r="W96" t="n">
        <v>1</v>
      </c>
    </row>
    <row r="97">
      <c r="A97" t="inlineStr">
        <is>
          <t>Identificación</t>
        </is>
      </c>
      <c r="B97" t="inlineStr">
        <is>
          <t>Etiqueta / placa de características — 168 × 137 (desarrollo × alto: panel central 108° + 2 alas laterales), e ≈ 0,3, laminado UV</t>
        </is>
      </c>
      <c r="C97" t="inlineStr">
        <is>
          <t>u</t>
        </is>
      </c>
      <c r="D97" t="inlineStr">
        <is>
          <t>Todos</t>
        </is>
      </c>
      <c r="E97" t="inlineStr">
        <is>
          <t>Astuprint</t>
        </is>
      </c>
      <c r="F97" t="inlineStr">
        <is>
          <t>22 Etiquetado (T07)</t>
        </is>
      </c>
      <c r="G97" t="n">
        <v>1</v>
      </c>
    </row>
    <row r="98">
      <c r="A98" t="inlineStr">
        <is>
          <t>Identificación</t>
        </is>
      </c>
      <c r="B98" t="inlineStr">
        <is>
          <t>Etiqueta / placa de características — 234 × 152 (desarrollo × alto: panel central 108° + 2 alas laterales), e ≈ 0,3, laminado UV</t>
        </is>
      </c>
      <c r="C98" t="inlineStr">
        <is>
          <t>u</t>
        </is>
      </c>
      <c r="D98" t="inlineStr">
        <is>
          <t>Todos</t>
        </is>
      </c>
      <c r="E98" t="inlineStr">
        <is>
          <t>Astuprint</t>
        </is>
      </c>
      <c r="F98" t="inlineStr">
        <is>
          <t>22 Etiquetado (T07)</t>
        </is>
      </c>
      <c r="H98" t="n">
        <v>1</v>
      </c>
    </row>
    <row r="99">
      <c r="A99" t="inlineStr">
        <is>
          <t>Identificación</t>
        </is>
      </c>
      <c r="B99" t="inlineStr">
        <is>
          <t>Etiqueta / placa de características — 289 × 144 (desarrollo × alto: panel central 108° + 2 alas laterales), e ≈ 0,3, laminado UV</t>
        </is>
      </c>
      <c r="C99" t="inlineStr">
        <is>
          <t>u</t>
        </is>
      </c>
      <c r="D99" t="inlineStr">
        <is>
          <t>Todos</t>
        </is>
      </c>
      <c r="E99" t="inlineStr">
        <is>
          <t>Astuprint</t>
        </is>
      </c>
      <c r="F99" t="inlineStr">
        <is>
          <t>22 Etiquetado (T07)</t>
        </is>
      </c>
      <c r="I99" t="n">
        <v>1</v>
      </c>
    </row>
    <row r="100">
      <c r="A100" t="inlineStr">
        <is>
          <t>Identificación</t>
        </is>
      </c>
      <c r="B100" t="inlineStr">
        <is>
          <t>Etiqueta / placa de características — 343 × 224 (desarrollo × alto: panel central 108° + 2 alas laterales), e ≈ 0,3, laminado UV</t>
        </is>
      </c>
      <c r="C100" t="inlineStr">
        <is>
          <t>u</t>
        </is>
      </c>
      <c r="D100" t="inlineStr">
        <is>
          <t>Todos</t>
        </is>
      </c>
      <c r="E100" t="inlineStr">
        <is>
          <t>Astuprint</t>
        </is>
      </c>
      <c r="F100" t="inlineStr">
        <is>
          <t>22 Etiquetado (T07)</t>
        </is>
      </c>
      <c r="J100" t="n">
        <v>1</v>
      </c>
    </row>
    <row r="101">
      <c r="A101" t="inlineStr">
        <is>
          <t>Identificación</t>
        </is>
      </c>
      <c r="B101" t="inlineStr">
        <is>
          <t>Etiqueta / placa de características — 375 × 210 (desarrollo × alto: panel central 108° + 2 alas laterales), e ≈ 0,3, laminado UV</t>
        </is>
      </c>
      <c r="C101" t="inlineStr">
        <is>
          <t>u</t>
        </is>
      </c>
      <c r="D101" t="inlineStr">
        <is>
          <t>Todos</t>
        </is>
      </c>
      <c r="E101" t="inlineStr">
        <is>
          <t>Astuprint</t>
        </is>
      </c>
      <c r="F101" t="inlineStr">
        <is>
          <t>22 Etiquetado (T07)</t>
        </is>
      </c>
      <c r="T101" t="n">
        <v>1</v>
      </c>
    </row>
    <row r="102">
      <c r="A102" t="inlineStr">
        <is>
          <t>Identificación</t>
        </is>
      </c>
      <c r="B102" t="inlineStr">
        <is>
          <t>Etiqueta / placa de características — 604 × 207 (desarrollo × alto: panel central 108° + 2 alas laterales), e ≈ 0,3, laminado UV</t>
        </is>
      </c>
      <c r="C102" t="inlineStr">
        <is>
          <t>u</t>
        </is>
      </c>
      <c r="D102" t="inlineStr">
        <is>
          <t>Todos</t>
        </is>
      </c>
      <c r="E102" t="inlineStr">
        <is>
          <t>Astuprint</t>
        </is>
      </c>
      <c r="F102" t="inlineStr">
        <is>
          <t>22 Etiquetado (T07)</t>
        </is>
      </c>
      <c r="U102" t="n">
        <v>1</v>
      </c>
    </row>
    <row r="103">
      <c r="A103" t="inlineStr">
        <is>
          <t>Identificación</t>
        </is>
      </c>
      <c r="B103" t="inlineStr">
        <is>
          <t>Etiqueta / placa de características — 736 × 214 (desarrollo × alto: panel central 108° + 2 alas laterales), e ≈ 0,3, laminado UV</t>
        </is>
      </c>
      <c r="C103" t="inlineStr">
        <is>
          <t>u</t>
        </is>
      </c>
      <c r="D103" t="inlineStr">
        <is>
          <t>Todos</t>
        </is>
      </c>
      <c r="E103" t="inlineStr">
        <is>
          <t>Astuprint</t>
        </is>
      </c>
      <c r="F103" t="inlineStr">
        <is>
          <t>22 Etiquetado (T07)</t>
        </is>
      </c>
      <c r="V103" t="n">
        <v>1</v>
      </c>
      <c r="W103" t="n">
        <v>1</v>
      </c>
    </row>
    <row r="104">
      <c r="A104" t="inlineStr">
        <is>
          <t>Identificación</t>
        </is>
      </c>
      <c r="B104" t="inlineStr">
        <is>
          <t>Etiqueta de identificación del cilindro suelto</t>
        </is>
      </c>
      <c r="C104" t="inlineStr">
        <is>
          <t>u</t>
        </is>
      </c>
      <c r="D104" t="inlineStr">
        <is>
          <t>Todos</t>
        </is>
      </c>
      <c r="E104" t="inlineStr">
        <is>
          <t>Astuprint</t>
        </is>
      </c>
      <c r="F104" t="inlineStr">
        <is>
          <t>Etiquetado</t>
        </is>
      </c>
      <c r="X104" t="n">
        <v>1</v>
      </c>
      <c r="Y104" t="n">
        <v>1</v>
      </c>
      <c r="Z104" t="n">
        <v>1</v>
      </c>
      <c r="AA104" t="n">
        <v>1</v>
      </c>
      <c r="AB104" t="n">
        <v>1</v>
      </c>
      <c r="AC104" t="n">
        <v>1</v>
      </c>
      <c r="AD104" t="n">
        <v>1</v>
      </c>
      <c r="AE104" t="n">
        <v>1</v>
      </c>
    </row>
    <row r="105">
      <c r="A105" t="inlineStr">
        <is>
          <t>Identificación</t>
        </is>
      </c>
      <c r="B105" t="inlineStr">
        <is>
          <t>Etiqueta de n° de serie GS1 — 45 × 25</t>
        </is>
      </c>
      <c r="C105" t="inlineStr">
        <is>
          <t>u</t>
        </is>
      </c>
      <c r="D105" t="inlineStr">
        <is>
          <t>Todos</t>
        </is>
      </c>
      <c r="E105" t="inlineStr">
        <is>
          <t>Astuprint</t>
        </is>
      </c>
      <c r="F105" t="inlineStr">
        <is>
          <t>22 Etiquetado (T07)</t>
        </is>
      </c>
      <c r="G105" t="n">
        <v>1</v>
      </c>
      <c r="H105" t="n">
        <v>1</v>
      </c>
      <c r="I105" t="n">
        <v>1</v>
      </c>
      <c r="J105" t="n">
        <v>1</v>
      </c>
      <c r="T105" t="n">
        <v>1</v>
      </c>
      <c r="U105" t="n">
        <v>1</v>
      </c>
      <c r="V105" t="n">
        <v>1</v>
      </c>
      <c r="W105" t="n">
        <v>1</v>
      </c>
    </row>
    <row r="106">
      <c r="A106" t="inlineStr">
        <is>
          <t>Identificación</t>
        </is>
      </c>
      <c r="B106" t="inlineStr">
        <is>
          <t>Faja de garantía válvula-cuello — 17 × 20 (ancho × largo desarrollado), pegada sobre la unión: cuerpo de la válvula, tuerca y cuello</t>
        </is>
      </c>
      <c r="C106" t="inlineStr">
        <is>
          <t>u</t>
        </is>
      </c>
      <c r="D106" t="inlineStr">
        <is>
          <t>Todos</t>
        </is>
      </c>
      <c r="E106" t="inlineStr">
        <is>
          <t>Astuprint</t>
        </is>
      </c>
      <c r="F106" t="inlineStr">
        <is>
          <t>22 Etiquetado (T07)</t>
        </is>
      </c>
      <c r="G106" t="n">
        <v>1</v>
      </c>
    </row>
    <row r="107">
      <c r="A107" t="inlineStr">
        <is>
          <t>Identificación</t>
        </is>
      </c>
      <c r="B107" t="inlineStr">
        <is>
          <t>Faja de garantía válvula-cuello — 22 × 22 (ancho × largo desarrollado), pegada sobre la unión: cuerpo de la válvula, tuerca y cuello</t>
        </is>
      </c>
      <c r="C107" t="inlineStr">
        <is>
          <t>u</t>
        </is>
      </c>
      <c r="D107" t="inlineStr">
        <is>
          <t>Todos</t>
        </is>
      </c>
      <c r="E107" t="inlineStr">
        <is>
          <t>Astuprint</t>
        </is>
      </c>
      <c r="F107" t="inlineStr">
        <is>
          <t>22 Etiquetado (T07)</t>
        </is>
      </c>
      <c r="H107" t="n">
        <v>1</v>
      </c>
      <c r="J107" t="n">
        <v>1</v>
      </c>
    </row>
    <row r="108">
      <c r="A108" t="inlineStr">
        <is>
          <t>Identificación</t>
        </is>
      </c>
      <c r="B108" t="inlineStr">
        <is>
          <t>Faja de garantía válvula-cuello — 22 × 23 (ancho × largo desarrollado), pegada sobre la unión: cuerpo de la válvula, tuerca y cuello</t>
        </is>
      </c>
      <c r="C108" t="inlineStr">
        <is>
          <t>u</t>
        </is>
      </c>
      <c r="D108" t="inlineStr">
        <is>
          <t>Todos</t>
        </is>
      </c>
      <c r="E108" t="inlineStr">
        <is>
          <t>Astuprint</t>
        </is>
      </c>
      <c r="F108" t="inlineStr">
        <is>
          <t>22 Etiquetado (T07)</t>
        </is>
      </c>
      <c r="I108" t="n">
        <v>1</v>
      </c>
    </row>
    <row r="109">
      <c r="A109" t="inlineStr">
        <is>
          <t>Identificación</t>
        </is>
      </c>
      <c r="B109" t="inlineStr">
        <is>
          <t>Faja de garantía válvula-cuello — 22 × 32 (ancho × largo desarrollado), pegada sobre la unión: cuerpo de la válvula, tuerca y cuello</t>
        </is>
      </c>
      <c r="C109" t="inlineStr">
        <is>
          <t>u</t>
        </is>
      </c>
      <c r="D109" t="inlineStr">
        <is>
          <t>Todos</t>
        </is>
      </c>
      <c r="E109" t="inlineStr">
        <is>
          <t>Astuprint</t>
        </is>
      </c>
      <c r="F109" t="inlineStr">
        <is>
          <t>22 Etiquetado (T07)</t>
        </is>
      </c>
      <c r="T109" t="n">
        <v>1</v>
      </c>
    </row>
    <row r="110">
      <c r="A110" t="inlineStr">
        <is>
          <t>Identificación</t>
        </is>
      </c>
      <c r="B110" t="inlineStr">
        <is>
          <t>Faja de garantía válvula-cuello — 30 × 47 (ancho × largo desarrollado), pegada sobre la unión: cuerpo de la válvula, tuerca y cuello</t>
        </is>
      </c>
      <c r="C110" t="inlineStr">
        <is>
          <t>u</t>
        </is>
      </c>
      <c r="D110" t="inlineStr">
        <is>
          <t>Todos</t>
        </is>
      </c>
      <c r="E110" t="inlineStr">
        <is>
          <t>Astuprint</t>
        </is>
      </c>
      <c r="F110" t="inlineStr">
        <is>
          <t>22 Etiquetado (T07)</t>
        </is>
      </c>
      <c r="U110" t="n">
        <v>1</v>
      </c>
      <c r="V110" t="n">
        <v>1</v>
      </c>
      <c r="W110" t="n">
        <v>1</v>
      </c>
    </row>
    <row r="111">
      <c r="A111" t="inlineStr">
        <is>
          <t>Identificación</t>
        </is>
      </c>
      <c r="B111" t="inlineStr">
        <is>
          <t>Oblea de fabricación (PBA) — Ø46 (Res. OPDS 522/07), numerada, autodestructible</t>
        </is>
      </c>
      <c r="C111" t="inlineStr">
        <is>
          <t>u</t>
        </is>
      </c>
      <c r="D111" t="inlineStr">
        <is>
          <t>PBA</t>
        </is>
      </c>
      <c r="E111" t="inlineStr">
        <is>
          <t>Ministerio de Ambiente PBA (ex OPDS)</t>
        </is>
      </c>
      <c r="F111" t="inlineStr">
        <is>
          <t>22 Etiquetado (T07)</t>
        </is>
      </c>
      <c r="G111" t="n">
        <v>1</v>
      </c>
      <c r="H111" t="n">
        <v>1</v>
      </c>
      <c r="I111" t="n">
        <v>1</v>
      </c>
      <c r="J111" t="n">
        <v>1</v>
      </c>
      <c r="T111" t="n">
        <v>1</v>
      </c>
      <c r="U111" t="n">
        <v>1</v>
      </c>
      <c r="V111" t="n">
        <v>1</v>
      </c>
      <c r="W111" t="n">
        <v>1</v>
      </c>
    </row>
    <row r="112">
      <c r="A112" t="inlineStr">
        <is>
          <t>Identificación</t>
        </is>
      </c>
      <c r="B112" t="inlineStr">
        <is>
          <t>Precinto de fábrica — Ø5 × 10, numerado, rotura 30-50 N</t>
        </is>
      </c>
      <c r="C112" t="inlineStr">
        <is>
          <t>u</t>
        </is>
      </c>
      <c r="D112" t="inlineStr">
        <is>
          <t>Todos</t>
        </is>
      </c>
      <c r="E112" t="inlineStr">
        <is>
          <t>SonFuertes (vía Papelera Damián)</t>
        </is>
      </c>
      <c r="F112" t="inlineStr">
        <is>
          <t>20 Presurización (T05)</t>
        </is>
      </c>
      <c r="G112" t="n">
        <v>1</v>
      </c>
      <c r="H112" t="n">
        <v>1</v>
      </c>
      <c r="I112" t="n">
        <v>1</v>
      </c>
      <c r="J112" t="n">
        <v>1</v>
      </c>
      <c r="T112" t="n">
        <v>1</v>
      </c>
      <c r="U112" t="n">
        <v>1</v>
      </c>
      <c r="V112" t="n">
        <v>1</v>
      </c>
      <c r="W112" t="n">
        <v>1</v>
      </c>
    </row>
    <row r="113">
      <c r="A113" t="inlineStr">
        <is>
          <t>Identificación</t>
        </is>
      </c>
      <c r="B113" t="inlineStr">
        <is>
          <t>Tarjeta de identificación AGC (CABA) — 140 × 55</t>
        </is>
      </c>
      <c r="C113" t="inlineStr">
        <is>
          <t>u</t>
        </is>
      </c>
      <c r="D113" t="inlineStr">
        <is>
          <t>CABA</t>
        </is>
      </c>
      <c r="E113" t="inlineStr">
        <is>
          <t>Agencia Gubernamental de Control (CABA)</t>
        </is>
      </c>
      <c r="F113" t="inlineStr">
        <is>
          <t>22 Etiquetado (T07)</t>
        </is>
      </c>
      <c r="H113" t="n">
        <v>1</v>
      </c>
      <c r="I113" t="n">
        <v>1</v>
      </c>
      <c r="J113" t="n">
        <v>1</v>
      </c>
      <c r="K113" t="n">
        <v>1</v>
      </c>
      <c r="L113" t="n">
        <v>1</v>
      </c>
      <c r="M113" t="n">
        <v>1</v>
      </c>
      <c r="N113" t="n">
        <v>1</v>
      </c>
      <c r="O113" t="n">
        <v>1</v>
      </c>
      <c r="P113" t="n">
        <v>1</v>
      </c>
      <c r="Q113" t="n">
        <v>1</v>
      </c>
      <c r="R113" t="n">
        <v>1</v>
      </c>
      <c r="S113" t="n">
        <v>1</v>
      </c>
      <c r="T113" t="n">
        <v>1</v>
      </c>
      <c r="U113" t="n">
        <v>1</v>
      </c>
      <c r="V113" t="n">
        <v>1</v>
      </c>
      <c r="W113" t="n">
        <v>1</v>
      </c>
    </row>
    <row r="114">
      <c r="A114" t="inlineStr">
        <is>
          <t>Soporte</t>
        </is>
      </c>
      <c r="B114" t="inlineStr">
        <is>
          <t>Soporte de pared (FL_ACC_01)</t>
        </is>
      </c>
      <c r="C114" t="inlineStr">
        <is>
          <t>u</t>
        </is>
      </c>
      <c r="D114" t="inlineStr">
        <is>
          <t>Todos</t>
        </is>
      </c>
      <c r="E114" t="inlineStr">
        <is>
          <t>Maxiseguridad</t>
        </is>
      </c>
      <c r="F114" t="inlineStr">
        <is>
          <t>23 Embalaje</t>
        </is>
      </c>
      <c r="H114" t="n">
        <v>1</v>
      </c>
      <c r="I114" t="n">
        <v>1</v>
      </c>
      <c r="J114" t="n">
        <v>1</v>
      </c>
    </row>
    <row r="115">
      <c r="A115" t="inlineStr">
        <is>
          <t>Soporte</t>
        </is>
      </c>
      <c r="B115" t="inlineStr">
        <is>
          <t>Soporte vehicular con cierre rápido (FL_ACC_02)</t>
        </is>
      </c>
      <c r="C115" t="inlineStr">
        <is>
          <t>u</t>
        </is>
      </c>
      <c r="D115" t="inlineStr">
        <is>
          <t>Todos</t>
        </is>
      </c>
      <c r="E115" t="inlineStr">
        <is>
          <t>Maxiseguridad</t>
        </is>
      </c>
      <c r="F115" t="inlineStr">
        <is>
          <t>23 Embalaje</t>
        </is>
      </c>
      <c r="G115" t="n">
        <v>1</v>
      </c>
    </row>
    <row r="116">
      <c r="A116" t="inlineStr">
        <is>
          <t>Soporte</t>
        </is>
      </c>
      <c r="B116" t="inlineStr">
        <is>
          <t>Tornillo y tarugo de fijación</t>
        </is>
      </c>
      <c r="C116" t="inlineStr">
        <is>
          <t>u</t>
        </is>
      </c>
      <c r="D116" t="inlineStr">
        <is>
          <t>Todos</t>
        </is>
      </c>
      <c r="E116" t="inlineStr">
        <is>
          <t>Würth Argentina</t>
        </is>
      </c>
      <c r="F116" t="inlineStr">
        <is>
          <t>23 Embalaje</t>
        </is>
      </c>
      <c r="H116" t="n">
        <v>2</v>
      </c>
      <c r="I116" t="n">
        <v>2</v>
      </c>
      <c r="J116" t="n">
        <v>2</v>
      </c>
    </row>
    <row r="117">
      <c r="A117" t="inlineStr">
        <is>
          <t>Embalaje</t>
        </is>
      </c>
      <c r="B117" t="inlineStr">
        <is>
          <t>Caja de cartón corrugado doble — 212 × 212 × 582 interior (envolvente del plano + 15 por lado)</t>
        </is>
      </c>
      <c r="C117" t="inlineStr">
        <is>
          <t>u</t>
        </is>
      </c>
      <c r="D117" t="inlineStr">
        <is>
          <t>Todos</t>
        </is>
      </c>
      <c r="E117" t="inlineStr">
        <is>
          <t>Maxipack</t>
        </is>
      </c>
      <c r="F117" t="inlineStr">
        <is>
          <t>23 Embalaje</t>
        </is>
      </c>
      <c r="AA117" t="n">
        <v>1</v>
      </c>
    </row>
    <row r="118">
      <c r="A118" t="inlineStr">
        <is>
          <t>Embalaje</t>
        </is>
      </c>
      <c r="B118" t="inlineStr">
        <is>
          <t>Caja de cartón corrugado doble — 258 × 215 × 628 interior (envolvente del plano + 15 por lado)</t>
        </is>
      </c>
      <c r="C118" t="inlineStr">
        <is>
          <t>u</t>
        </is>
      </c>
      <c r="D118" t="inlineStr">
        <is>
          <t>Todos</t>
        </is>
      </c>
      <c r="E118" t="inlineStr">
        <is>
          <t>Maxipack</t>
        </is>
      </c>
      <c r="F118" t="inlineStr">
        <is>
          <t>23 Embalaje</t>
        </is>
      </c>
      <c r="J118" t="n">
        <v>1</v>
      </c>
    </row>
    <row r="119">
      <c r="A119" t="inlineStr">
        <is>
          <t>Embalaje</t>
        </is>
      </c>
      <c r="B119" t="inlineStr">
        <is>
          <t>Caja de cartón corrugado simple — 106 × 106 × 318 interior (envolvente del plano + 15 por lado)</t>
        </is>
      </c>
      <c r="C119" t="inlineStr">
        <is>
          <t>u</t>
        </is>
      </c>
      <c r="D119" t="inlineStr">
        <is>
          <t>Todos</t>
        </is>
      </c>
      <c r="E119" t="inlineStr">
        <is>
          <t>Maxipack</t>
        </is>
      </c>
      <c r="F119" t="inlineStr">
        <is>
          <t>23 Embalaje</t>
        </is>
      </c>
      <c r="X119" t="n">
        <v>1</v>
      </c>
    </row>
    <row r="120">
      <c r="A120" t="inlineStr">
        <is>
          <t>Embalaje</t>
        </is>
      </c>
      <c r="B120" t="inlineStr">
        <is>
          <t>Caja de cartón corrugado simple — 154 × 154 × 334 interior (envolvente del plano + 15 por lado)</t>
        </is>
      </c>
      <c r="C120" t="inlineStr">
        <is>
          <t>u</t>
        </is>
      </c>
      <c r="D120" t="inlineStr">
        <is>
          <t>Todos</t>
        </is>
      </c>
      <c r="E120" t="inlineStr">
        <is>
          <t>Maxipack</t>
        </is>
      </c>
      <c r="F120" t="inlineStr">
        <is>
          <t>23 Embalaje</t>
        </is>
      </c>
      <c r="Y120" t="n">
        <v>1</v>
      </c>
    </row>
    <row r="121">
      <c r="A121" t="inlineStr">
        <is>
          <t>Embalaje</t>
        </is>
      </c>
      <c r="B121" t="inlineStr">
        <is>
          <t>Caja de cartón corrugado simple — 160 × 107 × 347 interior (envolvente del plano + 15 por lado)</t>
        </is>
      </c>
      <c r="C121" t="inlineStr">
        <is>
          <t>u</t>
        </is>
      </c>
      <c r="D121" t="inlineStr">
        <is>
          <t>Todos</t>
        </is>
      </c>
      <c r="E121" t="inlineStr">
        <is>
          <t>Maxipack</t>
        </is>
      </c>
      <c r="F121" t="inlineStr">
        <is>
          <t>23 Embalaje</t>
        </is>
      </c>
      <c r="G121" t="n">
        <v>1</v>
      </c>
    </row>
    <row r="122">
      <c r="A122" t="inlineStr">
        <is>
          <t>Embalaje</t>
        </is>
      </c>
      <c r="B122" t="inlineStr">
        <is>
          <t>Caja de cartón corrugado simple — 183 × 183 × 410 interior (envolvente del plano + 15 por lado)</t>
        </is>
      </c>
      <c r="C122" t="inlineStr">
        <is>
          <t>u</t>
        </is>
      </c>
      <c r="D122" t="inlineStr">
        <is>
          <t>Todos</t>
        </is>
      </c>
      <c r="E122" t="inlineStr">
        <is>
          <t>Maxipack</t>
        </is>
      </c>
      <c r="F122" t="inlineStr">
        <is>
          <t>23 Embalaje</t>
        </is>
      </c>
      <c r="Z122" t="n">
        <v>1</v>
      </c>
    </row>
    <row r="123">
      <c r="A123" t="inlineStr">
        <is>
          <t>Embalaje</t>
        </is>
      </c>
      <c r="B123" t="inlineStr">
        <is>
          <t>Caja de cartón corrugado simple — 229 × 158 × 379 interior (envolvente del plano + 15 por lado)</t>
        </is>
      </c>
      <c r="C123" t="inlineStr">
        <is>
          <t>u</t>
        </is>
      </c>
      <c r="D123" t="inlineStr">
        <is>
          <t>Todos</t>
        </is>
      </c>
      <c r="E123" t="inlineStr">
        <is>
          <t>Maxipack</t>
        </is>
      </c>
      <c r="F123" t="inlineStr">
        <is>
          <t>23 Embalaje</t>
        </is>
      </c>
      <c r="H123" t="n">
        <v>1</v>
      </c>
    </row>
    <row r="124">
      <c r="A124" t="inlineStr">
        <is>
          <t>Embalaje</t>
        </is>
      </c>
      <c r="B124" t="inlineStr">
        <is>
          <t>Caja de cartón corrugado simple — 244 × 187 × 455 interior (envolvente del plano + 15 por lado)</t>
        </is>
      </c>
      <c r="C124" t="inlineStr">
        <is>
          <t>u</t>
        </is>
      </c>
      <c r="D124" t="inlineStr">
        <is>
          <t>Todos</t>
        </is>
      </c>
      <c r="E124" t="inlineStr">
        <is>
          <t>Maxipack</t>
        </is>
      </c>
      <c r="F124" t="inlineStr">
        <is>
          <t>23 Embalaje</t>
        </is>
      </c>
      <c r="I124" t="n">
        <v>1</v>
      </c>
    </row>
    <row r="125">
      <c r="A125" s="52" t="inlineStr">
        <is>
          <t>Embalaje</t>
        </is>
      </c>
      <c r="B125" s="52" t="inlineStr">
        <is>
          <t>Cinta de embalaje PP 48 mm (cierre de la caja)</t>
        </is>
      </c>
      <c r="C125" s="52" t="inlineStr">
        <is>
          <t>m</t>
        </is>
      </c>
      <c r="D125" s="52" t="inlineStr">
        <is>
          <t>Todos</t>
        </is>
      </c>
      <c r="E125" s="52" t="inlineStr">
        <is>
          <t>MV Embalajes</t>
        </is>
      </c>
      <c r="F125" s="52" t="inlineStr">
        <is>
          <t>23 Embalaje</t>
        </is>
      </c>
      <c r="G125" t="n">
        <v>0.6</v>
      </c>
      <c r="H125" t="n">
        <v>0.738</v>
      </c>
      <c r="I125" t="n">
        <v>0.767</v>
      </c>
      <c r="J125" t="n">
        <v>0.796</v>
      </c>
      <c r="X125" t="n">
        <v>0.492</v>
      </c>
      <c r="Y125" t="n">
        <v>0.588</v>
      </c>
      <c r="Z125" t="n">
        <v>0.646</v>
      </c>
      <c r="AA125" t="n">
        <v>0.703</v>
      </c>
    </row>
    <row r="126">
      <c r="A126" t="inlineStr">
        <is>
          <t>Embalaje</t>
        </is>
      </c>
      <c r="B126" t="inlineStr">
        <is>
          <t>Esquineros de cartón 50 × 50 × 1200 (fracción del pallet)</t>
        </is>
      </c>
      <c r="C126" t="inlineStr">
        <is>
          <t>u</t>
        </is>
      </c>
      <c r="D126" t="inlineStr">
        <is>
          <t>Todos</t>
        </is>
      </c>
      <c r="E126" t="inlineStr">
        <is>
          <t>Maxipack</t>
        </is>
      </c>
      <c r="F126" t="inlineStr">
        <is>
          <t>24 Envolvedora (T11)</t>
        </is>
      </c>
      <c r="G126" t="n">
        <v>0.0152</v>
      </c>
      <c r="H126" t="n">
        <v>0.0444</v>
      </c>
      <c r="I126" t="n">
        <v>0.0556</v>
      </c>
      <c r="J126" t="n">
        <v>0.125</v>
      </c>
      <c r="X126" t="n">
        <v>0.0101</v>
      </c>
      <c r="Y126" t="n">
        <v>0.0238</v>
      </c>
      <c r="Z126" t="n">
        <v>0.0444</v>
      </c>
      <c r="AA126" t="n">
        <v>0.1</v>
      </c>
    </row>
    <row r="127">
      <c r="A127" t="inlineStr">
        <is>
          <t>Embalaje</t>
        </is>
      </c>
      <c r="B127" t="inlineStr">
        <is>
          <t>Esquineros y funda de polietileno — a medida de la envolvente del plano</t>
        </is>
      </c>
      <c r="C127" t="inlineStr">
        <is>
          <t>jgo</t>
        </is>
      </c>
      <c r="D127" t="inlineStr">
        <is>
          <t>Todos</t>
        </is>
      </c>
      <c r="E127" t="inlineStr">
        <is>
          <t>MV Embalajes</t>
        </is>
      </c>
      <c r="F127" t="inlineStr">
        <is>
          <t>23 Embalaje</t>
        </is>
      </c>
      <c r="T127" t="n">
        <v>1</v>
      </c>
      <c r="U127" t="n">
        <v>1</v>
      </c>
      <c r="V127" t="n">
        <v>1</v>
      </c>
      <c r="W127" t="n">
        <v>1</v>
      </c>
      <c r="AB127" t="n">
        <v>1</v>
      </c>
      <c r="AC127" t="n">
        <v>1</v>
      </c>
      <c r="AD127" t="n">
        <v>1</v>
      </c>
      <c r="AE127" t="n">
        <v>1</v>
      </c>
    </row>
    <row r="128">
      <c r="A128" t="inlineStr">
        <is>
          <t>Embalaje</t>
        </is>
      </c>
      <c r="B128" t="inlineStr">
        <is>
          <t>Etiqueta de pallet (lote y destino, fracción)</t>
        </is>
      </c>
      <c r="C128" t="inlineStr">
        <is>
          <t>u</t>
        </is>
      </c>
      <c r="D128" t="inlineStr">
        <is>
          <t>Todos</t>
        </is>
      </c>
      <c r="E128" t="inlineStr">
        <is>
          <t>Astuprint</t>
        </is>
      </c>
      <c r="F128" t="inlineStr">
        <is>
          <t>24 Envolvedora</t>
        </is>
      </c>
      <c r="G128" t="n">
        <v>0.0038</v>
      </c>
      <c r="H128" t="n">
        <v>0.0111</v>
      </c>
      <c r="I128" t="n">
        <v>0.0139</v>
      </c>
      <c r="J128" t="n">
        <v>0.0312</v>
      </c>
      <c r="T128" t="n">
        <v>0.5</v>
      </c>
      <c r="U128" t="n">
        <v>0.5</v>
      </c>
      <c r="V128" t="n">
        <v>0.5</v>
      </c>
      <c r="W128" t="n">
        <v>1</v>
      </c>
      <c r="X128" t="n">
        <v>0.0025</v>
      </c>
      <c r="Y128" t="n">
        <v>0.006</v>
      </c>
      <c r="Z128" t="n">
        <v>0.0111</v>
      </c>
      <c r="AA128" t="n">
        <v>0.025</v>
      </c>
      <c r="AB128" t="n">
        <v>0.0833</v>
      </c>
      <c r="AC128" t="n">
        <v>0.1111</v>
      </c>
      <c r="AD128" t="n">
        <v>0.1667</v>
      </c>
      <c r="AE128" t="n">
        <v>0.1667</v>
      </c>
    </row>
    <row r="129">
      <c r="A129" s="52" t="inlineStr">
        <is>
          <t>Embalaje</t>
        </is>
      </c>
      <c r="B129" s="52" t="inlineStr">
        <is>
          <t>Film stretch (fracción del pallet)</t>
        </is>
      </c>
      <c r="C129" s="52" t="inlineStr">
        <is>
          <t>kg</t>
        </is>
      </c>
      <c r="D129" s="52" t="inlineStr">
        <is>
          <t>Todos</t>
        </is>
      </c>
      <c r="E129" s="52" t="inlineStr">
        <is>
          <t>MV Embalajes</t>
        </is>
      </c>
      <c r="F129" s="52" t="inlineStr">
        <is>
          <t>24 Envolvedora (T11)</t>
        </is>
      </c>
      <c r="G129" t="n">
        <v>0.0005</v>
      </c>
      <c r="H129" t="n">
        <v>0.0013</v>
      </c>
      <c r="I129" t="n">
        <v>0.0017</v>
      </c>
      <c r="J129" t="n">
        <v>0.0037</v>
      </c>
      <c r="T129" t="n">
        <v>0.06</v>
      </c>
      <c r="U129" t="n">
        <v>0.06</v>
      </c>
      <c r="V129" t="n">
        <v>0.06</v>
      </c>
      <c r="W129" t="n">
        <v>0.12</v>
      </c>
      <c r="X129" t="n">
        <v>0.0003</v>
      </c>
      <c r="Y129" t="n">
        <v>0.0007</v>
      </c>
      <c r="Z129" t="n">
        <v>0.0013</v>
      </c>
      <c r="AA129" t="n">
        <v>0.003</v>
      </c>
      <c r="AB129" t="n">
        <v>0.01</v>
      </c>
      <c r="AC129" t="n">
        <v>0.0133</v>
      </c>
      <c r="AD129" t="n">
        <v>0.02</v>
      </c>
      <c r="AE129" t="n">
        <v>0.02</v>
      </c>
    </row>
    <row r="130">
      <c r="A130" t="inlineStr">
        <is>
          <t>Embalaje</t>
        </is>
      </c>
      <c r="B130" t="inlineStr">
        <is>
          <t>Instructivo de uso y mantenimiento</t>
        </is>
      </c>
      <c r="C130" t="inlineStr">
        <is>
          <t>u</t>
        </is>
      </c>
      <c r="D130" t="inlineStr">
        <is>
          <t>Todos</t>
        </is>
      </c>
      <c r="E130" t="inlineStr">
        <is>
          <t>Astuprint</t>
        </is>
      </c>
      <c r="F130" t="inlineStr">
        <is>
          <t>23 Embalaje</t>
        </is>
      </c>
      <c r="G130" t="n">
        <v>1</v>
      </c>
      <c r="H130" t="n">
        <v>1</v>
      </c>
      <c r="I130" t="n">
        <v>1</v>
      </c>
      <c r="J130" t="n">
        <v>1</v>
      </c>
    </row>
    <row r="131">
      <c r="A131" t="inlineStr">
        <is>
          <t>Embalaje</t>
        </is>
      </c>
      <c r="B131" t="inlineStr">
        <is>
          <t>Pallet 1200 × 1000 (fracción)</t>
        </is>
      </c>
      <c r="C131" t="inlineStr">
        <is>
          <t>u</t>
        </is>
      </c>
      <c r="D131" t="inlineStr">
        <is>
          <t>Todos</t>
        </is>
      </c>
      <c r="E131" t="inlineStr">
        <is>
          <t>IndusPallets</t>
        </is>
      </c>
      <c r="F131" t="inlineStr">
        <is>
          <t>23 Embalaje</t>
        </is>
      </c>
      <c r="G131" t="n">
        <v>0.0038</v>
      </c>
      <c r="H131" t="n">
        <v>0.0111</v>
      </c>
      <c r="I131" t="n">
        <v>0.0139</v>
      </c>
      <c r="J131" t="n">
        <v>0.0312</v>
      </c>
      <c r="T131" t="n">
        <v>0.5</v>
      </c>
      <c r="U131" t="n">
        <v>0.5</v>
      </c>
      <c r="V131" t="n">
        <v>0.5</v>
      </c>
      <c r="W131" t="n">
        <v>1</v>
      </c>
      <c r="X131" t="n">
        <v>0.0025</v>
      </c>
      <c r="Y131" t="n">
        <v>0.006</v>
      </c>
      <c r="Z131" t="n">
        <v>0.0111</v>
      </c>
      <c r="AA131" t="n">
        <v>0.025</v>
      </c>
      <c r="AB131" t="n">
        <v>0.0833</v>
      </c>
      <c r="AC131" t="n">
        <v>0.1111</v>
      </c>
      <c r="AD131" t="n">
        <v>0.1667</v>
      </c>
      <c r="AE131" t="n">
        <v>0.1667</v>
      </c>
    </row>
    <row r="132">
      <c r="A132" t="inlineStr">
        <is>
          <t>Embalaje</t>
        </is>
      </c>
      <c r="B132" t="inlineStr">
        <is>
          <t>Separador de capa de cartón 1200 × 1000 (fracción del pallet)</t>
        </is>
      </c>
      <c r="C132" t="inlineStr">
        <is>
          <t>u</t>
        </is>
      </c>
      <c r="D132" t="inlineStr">
        <is>
          <t>Todos</t>
        </is>
      </c>
      <c r="E132" t="inlineStr">
        <is>
          <t>Maxipack</t>
        </is>
      </c>
      <c r="F132" t="inlineStr">
        <is>
          <t>23 Embalaje</t>
        </is>
      </c>
      <c r="X132" t="n">
        <v>0.0076</v>
      </c>
      <c r="Y132" t="n">
        <v>0.0179</v>
      </c>
      <c r="Z132" t="n">
        <v>0.0222</v>
      </c>
      <c r="AA132" t="n">
        <v>0.025</v>
      </c>
    </row>
    <row r="133">
      <c r="A133" s="53" t="inlineStr">
        <is>
          <t>Embalaje</t>
        </is>
      </c>
      <c r="B133" s="53" t="inlineStr">
        <is>
          <t>Tapón protector de rosca del cuello</t>
        </is>
      </c>
      <c r="C133" s="53" t="inlineStr">
        <is>
          <t>u</t>
        </is>
      </c>
      <c r="D133" s="53" t="inlineStr">
        <is>
          <t>Todos</t>
        </is>
      </c>
      <c r="E133" s="53" t="inlineStr">
        <is>
          <t>-</t>
        </is>
      </c>
      <c r="F133" s="53" t="inlineStr">
        <is>
          <t>Embalaje</t>
        </is>
      </c>
      <c r="X133" t="n">
        <v>1</v>
      </c>
      <c r="Y133" t="n">
        <v>1</v>
      </c>
      <c r="Z133" t="n">
        <v>1</v>
      </c>
      <c r="AA133" t="n">
        <v>1</v>
      </c>
      <c r="AB133" t="n">
        <v>1</v>
      </c>
      <c r="AC133" t="n">
        <v>1</v>
      </c>
      <c r="AD133" t="n">
        <v>1</v>
      </c>
      <c r="AE133" t="n">
        <v>1</v>
      </c>
    </row>
    <row r="134">
      <c r="A134" t="inlineStr">
        <is>
          <t>Equipo terminado comprado</t>
        </is>
      </c>
      <c r="B134" t="inlineStr">
        <is>
          <t>Equipo terminado comprado (fabricante con Sello IRAM): FL_MAT_AFFF_10l</t>
        </is>
      </c>
      <c r="C134" t="inlineStr">
        <is>
          <t>u</t>
        </is>
      </c>
      <c r="D134" t="inlineStr">
        <is>
          <t>Todos</t>
        </is>
      </c>
      <c r="E134" t="inlineStr">
        <is>
          <t>Matafuegos Georgia - venta mayorista</t>
        </is>
      </c>
      <c r="F134" t="inlineStr">
        <is>
          <t>Recepción y control de ingreso (SP-1)</t>
        </is>
      </c>
      <c r="L134" t="n">
        <v>1</v>
      </c>
    </row>
    <row r="135">
      <c r="A135" t="inlineStr">
        <is>
          <t>Equipo terminado comprado</t>
        </is>
      </c>
      <c r="B135" t="inlineStr">
        <is>
          <t>Equipo terminado comprado (fabricante con Sello IRAM): FL_MAT_AFFF_50l</t>
        </is>
      </c>
      <c r="C135" t="inlineStr">
        <is>
          <t>u</t>
        </is>
      </c>
      <c r="D135" t="inlineStr">
        <is>
          <t>Todos</t>
        </is>
      </c>
      <c r="E135" t="inlineStr">
        <is>
          <t>Matafuegos Georgia - venta mayorista</t>
        </is>
      </c>
      <c r="F135" t="inlineStr">
        <is>
          <t>Recepción y control de ingreso (SP-1)</t>
        </is>
      </c>
      <c r="M135" t="n">
        <v>1</v>
      </c>
    </row>
    <row r="136">
      <c r="A136" t="inlineStr">
        <is>
          <t>Equipo terminado comprado</t>
        </is>
      </c>
      <c r="B136" t="inlineStr">
        <is>
          <t>Equipo terminado comprado (fabricante con Sello IRAM): FL_MAT_AGUA_10l</t>
        </is>
      </c>
      <c r="C136" t="inlineStr">
        <is>
          <t>u</t>
        </is>
      </c>
      <c r="D136" t="inlineStr">
        <is>
          <t>Todos</t>
        </is>
      </c>
      <c r="E136" t="inlineStr">
        <is>
          <t>Matafuegos Georgia - venta mayorista</t>
        </is>
      </c>
      <c r="F136" t="inlineStr">
        <is>
          <t>Recepción y control de ingreso (SP-1)</t>
        </is>
      </c>
      <c r="K136" t="n">
        <v>1</v>
      </c>
    </row>
    <row r="137">
      <c r="A137" t="inlineStr">
        <is>
          <t>Equipo terminado comprado</t>
        </is>
      </c>
      <c r="B137" t="inlineStr">
        <is>
          <t>Equipo terminado comprado (fabricante con Sello IRAM): FL_MAT_BC_5kg</t>
        </is>
      </c>
      <c r="C137" t="inlineStr">
        <is>
          <t>u</t>
        </is>
      </c>
      <c r="D137" t="inlineStr">
        <is>
          <t>Todos</t>
        </is>
      </c>
      <c r="E137" t="inlineStr">
        <is>
          <t>Matafuegos Georgia - venta mayorista</t>
        </is>
      </c>
      <c r="F137" t="inlineStr">
        <is>
          <t>Recepción y control de ingreso (SP-1)</t>
        </is>
      </c>
      <c r="N137" t="n">
        <v>1</v>
      </c>
    </row>
    <row r="138">
      <c r="A138" s="51" t="inlineStr">
        <is>
          <t>Equipo terminado comprado</t>
        </is>
      </c>
      <c r="B138" s="51" t="inlineStr">
        <is>
          <t>Equipo terminado comprado (fabricante con Sello IRAM): FL_MAT_CLASED_9l</t>
        </is>
      </c>
      <c r="C138" s="51" t="inlineStr">
        <is>
          <t>u</t>
        </is>
      </c>
      <c r="D138" s="51" t="inlineStr">
        <is>
          <t>Todos</t>
        </is>
      </c>
      <c r="E138" s="51" t="inlineStr">
        <is>
          <t>Matafuegos Georgia - venta mayorista</t>
        </is>
      </c>
      <c r="F138" s="51" t="inlineStr">
        <is>
          <t>Recepción y control de ingreso (SP-1)</t>
        </is>
      </c>
      <c r="S138" t="n">
        <v>1</v>
      </c>
    </row>
    <row r="139">
      <c r="A139" t="inlineStr">
        <is>
          <t>Equipo terminado comprado</t>
        </is>
      </c>
      <c r="B139" t="inlineStr">
        <is>
          <t>Equipo terminado comprado (fabricante con Sello IRAM): FL_MAT_CO2_2kg</t>
        </is>
      </c>
      <c r="C139" t="inlineStr">
        <is>
          <t>u</t>
        </is>
      </c>
      <c r="D139" t="inlineStr">
        <is>
          <t>Todos</t>
        </is>
      </c>
      <c r="E139" t="inlineStr">
        <is>
          <t>Mozart S.R.L.</t>
        </is>
      </c>
      <c r="F139" t="inlineStr">
        <is>
          <t>Recepción y control de ingreso (SP-1)</t>
        </is>
      </c>
      <c r="P139" t="n">
        <v>1</v>
      </c>
    </row>
    <row r="140">
      <c r="A140" t="inlineStr">
        <is>
          <t>Equipo terminado comprado</t>
        </is>
      </c>
      <c r="B140" t="inlineStr">
        <is>
          <t>Equipo terminado comprado (fabricante con Sello IRAM): FL_MAT_CO2_5kg</t>
        </is>
      </c>
      <c r="C140" t="inlineStr">
        <is>
          <t>u</t>
        </is>
      </c>
      <c r="D140" t="inlineStr">
        <is>
          <t>Todos</t>
        </is>
      </c>
      <c r="E140" t="inlineStr">
        <is>
          <t>Mozart S.R.L.</t>
        </is>
      </c>
      <c r="F140" t="inlineStr">
        <is>
          <t>Recepción y control de ingreso (SP-1)</t>
        </is>
      </c>
      <c r="Q140" t="n">
        <v>1</v>
      </c>
    </row>
    <row r="141">
      <c r="A141" t="inlineStr">
        <is>
          <t>Equipo terminado comprado</t>
        </is>
      </c>
      <c r="B141" t="inlineStr">
        <is>
          <t>Equipo terminado comprado (fabricante con Sello IRAM): FL_MAT_HCFC-HFC_5kg</t>
        </is>
      </c>
      <c r="C141" t="inlineStr">
        <is>
          <t>u</t>
        </is>
      </c>
      <c r="D141" t="inlineStr">
        <is>
          <t>Todos</t>
        </is>
      </c>
      <c r="E141" t="inlineStr">
        <is>
          <t>Matafuegos Georgia - venta mayorista</t>
        </is>
      </c>
      <c r="F141" t="inlineStr">
        <is>
          <t>Recepción y control de ingreso (SP-1)</t>
        </is>
      </c>
      <c r="R141" t="n">
        <v>1</v>
      </c>
    </row>
    <row r="142">
      <c r="A142" t="inlineStr">
        <is>
          <t>Equipo terminado comprado</t>
        </is>
      </c>
      <c r="B142" t="inlineStr">
        <is>
          <t>Equipo terminado comprado (fabricante con Sello IRAM): FL_MAT_SALESK_6l</t>
        </is>
      </c>
      <c r="C142" t="inlineStr">
        <is>
          <t>u</t>
        </is>
      </c>
      <c r="D142" t="inlineStr">
        <is>
          <t>Todos</t>
        </is>
      </c>
      <c r="E142" t="inlineStr">
        <is>
          <t>Matafuegos Georgia - venta mayorista</t>
        </is>
      </c>
      <c r="F142" t="inlineStr">
        <is>
          <t>Recepción y control de ingreso (SP-1)</t>
        </is>
      </c>
      <c r="O142" t="n">
        <v>1</v>
      </c>
    </row>
    <row r="143">
      <c r="A143" s="52" t="inlineStr">
        <is>
          <t>Recarga y mantenimiento</t>
        </is>
      </c>
      <c r="B143" s="52" t="inlineStr">
        <is>
          <t>Acetato de potasio - DEMSA Kitchen (IRAM 3697)</t>
        </is>
      </c>
      <c r="C143" s="52" t="inlineStr">
        <is>
          <t>L</t>
        </is>
      </c>
      <c r="D143" s="52" t="inlineStr">
        <is>
          <t>Todos</t>
        </is>
      </c>
      <c r="E143" s="52" t="inlineStr">
        <is>
          <t>Polvex S.R.L. / Sancibrao</t>
        </is>
      </c>
      <c r="F143" s="52" t="inlineStr">
        <is>
          <t>Recarga</t>
        </is>
      </c>
      <c r="BZ143" t="n">
        <v>6.09</v>
      </c>
      <c r="CA143" t="n">
        <v>6.09</v>
      </c>
    </row>
    <row r="144">
      <c r="A144" s="52" t="inlineStr">
        <is>
          <t>Recarga y mantenimiento</t>
        </is>
      </c>
      <c r="B144" s="52" t="inlineStr">
        <is>
          <t>Concentrado espumígeno AFFF 3 % (IRAM 3515)</t>
        </is>
      </c>
      <c r="C144" s="52" t="inlineStr">
        <is>
          <t>L</t>
        </is>
      </c>
      <c r="D144" s="52" t="inlineStr">
        <is>
          <t>Todos</t>
        </is>
      </c>
      <c r="E144" s="52" t="inlineStr">
        <is>
          <t>DEM S.A. (DEMSA)</t>
        </is>
      </c>
      <c r="F144" s="52" t="inlineStr">
        <is>
          <t>Recarga</t>
        </is>
      </c>
      <c r="BP144" t="n">
        <v>0.3</v>
      </c>
      <c r="BQ144" t="n">
        <v>0.3</v>
      </c>
      <c r="BS144" t="n">
        <v>1.5</v>
      </c>
      <c r="BT144" t="n">
        <v>1.5</v>
      </c>
    </row>
    <row r="145">
      <c r="A145" t="inlineStr">
        <is>
          <t>Recarga y mantenimiento</t>
        </is>
      </c>
      <c r="B145" t="inlineStr">
        <is>
          <t>Disco de seguridad</t>
        </is>
      </c>
      <c r="C145" t="inlineStr">
        <is>
          <t>u</t>
        </is>
      </c>
      <c r="D145" t="inlineStr">
        <is>
          <t>Todos</t>
        </is>
      </c>
      <c r="E145" t="inlineStr">
        <is>
          <t>Polvex S.R.L. / Sancibrao</t>
        </is>
      </c>
      <c r="F145" t="inlineStr">
        <is>
          <t>Recarga</t>
        </is>
      </c>
      <c r="CD145" t="n">
        <v>1</v>
      </c>
      <c r="CG145" t="n">
        <v>1</v>
      </c>
    </row>
    <row r="146">
      <c r="A146" t="inlineStr">
        <is>
          <t>Recarga y mantenimiento</t>
        </is>
      </c>
      <c r="B146" t="inlineStr">
        <is>
          <t>Dióxido de carbono (IRAM 41170)</t>
        </is>
      </c>
      <c r="C146" t="inlineStr">
        <is>
          <t>kg</t>
        </is>
      </c>
      <c r="D146" t="inlineStr">
        <is>
          <t>Todos</t>
        </is>
      </c>
      <c r="E146" t="inlineStr">
        <is>
          <t>Air Liquide Argentina - sucursal Piñeyro</t>
        </is>
      </c>
      <c r="F146" t="inlineStr">
        <is>
          <t>Recarga</t>
        </is>
      </c>
      <c r="CC146" t="n">
        <v>2</v>
      </c>
      <c r="CF146" t="n">
        <v>5</v>
      </c>
    </row>
    <row r="147">
      <c r="A147" t="inlineStr">
        <is>
          <t>Recarga y mantenimiento</t>
        </is>
      </c>
      <c r="B147" t="inlineStr">
        <is>
          <t>Etiqueta de servicio del recargador (extintor n°, serie, próxima recarga y PH)</t>
        </is>
      </c>
      <c r="C147" t="inlineStr">
        <is>
          <t>u</t>
        </is>
      </c>
      <c r="D147" t="inlineStr">
        <is>
          <t>Todos</t>
        </is>
      </c>
      <c r="E147" t="inlineStr">
        <is>
          <t>Astuprint</t>
        </is>
      </c>
      <c r="F147" t="inlineStr">
        <is>
          <t>Recarga</t>
        </is>
      </c>
      <c r="AW147" t="n">
        <v>1</v>
      </c>
      <c r="AX147" t="n">
        <v>1</v>
      </c>
      <c r="AY147" t="n">
        <v>1</v>
      </c>
      <c r="BA147" t="n">
        <v>1</v>
      </c>
      <c r="BB147" t="n">
        <v>1</v>
      </c>
      <c r="BC147" t="n">
        <v>1</v>
      </c>
      <c r="BE147" t="n">
        <v>1</v>
      </c>
      <c r="BF147" t="n">
        <v>1</v>
      </c>
      <c r="BG147" t="n">
        <v>1</v>
      </c>
      <c r="BI147" t="n">
        <v>1</v>
      </c>
      <c r="BJ147" t="n">
        <v>1</v>
      </c>
      <c r="BK147" t="n">
        <v>1</v>
      </c>
      <c r="BM147" t="n">
        <v>1</v>
      </c>
      <c r="BN147" t="n">
        <v>1</v>
      </c>
      <c r="BP147" t="n">
        <v>1</v>
      </c>
      <c r="BQ147" t="n">
        <v>1</v>
      </c>
      <c r="BS147" t="n">
        <v>1</v>
      </c>
      <c r="BT147" t="n">
        <v>1</v>
      </c>
      <c r="BV147" t="n">
        <v>1</v>
      </c>
      <c r="BW147" t="n">
        <v>1</v>
      </c>
      <c r="BX147" t="n">
        <v>1</v>
      </c>
      <c r="BZ147" t="n">
        <v>1</v>
      </c>
      <c r="CA147" t="n">
        <v>1</v>
      </c>
      <c r="CC147" t="n">
        <v>1</v>
      </c>
      <c r="CD147" t="n">
        <v>1</v>
      </c>
      <c r="CF147" t="n">
        <v>1</v>
      </c>
      <c r="CG147" t="n">
        <v>1</v>
      </c>
      <c r="CI147" t="n">
        <v>1</v>
      </c>
      <c r="CJ147" t="n">
        <v>1</v>
      </c>
      <c r="CL147" t="n">
        <v>1</v>
      </c>
      <c r="CM147" t="n">
        <v>1</v>
      </c>
      <c r="CN147" t="n">
        <v>1</v>
      </c>
      <c r="CP147" t="n">
        <v>1</v>
      </c>
      <c r="CQ147" t="n">
        <v>1</v>
      </c>
      <c r="CR147" t="n">
        <v>1</v>
      </c>
      <c r="CT147" t="n">
        <v>1</v>
      </c>
      <c r="CU147" t="n">
        <v>1</v>
      </c>
      <c r="CV147" t="n">
        <v>1</v>
      </c>
      <c r="CX147" t="n">
        <v>1</v>
      </c>
      <c r="CY147" t="n">
        <v>1</v>
      </c>
      <c r="CZ147" t="n">
        <v>1</v>
      </c>
      <c r="DB147" t="n">
        <v>1</v>
      </c>
      <c r="DC147" t="n">
        <v>1</v>
      </c>
      <c r="DD147" t="n">
        <v>1</v>
      </c>
    </row>
    <row r="148">
      <c r="A148" t="inlineStr">
        <is>
          <t>Recarga y mantenimiento</t>
        </is>
      </c>
      <c r="B148" t="inlineStr">
        <is>
          <t>Gas impulsor: Argón</t>
        </is>
      </c>
      <c r="C148" t="inlineStr">
        <is>
          <t>kg</t>
        </is>
      </c>
      <c r="D148" t="inlineStr">
        <is>
          <t>Todos</t>
        </is>
      </c>
      <c r="E148" t="inlineStr">
        <is>
          <t>Air Liquide Argentina - sucursal Piñeyro</t>
        </is>
      </c>
      <c r="F148" t="inlineStr">
        <is>
          <t>Recarga</t>
        </is>
      </c>
      <c r="CI148" t="n">
        <v>0.0388</v>
      </c>
      <c r="CJ148" t="n">
        <v>0.0388</v>
      </c>
    </row>
    <row r="149">
      <c r="A149" s="53" t="inlineStr">
        <is>
          <t>Recarga y mantenimiento</t>
        </is>
      </c>
      <c r="B149" s="53" t="inlineStr">
        <is>
          <t>HCFC 123 / HFC 236fa (agente limpio)</t>
        </is>
      </c>
      <c r="C149" s="53" t="inlineStr">
        <is>
          <t>kg</t>
        </is>
      </c>
      <c r="D149" s="53" t="inlineStr">
        <is>
          <t>Todos</t>
        </is>
      </c>
      <c r="E149" s="53" t="inlineStr">
        <is>
          <t>-</t>
        </is>
      </c>
      <c r="F149" s="53" t="inlineStr">
        <is>
          <t>Recarga</t>
        </is>
      </c>
      <c r="CI149" t="n">
        <v>5</v>
      </c>
      <c r="CJ149" t="n">
        <v>0.15</v>
      </c>
    </row>
    <row r="150">
      <c r="A150" s="52" t="inlineStr">
        <is>
          <t>Recarga y mantenimiento</t>
        </is>
      </c>
      <c r="B150" s="52" t="inlineStr">
        <is>
          <t>Junta tórica de asiento del cuello</t>
        </is>
      </c>
      <c r="C150" s="52" t="inlineStr">
        <is>
          <t>u</t>
        </is>
      </c>
      <c r="D150" s="52" t="inlineStr">
        <is>
          <t>Todos</t>
        </is>
      </c>
      <c r="E150" s="52" t="inlineStr">
        <is>
          <t>Argensold</t>
        </is>
      </c>
      <c r="F150" s="52" t="inlineStr">
        <is>
          <t>Recarga</t>
        </is>
      </c>
      <c r="AW150" t="n">
        <v>1</v>
      </c>
      <c r="AX150" t="n">
        <v>1</v>
      </c>
      <c r="AY150" t="n">
        <v>1</v>
      </c>
      <c r="BA150" t="n">
        <v>1</v>
      </c>
      <c r="BB150" t="n">
        <v>1</v>
      </c>
      <c r="BC150" t="n">
        <v>1</v>
      </c>
      <c r="BE150" t="n">
        <v>1</v>
      </c>
      <c r="BF150" t="n">
        <v>1</v>
      </c>
      <c r="BG150" t="n">
        <v>1</v>
      </c>
      <c r="BI150" t="n">
        <v>1</v>
      </c>
      <c r="BJ150" t="n">
        <v>1</v>
      </c>
      <c r="BK150" t="n">
        <v>1</v>
      </c>
      <c r="BM150" t="n">
        <v>1</v>
      </c>
      <c r="BN150" t="n">
        <v>1</v>
      </c>
      <c r="BP150" t="n">
        <v>1</v>
      </c>
      <c r="BQ150" t="n">
        <v>1</v>
      </c>
      <c r="BS150" t="n">
        <v>1</v>
      </c>
      <c r="BT150" t="n">
        <v>1</v>
      </c>
      <c r="BV150" t="n">
        <v>1</v>
      </c>
      <c r="BW150" t="n">
        <v>1</v>
      </c>
      <c r="BX150" t="n">
        <v>1</v>
      </c>
      <c r="BZ150" t="n">
        <v>1</v>
      </c>
      <c r="CA150" t="n">
        <v>1</v>
      </c>
      <c r="CC150" t="n">
        <v>1</v>
      </c>
      <c r="CD150" t="n">
        <v>1</v>
      </c>
      <c r="CF150" t="n">
        <v>1</v>
      </c>
      <c r="CG150" t="n">
        <v>1</v>
      </c>
      <c r="CI150" t="n">
        <v>1</v>
      </c>
      <c r="CJ150" t="n">
        <v>1</v>
      </c>
      <c r="CL150" t="n">
        <v>1</v>
      </c>
      <c r="CM150" t="n">
        <v>1</v>
      </c>
      <c r="CN150" t="n">
        <v>1</v>
      </c>
      <c r="CP150" t="n">
        <v>1</v>
      </c>
      <c r="CQ150" t="n">
        <v>1</v>
      </c>
      <c r="CR150" t="n">
        <v>1</v>
      </c>
      <c r="CT150" t="n">
        <v>1</v>
      </c>
      <c r="CU150" t="n">
        <v>1</v>
      </c>
      <c r="CV150" t="n">
        <v>1</v>
      </c>
      <c r="CX150" t="n">
        <v>1</v>
      </c>
      <c r="CY150" t="n">
        <v>1</v>
      </c>
      <c r="CZ150" t="n">
        <v>1</v>
      </c>
      <c r="DB150" t="n">
        <v>1</v>
      </c>
      <c r="DC150" t="n">
        <v>1</v>
      </c>
      <c r="DD150" t="n">
        <v>1</v>
      </c>
    </row>
    <row r="151">
      <c r="A151" t="inlineStr">
        <is>
          <t>Recarga y mantenimiento</t>
        </is>
      </c>
      <c r="B151" t="inlineStr">
        <is>
          <t>Marbete (anillo, color del año)</t>
        </is>
      </c>
      <c r="C151" t="inlineStr">
        <is>
          <t>u</t>
        </is>
      </c>
      <c r="D151" t="inlineStr">
        <is>
          <t>Todos</t>
        </is>
      </c>
      <c r="E151" t="inlineStr">
        <is>
          <t>Astuprint</t>
        </is>
      </c>
      <c r="F151" t="inlineStr">
        <is>
          <t>Recarga</t>
        </is>
      </c>
      <c r="AW151" t="n">
        <v>1</v>
      </c>
      <c r="AX151" t="n">
        <v>1</v>
      </c>
      <c r="AY151" t="n">
        <v>1</v>
      </c>
      <c r="BA151" t="n">
        <v>1</v>
      </c>
      <c r="BB151" t="n">
        <v>1</v>
      </c>
      <c r="BC151" t="n">
        <v>1</v>
      </c>
      <c r="BE151" t="n">
        <v>1</v>
      </c>
      <c r="BF151" t="n">
        <v>1</v>
      </c>
      <c r="BG151" t="n">
        <v>1</v>
      </c>
      <c r="BI151" t="n">
        <v>1</v>
      </c>
      <c r="BJ151" t="n">
        <v>1</v>
      </c>
      <c r="BK151" t="n">
        <v>1</v>
      </c>
      <c r="BM151" t="n">
        <v>1</v>
      </c>
      <c r="BN151" t="n">
        <v>1</v>
      </c>
      <c r="BP151" t="n">
        <v>1</v>
      </c>
      <c r="BQ151" t="n">
        <v>1</v>
      </c>
      <c r="BS151" t="n">
        <v>1</v>
      </c>
      <c r="BT151" t="n">
        <v>1</v>
      </c>
      <c r="BV151" t="n">
        <v>1</v>
      </c>
      <c r="BW151" t="n">
        <v>1</v>
      </c>
      <c r="BX151" t="n">
        <v>1</v>
      </c>
      <c r="BZ151" t="n">
        <v>1</v>
      </c>
      <c r="CA151" t="n">
        <v>1</v>
      </c>
      <c r="CC151" t="n">
        <v>1</v>
      </c>
      <c r="CD151" t="n">
        <v>1</v>
      </c>
      <c r="CF151" t="n">
        <v>1</v>
      </c>
      <c r="CG151" t="n">
        <v>1</v>
      </c>
      <c r="CI151" t="n">
        <v>1</v>
      </c>
      <c r="CJ151" t="n">
        <v>1</v>
      </c>
      <c r="CL151" t="n">
        <v>1</v>
      </c>
      <c r="CM151" t="n">
        <v>1</v>
      </c>
      <c r="CN151" t="n">
        <v>1</v>
      </c>
      <c r="CP151" t="n">
        <v>1</v>
      </c>
      <c r="CQ151" t="n">
        <v>1</v>
      </c>
      <c r="CR151" t="n">
        <v>1</v>
      </c>
      <c r="CT151" t="n">
        <v>1</v>
      </c>
      <c r="CU151" t="n">
        <v>1</v>
      </c>
      <c r="CV151" t="n">
        <v>1</v>
      </c>
      <c r="CX151" t="n">
        <v>1</v>
      </c>
      <c r="CY151" t="n">
        <v>1</v>
      </c>
      <c r="CZ151" t="n">
        <v>1</v>
      </c>
      <c r="DB151" t="n">
        <v>1</v>
      </c>
      <c r="DC151" t="n">
        <v>1</v>
      </c>
      <c r="DD151" t="n">
        <v>1</v>
      </c>
    </row>
    <row r="152">
      <c r="A152" t="inlineStr">
        <is>
          <t>Recarga y mantenimiento</t>
        </is>
      </c>
      <c r="B152" t="inlineStr">
        <is>
          <t>Oblea PBA de recarga Ø46 + estampilla precinto 1" × 200 mm válvula-cuerpo</t>
        </is>
      </c>
      <c r="C152" t="inlineStr">
        <is>
          <t>u</t>
        </is>
      </c>
      <c r="D152" t="inlineStr">
        <is>
          <t>PBA</t>
        </is>
      </c>
      <c r="E152" t="inlineStr">
        <is>
          <t>Ministerio de Ambiente PBA (ex OPDS)</t>
        </is>
      </c>
      <c r="F152" t="inlineStr">
        <is>
          <t>Recarga</t>
        </is>
      </c>
      <c r="AW152" t="n">
        <v>1</v>
      </c>
      <c r="AX152" t="n">
        <v>1</v>
      </c>
      <c r="AY152" t="n">
        <v>1</v>
      </c>
      <c r="BA152" t="n">
        <v>1</v>
      </c>
      <c r="BB152" t="n">
        <v>1</v>
      </c>
      <c r="BC152" t="n">
        <v>1</v>
      </c>
      <c r="BE152" t="n">
        <v>1</v>
      </c>
      <c r="BF152" t="n">
        <v>1</v>
      </c>
      <c r="BG152" t="n">
        <v>1</v>
      </c>
      <c r="BI152" t="n">
        <v>1</v>
      </c>
      <c r="BJ152" t="n">
        <v>1</v>
      </c>
      <c r="BK152" t="n">
        <v>1</v>
      </c>
      <c r="BM152" t="n">
        <v>1</v>
      </c>
      <c r="BN152" t="n">
        <v>1</v>
      </c>
      <c r="BP152" t="n">
        <v>1</v>
      </c>
      <c r="BQ152" t="n">
        <v>1</v>
      </c>
      <c r="BS152" t="n">
        <v>1</v>
      </c>
      <c r="BT152" t="n">
        <v>1</v>
      </c>
      <c r="BV152" t="n">
        <v>1</v>
      </c>
      <c r="BW152" t="n">
        <v>1</v>
      </c>
      <c r="BX152" t="n">
        <v>1</v>
      </c>
      <c r="BZ152" t="n">
        <v>1</v>
      </c>
      <c r="CA152" t="n">
        <v>1</v>
      </c>
      <c r="CC152" t="n">
        <v>1</v>
      </c>
      <c r="CD152" t="n">
        <v>1</v>
      </c>
      <c r="CF152" t="n">
        <v>1</v>
      </c>
      <c r="CG152" t="n">
        <v>1</v>
      </c>
      <c r="CI152" t="n">
        <v>1</v>
      </c>
      <c r="CJ152" t="n">
        <v>1</v>
      </c>
      <c r="CL152" t="n">
        <v>1</v>
      </c>
      <c r="CM152" t="n">
        <v>1</v>
      </c>
      <c r="CN152" t="n">
        <v>1</v>
      </c>
      <c r="CP152" t="n">
        <v>1</v>
      </c>
      <c r="CQ152" t="n">
        <v>1</v>
      </c>
      <c r="CR152" t="n">
        <v>1</v>
      </c>
      <c r="CT152" t="n">
        <v>1</v>
      </c>
      <c r="CU152" t="n">
        <v>1</v>
      </c>
      <c r="CV152" t="n">
        <v>1</v>
      </c>
      <c r="CX152" t="n">
        <v>1</v>
      </c>
      <c r="CY152" t="n">
        <v>1</v>
      </c>
      <c r="CZ152" t="n">
        <v>1</v>
      </c>
      <c r="DB152" t="n">
        <v>1</v>
      </c>
      <c r="DC152" t="n">
        <v>1</v>
      </c>
      <c r="DD152" t="n">
        <v>1</v>
      </c>
    </row>
    <row r="153">
      <c r="A153" s="51" t="inlineStr">
        <is>
          <t>Recarga y mantenimiento</t>
        </is>
      </c>
      <c r="B153" s="51" t="inlineStr">
        <is>
          <t>Polvo para metales combustibles clase D</t>
        </is>
      </c>
      <c r="C153" s="51" t="inlineStr">
        <is>
          <t>kg</t>
        </is>
      </c>
      <c r="D153" s="51" t="inlineStr">
        <is>
          <t>Todos</t>
        </is>
      </c>
      <c r="E153" s="51" t="inlineStr">
        <is>
          <t>DEM S.A. (DEMSA)</t>
        </is>
      </c>
      <c r="F153" s="51" t="inlineStr">
        <is>
          <t>Recarga</t>
        </is>
      </c>
      <c r="CL153" t="n">
        <v>9.15</v>
      </c>
      <c r="CM153" t="n">
        <v>0.15</v>
      </c>
      <c r="CN153" t="n">
        <v>9.15</v>
      </c>
    </row>
    <row r="154">
      <c r="A154" t="inlineStr">
        <is>
          <t>Recarga y mantenimiento</t>
        </is>
      </c>
      <c r="B154" t="inlineStr">
        <is>
          <t>Polvo químico seco BC (bicarbonato)</t>
        </is>
      </c>
      <c r="C154" t="inlineStr">
        <is>
          <t>kg</t>
        </is>
      </c>
      <c r="D154" t="inlineStr">
        <is>
          <t>Todos</t>
        </is>
      </c>
      <c r="E154" t="inlineStr">
        <is>
          <t>Polvex S.R.L. / Sancibrao</t>
        </is>
      </c>
      <c r="F154" t="inlineStr">
        <is>
          <t>Recarga</t>
        </is>
      </c>
      <c r="BV154" t="n">
        <v>5.15</v>
      </c>
      <c r="BW154" t="n">
        <v>0.15</v>
      </c>
      <c r="BX154" t="n">
        <v>5.15</v>
      </c>
    </row>
    <row r="155">
      <c r="A155" t="inlineStr">
        <is>
          <t>Recarga y mantenimiento</t>
        </is>
      </c>
      <c r="B155" t="inlineStr">
        <is>
          <t>Precinto plástico numerado, color, con nombre del recargador</t>
        </is>
      </c>
      <c r="C155" t="inlineStr">
        <is>
          <t>u</t>
        </is>
      </c>
      <c r="D155" t="inlineStr">
        <is>
          <t>Todos</t>
        </is>
      </c>
      <c r="E155" t="inlineStr">
        <is>
          <t>SonFuertes (vía Papelera Damián)</t>
        </is>
      </c>
      <c r="F155" t="inlineStr">
        <is>
          <t>Recarga</t>
        </is>
      </c>
      <c r="AW155" t="n">
        <v>1</v>
      </c>
      <c r="AX155" t="n">
        <v>1</v>
      </c>
      <c r="AY155" t="n">
        <v>1</v>
      </c>
      <c r="BA155" t="n">
        <v>1</v>
      </c>
      <c r="BB155" t="n">
        <v>1</v>
      </c>
      <c r="BC155" t="n">
        <v>1</v>
      </c>
      <c r="BE155" t="n">
        <v>1</v>
      </c>
      <c r="BF155" t="n">
        <v>1</v>
      </c>
      <c r="BG155" t="n">
        <v>1</v>
      </c>
      <c r="BI155" t="n">
        <v>1</v>
      </c>
      <c r="BJ155" t="n">
        <v>1</v>
      </c>
      <c r="BK155" t="n">
        <v>1</v>
      </c>
      <c r="BM155" t="n">
        <v>1</v>
      </c>
      <c r="BN155" t="n">
        <v>1</v>
      </c>
      <c r="BP155" t="n">
        <v>1</v>
      </c>
      <c r="BQ155" t="n">
        <v>1</v>
      </c>
      <c r="BS155" t="n">
        <v>1</v>
      </c>
      <c r="BT155" t="n">
        <v>1</v>
      </c>
      <c r="BV155" t="n">
        <v>1</v>
      </c>
      <c r="BW155" t="n">
        <v>1</v>
      </c>
      <c r="BX155" t="n">
        <v>1</v>
      </c>
      <c r="BZ155" t="n">
        <v>1</v>
      </c>
      <c r="CA155" t="n">
        <v>1</v>
      </c>
      <c r="CC155" t="n">
        <v>1</v>
      </c>
      <c r="CD155" t="n">
        <v>1</v>
      </c>
      <c r="CF155" t="n">
        <v>1</v>
      </c>
      <c r="CG155" t="n">
        <v>1</v>
      </c>
      <c r="CI155" t="n">
        <v>1</v>
      </c>
      <c r="CJ155" t="n">
        <v>1</v>
      </c>
      <c r="CL155" t="n">
        <v>1</v>
      </c>
      <c r="CM155" t="n">
        <v>1</v>
      </c>
      <c r="CN155" t="n">
        <v>1</v>
      </c>
      <c r="CP155" t="n">
        <v>1</v>
      </c>
      <c r="CQ155" t="n">
        <v>1</v>
      </c>
      <c r="CR155" t="n">
        <v>1</v>
      </c>
      <c r="CT155" t="n">
        <v>1</v>
      </c>
      <c r="CU155" t="n">
        <v>1</v>
      </c>
      <c r="CV155" t="n">
        <v>1</v>
      </c>
      <c r="CX155" t="n">
        <v>1</v>
      </c>
      <c r="CY155" t="n">
        <v>1</v>
      </c>
      <c r="CZ155" t="n">
        <v>1</v>
      </c>
      <c r="DB155" t="n">
        <v>1</v>
      </c>
      <c r="DC155" t="n">
        <v>1</v>
      </c>
      <c r="DD155" t="n">
        <v>1</v>
      </c>
    </row>
    <row r="156">
      <c r="A156" t="inlineStr">
        <is>
          <t>Recarga y mantenimiento</t>
        </is>
      </c>
      <c r="B156" t="inlineStr">
        <is>
          <t>Tarjeta de identificación AGC (módulo papel con QR + etiqueta AGC)</t>
        </is>
      </c>
      <c r="C156" t="inlineStr">
        <is>
          <t>u</t>
        </is>
      </c>
      <c r="D156" t="inlineStr">
        <is>
          <t>CABA</t>
        </is>
      </c>
      <c r="E156" t="inlineStr">
        <is>
          <t>Agencia Gubernamental de Control (CABA)</t>
        </is>
      </c>
      <c r="F156" t="inlineStr">
        <is>
          <t>Recarga</t>
        </is>
      </c>
      <c r="AW156" t="n">
        <v>1</v>
      </c>
      <c r="AX156" t="n">
        <v>1</v>
      </c>
      <c r="AY156" t="n">
        <v>1</v>
      </c>
      <c r="BA156" t="n">
        <v>1</v>
      </c>
      <c r="BB156" t="n">
        <v>1</v>
      </c>
      <c r="BC156" t="n">
        <v>1</v>
      </c>
      <c r="BE156" t="n">
        <v>1</v>
      </c>
      <c r="BF156" t="n">
        <v>1</v>
      </c>
      <c r="BG156" t="n">
        <v>1</v>
      </c>
      <c r="BI156" t="n">
        <v>1</v>
      </c>
      <c r="BJ156" t="n">
        <v>1</v>
      </c>
      <c r="BK156" t="n">
        <v>1</v>
      </c>
      <c r="BM156" t="n">
        <v>1</v>
      </c>
      <c r="BN156" t="n">
        <v>1</v>
      </c>
      <c r="BP156" t="n">
        <v>1</v>
      </c>
      <c r="BQ156" t="n">
        <v>1</v>
      </c>
      <c r="BS156" t="n">
        <v>1</v>
      </c>
      <c r="BT156" t="n">
        <v>1</v>
      </c>
      <c r="BV156" t="n">
        <v>1</v>
      </c>
      <c r="BW156" t="n">
        <v>1</v>
      </c>
      <c r="BX156" t="n">
        <v>1</v>
      </c>
      <c r="BZ156" t="n">
        <v>1</v>
      </c>
      <c r="CA156" t="n">
        <v>1</v>
      </c>
      <c r="CC156" t="n">
        <v>1</v>
      </c>
      <c r="CD156" t="n">
        <v>1</v>
      </c>
      <c r="CF156" t="n">
        <v>1</v>
      </c>
      <c r="CG156" t="n">
        <v>1</v>
      </c>
      <c r="CI156" t="n">
        <v>1</v>
      </c>
      <c r="CJ156" t="n">
        <v>1</v>
      </c>
      <c r="CL156" t="n">
        <v>1</v>
      </c>
      <c r="CM156" t="n">
        <v>1</v>
      </c>
      <c r="CN156" t="n">
        <v>1</v>
      </c>
      <c r="CP156" t="n">
        <v>1</v>
      </c>
      <c r="CQ156" t="n">
        <v>1</v>
      </c>
      <c r="CR156" t="n">
        <v>1</v>
      </c>
      <c r="CT156" t="n">
        <v>1</v>
      </c>
      <c r="CU156" t="n">
        <v>1</v>
      </c>
      <c r="CV156" t="n">
        <v>1</v>
      </c>
      <c r="CX156" t="n">
        <v>1</v>
      </c>
      <c r="CY156" t="n">
        <v>1</v>
      </c>
      <c r="CZ156" t="n">
        <v>1</v>
      </c>
      <c r="DB156" t="n">
        <v>1</v>
      </c>
      <c r="DC156" t="n">
        <v>1</v>
      </c>
      <c r="DD156" t="n">
        <v>1</v>
      </c>
    </row>
    <row r="157">
      <c r="A157" t="inlineStr">
        <is>
          <t>Recarga y mantenimiento</t>
        </is>
      </c>
      <c r="B157" t="inlineStr">
        <is>
          <t>Tarjeta de identificación DPS de revisión / recarga</t>
        </is>
      </c>
      <c r="C157" t="inlineStr">
        <is>
          <t>u</t>
        </is>
      </c>
      <c r="D157" t="inlineStr">
        <is>
          <t>PBA</t>
        </is>
      </c>
      <c r="E157" t="inlineStr">
        <is>
          <t>Ministerio de Ambiente PBA (ex OPDS)</t>
        </is>
      </c>
      <c r="F157" t="inlineStr">
        <is>
          <t>Recarga</t>
        </is>
      </c>
      <c r="AW157" t="n">
        <v>1</v>
      </c>
      <c r="AX157" t="n">
        <v>1</v>
      </c>
      <c r="AY157" t="n">
        <v>1</v>
      </c>
      <c r="BA157" t="n">
        <v>1</v>
      </c>
      <c r="BB157" t="n">
        <v>1</v>
      </c>
      <c r="BC157" t="n">
        <v>1</v>
      </c>
      <c r="BE157" t="n">
        <v>1</v>
      </c>
      <c r="BF157" t="n">
        <v>1</v>
      </c>
      <c r="BG157" t="n">
        <v>1</v>
      </c>
      <c r="BI157" t="n">
        <v>1</v>
      </c>
      <c r="BJ157" t="n">
        <v>1</v>
      </c>
      <c r="BK157" t="n">
        <v>1</v>
      </c>
      <c r="BM157" t="n">
        <v>1</v>
      </c>
      <c r="BN157" t="n">
        <v>1</v>
      </c>
      <c r="BP157" t="n">
        <v>1</v>
      </c>
      <c r="BQ157" t="n">
        <v>1</v>
      </c>
      <c r="BS157" t="n">
        <v>1</v>
      </c>
      <c r="BT157" t="n">
        <v>1</v>
      </c>
      <c r="BV157" t="n">
        <v>1</v>
      </c>
      <c r="BW157" t="n">
        <v>1</v>
      </c>
      <c r="BX157" t="n">
        <v>1</v>
      </c>
      <c r="BZ157" t="n">
        <v>1</v>
      </c>
      <c r="CA157" t="n">
        <v>1</v>
      </c>
      <c r="CC157" t="n">
        <v>1</v>
      </c>
      <c r="CD157" t="n">
        <v>1</v>
      </c>
      <c r="CF157" t="n">
        <v>1</v>
      </c>
      <c r="CG157" t="n">
        <v>1</v>
      </c>
      <c r="CI157" t="n">
        <v>1</v>
      </c>
      <c r="CJ157" t="n">
        <v>1</v>
      </c>
      <c r="CL157" t="n">
        <v>1</v>
      </c>
      <c r="CM157" t="n">
        <v>1</v>
      </c>
      <c r="CN157" t="n">
        <v>1</v>
      </c>
      <c r="CP157" t="n">
        <v>1</v>
      </c>
      <c r="CQ157" t="n">
        <v>1</v>
      </c>
      <c r="CR157" t="n">
        <v>1</v>
      </c>
      <c r="CT157" t="n">
        <v>1</v>
      </c>
      <c r="CU157" t="n">
        <v>1</v>
      </c>
      <c r="CV157" t="n">
        <v>1</v>
      </c>
      <c r="CX157" t="n">
        <v>1</v>
      </c>
      <c r="CY157" t="n">
        <v>1</v>
      </c>
      <c r="CZ157" t="n">
        <v>1</v>
      </c>
      <c r="DB157" t="n">
        <v>1</v>
      </c>
      <c r="DC157" t="n">
        <v>1</v>
      </c>
      <c r="DD157" t="n">
        <v>1</v>
      </c>
    </row>
    <row r="160">
      <c r="A160" s="4" t="inlineStr">
        <is>
          <t>Insumos de cada proceso (se planifican por su inductor; los que tienen dato por unidad lo muestran en la columna del producto)</t>
        </is>
      </c>
    </row>
    <row r="161">
      <c r="A161" s="54" t="inlineStr">
        <is>
          <t>Proceso</t>
        </is>
      </c>
      <c r="B161" s="54" t="inlineStr">
        <is>
          <t>Insumo</t>
        </is>
      </c>
      <c r="C161" s="54" t="inlineStr">
        <is>
          <t>Planilla / norma</t>
        </is>
      </c>
      <c r="D161" s="54" t="inlineStr">
        <is>
          <t>Entra MRP</t>
        </is>
      </c>
      <c r="E161" s="54" t="inlineStr">
        <is>
          <t>Proveedor</t>
        </is>
      </c>
      <c r="F161" s="54" t="inlineStr">
        <is>
          <t>Inductor de consumo</t>
        </is>
      </c>
    </row>
    <row r="162">
      <c r="A162" s="3" t="inlineStr">
        <is>
          <t>Soldadura MAG</t>
        </is>
      </c>
      <c r="B162" s="3" t="inlineStr">
        <is>
          <t>Puntas de contacto CuCrZr Ø0,9 / Ø1,2 y toberas</t>
        </is>
      </c>
      <c r="C162" s="3" t="inlineStr">
        <is>
          <t>Planilla MP-26</t>
        </is>
      </c>
      <c r="D162" s="3" t="inlineStr">
        <is>
          <t>Sí</t>
        </is>
      </c>
      <c r="E162" s="3" t="inlineStr">
        <is>
          <t>ESAB / Binzel vía distribuidor</t>
        </is>
      </c>
      <c r="F162" s="3" t="inlineStr">
        <is>
          <t>minutos de arco por unidad (columna por producto, de C2)</t>
        </is>
      </c>
      <c r="G162" t="n">
        <v>0.95</v>
      </c>
      <c r="H162" t="n">
        <v>1.94</v>
      </c>
      <c r="I162" t="n">
        <v>2.34</v>
      </c>
      <c r="J162" t="n">
        <v>2.91</v>
      </c>
      <c r="T162" t="n">
        <v>3.91</v>
      </c>
      <c r="U162" t="n">
        <v>4.88</v>
      </c>
      <c r="V162" t="n">
        <v>5.68</v>
      </c>
      <c r="W162" t="n">
        <v>6.04</v>
      </c>
      <c r="X162" t="n">
        <v>0.95</v>
      </c>
      <c r="Y162" t="n">
        <v>1.94</v>
      </c>
      <c r="Z162" t="n">
        <v>2.34</v>
      </c>
      <c r="AA162" t="n">
        <v>2.91</v>
      </c>
      <c r="AB162" t="n">
        <v>3.91</v>
      </c>
      <c r="AC162" t="n">
        <v>4.88</v>
      </c>
      <c r="AD162" t="n">
        <v>5.68</v>
      </c>
      <c r="AE162" t="n">
        <v>6.04</v>
      </c>
    </row>
    <row r="163">
      <c r="A163" s="55" t="inlineStr">
        <is>
          <t>Soldadura MAG</t>
        </is>
      </c>
      <c r="B163" s="55" t="inlineStr">
        <is>
          <t>Alambre ER70S-6 y gas Arcal 21</t>
        </is>
      </c>
      <c r="C163" s="55" t="inlineStr">
        <is>
          <t>Planilla MP-23/24/25</t>
        </is>
      </c>
      <c r="D163" s="55" t="inlineStr">
        <is>
          <t>Sí</t>
        </is>
      </c>
      <c r="E163" s="55" t="inlineStr">
        <is>
          <t>Conarco / Air Liquide</t>
        </is>
      </c>
      <c r="F163" s="55" t="inlineStr">
        <is>
          <t>por unidad (filas C1 y C2 de la matriz)</t>
        </is>
      </c>
    </row>
    <row r="164">
      <c r="A164" s="3" t="inlineStr">
        <is>
          <t>Corte y amolado</t>
        </is>
      </c>
      <c r="B164" s="3" t="inlineStr">
        <is>
          <t>Discos de amolado y corte Ø115</t>
        </is>
      </c>
      <c r="C164" s="3" t="inlineStr">
        <is>
          <t>Planilla MP-27</t>
        </is>
      </c>
      <c r="D164" s="3" t="inlineStr">
        <is>
          <t>Sí</t>
        </is>
      </c>
      <c r="E164" s="3" t="inlineStr">
        <is>
          <t>Norton / Pferd / 3M vía distribuidor</t>
        </is>
      </c>
      <c r="F164" s="3" t="inlineStr">
        <is>
          <t>horas de amolado y despunte</t>
        </is>
      </c>
    </row>
    <row r="165">
      <c r="A165" s="55" t="inlineStr">
        <is>
          <t>Granallado</t>
        </is>
      </c>
      <c r="B165" s="55" t="inlineStr">
        <is>
          <t>Granalla S330 / S390</t>
        </is>
      </c>
      <c r="C165" s="55" t="inlineStr">
        <is>
          <t>Planilla MP-28</t>
        </is>
      </c>
      <c r="D165" s="55" t="inlineStr">
        <is>
          <t>Sí</t>
        </is>
      </c>
      <c r="E165" s="55" t="inlineStr">
        <is>
          <t>CyM Materiales</t>
        </is>
      </c>
      <c r="F165" s="55" t="inlineStr">
        <is>
          <t>por unidad (fila C3 de la matriz)</t>
        </is>
      </c>
    </row>
    <row r="166">
      <c r="A166" s="3" t="inlineStr">
        <is>
          <t>Granallado</t>
        </is>
      </c>
      <c r="B166" s="3" t="inlineStr">
        <is>
          <t>Tapones cónicos de silicona para enmascarar roscas (reutilizables)</t>
        </is>
      </c>
      <c r="C166" s="3" t="inlineStr">
        <is>
          <t>Planilla MP-32</t>
        </is>
      </c>
      <c r="D166" s="3" t="inlineStr">
        <is>
          <t>Sí</t>
        </is>
      </c>
      <c r="E166" s="3" t="inlineStr">
        <is>
          <t>Distribuidor de enmascarado</t>
        </is>
      </c>
      <c r="F166" s="3" t="inlineStr">
        <is>
          <t>cuellos granallados / ciclos de vida del tapón</t>
        </is>
      </c>
    </row>
    <row r="167">
      <c r="A167" s="3" t="inlineStr">
        <is>
          <t>Pintura (tercerizada)</t>
        </is>
      </c>
      <c r="B167" s="3" t="inlineStr">
        <is>
          <t>Desengrasante alcalino y fosfatizante</t>
        </is>
      </c>
      <c r="C167" s="3" t="inlineStr">
        <is>
          <t>Planilla MP-29/30</t>
        </is>
      </c>
      <c r="D167" s="3" t="inlineStr">
        <is>
          <t>No</t>
        </is>
      </c>
      <c r="E167" s="3" t="inlineStr">
        <is>
          <t>Henkel / Chemetall</t>
        </is>
      </c>
      <c r="F167" s="3" t="inlineStr">
        <is>
          <t>los aporta el pintor mientras la pintura sea tercerizada</t>
        </is>
      </c>
    </row>
    <row r="168">
      <c r="A168" s="3" t="inlineStr">
        <is>
          <t>Prueba hidráulica</t>
        </is>
      </c>
      <c r="B168" s="3" t="inlineStr">
        <is>
          <t>Agua de red (circuito recirculado)</t>
        </is>
      </c>
      <c r="C168" s="3" t="inlineStr">
        <is>
          <t>Esquema banco PH</t>
        </is>
      </c>
      <c r="D168" s="3" t="inlineStr">
        <is>
          <t>No</t>
        </is>
      </c>
      <c r="E168" s="3" t="inlineStr">
        <is>
          <t>Red</t>
        </is>
      </c>
      <c r="F168" s="3" t="inlineStr">
        <is>
          <t>volumen del recipiente por ensayo (dm³ = L, columna por producto)</t>
        </is>
      </c>
      <c r="G168" t="n">
        <v>1.18</v>
      </c>
      <c r="H168" t="n">
        <v>3.5</v>
      </c>
      <c r="I168" t="n">
        <v>6</v>
      </c>
      <c r="J168" t="n">
        <v>12.5</v>
      </c>
      <c r="T168" t="n">
        <v>34.4</v>
      </c>
      <c r="U168" t="n">
        <v>61.8</v>
      </c>
      <c r="V168" t="n">
        <v>96</v>
      </c>
      <c r="W168" t="n">
        <v>121</v>
      </c>
      <c r="X168" t="n">
        <v>1.18</v>
      </c>
      <c r="Y168" t="n">
        <v>3.5</v>
      </c>
      <c r="Z168" t="n">
        <v>6</v>
      </c>
      <c r="AA168" t="n">
        <v>12.5</v>
      </c>
      <c r="AB168" t="n">
        <v>34.4</v>
      </c>
      <c r="AC168" t="n">
        <v>61.8</v>
      </c>
      <c r="AD168" t="n">
        <v>96</v>
      </c>
      <c r="AE168" t="n">
        <v>121</v>
      </c>
    </row>
    <row r="169">
      <c r="A169" s="3" t="inlineStr">
        <is>
          <t>Carga y presurización</t>
        </is>
      </c>
      <c r="B169" s="3" t="inlineStr">
        <is>
          <t>Nitrógeno seco y polvo ABC</t>
        </is>
      </c>
      <c r="C169" s="3" t="inlineStr">
        <is>
          <t>Planilla MP-34 · Sello IRAM 3569</t>
        </is>
      </c>
      <c r="D169" s="3" t="inlineStr">
        <is>
          <t>Sí</t>
        </is>
      </c>
      <c r="E169" s="3" t="inlineStr">
        <is>
          <t>Air Liquide / DEMSA</t>
        </is>
      </c>
      <c r="F169" s="3" t="inlineStr">
        <is>
          <t>por unidad (filas A1 y A2 de la matriz)</t>
        </is>
      </c>
    </row>
    <row r="170">
      <c r="A170" s="56" t="inlineStr">
        <is>
          <t>Carga, presurización y recarga</t>
        </is>
      </c>
      <c r="B170" s="56" t="inlineStr">
        <is>
          <t>Solución detectora de fugas</t>
        </is>
      </c>
      <c r="C170" s="56" t="inlineStr">
        <is>
          <t>IRAM 3517-2:2020 9.4.10 (ensayo de pérdidas)</t>
        </is>
      </c>
      <c r="D170" s="56" t="inlineStr">
        <is>
          <t>Sí</t>
        </is>
      </c>
      <c r="E170" s="56" t="inlineStr">
        <is>
          <t>A relevar</t>
        </is>
      </c>
      <c r="F170" s="56" t="inlineStr">
        <is>
          <t>unidades presurizadas y recargadas</t>
        </is>
      </c>
    </row>
    <row r="171">
      <c r="A171" s="3" t="inlineStr">
        <is>
          <t>Recarga</t>
        </is>
      </c>
      <c r="B171" s="3" t="inlineStr">
        <is>
          <t>Esmalte rojo de retoque</t>
        </is>
      </c>
      <c r="C171" s="3" t="inlineStr">
        <is>
          <t>Planilla MP-65</t>
        </is>
      </c>
      <c r="D171" s="3" t="inlineStr">
        <is>
          <t>Sí</t>
        </is>
      </c>
      <c r="E171" s="3" t="inlineStr">
        <is>
          <t>Sinteplast / Tersuave</t>
        </is>
      </c>
      <c r="F171" s="3" t="inlineStr">
        <is>
          <t>equipos recargados con daño de pintura</t>
        </is>
      </c>
    </row>
    <row r="172">
      <c r="A172" s="56" t="inlineStr">
        <is>
          <t>Recarga</t>
        </is>
      </c>
      <c r="B172" s="56" t="inlineStr">
        <is>
          <t>Lubricante para ejes y cojinetes de ruedas de carros</t>
        </is>
      </c>
      <c r="C172" s="56" t="inlineStr">
        <is>
          <t>IRAM 3517-2:2020 anexo (lista de revisión)</t>
        </is>
      </c>
      <c r="D172" s="56" t="inlineStr">
        <is>
          <t>Sí</t>
        </is>
      </c>
      <c r="E172" s="56" t="inlineStr">
        <is>
          <t>A relevar</t>
        </is>
      </c>
      <c r="F172" s="56" t="inlineStr">
        <is>
          <t>rodantes en mantenimiento</t>
        </is>
      </c>
    </row>
    <row r="173">
      <c r="A173" s="3" t="inlineStr">
        <is>
          <t>Embalaje</t>
        </is>
      </c>
      <c r="B173" s="3" t="inlineStr">
        <is>
          <t>Caja, cinta, film, pallet, esquineros, separadores y etiquetas</t>
        </is>
      </c>
      <c r="C173" s="3" t="inlineStr">
        <is>
          <t>Planilla MP-59 a 64</t>
        </is>
      </c>
      <c r="D173" s="3" t="inlineStr">
        <is>
          <t>Sí</t>
        </is>
      </c>
      <c r="E173" s="3" t="inlineStr">
        <is>
          <t>Maxipack / MV Embalajes / IndusPallets</t>
        </is>
      </c>
      <c r="F173" s="3" t="inlineStr">
        <is>
          <t>por unidad (filas E de la matriz)</t>
        </is>
      </c>
    </row>
  </sheetData>
  <autoFilter ref="A6:DE15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6" customWidth="1" min="1" max="1"/>
    <col width="52" customWidth="1" min="2" max="2"/>
    <col width="26" customWidth="1" min="3" max="3"/>
    <col width="22" customWidth="1" min="4" max="4"/>
    <col width="90" customWidth="1" min="5" max="5"/>
  </cols>
  <sheetData>
    <row r="1">
      <c r="A1" s="4" t="inlineStr">
        <is>
          <t>Fuentes y jerarquía: 1 norma IRAM &gt; 2 certificado IRAM y ficha del fabricante certificado local &gt; 3 catálogo &gt; 4 HDS internacional (las HDS aclaran que sus valores NO son especificación del producto)</t>
        </is>
      </c>
    </row>
    <row r="3" ht="20" customHeight="1">
      <c r="A3" s="16" t="inlineStr">
        <is>
          <t>Id</t>
        </is>
      </c>
      <c r="B3" s="16" t="inlineStr">
        <is>
          <t>Documento</t>
        </is>
      </c>
      <c r="C3" s="16" t="inlineStr">
        <is>
          <t>Tipo</t>
        </is>
      </c>
      <c r="D3" s="16" t="inlineStr">
        <is>
          <t>Confianza</t>
        </is>
      </c>
      <c r="E3" s="16" t="inlineStr">
        <is>
          <t>Datos que aporta</t>
        </is>
      </c>
    </row>
    <row r="4">
      <c r="A4" s="17" t="inlineStr">
        <is>
          <t>N1</t>
        </is>
      </c>
      <c r="B4" s="17" t="inlineStr">
        <is>
          <t>IRAM 3517-2:2020</t>
        </is>
      </c>
      <c r="C4" s="17" t="inlineStr">
        <is>
          <t>Norma IRAM (licencia)</t>
        </is>
      </c>
      <c r="D4" s="17" t="inlineStr">
        <is>
          <t>1 - manda</t>
        </is>
      </c>
      <c r="E4" s="17" t="inlineStr">
        <is>
          <t>Tabla 2 gas impulsor; tabla 3 tolerancia de carga; 9.4.13 precinto; 9.9.1 agentes; 4.4.1 recuperación</t>
        </is>
      </c>
    </row>
    <row r="5">
      <c r="A5" s="17" t="inlineStr">
        <is>
          <t>N2</t>
        </is>
      </c>
      <c r="B5" s="17" t="inlineStr">
        <is>
          <t>IRAM 3523 (polvo bajo presión manuales)</t>
        </is>
      </c>
      <c r="C5" s="17" t="inlineStr">
        <is>
          <t>Norma IRAM</t>
        </is>
      </c>
      <c r="D5" s="17" t="inlineStr">
        <is>
          <t>1 - manda</t>
        </is>
      </c>
      <c r="E5" s="17" t="inlineStr">
        <is>
          <t>2.2 capacidad = masa de polvo; 2.3 Ps a 20 °C; 3.10 N₂ seco; 4.6 tabla II tolerancia; 4.7 Ps &lt; 1,7 MPa</t>
        </is>
      </c>
    </row>
    <row r="6">
      <c r="A6" s="17" t="inlineStr">
        <is>
          <t>N3</t>
        </is>
      </c>
      <c r="B6" s="17" t="inlineStr">
        <is>
          <t>IRAM 3569:1996 (polvos ABC)</t>
        </is>
      </c>
      <c r="C6" s="17" t="inlineStr">
        <is>
          <t>Norma IRAM</t>
        </is>
      </c>
      <c r="D6" s="17" t="inlineStr">
        <is>
          <t>1 - manda</t>
        </is>
      </c>
      <c r="E6" s="17" t="inlineStr">
        <is>
          <t>No fija el % de MAP: composición declarada por el fabricante del polvo (± 5 % / ± 10 % relativo) ligada al polvo con que se calificó el potencial; color grisáceo; humedad ≤ 0,25; higroscopicidad ≤ 3</t>
        </is>
      </c>
    </row>
    <row r="7">
      <c r="A7" s="17" t="inlineStr">
        <is>
          <t>N4</t>
        </is>
      </c>
      <c r="B7" s="17" t="inlineStr">
        <is>
          <t>IRAM 3550:1981 (polvo sobre ruedas)</t>
        </is>
      </c>
      <c r="C7" s="17" t="inlineStr">
        <is>
          <t>Norma IRAM</t>
        </is>
      </c>
      <c r="D7" s="17" t="inlineStr">
        <is>
          <t>1 - manda</t>
        </is>
      </c>
      <c r="E7" s="17" t="inlineStr">
        <is>
          <t>3.2 recipiente; 4.1.3 espesor (fórmula y mínimos 2,9 / 4,5 mm); 4.1.4-4.1.6 estanquidad y expansión; 4.5 niebla salina 240 h</t>
        </is>
      </c>
    </row>
    <row r="8">
      <c r="A8" s="17" t="inlineStr">
        <is>
          <t>N5</t>
        </is>
      </c>
      <c r="B8" s="17" t="inlineStr">
        <is>
          <t>IRAM 3566 / 3697 / 3515 / 3526-1 (normas de agente de los revendidos)</t>
        </is>
      </c>
      <c r="C8" s="17" t="inlineStr">
        <is>
          <t>Norma IRAM</t>
        </is>
      </c>
      <c r="D8" s="17" t="inlineStr">
        <is>
          <t>1 - no necesarias</t>
        </is>
      </c>
      <c r="E8" s="17" t="inlineStr">
        <is>
          <t>Los revendidos llegan con el agente cargado por el fabricante certificado</t>
        </is>
      </c>
    </row>
    <row r="9">
      <c r="A9" s="17" t="inlineStr">
        <is>
          <t>L1</t>
        </is>
      </c>
      <c r="B9" s="17" t="inlineStr">
        <is>
          <t>Licencia IRAM 3523 Drago/Norbco (Luis Pasquinelli e Hijos SA), anexo I 2008</t>
        </is>
      </c>
      <c r="C9" s="17" t="inlineStr">
        <is>
          <t>Certificado IRAM</t>
        </is>
      </c>
      <c r="D9" s="17" t="inlineStr">
        <is>
          <t>2</t>
        </is>
      </c>
      <c r="E9" s="17" t="inlineStr">
        <is>
          <t>Potencial por grado: 1 kg DEM-60 1A-5B; 5 kg DEM-60 6A-40B / DEM-90 10A-40B; 10 kg DEM-60 6A-60B / DEM-90 10A-60B</t>
        </is>
      </c>
    </row>
    <row r="10">
      <c r="A10" s="17" t="inlineStr">
        <is>
          <t>M0</t>
        </is>
      </c>
      <c r="B10" s="17" t="inlineStr">
        <is>
          <t>Relevamiento fotográfico de equipos instalados y línea de etiquetado (2026): Georgia, Melisam, Fadesa, Horizonte, De León, Maxiseguridad; recargadores Suyai y Firegram</t>
        </is>
      </c>
      <c r="C10" s="17" t="inlineStr">
        <is>
          <t>Mercado (observación directa)</t>
        </is>
      </c>
      <c r="D10" s="17" t="inlineStr">
        <is>
          <t>3</t>
        </is>
      </c>
      <c r="E10" s="17" t="inlineStr">
        <is>
          <t>Diagramación de etiqueta (panel 108° + alas de datos y mantenimiento), textos de instrucciones, estampilla IRAM (n° vertical, guilloche rosa, QR), oblea PBA (anillo, n°, próxima revisión), tarjeta AGC autoadhesiva con QR, etiqueta GS1 de serie, faja de garantía, precinto de color, alternativa BV «Modelo aprobado»</t>
        </is>
      </c>
    </row>
    <row r="11">
      <c r="A11" s="17" t="inlineStr">
        <is>
          <t>L2</t>
        </is>
      </c>
      <c r="B11" s="17" t="inlineStr">
        <is>
          <t>Licencia IRAM 3694 Drago y Georgia/Fadesa</t>
        </is>
      </c>
      <c r="C11" s="17" t="inlineStr">
        <is>
          <t>Certificado IRAM</t>
        </is>
      </c>
      <c r="D11" s="17" t="inlineStr">
        <is>
          <t>2</t>
        </is>
      </c>
      <c r="E11" s="17" t="inlineStr">
        <is>
          <t>Agente clase K certificado: DEMSA KITCHEN (DEM S.A.) o Cookingwater (Quimex); 6 y 10 L; 1A-K</t>
        </is>
      </c>
    </row>
    <row r="12">
      <c r="A12" s="17" t="inlineStr">
        <is>
          <t>L3</t>
        </is>
      </c>
      <c r="B12" s="17" t="inlineStr">
        <is>
          <t>Licencia IRAM 3527 Drago 10 L</t>
        </is>
      </c>
      <c r="C12" s="17" t="inlineStr">
        <is>
          <t>Certificado IRAM</t>
        </is>
      </c>
      <c r="D12" s="17" t="inlineStr">
        <is>
          <t>2</t>
        </is>
      </c>
      <c r="E12" s="17" t="inlineStr">
        <is>
          <t>AFFF marca DEM S.A.; recipiente aluminio; 3A-10B</t>
        </is>
      </c>
    </row>
    <row r="13">
      <c r="A13" s="17" t="inlineStr">
        <is>
          <t>A1</t>
        </is>
      </c>
      <c r="B13" s="17" t="inlineStr">
        <is>
          <t>DEMSA ABC 40 / 55 / 55 Premium / 90 - hojas técnicas</t>
        </is>
      </c>
      <c r="C13" s="17" t="inlineStr">
        <is>
          <t>Fabricante argentino del agente (Sello IRAM 3569, BVQI)</t>
        </is>
      </c>
      <c r="D13" s="17" t="inlineStr">
        <is>
          <t>2</t>
        </is>
      </c>
      <c r="E13" s="17" t="inlineStr">
        <is>
          <t>MAP 40 / 55 (55,9-64,3 Premium) / 90 %; granulometría, repelencia ≥ 90-97, humedad ≤ 0,25</t>
        </is>
      </c>
    </row>
    <row r="14">
      <c r="A14" s="17" t="inlineStr">
        <is>
          <t>A2</t>
        </is>
      </c>
      <c r="B14" s="17" t="inlineStr">
        <is>
          <t>DEMSA hoja de seguridad ABC</t>
        </is>
      </c>
      <c r="C14" s="17" t="inlineStr">
        <is>
          <t>Fabricante argentino</t>
        </is>
      </c>
      <c r="D14" s="17" t="inlineStr">
        <is>
          <t>2</t>
        </is>
      </c>
      <c r="E14" s="17" t="inlineStr">
        <is>
          <t>MAP 40-90 %, sulfato de amonio 5-55 %; densidad aparente &gt; 0,85; pH 6-7,5</t>
        </is>
      </c>
    </row>
    <row r="15">
      <c r="A15" s="17" t="inlineStr">
        <is>
          <t>A3</t>
        </is>
      </c>
      <c r="B15" s="17" t="inlineStr">
        <is>
          <t>DEMSA catálogo</t>
        </is>
      </c>
      <c r="C15" s="17" t="inlineStr">
        <is>
          <t>Fabricante argentino</t>
        </is>
      </c>
      <c r="D15" s="17" t="inlineStr">
        <is>
          <t>2</t>
        </is>
      </c>
      <c r="E15" s="17" t="inlineStr">
        <is>
          <t>Especificación IRAM por grado: ABC 55 52,25-57,75 %; ABC 90 85,5-94,5 %; BC 85,5-94,5 %; AFFF 3 % 1,025</t>
        </is>
      </c>
    </row>
    <row r="16">
      <c r="A16" s="17" t="inlineStr">
        <is>
          <t>A4</t>
        </is>
      </c>
      <c r="B16" s="17" t="inlineStr">
        <is>
          <t>DEMSA BC STD / Púrpura K (IRAM 3566), clase D, Kitchen (IRAM 3697), AFFF 203 MN (IRAM 3515)</t>
        </is>
      </c>
      <c r="C16" s="17" t="inlineStr">
        <is>
          <t>Fabricante argentino</t>
        </is>
      </c>
      <c r="D16" s="17" t="inlineStr">
        <is>
          <t>2</t>
        </is>
      </c>
      <c r="E16" s="17" t="inlineStr">
        <is>
          <t>NaHCO₃ ≥ 85,5 %; KHCO₃ 92 ± 5 %; NaCl &gt; 90 %; Kitchen 1,300 g/ml pH 8,5</t>
        </is>
      </c>
    </row>
    <row r="17">
      <c r="A17" s="17" t="inlineStr">
        <is>
          <t>F1</t>
        </is>
      </c>
      <c r="B17" s="17" t="inlineStr">
        <is>
          <t>Georgia fichas técnicas ABC 60 (1; 2,5 kg), ABC 90 (5 a 100 kg), clase D, acetato</t>
        </is>
      </c>
      <c r="C17" s="17" t="inlineStr">
        <is>
          <t>Fabricante argentino del extintor</t>
        </is>
      </c>
      <c r="D17" s="17" t="inlineStr">
        <is>
          <t>3</t>
        </is>
      </c>
      <c r="E17" s="17" t="inlineStr">
        <is>
          <t>Pesos, medidas, potencial, gas (N₂ seco)</t>
        </is>
      </c>
    </row>
    <row r="18">
      <c r="A18" s="17" t="inlineStr">
        <is>
          <t>F2</t>
        </is>
      </c>
      <c r="B18" s="17" t="inlineStr">
        <is>
          <t>Melisam fichas ABC, HFC 236fa, acetato</t>
        </is>
      </c>
      <c r="C18" s="17" t="inlineStr">
        <is>
          <t>Fabricante argentino del extintor</t>
        </is>
      </c>
      <c r="D18" s="17" t="inlineStr">
        <is>
          <t>3</t>
        </is>
      </c>
      <c r="E18" s="17" t="inlineStr">
        <is>
          <t>Pesos y medidas; acetato 6 L 9,5 kg (coherente con 1,30 g/ml)</t>
        </is>
      </c>
    </row>
    <row r="19">
      <c r="A19" s="17" t="inlineStr">
        <is>
          <t>C1</t>
        </is>
      </c>
      <c r="B19" s="17" t="inlineStr">
        <is>
          <t>Catálogo Fadesa 3</t>
        </is>
      </c>
      <c r="C19" s="17" t="inlineStr">
        <is>
          <t>Catálogo comercial</t>
        </is>
      </c>
      <c r="D19" s="17" t="inlineStr">
        <is>
          <t>4 - pesos repetidos entre tablas</t>
        </is>
      </c>
      <c r="E19" s="17" t="inlineStr">
        <is>
          <t>Dimensiones y Ps</t>
        </is>
      </c>
    </row>
    <row r="20">
      <c r="A20" s="17" t="inlineStr">
        <is>
          <t>X1</t>
        </is>
      </c>
      <c r="B20" s="17" t="inlineStr">
        <is>
          <t>HDS internacionales (Buckeye, Amerex, Badger, Brooks, Halotron, Met-L-X)</t>
        </is>
      </c>
      <c r="C20" s="17" t="inlineStr">
        <is>
          <t>HDS</t>
        </is>
      </c>
      <c r="D20" s="17" t="inlineStr">
        <is>
          <t>5 - respaldo</t>
        </is>
      </c>
      <c r="E20" s="17" t="inlineStr">
        <is>
          <t>Química y mecanismo; sus valores no son especificación</t>
        </is>
      </c>
    </row>
    <row r="21">
      <c r="A21" s="17" t="inlineStr">
        <is>
          <t>T1</t>
        </is>
      </c>
      <c r="B21" s="17" t="inlineStr">
        <is>
          <t>Air Liquide (ES) / Ingemecánica - parámetros MAG</t>
        </is>
      </c>
      <c r="C21" s="17" t="inlineStr">
        <is>
          <t>Fuente técnica</t>
        </is>
      </c>
      <c r="D21" s="17" t="inlineStr">
        <is>
          <t>4</t>
        </is>
      </c>
      <c r="E21" s="17" t="inlineStr">
        <is>
          <t>Caudal de gas 12-16 L/min para alambre 0,9-1,2 mm</t>
        </is>
      </c>
    </row>
    <row r="22">
      <c r="A22" s="17" t="inlineStr">
        <is>
          <t>T2</t>
        </is>
      </c>
      <c r="B22" s="17" t="inlineStr">
        <is>
          <t>ESAB - rendimiento de deposición</t>
        </is>
      </c>
      <c r="C22" s="17" t="inlineStr">
        <is>
          <t>Fuente técnica</t>
        </is>
      </c>
      <c r="D22" s="17" t="inlineStr">
        <is>
          <t>4</t>
        </is>
      </c>
      <c r="E22" s="17" t="inlineStr">
        <is>
          <t>Alambre macizo MAG: 90-97 % del alambre queda depositado</t>
        </is>
      </c>
    </row>
    <row r="23">
      <c r="A23" s="17" t="inlineStr">
        <is>
          <t>T3</t>
        </is>
      </c>
      <c r="B23" s="17" t="inlineStr">
        <is>
          <t>The Fabricator - «Los aspectos básicos del granallado por turbina»</t>
        </is>
      </c>
      <c r="C23" s="17" t="inlineStr">
        <is>
          <t>Fuente técnica</t>
        </is>
      </c>
      <c r="D23" s="17" t="inlineStr">
        <is>
          <t>4</t>
        </is>
      </c>
      <c r="E23" s="17" t="inlineStr">
        <is>
          <t>Consumo de granalla por turbina ≈ HP / 2 lb/h</t>
        </is>
      </c>
    </row>
    <row r="24">
      <c r="A24" s="17" t="inlineStr">
        <is>
          <t>T4</t>
        </is>
      </c>
      <c r="B24" s="17" t="inlineStr">
        <is>
          <t>NOM-104-STPS-2001 (México) - polvo químico seco ABC</t>
        </is>
      </c>
      <c r="C24" s="17" t="inlineStr">
        <is>
          <t>Norma extranjera de referencia</t>
        </is>
      </c>
      <c r="D24" s="17" t="inlineStr">
        <is>
          <t>4</t>
        </is>
      </c>
      <c r="E24" s="17" t="inlineStr">
        <is>
          <t>Densidad aparente ≥ 0,82 y empacada ≥ 1,10 g/cm³ (IRAM 3569 no fija densidad)</t>
        </is>
      </c>
    </row>
    <row r="25">
      <c r="A25" s="17" t="inlineStr">
        <is>
          <t>T5</t>
        </is>
      </c>
      <c r="B25" s="17" t="inlineStr">
        <is>
          <t>IRAM 3525:1983 3.2.1 y 3.2.2 (agua bajo presión)</t>
        </is>
      </c>
      <c r="C25" s="17" t="inlineStr">
        <is>
          <t>Norma IRAM</t>
        </is>
      </c>
      <c r="D25" s="17" t="inlineStr">
        <is>
          <t>1 - manda</t>
        </is>
      </c>
      <c r="E25" s="17" t="inlineStr">
        <is>
          <t>Recipiente inoxidable IRAM 30 304 e ≥ 0,63; ≤ 1 costura longitudinal y ≤ 2 transversales por proceso automático (arco sumergido, resistencia, atmósfera inerte o brazing): TIG con Ar puro = atmósfera inerte</t>
        </is>
      </c>
    </row>
    <row r="26">
      <c r="A26" s="17" t="inlineStr">
        <is>
          <t>T6</t>
        </is>
      </c>
      <c r="B26" s="17" t="inlineStr">
        <is>
          <t>Webs y registros de los proveedores (Ruedar, Escanort, Gockel, Yukon, Iglesias, Astuprint, etc.)</t>
        </is>
      </c>
      <c r="C26" s="17" t="inlineStr">
        <is>
          <t>Mercado</t>
        </is>
      </c>
      <c r="D26" s="17" t="inlineStr">
        <is>
          <t>3</t>
        </is>
      </c>
      <c r="E26" s="17" t="inlineStr">
        <is>
          <t>Producto exacto y domicilio; ver 10_Proveedores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2" customWidth="1" min="1" max="1"/>
    <col width="34" customWidth="1" min="2" max="2"/>
    <col width="12" customWidth="1" min="3" max="3"/>
    <col width="44" customWidth="1" min="4" max="4"/>
    <col width="14" customWidth="1" min="5" max="5"/>
    <col width="11" customWidth="1" min="6" max="6"/>
  </cols>
  <sheetData>
    <row r="1">
      <c r="A1" s="4" t="inlineStr">
        <is>
          <t>Comparación con el mercado: peso cargado real de otros fabricantes</t>
        </is>
      </c>
    </row>
    <row r="2" ht="60" customHeight="1">
      <c r="A2" s="3" t="inlineStr">
        <is>
          <t>En el catálogo de referencia el peso cargado de HCFC, HFC 236fa, BC y clase D es idéntico al de ABC (1,90 / 4,60 / 8,50 / 16,50 kg) y el de agua pulverizada 10 dm³ es igual al de acetato 10 dm³ (13,00 kg): son valores repetidos entre tablas, no pesadas. Un HCFC 5 kg (densidad 1,48) no puede pesar lo mismo que un ABC 5 kg en el mismo recipiente salvo por casualidad. Por eso el desvío contra catálogo no puede exigirse en 0: sirve como orden de magnitud y se valida con el rango de mercado.</t>
        </is>
      </c>
    </row>
    <row r="4" ht="30" customHeight="1">
      <c r="A4" s="16" t="inlineStr">
        <is>
          <t>Plano</t>
        </is>
      </c>
      <c r="B4" s="16" t="inlineStr">
        <is>
          <t>Referencia</t>
        </is>
      </c>
      <c r="C4" s="16" t="inlineStr">
        <is>
          <t>Peso cargado (kg)</t>
        </is>
      </c>
      <c r="D4" s="16" t="inlineStr">
        <is>
          <t>Fuente</t>
        </is>
      </c>
      <c r="E4" s="16" t="inlineStr">
        <is>
          <t>FLAMA modelo (kg)</t>
        </is>
      </c>
      <c r="F4" s="16" t="inlineStr">
        <is>
          <t>Diferencia</t>
        </is>
      </c>
    </row>
    <row r="5">
      <c r="A5" s="5" t="inlineStr">
        <is>
          <t>FL_MAT_ABC_1kg</t>
        </is>
      </c>
      <c r="B5" s="5" t="inlineStr">
        <is>
          <t>Plano Fadesa extintor 1 kg Ø76 válvula HZ R1</t>
        </is>
      </c>
      <c r="C5" s="5" t="n">
        <v>1.84</v>
      </c>
      <c r="D5" s="5" t="inlineStr">
        <is>
          <t>Plano Fadesa (masa total)</t>
        </is>
      </c>
      <c r="E5" s="20">
        <f>'BOM_FL_MAT_ABC_1kg'!G4</f>
        <v/>
      </c>
      <c r="F5" s="21">
        <f>E5/C5-1</f>
        <v/>
      </c>
    </row>
    <row r="6">
      <c r="A6" s="5" t="inlineStr">
        <is>
          <t>FL_MAT_ABC_2.5kg</t>
        </is>
      </c>
      <c r="B6" s="5" t="inlineStr">
        <is>
          <t>Plano Fadesa extintor 2,5 kg válvula HZ R1</t>
        </is>
      </c>
      <c r="C6" s="5" t="n">
        <v>4.62</v>
      </c>
      <c r="D6" s="5" t="inlineStr">
        <is>
          <t>Plano Fadesa (masa total)</t>
        </is>
      </c>
      <c r="E6" s="20">
        <f>'BOM_FL_MAT_ABC_2.5kg'!G4</f>
        <v/>
      </c>
      <c r="F6" s="21">
        <f>E6/C6-1</f>
        <v/>
      </c>
    </row>
    <row r="7">
      <c r="A7" s="5" t="inlineStr">
        <is>
          <t>FL_MAT_ABC_5kg</t>
        </is>
      </c>
      <c r="B7" s="5" t="inlineStr">
        <is>
          <t>Plano Fadesa extintor 5 kg válvula HZ R1</t>
        </is>
      </c>
      <c r="C7" s="5" t="n">
        <v>8.4</v>
      </c>
      <c r="D7" s="5" t="inlineStr">
        <is>
          <t>Plano Fadesa (masa total)</t>
        </is>
      </c>
      <c r="E7" s="20">
        <f>'BOM_FL_MAT_ABC_5kg'!G4</f>
        <v/>
      </c>
      <c r="F7" s="21">
        <f>E7/C7-1</f>
        <v/>
      </c>
    </row>
    <row r="8">
      <c r="A8" s="5" t="inlineStr">
        <is>
          <t>FL_MAT_ABC_10kg</t>
        </is>
      </c>
      <c r="B8" s="5" t="inlineStr">
        <is>
          <t>Plano Fadesa extintor 10 kg HZ R1</t>
        </is>
      </c>
      <c r="C8" s="5" t="n">
        <v>16.4</v>
      </c>
      <c r="D8" s="5" t="inlineStr">
        <is>
          <t>Plano Fadesa (masa total)</t>
        </is>
      </c>
      <c r="E8" s="20">
        <f>'BOM_FL_MAT_ABC_10kg'!G4</f>
        <v/>
      </c>
      <c r="F8" s="21">
        <f>E8/C8-1</f>
        <v/>
      </c>
    </row>
    <row r="9">
      <c r="A9" s="5" t="inlineStr">
        <is>
          <t>FL_MAT_ABC_25kg</t>
        </is>
      </c>
      <c r="B9" s="5" t="inlineStr">
        <is>
          <t>Plano Fadesa extintor rodante 25 kg R1</t>
        </is>
      </c>
      <c r="C9" s="5" t="n">
        <v>53.2</v>
      </c>
      <c r="D9" s="5" t="inlineStr">
        <is>
          <t>Plano Fadesa (masa total)</t>
        </is>
      </c>
      <c r="E9" s="20">
        <f>'BOM_FL_MAT_ABC_25kg'!G4</f>
        <v/>
      </c>
      <c r="F9" s="21">
        <f>E9/C9-1</f>
        <v/>
      </c>
    </row>
    <row r="10">
      <c r="A10" s="5" t="inlineStr">
        <is>
          <t>FL_MAT_ABC_50kg</t>
        </is>
      </c>
      <c r="B10" s="5" t="inlineStr">
        <is>
          <t>Plano Fadesa extintor rodante 50 kg R1</t>
        </is>
      </c>
      <c r="C10" s="5" t="n">
        <v>94</v>
      </c>
      <c r="D10" s="5" t="inlineStr">
        <is>
          <t>Plano Fadesa (masa total)</t>
        </is>
      </c>
      <c r="E10" s="20">
        <f>'BOM_FL_MAT_ABC_50kg'!G4</f>
        <v/>
      </c>
      <c r="F10" s="21">
        <f>E10/C10-1</f>
        <v/>
      </c>
    </row>
    <row r="11">
      <c r="A11" s="5" t="inlineStr">
        <is>
          <t>FL_MAT_ABC_100kg</t>
        </is>
      </c>
      <c r="B11" s="5" t="inlineStr">
        <is>
          <t>Plano Fadesa extintor rodante 100 kg R1</t>
        </is>
      </c>
      <c r="C11" s="5" t="n">
        <v>187.6</v>
      </c>
      <c r="D11" s="5" t="inlineStr">
        <is>
          <t>Plano Fadesa (masa total)</t>
        </is>
      </c>
      <c r="E11" s="20">
        <f>'BOM_FL_MAT_ABC_100kg'!G4</f>
        <v/>
      </c>
      <c r="F11" s="21">
        <f>E11/C11-1</f>
        <v/>
      </c>
    </row>
    <row r="12">
      <c r="A12" s="5" t="inlineStr">
        <is>
          <t>FL_MAT_ABC_1kg</t>
        </is>
      </c>
      <c r="B12" s="5" t="inlineStr">
        <is>
          <t>Georgia ABC 60 1 kg Ø3" (330 × 76)</t>
        </is>
      </c>
      <c r="C12" s="5" t="n">
        <v>1.82</v>
      </c>
      <c r="D12" s="5" t="inlineStr">
        <is>
          <t>Ficha técnica Georgia</t>
        </is>
      </c>
      <c r="E12" s="20">
        <f>'BOM_FL_MAT_ABC_1kg'!G4</f>
        <v/>
      </c>
      <c r="F12" s="21">
        <f>E12/C12-1</f>
        <v/>
      </c>
    </row>
    <row r="13">
      <c r="A13" s="5" t="inlineStr">
        <is>
          <t>FL_MAT_ABC_1kg</t>
        </is>
      </c>
      <c r="B13" s="5" t="inlineStr">
        <is>
          <t>Fadesa 1 kg Ø3 (340 × 92)</t>
        </is>
      </c>
      <c r="C13" s="5" t="n">
        <v>1.9</v>
      </c>
      <c r="D13" s="5" t="inlineStr">
        <is>
          <t>Catálogo Fadesa pág. 4</t>
        </is>
      </c>
      <c r="E13" s="20">
        <f>'BOM_FL_MAT_ABC_1kg'!G4</f>
        <v/>
      </c>
      <c r="F13" s="21">
        <f>E13/C13-1</f>
        <v/>
      </c>
    </row>
    <row r="14">
      <c r="A14" s="5" t="inlineStr">
        <is>
          <t>FL_MAT_ABC_2.5kg</t>
        </is>
      </c>
      <c r="B14" s="5" t="inlineStr">
        <is>
          <t>Georgia ABC 60 2,5 kg (380 × 230 × 135)</t>
        </is>
      </c>
      <c r="C14" s="5" t="n">
        <v>5.2</v>
      </c>
      <c r="D14" s="5" t="inlineStr">
        <is>
          <t>Ficha técnica Georgia</t>
        </is>
      </c>
      <c r="E14" s="20">
        <f>'BOM_FL_MAT_ABC_2.5kg'!G4</f>
        <v/>
      </c>
      <c r="F14" s="21">
        <f>E14/C14-1</f>
        <v/>
      </c>
    </row>
    <row r="15">
      <c r="A15" s="5" t="inlineStr">
        <is>
          <t>FL_MAT_ABC_2.5kg</t>
        </is>
      </c>
      <c r="B15" s="5" t="inlineStr">
        <is>
          <t>Melisam ABC 2,5 kg (435 × 217 × 125)</t>
        </is>
      </c>
      <c r="C15" s="5" t="n">
        <v>5.1</v>
      </c>
      <c r="D15" s="5" t="inlineStr">
        <is>
          <t>Ficha técnica Melisam</t>
        </is>
      </c>
      <c r="E15" s="20">
        <f>'BOM_FL_MAT_ABC_2.5kg'!G4</f>
        <v/>
      </c>
      <c r="F15" s="21">
        <f>E15/C15-1</f>
        <v/>
      </c>
    </row>
    <row r="16">
      <c r="A16" s="5" t="inlineStr">
        <is>
          <t>FL_MAT_ABC_5kg</t>
        </is>
      </c>
      <c r="B16" s="5" t="inlineStr">
        <is>
          <t>Georgia ABC 90 5 kg (480 × 240 × 175)</t>
        </is>
      </c>
      <c r="C16" s="5" t="n">
        <v>8.9</v>
      </c>
      <c r="D16" s="5" t="inlineStr">
        <is>
          <t>Ficha técnica Georgia</t>
        </is>
      </c>
      <c r="E16" s="20">
        <f>'BOM_FL_MAT_ABC_5kg'!G4</f>
        <v/>
      </c>
      <c r="F16" s="21">
        <f>E16/C16-1</f>
        <v/>
      </c>
    </row>
    <row r="17">
      <c r="A17" s="5" t="inlineStr">
        <is>
          <t>FL_MAT_ABC_5kg</t>
        </is>
      </c>
      <c r="B17" s="5" t="inlineStr">
        <is>
          <t>Melisam ABC 5 kg (466 × 245 × 159)</t>
        </is>
      </c>
      <c r="C17" s="5" t="n">
        <v>8.449999999999999</v>
      </c>
      <c r="D17" s="5" t="inlineStr">
        <is>
          <t>Ficha técnica Melisam</t>
        </is>
      </c>
      <c r="E17" s="20">
        <f>'BOM_FL_MAT_ABC_5kg'!G4</f>
        <v/>
      </c>
      <c r="F17" s="21">
        <f>E17/C17-1</f>
        <v/>
      </c>
    </row>
    <row r="18">
      <c r="A18" s="5" t="inlineStr">
        <is>
          <t>FL_MAT_ABC_10kg</t>
        </is>
      </c>
      <c r="B18" s="5" t="inlineStr">
        <is>
          <t>Georgia ABC 90 10 kg (690 × 250 × 175)</t>
        </is>
      </c>
      <c r="C18" s="5" t="n">
        <v>16.3</v>
      </c>
      <c r="D18" s="5" t="inlineStr">
        <is>
          <t>Ficha técnica Georgia</t>
        </is>
      </c>
      <c r="E18" s="20">
        <f>'BOM_FL_MAT_ABC_10kg'!G4</f>
        <v/>
      </c>
      <c r="F18" s="21">
        <f>E18/C18-1</f>
        <v/>
      </c>
    </row>
    <row r="19">
      <c r="A19" s="5" t="inlineStr">
        <is>
          <t>FL_MAT_ABC_10kg</t>
        </is>
      </c>
      <c r="B19" s="5" t="inlineStr">
        <is>
          <t>Melisam ABC 10 kg (630 × 255 × 179)</t>
        </is>
      </c>
      <c r="C19" s="5" t="n">
        <v>15.5</v>
      </c>
      <c r="D19" s="5" t="inlineStr">
        <is>
          <t>Ficha técnica Melisam</t>
        </is>
      </c>
      <c r="E19" s="20">
        <f>'BOM_FL_MAT_ABC_10kg'!G4</f>
        <v/>
      </c>
      <c r="F19" s="21">
        <f>E19/C19-1</f>
        <v/>
      </c>
    </row>
    <row r="20">
      <c r="A20" s="5" t="inlineStr">
        <is>
          <t>FL_MAT_ABC_25kg</t>
        </is>
      </c>
      <c r="B20" s="5" t="inlineStr">
        <is>
          <t>Georgia ABC 90 25 kg</t>
        </is>
      </c>
      <c r="C20" s="5" t="n">
        <v>55</v>
      </c>
      <c r="D20" s="5" t="inlineStr">
        <is>
          <t>Ficha técnica Georgia</t>
        </is>
      </c>
      <c r="E20" s="20">
        <f>'BOM_FL_MAT_ABC_25kg'!G4</f>
        <v/>
      </c>
      <c r="F20" s="21">
        <f>E20/C20-1</f>
        <v/>
      </c>
    </row>
    <row r="21">
      <c r="A21" s="5" t="inlineStr">
        <is>
          <t>FL_MAT_ABC_50kg</t>
        </is>
      </c>
      <c r="B21" s="5" t="inlineStr">
        <is>
          <t>Georgia ABC 90 50 kg</t>
        </is>
      </c>
      <c r="C21" s="5" t="n">
        <v>100</v>
      </c>
      <c r="D21" s="5" t="inlineStr">
        <is>
          <t>Ficha técnica Georgia</t>
        </is>
      </c>
      <c r="E21" s="20">
        <f>'BOM_FL_MAT_ABC_50kg'!G4</f>
        <v/>
      </c>
      <c r="F21" s="21">
        <f>E21/C21-1</f>
        <v/>
      </c>
    </row>
    <row r="22">
      <c r="A22" s="5" t="inlineStr">
        <is>
          <t>FL_MAT_ABC_70kg</t>
        </is>
      </c>
      <c r="B22" s="5" t="inlineStr">
        <is>
          <t>Georgia ABC 90 70 kg</t>
        </is>
      </c>
      <c r="C22" s="5" t="n">
        <v>140</v>
      </c>
      <c r="D22" s="5" t="inlineStr">
        <is>
          <t>Ficha técnica Georgia</t>
        </is>
      </c>
      <c r="E22" s="20">
        <f>'BOM_FL_MAT_ABC_70kg'!G4</f>
        <v/>
      </c>
      <c r="F22" s="21">
        <f>E22/C22-1</f>
        <v/>
      </c>
    </row>
    <row r="23">
      <c r="A23" s="5" t="inlineStr">
        <is>
          <t>FL_MAT_ABC_100kg</t>
        </is>
      </c>
      <c r="B23" s="5" t="inlineStr">
        <is>
          <t>Georgia ABC 90 100 kg</t>
        </is>
      </c>
      <c r="C23" s="5" t="n">
        <v>185</v>
      </c>
      <c r="D23" s="5" t="inlineStr">
        <is>
          <t>Ficha técnica Georgia</t>
        </is>
      </c>
      <c r="E23" s="20">
        <f>'BOM_FL_MAT_ABC_100kg'!G4</f>
        <v/>
      </c>
      <c r="F23" s="21">
        <f>E23/C23-1</f>
        <v/>
      </c>
    </row>
    <row r="24">
      <c r="A24" s="5" t="inlineStr">
        <is>
          <t>FL_MAT_SALESK_6l</t>
        </is>
      </c>
      <c r="B24" s="5" t="inlineStr">
        <is>
          <t>Melisam acetato 6 L inox (450 × 235 × 179)</t>
        </is>
      </c>
      <c r="C24" s="5" t="n">
        <v>9.5</v>
      </c>
      <c r="D24" s="5" t="inlineStr">
        <is>
          <t>Ficha técnica Melisam</t>
        </is>
      </c>
      <c r="E24" s="20">
        <f>'BOM_FL_MAT_SALESK_6l'!G4</f>
        <v/>
      </c>
      <c r="F24" s="21">
        <f>E24/C24-1</f>
        <v/>
      </c>
    </row>
    <row r="25">
      <c r="A25" s="5" t="inlineStr">
        <is>
          <t>FL_MAT_SALESK_6l</t>
        </is>
      </c>
      <c r="B25" s="5" t="inlineStr">
        <is>
          <t>Georgia/Fadesa acetato 6 L (dato inconsistente con 1,30 g/ml)</t>
        </is>
      </c>
      <c r="C25" s="5" t="n">
        <v>8.25</v>
      </c>
      <c r="D25" s="5" t="inlineStr">
        <is>
          <t>Ficha Georgia / catálogo Fadesa</t>
        </is>
      </c>
      <c r="E25" s="20">
        <f>'BOM_FL_MAT_SALESK_6l'!G4</f>
        <v/>
      </c>
      <c r="F25" s="21">
        <f>E25/C25-1</f>
        <v/>
      </c>
    </row>
  </sheetData>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40" customWidth="1" min="1" max="1"/>
    <col width="12" customWidth="1" min="2" max="2"/>
    <col width="30" customWidth="1" min="3" max="3"/>
    <col width="26" customWidth="1" min="4" max="4"/>
    <col width="30" customWidth="1" min="5" max="5"/>
    <col width="30" customWidth="1" min="6" max="6"/>
    <col width="60" customWidth="1" min="7" max="7"/>
    <col width="24" customWidth="1" min="8" max="8"/>
  </cols>
  <sheetData>
    <row r="1">
      <c r="A1" s="4" t="inlineStr">
        <is>
          <t>Índice de planos por producto</t>
        </is>
      </c>
    </row>
    <row r="3" ht="30" customHeight="1">
      <c r="A3" s="16" t="inlineStr">
        <is>
          <t>Producto</t>
        </is>
      </c>
      <c r="B3" s="16" t="inlineStr">
        <is>
          <t>Fabricación</t>
        </is>
      </c>
      <c r="C3" s="16" t="inlineStr">
        <is>
          <t>Plano de conjunto (4 láminas)</t>
        </is>
      </c>
      <c r="D3" s="16" t="inlineStr">
        <is>
          <t>Despiece</t>
        </is>
      </c>
      <c r="E3" s="16" t="inlineStr">
        <is>
          <t>Recipiente suelto</t>
        </is>
      </c>
      <c r="F3" s="16" t="inlineStr">
        <is>
          <t>Sustituto</t>
        </is>
      </c>
      <c r="G3" s="16" t="inlineStr">
        <is>
          <t>Subconjuntos</t>
        </is>
      </c>
      <c r="H3" s="16" t="inlineStr">
        <is>
          <t>BOM</t>
        </is>
      </c>
    </row>
    <row r="4">
      <c r="A4" s="17" t="inlineStr">
        <is>
          <t>Extintor ABC 1 kg</t>
        </is>
      </c>
      <c r="B4" s="17" t="inlineStr">
        <is>
          <t>Propia</t>
        </is>
      </c>
      <c r="C4" s="17" t="inlineStr">
        <is>
          <t>salida/FL_MAT_ABC_1kg/FL_MAT_ABC_1kg.pdf</t>
        </is>
      </c>
      <c r="D4" s="17" t="inlineStr">
        <is>
          <t>salida/despiece/FL_DES_ABC_1kg.pdf</t>
        </is>
      </c>
      <c r="E4" s="17" t="inlineStr">
        <is>
          <t>salida/cilindros/FL_REC_ABC_1kg/FL_REC_ABC_1kg.pdf</t>
        </is>
      </c>
      <c r="F4" s="17" t="inlineStr">
        <is>
          <t>salida/sustituto (lámina FL_SUS_ABC_1kg)</t>
        </is>
      </c>
      <c r="G4" s="17" t="inlineStr">
        <is>
          <t>FL_REC_ABC_1kg Recipiente (cilindro), S2 Conjunto de válvula, S3 Dispositivo de descarga, S5 Carga: agente extintor y gas impulsor, S6 Identificación y precinto, S8 Soporte (accesorio de montaje), S7 Embalaje</t>
        </is>
      </c>
      <c r="H4" s="57" t="inlineStr">
        <is>
          <t>BOM_FL_MAT_ABC_1kg</t>
        </is>
      </c>
    </row>
    <row r="5">
      <c r="A5" s="17" t="inlineStr">
        <is>
          <t>Extintor ABC 2,5 kg</t>
        </is>
      </c>
      <c r="B5" s="17" t="inlineStr">
        <is>
          <t>Propia</t>
        </is>
      </c>
      <c r="C5" s="17" t="inlineStr">
        <is>
          <t>salida/FL_MAT_ABC_2.5kg/FL_MAT_ABC_2.5kg.pdf</t>
        </is>
      </c>
      <c r="D5" s="17" t="inlineStr">
        <is>
          <t>salida/despiece/FL_DES_ABC_2.5kg.pdf</t>
        </is>
      </c>
      <c r="E5" s="17" t="inlineStr">
        <is>
          <t>salida/cilindros/FL_REC_ABC_2.5kg/FL_REC_ABC_2.5kg.pdf</t>
        </is>
      </c>
      <c r="F5" s="17" t="inlineStr">
        <is>
          <t>salida/sustituto (lámina FL_SUS_ABC_2.5kg)</t>
        </is>
      </c>
      <c r="G5" s="17" t="inlineStr">
        <is>
          <t>FL_REC_ABC_2.5kg Recipiente (cilindro), S2 Conjunto de válvula, S3 Dispositivo de descarga, S5 Carga: agente extintor y gas impulsor, S6 Identificación y precinto, S8 Soporte (accesorio de montaje), S7 Embalaje</t>
        </is>
      </c>
      <c r="H5" s="57" t="inlineStr">
        <is>
          <t>BOM_FL_MAT_ABC_2.5kg</t>
        </is>
      </c>
    </row>
    <row r="6">
      <c r="A6" s="17" t="inlineStr">
        <is>
          <t>Extintor ABC 5 kg</t>
        </is>
      </c>
      <c r="B6" s="17" t="inlineStr">
        <is>
          <t>Propia</t>
        </is>
      </c>
      <c r="C6" s="17" t="inlineStr">
        <is>
          <t>salida/FL_MAT_ABC_5kg/FL_MAT_ABC_5kg.pdf</t>
        </is>
      </c>
      <c r="D6" s="17" t="inlineStr">
        <is>
          <t>salida/despiece/FL_DES_ABC_5kg.pdf</t>
        </is>
      </c>
      <c r="E6" s="17" t="inlineStr">
        <is>
          <t>salida/cilindros/FL_REC_ABC_5kg/FL_REC_ABC_5kg.pdf</t>
        </is>
      </c>
      <c r="F6" s="17" t="inlineStr">
        <is>
          <t>salida/sustituto (lámina FL_SUS_ABC_5kg)</t>
        </is>
      </c>
      <c r="G6" s="17" t="inlineStr">
        <is>
          <t>FL_REC_ABC_5kg Recipiente (cilindro), S2 Conjunto de válvula, S3 Dispositivo de descarga, S5 Carga: agente extintor y gas impulsor, S6 Identificación y precinto, S8 Soporte (accesorio de montaje), S7 Embalaje</t>
        </is>
      </c>
      <c r="H6" s="57" t="inlineStr">
        <is>
          <t>BOM_FL_MAT_ABC_5kg</t>
        </is>
      </c>
    </row>
    <row r="7">
      <c r="A7" s="17" t="inlineStr">
        <is>
          <t>Extintor ABC 10 kg</t>
        </is>
      </c>
      <c r="B7" s="17" t="inlineStr">
        <is>
          <t>Propia</t>
        </is>
      </c>
      <c r="C7" s="17" t="inlineStr">
        <is>
          <t>salida/FL_MAT_ABC_10kg/FL_MAT_ABC_10kg.pdf</t>
        </is>
      </c>
      <c r="D7" s="17" t="inlineStr">
        <is>
          <t>salida/despiece/FL_DES_ABC_10kg.pdf</t>
        </is>
      </c>
      <c r="E7" s="17" t="inlineStr">
        <is>
          <t>salida/cilindros/FL_REC_ABC_10kg/FL_REC_ABC_10kg.pdf</t>
        </is>
      </c>
      <c r="F7" s="17" t="inlineStr">
        <is>
          <t>salida/sustituto (lámina FL_SUS_ABC_10kg)</t>
        </is>
      </c>
      <c r="G7" s="17" t="inlineStr">
        <is>
          <t>FL_REC_ABC_10kg Recipiente (cilindro), S2 Conjunto de válvula, S3 Dispositivo de descarga, S5 Carga: agente extintor y gas impulsor, S6 Identificación y precinto, S8 Soporte (accesorio de montaje), S7 Embalaje</t>
        </is>
      </c>
      <c r="H7" s="57" t="inlineStr">
        <is>
          <t>BOM_FL_MAT_ABC_10kg</t>
        </is>
      </c>
    </row>
    <row r="8">
      <c r="A8" s="17" t="inlineStr">
        <is>
          <t>Extintor Agua 10 l</t>
        </is>
      </c>
      <c r="B8" s="17" t="inlineStr">
        <is>
          <t>Revendido</t>
        </is>
      </c>
      <c r="C8" s="17" t="inlineStr">
        <is>
          <t>salida/FL_MAT_AGUA_10l/FL_MAT_AGUA_10l.pdf</t>
        </is>
      </c>
      <c r="D8" s="17" t="inlineStr">
        <is>
          <t>salida/despiece/FL_DES_AGUA_10l.pdf</t>
        </is>
      </c>
      <c r="E8" s="17" t="inlineStr">
        <is>
          <t>-</t>
        </is>
      </c>
      <c r="F8" s="17" t="inlineStr">
        <is>
          <t>salida/sustituto (lámina FL_SUS_AGUA_10l)</t>
        </is>
      </c>
      <c r="G8" s="17" t="inlineStr">
        <is>
          <t>S0 Equipo terminado comprado (fabricante con Sello IRAM), S1 Recipiente (cilindro), S2 Conjunto de válvula, S3 Dispositivo de descarga, S5 Carga: agente extintor y gas impulsor, S6 Identificación y precinto, S8 Soporte (accesorio de montaje), S7 Embalaje</t>
        </is>
      </c>
      <c r="H8" s="57" t="inlineStr">
        <is>
          <t>BOM_FL_MAT_AGUA_10l</t>
        </is>
      </c>
    </row>
    <row r="9">
      <c r="A9" s="17" t="inlineStr">
        <is>
          <t>Extintor AFFF 10 l</t>
        </is>
      </c>
      <c r="B9" s="17" t="inlineStr">
        <is>
          <t>Revendido</t>
        </is>
      </c>
      <c r="C9" s="17" t="inlineStr">
        <is>
          <t>salida/FL_MAT_AFFF_10l/FL_MAT_AFFF_10l.pdf</t>
        </is>
      </c>
      <c r="D9" s="17" t="inlineStr">
        <is>
          <t>salida/despiece/FL_DES_AFFF_10l.pdf</t>
        </is>
      </c>
      <c r="E9" s="17" t="inlineStr">
        <is>
          <t>-</t>
        </is>
      </c>
      <c r="F9" s="17" t="inlineStr">
        <is>
          <t>salida/sustituto (lámina FL_SUS_AFFF_10l)</t>
        </is>
      </c>
      <c r="G9" s="17" t="inlineStr">
        <is>
          <t>S0 Equipo terminado comprado (fabricante con Sello IRAM), S1 Recipiente (cilindro), S2 Conjunto de válvula, S3 Dispositivo de descarga, S5 Carga: agente extintor y gas impulsor, S6 Identificación y precinto, S8 Soporte (accesorio de montaje), S7 Embalaje</t>
        </is>
      </c>
      <c r="H9" s="57" t="inlineStr">
        <is>
          <t>BOM_FL_MAT_AFFF_10l</t>
        </is>
      </c>
    </row>
    <row r="10">
      <c r="A10" s="17" t="inlineStr">
        <is>
          <t>Extintor AFFF 50 l sobre ruedas</t>
        </is>
      </c>
      <c r="B10" s="17" t="inlineStr">
        <is>
          <t>Revendido</t>
        </is>
      </c>
      <c r="C10" s="17" t="inlineStr">
        <is>
          <t>salida/FL_MAT_AFFF_50l/FL_MAT_AFFF_50l.pdf</t>
        </is>
      </c>
      <c r="D10" s="17" t="inlineStr">
        <is>
          <t>salida/despiece/FL_DES_AFFF_50l.pdf</t>
        </is>
      </c>
      <c r="E10" s="17" t="inlineStr">
        <is>
          <t>-</t>
        </is>
      </c>
      <c r="F10" s="17" t="inlineStr">
        <is>
          <t>salida/sustituto (lámina FL_SUS_AFFF_50l)</t>
        </is>
      </c>
      <c r="G10" s="17" t="inlineStr">
        <is>
          <t>S0 Equipo terminado comprado (fabricante con Sello IRAM), S1 Recipiente (cilindro), S2 Conjunto de válvula, S3 Dispositivo de descarga, S4 Carro (tren rodante soldado y ruedas), S5 Carga: agente extintor y gas impulsor, S6 Identificación y precinto, S7 Embalaje</t>
        </is>
      </c>
      <c r="H10" s="57" t="inlineStr">
        <is>
          <t>BOM_FL_MAT_AFFF_50l</t>
        </is>
      </c>
    </row>
    <row r="11">
      <c r="A11" s="17" t="inlineStr">
        <is>
          <t>Extintor BC 5 kg</t>
        </is>
      </c>
      <c r="B11" s="17" t="inlineStr">
        <is>
          <t>Revendido</t>
        </is>
      </c>
      <c r="C11" s="17" t="inlineStr">
        <is>
          <t>salida/FL_MAT_BC_5kg/FL_MAT_BC_5kg.pdf</t>
        </is>
      </c>
      <c r="D11" s="17" t="inlineStr">
        <is>
          <t>salida/despiece/FL_DES_BC_5kg.pdf</t>
        </is>
      </c>
      <c r="E11" s="17" t="inlineStr">
        <is>
          <t>-</t>
        </is>
      </c>
      <c r="F11" s="17" t="inlineStr">
        <is>
          <t>salida/sustituto (lámina FL_SUS_BC_5kg)</t>
        </is>
      </c>
      <c r="G11" s="17" t="inlineStr">
        <is>
          <t>S0 Equipo terminado comprado (fabricante con Sello IRAM), S1 Recipiente (cilindro), S2 Conjunto de válvula, S3 Dispositivo de descarga, S5 Carga: agente extintor y gas impulsor, S6 Identificación y precinto, S8 Soporte (accesorio de montaje), S7 Embalaje</t>
        </is>
      </c>
      <c r="H11" s="57" t="inlineStr">
        <is>
          <t>BOM_FL_MAT_BC_5kg</t>
        </is>
      </c>
    </row>
    <row r="12">
      <c r="A12" s="17" t="inlineStr">
        <is>
          <t>Extintor Sales K 6 l</t>
        </is>
      </c>
      <c r="B12" s="17" t="inlineStr">
        <is>
          <t>Revendido</t>
        </is>
      </c>
      <c r="C12" s="17" t="inlineStr">
        <is>
          <t>salida/FL_MAT_SALESK_6l/FL_MAT_SALESK_6l.pdf</t>
        </is>
      </c>
      <c r="D12" s="17" t="inlineStr">
        <is>
          <t>salida/despiece/FL_DES_SALESK_6l.pdf</t>
        </is>
      </c>
      <c r="E12" s="17" t="inlineStr">
        <is>
          <t>-</t>
        </is>
      </c>
      <c r="F12" s="17" t="inlineStr">
        <is>
          <t>salida/sustituto (lámina FL_SUS_SALESK_6l)</t>
        </is>
      </c>
      <c r="G12" s="17" t="inlineStr">
        <is>
          <t>S0 Equipo terminado comprado (fabricante con Sello IRAM), S1 Recipiente (cilindro), S2 Conjunto de válvula, S3 Dispositivo de descarga, S5 Carga: agente extintor y gas impulsor, S6 Identificación y precinto, S8 Soporte (accesorio de montaje), S7 Embalaje</t>
        </is>
      </c>
      <c r="H12" s="57" t="inlineStr">
        <is>
          <t>BOM_FL_MAT_SALESK_6l</t>
        </is>
      </c>
    </row>
    <row r="13">
      <c r="A13" s="17" t="inlineStr">
        <is>
          <t>Extintor CO₂ 2 kg</t>
        </is>
      </c>
      <c r="B13" s="17" t="inlineStr">
        <is>
          <t>Revendido</t>
        </is>
      </c>
      <c r="C13" s="17" t="inlineStr">
        <is>
          <t>salida/FL_MAT_CO2_2kg/FL_MAT_CO2_2kg.pdf</t>
        </is>
      </c>
      <c r="D13" s="17" t="inlineStr">
        <is>
          <t>salida/despiece/FL_DES_CO2_2kg.pdf</t>
        </is>
      </c>
      <c r="E13" s="17" t="inlineStr">
        <is>
          <t>-</t>
        </is>
      </c>
      <c r="F13" s="17" t="inlineStr">
        <is>
          <t>salida/sustituto (lámina FL_SUS_CO2_2kg)</t>
        </is>
      </c>
      <c r="G13" s="17" t="inlineStr">
        <is>
          <t>S0 Equipo terminado comprado (fabricante con Sello IRAM), S1 Recipiente (cilindro), S2 Conjunto de válvula, S3 Dispositivo de descarga, S5 Carga: agente extintor y gas impulsor, S6 Identificación y precinto, S8 Soporte (accesorio de montaje), S7 Embalaje</t>
        </is>
      </c>
      <c r="H13" s="57" t="inlineStr">
        <is>
          <t>BOM_FL_MAT_CO2_2kg</t>
        </is>
      </c>
    </row>
    <row r="14">
      <c r="A14" s="17" t="inlineStr">
        <is>
          <t>Extintor CO₂ 5 kg</t>
        </is>
      </c>
      <c r="B14" s="17" t="inlineStr">
        <is>
          <t>Revendido</t>
        </is>
      </c>
      <c r="C14" s="17" t="inlineStr">
        <is>
          <t>salida/FL_MAT_CO2_5kg/FL_MAT_CO2_5kg.pdf</t>
        </is>
      </c>
      <c r="D14" s="17" t="inlineStr">
        <is>
          <t>salida/despiece/FL_DES_CO2_5kg.pdf</t>
        </is>
      </c>
      <c r="E14" s="17" t="inlineStr">
        <is>
          <t>-</t>
        </is>
      </c>
      <c r="F14" s="17" t="inlineStr">
        <is>
          <t>salida/sustituto (lámina FL_SUS_CO2_5kg)</t>
        </is>
      </c>
      <c r="G14" s="17" t="inlineStr">
        <is>
          <t>S0 Equipo terminado comprado (fabricante con Sello IRAM), S1 Recipiente (cilindro), S2 Conjunto de válvula, S3 Dispositivo de descarga, S5 Carga: agente extintor y gas impulsor, S6 Identificación y precinto, S8 Soporte (accesorio de montaje), S7 Embalaje</t>
        </is>
      </c>
      <c r="H14" s="57" t="inlineStr">
        <is>
          <t>BOM_FL_MAT_CO2_5kg</t>
        </is>
      </c>
    </row>
    <row r="15">
      <c r="A15" s="17" t="inlineStr">
        <is>
          <t>Extintor HCFC/HFC 5 kg</t>
        </is>
      </c>
      <c r="B15" s="17" t="inlineStr">
        <is>
          <t>Revendido</t>
        </is>
      </c>
      <c r="C15" s="17" t="inlineStr">
        <is>
          <t>salida/FL_MAT_HCFC-HFC_5kg/FL_MAT_HCFC-HFC_5kg.pdf</t>
        </is>
      </c>
      <c r="D15" s="17" t="inlineStr">
        <is>
          <t>salida/despiece/FL_DES_HCFC-HFC_5kg.pdf</t>
        </is>
      </c>
      <c r="E15" s="17" t="inlineStr">
        <is>
          <t>-</t>
        </is>
      </c>
      <c r="F15" s="17" t="inlineStr">
        <is>
          <t>salida/sustituto (lámina FL_SUS_HCFC-HFC_5kg)</t>
        </is>
      </c>
      <c r="G15" s="17" t="inlineStr">
        <is>
          <t>S0 Equipo terminado comprado (fabricante con Sello IRAM), S1 Recipiente (cilindro), S2 Conjunto de válvula, S3 Dispositivo de descarga, S5 Carga: agente extintor y gas impulsor, S6 Identificación y precinto, S8 Soporte (accesorio de montaje), S7 Embalaje</t>
        </is>
      </c>
      <c r="H15" s="57" t="inlineStr">
        <is>
          <t>BOM_FL_MAT_HCFC-HFC_5kg</t>
        </is>
      </c>
    </row>
    <row r="16">
      <c r="A16" s="17" t="inlineStr">
        <is>
          <t>Extintor Clase D 9 l</t>
        </is>
      </c>
      <c r="B16" s="17" t="inlineStr">
        <is>
          <t>Revendido</t>
        </is>
      </c>
      <c r="C16" s="17" t="inlineStr">
        <is>
          <t>salida/FL_MAT_CLASED_9l/FL_MAT_CLASED_9l.pdf</t>
        </is>
      </c>
      <c r="D16" s="17" t="inlineStr">
        <is>
          <t>salida/despiece/FL_DES_CLASED_9l.pdf</t>
        </is>
      </c>
      <c r="E16" s="17" t="inlineStr">
        <is>
          <t>-</t>
        </is>
      </c>
      <c r="F16" s="17" t="inlineStr">
        <is>
          <t>salida/sustituto (lámina FL_SUS_CLASED_9l)</t>
        </is>
      </c>
      <c r="G16" s="17" t="inlineStr">
        <is>
          <t>S0 Equipo terminado comprado (fabricante con Sello IRAM), S1 Recipiente (cilindro), S2 Conjunto de válvula, S3 Dispositivo de descarga, S5 Carga: agente extintor y gas impulsor, S6 Identificación y precinto, S8 Soporte (accesorio de montaje), S7 Embalaje</t>
        </is>
      </c>
      <c r="H16" s="57" t="inlineStr">
        <is>
          <t>BOM_FL_MAT_CLASED_9l</t>
        </is>
      </c>
    </row>
    <row r="17">
      <c r="A17" s="17" t="inlineStr">
        <is>
          <t>Extintor ABC 25 kg sobre ruedas</t>
        </is>
      </c>
      <c r="B17" s="17" t="inlineStr">
        <is>
          <t>Propia</t>
        </is>
      </c>
      <c r="C17" s="17" t="inlineStr">
        <is>
          <t>salida/FL_MAT_ABC_25kg/FL_MAT_ABC_25kg.pdf</t>
        </is>
      </c>
      <c r="D17" s="17" t="inlineStr">
        <is>
          <t>salida/despiece/FL_DES_ABC_25kg.pdf</t>
        </is>
      </c>
      <c r="E17" s="17" t="inlineStr">
        <is>
          <t>salida/cilindros/FL_REC_ABC_25kg/FL_REC_ABC_25kg.pdf</t>
        </is>
      </c>
      <c r="F17" s="17" t="inlineStr">
        <is>
          <t>salida/sustituto (lámina FL_SUS_ABC_25kg)</t>
        </is>
      </c>
      <c r="G17" s="17" t="inlineStr">
        <is>
          <t>FL_REC_ABC_25kg Recipiente (cilindro), S2 Conjunto de válvula, S3 Dispositivo de descarga, S4 Carro (tren rodante soldado y ruedas), S5 Carga: agente extintor y gas impulsor, S6 Identificación y precinto, S7 Embalaje</t>
        </is>
      </c>
      <c r="H17" s="57" t="inlineStr">
        <is>
          <t>BOM_FL_MAT_ABC_25kg</t>
        </is>
      </c>
    </row>
    <row r="18">
      <c r="A18" s="17" t="inlineStr">
        <is>
          <t>Extintor ABC 50 kg sobre ruedas</t>
        </is>
      </c>
      <c r="B18" s="17" t="inlineStr">
        <is>
          <t>Propia</t>
        </is>
      </c>
      <c r="C18" s="17" t="inlineStr">
        <is>
          <t>salida/FL_MAT_ABC_50kg/FL_MAT_ABC_50kg.pdf</t>
        </is>
      </c>
      <c r="D18" s="17" t="inlineStr">
        <is>
          <t>salida/despiece/FL_DES_ABC_50kg.pdf</t>
        </is>
      </c>
      <c r="E18" s="17" t="inlineStr">
        <is>
          <t>salida/cilindros/FL_REC_ABC_50kg/FL_REC_ABC_50kg.pdf</t>
        </is>
      </c>
      <c r="F18" s="17" t="inlineStr">
        <is>
          <t>salida/sustituto (lámina FL_SUS_ABC_50kg)</t>
        </is>
      </c>
      <c r="G18" s="17" t="inlineStr">
        <is>
          <t>FL_REC_ABC_50kg Recipiente (cilindro), S2 Conjunto de válvula, S3 Dispositivo de descarga, S4 Carro (tren rodante soldado y ruedas), S5 Carga: agente extintor y gas impulsor, S6 Identificación y precinto, S7 Embalaje</t>
        </is>
      </c>
      <c r="H18" s="57" t="inlineStr">
        <is>
          <t>BOM_FL_MAT_ABC_50kg</t>
        </is>
      </c>
    </row>
    <row r="19">
      <c r="A19" s="17" t="inlineStr">
        <is>
          <t>Extintor ABC 70 kg sobre ruedas</t>
        </is>
      </c>
      <c r="B19" s="17" t="inlineStr">
        <is>
          <t>Propia</t>
        </is>
      </c>
      <c r="C19" s="17" t="inlineStr">
        <is>
          <t>salida/FL_MAT_ABC_70kg/FL_MAT_ABC_70kg.pdf</t>
        </is>
      </c>
      <c r="D19" s="17" t="inlineStr">
        <is>
          <t>salida/despiece/FL_DES_ABC_70kg.pdf</t>
        </is>
      </c>
      <c r="E19" s="17" t="inlineStr">
        <is>
          <t>salida/cilindros/FL_REC_ABC_70kg/FL_REC_ABC_70kg.pdf</t>
        </is>
      </c>
      <c r="F19" s="17" t="inlineStr">
        <is>
          <t>salida/sustituto (lámina FL_SUS_ABC_70kg)</t>
        </is>
      </c>
      <c r="G19" s="17" t="inlineStr">
        <is>
          <t>FL_REC_ABC_70kg Recipiente (cilindro), S2 Conjunto de válvula, S3 Dispositivo de descarga, S4 Carro (tren rodante soldado y ruedas), S5 Carga: agente extintor y gas impulsor, S6 Identificación y precinto, S7 Embalaje</t>
        </is>
      </c>
      <c r="H19" s="57" t="inlineStr">
        <is>
          <t>BOM_FL_MAT_ABC_70kg</t>
        </is>
      </c>
    </row>
    <row r="20">
      <c r="A20" s="17" t="inlineStr">
        <is>
          <t>Extintor ABC 100 kg sobre ruedas</t>
        </is>
      </c>
      <c r="B20" s="17" t="inlineStr">
        <is>
          <t>Propia</t>
        </is>
      </c>
      <c r="C20" s="17" t="inlineStr">
        <is>
          <t>salida/FL_MAT_ABC_100kg/FL_MAT_ABC_100kg.pdf</t>
        </is>
      </c>
      <c r="D20" s="17" t="inlineStr">
        <is>
          <t>salida/despiece/FL_DES_ABC_100kg.pdf</t>
        </is>
      </c>
      <c r="E20" s="17" t="inlineStr">
        <is>
          <t>salida/cilindros/FL_REC_ABC_100kg/FL_REC_ABC_100kg.pdf</t>
        </is>
      </c>
      <c r="F20" s="17" t="inlineStr">
        <is>
          <t>salida/sustituto (lámina FL_SUS_ABC_100kg)</t>
        </is>
      </c>
      <c r="G20" s="17" t="inlineStr">
        <is>
          <t>FL_REC_ABC_100kg Recipiente (cilindro), S2 Conjunto de válvula, S3 Dispositivo de descarga, S4 Carro (tren rodante soldado y ruedas), S5 Carga: agente extintor y gas impulsor, S6 Identificación y precinto, S7 Embalaje</t>
        </is>
      </c>
      <c r="H20" s="57" t="inlineStr">
        <is>
          <t>BOM_FL_MAT_ABC_100kg</t>
        </is>
      </c>
    </row>
  </sheetData>
  <hyperlinks>
    <hyperlink xmlns:r="http://schemas.openxmlformats.org/officeDocument/2006/relationships" ref="H4" r:id="rId1"/>
    <hyperlink xmlns:r="http://schemas.openxmlformats.org/officeDocument/2006/relationships" ref="H5" r:id="rId2"/>
    <hyperlink xmlns:r="http://schemas.openxmlformats.org/officeDocument/2006/relationships" ref="H6" r:id="rId3"/>
    <hyperlink xmlns:r="http://schemas.openxmlformats.org/officeDocument/2006/relationships" ref="H7" r:id="rId4"/>
    <hyperlink xmlns:r="http://schemas.openxmlformats.org/officeDocument/2006/relationships" ref="H8" r:id="rId5"/>
    <hyperlink xmlns:r="http://schemas.openxmlformats.org/officeDocument/2006/relationships" ref="H9" r:id="rId6"/>
    <hyperlink xmlns:r="http://schemas.openxmlformats.org/officeDocument/2006/relationships" ref="H10" r:id="rId7"/>
    <hyperlink xmlns:r="http://schemas.openxmlformats.org/officeDocument/2006/relationships" ref="H11" r:id="rId8"/>
    <hyperlink xmlns:r="http://schemas.openxmlformats.org/officeDocument/2006/relationships" ref="H12"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s>
  <pageMargins left="0.75" right="0.75" top="1" bottom="1" header="0.5" footer="0.5"/>
</worksheet>
</file>

<file path=xl/worksheets/sheet16.xml><?xml version="1.0" encoding="utf-8"?>
<worksheet xmlns="http://schemas.openxmlformats.org/spreadsheetml/2006/main">
  <sheetPr>
    <tabColor rgb="007F1D1D"/>
    <outlinePr summaryBelow="0" summaryRight="1"/>
    <pageSetUpPr fitToPage="1"/>
  </sheetPr>
  <dimension ref="A1:R61"/>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FL_MAT_ABC_1kg</t>
        </is>
      </c>
    </row>
    <row r="2">
      <c r="A2" s="58" t="inlineStr">
        <is>
          <t>Extintor ABC 1 kg</t>
        </is>
      </c>
    </row>
    <row r="3">
      <c r="A3" s="2" t="inlineStr">
        <is>
          <t>Plano de origen</t>
        </is>
      </c>
      <c r="C3" t="inlineStr">
        <is>
          <t>FL_MAT_ABC_1kg  (4 láminas)</t>
        </is>
      </c>
      <c r="E3" s="2" t="inlineStr">
        <is>
          <t>Peso vacío S1-S4 (kg)</t>
        </is>
      </c>
      <c r="G3" s="59">
        <f>G12+G24+G40</f>
        <v/>
      </c>
    </row>
    <row r="4">
      <c r="A4" s="2" t="inlineStr">
        <is>
          <t>Plano de despiece</t>
        </is>
      </c>
      <c r="C4" t="inlineStr">
        <is>
          <t>FL_DES_ABC_1kg (salida/despiece/)</t>
        </is>
      </c>
      <c r="E4" s="2" t="inlineStr">
        <is>
          <t>Peso cargado S1-S6 (kg)</t>
        </is>
      </c>
      <c r="G4" s="59">
        <f>G12+G24+G40+G42+G45</f>
        <v/>
      </c>
    </row>
    <row r="5">
      <c r="A5" s="2" t="inlineStr">
        <is>
          <t>Norma del producto</t>
        </is>
      </c>
      <c r="C5" t="inlineStr">
        <is>
          <t>IRAM 3523</t>
        </is>
      </c>
      <c r="E5" s="2" t="inlineStr">
        <is>
          <t>Peso con soporte y embalaje (kg)</t>
        </is>
      </c>
      <c r="G5" s="59">
        <f>G12+G24+G40+G42+G45+G54+G52</f>
        <v/>
      </c>
    </row>
    <row r="6">
      <c r="A6" s="2" t="inlineStr">
        <is>
          <t>Fabricación</t>
        </is>
      </c>
      <c r="C6" t="inlineStr">
        <is>
          <t>Fabricación propia</t>
        </is>
      </c>
      <c r="E6" s="2" t="inlineStr">
        <is>
          <t>Desvío cargado vs referencia</t>
        </is>
      </c>
      <c r="G6" s="24">
        <f>G4/C7-1</f>
        <v/>
      </c>
    </row>
    <row r="7">
      <c r="A7" s="2" t="inlineStr">
        <is>
          <t>Peso cargado de referencia (kg)</t>
        </is>
      </c>
      <c r="C7" t="n">
        <v>1.84</v>
      </c>
      <c r="E7" s="60" t="inlineStr">
        <is>
          <t>Referencia: Plano Fadesa «Extintor 1 kg Ø76 (válvula HZ)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FL_MAT_ABC_1kg</t>
        </is>
      </c>
      <c r="C11" s="27" t="inlineStr">
        <is>
          <t>Extintor ABC 1 kg</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FL_MAT_ABC_1kg</t>
        </is>
      </c>
      <c r="R11" s="27" t="inlineStr">
        <is>
          <t>Fabricación propia</t>
        </is>
      </c>
    </row>
    <row r="12">
      <c r="A12" s="29" t="n">
        <v>1</v>
      </c>
      <c r="B12" s="29" t="inlineStr">
        <is>
          <t>FL_REC_ABC_1kg</t>
        </is>
      </c>
      <c r="C12" s="30" t="inlineStr">
        <is>
          <t xml:space="preserve">    Recipiente (cilindro)</t>
        </is>
      </c>
      <c r="D12" s="29" t="n">
        <v>1</v>
      </c>
      <c r="E12" s="29" t="inlineStr">
        <is>
          <t>u</t>
        </is>
      </c>
      <c r="F12" s="31" t="n"/>
      <c r="G12" s="31">
        <f>G13+G15+G17+G19+G20</f>
        <v/>
      </c>
      <c r="H12" s="29" t="n"/>
      <c r="I12" s="30" t="n"/>
      <c r="J12" s="29" t="inlineStr">
        <is>
          <t>Fabricación</t>
        </is>
      </c>
      <c r="K12" s="29" t="n"/>
      <c r="L12" s="30" t="n"/>
      <c r="M12" s="30" t="n"/>
      <c r="N12" s="30" t="n"/>
      <c r="O12" s="30" t="inlineStr">
        <is>
          <t>IRAM 3523 / 3550 (recipiente)</t>
        </is>
      </c>
      <c r="P12" s="29" t="inlineStr">
        <is>
          <t>P</t>
        </is>
      </c>
      <c r="Q12" s="29" t="inlineStr">
        <is>
          <t>FL_REC_ABC_1kg</t>
        </is>
      </c>
      <c r="R12" s="30" t="n"/>
    </row>
    <row r="13" outlineLevel="1">
      <c r="A13" s="32" t="n">
        <v>2</v>
      </c>
      <c r="B13" s="32" t="inlineStr">
        <is>
          <t>ABC1-01</t>
        </is>
      </c>
      <c r="C13" s="17" t="inlineStr">
        <is>
          <t xml:space="preserve">        Cuerpo (virola)</t>
        </is>
      </c>
      <c r="D13" s="32" t="n">
        <v>1</v>
      </c>
      <c r="E13" s="32" t="inlineStr">
        <is>
          <t>u</t>
        </is>
      </c>
      <c r="F13" s="33" t="n">
        <v>0.6072</v>
      </c>
      <c r="G13" s="33">
        <f>D13*F13</f>
        <v/>
      </c>
      <c r="H13" s="32" t="inlineStr">
        <is>
          <t>Caño c-c LF Ø76,2 e=1,25 (SAE 1010)</t>
        </is>
      </c>
      <c r="I13" s="17" t="inlineStr">
        <is>
          <t>Ø76,2 × e1,25 × 263,4 de alto; desarrollo 235,5 × 263,4</t>
        </is>
      </c>
      <c r="J13" s="32" t="inlineStr">
        <is>
          <t>Fabricación</t>
        </is>
      </c>
      <c r="K13" s="32" t="inlineStr">
        <is>
          <t>No</t>
        </is>
      </c>
      <c r="L13" s="17" t="n"/>
      <c r="M13" s="17" t="n"/>
      <c r="N13" s="17" t="inlineStr">
        <is>
          <t>5 Corte láser de caño (M15/M16) -&gt; 9 encastre -&gt; 10 bordoneado (los dos extremos)</t>
        </is>
      </c>
      <c r="O13" s="17" t="n"/>
      <c r="P13" s="32" t="inlineStr">
        <is>
          <t>P</t>
        </is>
      </c>
      <c r="Q13" s="32" t="inlineStr">
        <is>
          <t>FL_DES_ABC_1kg</t>
        </is>
      </c>
      <c r="R13" s="17" t="inlineStr">
        <is>
          <t>costura long. MAG</t>
        </is>
      </c>
    </row>
    <row r="14" outlineLevel="2">
      <c r="A14" s="34" t="n">
        <v>3</v>
      </c>
      <c r="B14" s="34" t="inlineStr">
        <is>
          <t>MP-CANO</t>
        </is>
      </c>
      <c r="C14" s="35" t="inlineStr">
        <is>
          <t xml:space="preserve">            Caño Ø76,2 × 1,25 (tramo de barra de 6 m)</t>
        </is>
      </c>
      <c r="D14" s="34" t="n">
        <v>0.0435</v>
      </c>
      <c r="E14" s="34" t="inlineStr">
        <is>
          <t>barra</t>
        </is>
      </c>
      <c r="F14" s="36" t="n">
        <v>14.288</v>
      </c>
      <c r="G14" s="36">
        <f>D14*F14</f>
        <v/>
      </c>
      <c r="H14" s="34" t="inlineStr">
        <is>
          <t>Caño acero SAE 1010 con costura</t>
        </is>
      </c>
      <c r="I14" s="35" t="inlineStr">
        <is>
          <t>255 mm por cuerpo; 23 cuerpos por barra (kg por barra)</t>
        </is>
      </c>
      <c r="J14" s="34" t="inlineStr">
        <is>
          <t>Compra</t>
        </is>
      </c>
      <c r="K14" s="34" t="inlineStr">
        <is>
          <t>Sí</t>
        </is>
      </c>
      <c r="L14" s="35" t="inlineStr">
        <is>
          <t>Metalpri / Prilux</t>
        </is>
      </c>
      <c r="M14" s="35" t="inlineStr">
        <is>
          <t>Comercial MID</t>
        </is>
      </c>
      <c r="N14" s="35" t="inlineStr">
        <is>
          <t>AL-1T cantiléver</t>
        </is>
      </c>
      <c r="O14" s="35" t="n"/>
      <c r="P14" s="34" t="inlineStr">
        <is>
          <t>L</t>
        </is>
      </c>
      <c r="Q14" s="34" t="inlineStr">
        <is>
          <t>FL_PI_04 h2</t>
        </is>
      </c>
      <c r="R14" s="35" t="n"/>
    </row>
    <row r="15" outlineLevel="1">
      <c r="A15" s="32" t="n">
        <v>2</v>
      </c>
      <c r="B15" s="32" t="inlineStr">
        <is>
          <t>ABC1-02</t>
        </is>
      </c>
      <c r="C15" s="17" t="inlineStr">
        <is>
          <t xml:space="preserve">        Cúpula</t>
        </is>
      </c>
      <c r="D15" s="32" t="n">
        <v>1</v>
      </c>
      <c r="E15" s="32" t="inlineStr">
        <is>
          <t>u</t>
        </is>
      </c>
      <c r="F15" s="33" t="n">
        <v>0.0335</v>
      </c>
      <c r="G15" s="33">
        <f>D15*F15</f>
        <v/>
      </c>
      <c r="H15" s="32" t="inlineStr">
        <is>
          <t>Chapa LAF IRAM-IAS U 500-05 e=0,9</t>
        </is>
      </c>
      <c r="I15" s="17" t="inlineStr">
        <is>
          <t>Ø76,2 × e0,9 × 12,1 de alto; disco Ø108</t>
        </is>
      </c>
      <c r="J15" s="32" t="inlineStr">
        <is>
          <t>Fabricación</t>
        </is>
      </c>
      <c r="K15" s="32" t="inlineStr">
        <is>
          <t>No</t>
        </is>
      </c>
      <c r="L15" s="17" t="n"/>
      <c r="M15" s="17" t="n"/>
      <c r="N15" s="17" t="inlineStr">
        <is>
          <t>6 Desbobinado + embutido (M06-M08) -&gt; numerado de cúpula (micropercusión, en arco junto al cuello) -&gt; 8 soldadura de cuello</t>
        </is>
      </c>
      <c r="O15" s="17" t="n"/>
      <c r="P15" s="32" t="inlineStr">
        <is>
          <t>P</t>
        </is>
      </c>
      <c r="Q15" s="32" t="inlineStr">
        <is>
          <t>FL_DES_ABC_1kg</t>
        </is>
      </c>
      <c r="R15" s="17" t="inlineStr">
        <is>
          <t>embutida</t>
        </is>
      </c>
    </row>
    <row r="16" outlineLevel="2">
      <c r="A16" s="34" t="n">
        <v>3</v>
      </c>
      <c r="B16" s="34" t="inlineStr">
        <is>
          <t>MP-FLEJE</t>
        </is>
      </c>
      <c r="C16" s="35" t="inlineStr">
        <is>
          <t xml:space="preserve">            Fleje e=0,9 × 114 (paso 111)</t>
        </is>
      </c>
      <c r="D16" s="34" t="n">
        <v>0.111</v>
      </c>
      <c r="E16" s="34" t="inlineStr">
        <is>
          <t>m</t>
        </is>
      </c>
      <c r="F16" s="36" t="n">
        <v>0.805</v>
      </c>
      <c r="G16" s="36">
        <f>D16*F16</f>
        <v/>
      </c>
      <c r="H16" s="34" t="inlineStr">
        <is>
          <t>Fleje SAE 1010</t>
        </is>
      </c>
      <c r="I16" s="35" t="inlineStr">
        <is>
          <t>disco Ø108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ABC1-03</t>
        </is>
      </c>
      <c r="C17" s="17" t="inlineStr">
        <is>
          <t xml:space="preserve">        Fondo</t>
        </is>
      </c>
      <c r="D17" s="32" t="n">
        <v>1</v>
      </c>
      <c r="E17" s="32" t="inlineStr">
        <is>
          <t>u</t>
        </is>
      </c>
      <c r="F17" s="33" t="n">
        <v>0.06619999999999999</v>
      </c>
      <c r="G17" s="33">
        <f>D17*F17</f>
        <v/>
      </c>
      <c r="H17" s="32" t="inlineStr">
        <is>
          <t>Chapa LAF IRAM-IAS U 500-05 e=1,25</t>
        </is>
      </c>
      <c r="I17" s="17" t="inlineStr">
        <is>
          <t>Ø76,2 × e1,25 × 22 de alto; disco Ø100</t>
        </is>
      </c>
      <c r="J17" s="32" t="inlineStr">
        <is>
          <t>Fabricación</t>
        </is>
      </c>
      <c r="K17" s="32" t="inlineStr">
        <is>
          <t>No</t>
        </is>
      </c>
      <c r="L17" s="17" t="n"/>
      <c r="M17" s="17" t="n"/>
      <c r="N17" s="17" t="inlineStr">
        <is>
          <t>6 Desbobinado + embutido (M06-M08)</t>
        </is>
      </c>
      <c r="O17" s="17" t="n"/>
      <c r="P17" s="32" t="inlineStr">
        <is>
          <t>P</t>
        </is>
      </c>
      <c r="Q17" s="32" t="inlineStr">
        <is>
          <t>FL_DES_ABC_1kg</t>
        </is>
      </c>
      <c r="R17" s="17" t="inlineStr">
        <is>
          <t>embutido</t>
        </is>
      </c>
    </row>
    <row r="18" outlineLevel="2">
      <c r="A18" s="34" t="n">
        <v>3</v>
      </c>
      <c r="B18" s="34" t="inlineStr">
        <is>
          <t>MP-FLEJE</t>
        </is>
      </c>
      <c r="C18" s="35" t="inlineStr">
        <is>
          <t xml:space="preserve">            Fleje e=1,25 × 106 (paso 103)</t>
        </is>
      </c>
      <c r="D18" s="34" t="n">
        <v>0.103</v>
      </c>
      <c r="E18" s="34" t="inlineStr">
        <is>
          <t>m</t>
        </is>
      </c>
      <c r="F18" s="36" t="n">
        <v>1.04</v>
      </c>
      <c r="G18" s="36">
        <f>D18*F18</f>
        <v/>
      </c>
      <c r="H18" s="34" t="inlineStr">
        <is>
          <t>Fleje SAE 1010</t>
        </is>
      </c>
      <c r="I18" s="35" t="inlineStr">
        <is>
          <t>disco Ø100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ABC1-04</t>
        </is>
      </c>
      <c r="C19" s="17" t="inlineStr">
        <is>
          <t xml:space="preserve">        Cuello roscado</t>
        </is>
      </c>
      <c r="D19" s="32" t="n">
        <v>1</v>
      </c>
      <c r="E19" s="32" t="inlineStr">
        <is>
          <t>u</t>
        </is>
      </c>
      <c r="F19" s="33" t="n">
        <v>0.0358</v>
      </c>
      <c r="G19" s="33">
        <f>D19*F19</f>
        <v/>
      </c>
      <c r="H19" s="32" t="inlineStr">
        <is>
          <t>Acero SAE 1010</t>
        </is>
      </c>
      <c r="I19" s="17" t="inlineStr">
        <is>
          <t>Ø29 × 12,5 de alto, rosca M22x1,5, asiento Ø26</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FL_DES_ABC_1kg</t>
        </is>
      </c>
      <c r="R19" s="17" t="inlineStr">
        <is>
          <t>M22x1,5</t>
        </is>
      </c>
    </row>
    <row r="20" outlineLevel="1">
      <c r="A20" s="37" t="n">
        <v>2</v>
      </c>
      <c r="B20" s="37" t="inlineStr">
        <is>
          <t>ABC1-C1</t>
        </is>
      </c>
      <c r="C20" s="18" t="inlineStr">
        <is>
          <t xml:space="preserve">        Alambre MAG ER70S-6 Ø0,9 (AWS A5.18)</t>
        </is>
      </c>
      <c r="D20" s="37" t="n">
        <v>0.0146</v>
      </c>
      <c r="E20" s="37" t="inlineStr">
        <is>
          <t>kg</t>
        </is>
      </c>
      <c r="F20" s="38" t="n">
        <v>0.95</v>
      </c>
      <c r="G20" s="38">
        <f>D20*F20</f>
        <v/>
      </c>
      <c r="H20" s="37" t="inlineStr">
        <is>
          <t>ER70S-6</t>
        </is>
      </c>
      <c r="I20" s="18" t="inlineStr">
        <is>
          <t>metal depositado de los cordones del plano 14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ABC1-C2</t>
        </is>
      </c>
      <c r="C21" s="18" t="inlineStr">
        <is>
          <t xml:space="preserve">        Gas de protección MAG Arcal 21 / ARCAL Speed (Ar + 8 % CO₂, M20)</t>
        </is>
      </c>
      <c r="D21" s="37" t="n">
        <v>13.3</v>
      </c>
      <c r="E21" s="37" t="inlineStr">
        <is>
          <t>L</t>
        </is>
      </c>
      <c r="F21" s="38" t="n"/>
      <c r="G21" s="38" t="n"/>
      <c r="H21" s="37" t="inlineStr">
        <is>
          <t>EN ISO 14175 M20-ArC-8</t>
        </is>
      </c>
      <c r="I21" s="18" t="inlineStr">
        <is>
          <t>14 L/min × 0,95 min de arco (cordones 570 mm: long. 0 + circ. 479 + cuello 91,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9" t="n">
        <v>2</v>
      </c>
      <c r="B22" s="39" t="inlineStr">
        <is>
          <t>ABC1-C3</t>
        </is>
      </c>
      <c r="C22" s="19" t="inlineStr">
        <is>
          <t xml:space="preserve">        Granalla de acero S330 / S390 (ISO 11124-3, SAE J444)</t>
        </is>
      </c>
      <c r="D22" s="39" t="n">
        <v>0.08</v>
      </c>
      <c r="E22" s="39" t="inlineStr">
        <is>
          <t>kg</t>
        </is>
      </c>
      <c r="F22" s="40" t="n"/>
      <c r="G22" s="40" t="n"/>
      <c r="H22" s="39" t="inlineStr">
        <is>
          <t>Granalla esférica alto C</t>
        </is>
      </c>
      <c r="I22" s="19" t="inlineStr">
        <is>
          <t>0,073 m² a Sa 2½ (ISO 8501-1); 3,4 kg/h ÷ 42,5 u/h</t>
        </is>
      </c>
      <c r="J22" s="39" t="inlineStr">
        <is>
          <t>Compra</t>
        </is>
      </c>
      <c r="K22" s="39" t="inlineStr">
        <is>
          <t>Sí</t>
        </is>
      </c>
      <c r="L22" s="19" t="inlineStr">
        <is>
          <t>CyM Materiales</t>
        </is>
      </c>
      <c r="M22" s="19" t="inlineStr">
        <is>
          <t>Roca Ingeniería</t>
        </is>
      </c>
      <c r="N22" s="19" t="inlineStr">
        <is>
          <t>14 Granallado (B08)</t>
        </is>
      </c>
      <c r="O22" s="19" t="inlineStr">
        <is>
          <t>DOC-01</t>
        </is>
      </c>
      <c r="P22" s="39" t="inlineStr">
        <is>
          <t>C</t>
        </is>
      </c>
      <c r="Q22" s="39" t="n"/>
      <c r="R22" s="19" t="inlineStr">
        <is>
          <t>Consumo (desgaste) por turbina ≈ HP / 2 lb/h (The Fabricator, «aspectos básicos del granallado por turbina»): G-100 con 2 × 7,5 HP = 7,5 lb/h = 3,4 kg/h; ritmo 340 u por turno (Getweld) = 42,5 u/h. OJO: Ø76,2 fuera del rango de la Airblast G-100 (Ø80-200): definir soporte o equipo</t>
        </is>
      </c>
    </row>
    <row r="23" outlineLevel="1">
      <c r="A23" s="32" t="n">
        <v>2</v>
      </c>
      <c r="B23" s="32" t="inlineStr">
        <is>
          <t>ABC1-C4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0,073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c r="A24" s="29" t="n">
        <v>1</v>
      </c>
      <c r="B24" s="29" t="inlineStr">
        <is>
          <t>ABC1-S2</t>
        </is>
      </c>
      <c r="C24" s="30" t="inlineStr">
        <is>
          <t xml:space="preserve">    Conjunto de válvula</t>
        </is>
      </c>
      <c r="D24" s="29" t="n">
        <v>1</v>
      </c>
      <c r="E24" s="29" t="inlineStr">
        <is>
          <t>u</t>
        </is>
      </c>
      <c r="F24" s="31" t="n"/>
      <c r="G24" s="31">
        <f>G25+G26+G27+G29+G30+G31+G32+G33+G34+G35+G36</f>
        <v/>
      </c>
      <c r="H24" s="29" t="n"/>
      <c r="I24" s="30" t="n"/>
      <c r="J24" s="29" t="inlineStr">
        <is>
          <t>Compra / armado</t>
        </is>
      </c>
      <c r="K24" s="29" t="n"/>
      <c r="L24" s="30" t="n"/>
      <c r="M24" s="30" t="n"/>
      <c r="N24" s="30" t="n"/>
      <c r="O24" s="30" t="inlineStr">
        <is>
          <t>Manómetro IRAM 3533</t>
        </is>
      </c>
      <c r="P24" s="29" t="inlineStr">
        <is>
          <t>P</t>
        </is>
      </c>
      <c r="Q24" s="29" t="inlineStr">
        <is>
          <t>FL_DES_ABC_1kg</t>
        </is>
      </c>
      <c r="R24" s="30" t="n"/>
    </row>
    <row r="25" outlineLevel="1">
      <c r="A25" s="32" t="n">
        <v>2</v>
      </c>
      <c r="B25" s="32" t="inlineStr">
        <is>
          <t>ABC1-05</t>
        </is>
      </c>
      <c r="C25" s="17" t="inlineStr">
        <is>
          <t xml:space="preserve">        Espiga roscada</t>
        </is>
      </c>
      <c r="D25" s="32" t="n">
        <v>1</v>
      </c>
      <c r="E25" s="32" t="inlineStr">
        <is>
          <t>u</t>
        </is>
      </c>
      <c r="F25" s="33" t="n">
        <v>0.0117</v>
      </c>
      <c r="G25" s="33">
        <f>D25*F25</f>
        <v/>
      </c>
      <c r="H25" s="32" t="inlineStr">
        <is>
          <t>Latón forjado</t>
        </is>
      </c>
      <c r="I25" s="17" t="inlineStr">
        <is>
          <t>21 × 21 × 8,6</t>
        </is>
      </c>
      <c r="J25" s="32" t="inlineStr">
        <is>
          <t>Incluido en válvula HZ</t>
        </is>
      </c>
      <c r="K25" s="32" t="inlineStr">
        <is>
          <t>No</t>
        </is>
      </c>
      <c r="L25" s="17" t="n"/>
      <c r="M25" s="17" t="n"/>
      <c r="N25" s="17" t="inlineStr">
        <is>
          <t>19 Ensamblaje de válvula (T03/T04)</t>
        </is>
      </c>
      <c r="O25" s="17" t="n"/>
      <c r="P25" s="32" t="inlineStr">
        <is>
          <t>P</t>
        </is>
      </c>
      <c r="Q25" s="32" t="inlineStr">
        <is>
          <t>FL_DES_ABC_1kg</t>
        </is>
      </c>
      <c r="R25" s="17" t="n"/>
    </row>
    <row r="26" outlineLevel="1">
      <c r="A26" s="32" t="n">
        <v>2</v>
      </c>
      <c r="B26" s="32" t="inlineStr">
        <is>
          <t>ABC1-06</t>
        </is>
      </c>
      <c r="C26" s="17" t="inlineStr">
        <is>
          <t xml:space="preserve">        Collarín de válvula</t>
        </is>
      </c>
      <c r="D26" s="32" t="n">
        <v>1</v>
      </c>
      <c r="E26" s="32" t="inlineStr">
        <is>
          <t>u</t>
        </is>
      </c>
      <c r="F26" s="33" t="n">
        <v>0.0025</v>
      </c>
      <c r="G26" s="33">
        <f>D26*F26</f>
        <v/>
      </c>
      <c r="H26" s="32" t="inlineStr">
        <is>
          <t>Latón forjado</t>
        </is>
      </c>
      <c r="I26" s="17" t="inlineStr">
        <is>
          <t>19 × 19 × 3</t>
        </is>
      </c>
      <c r="J26" s="32" t="inlineStr">
        <is>
          <t>Incluido en válvula HZ</t>
        </is>
      </c>
      <c r="K26" s="32" t="inlineStr">
        <is>
          <t>No</t>
        </is>
      </c>
      <c r="L26" s="17" t="n"/>
      <c r="M26" s="17" t="n"/>
      <c r="N26" s="17" t="inlineStr">
        <is>
          <t>19 Ensamblaje de válvula (T03/T04)</t>
        </is>
      </c>
      <c r="O26" s="17" t="n"/>
      <c r="P26" s="32" t="inlineStr">
        <is>
          <t>P</t>
        </is>
      </c>
      <c r="Q26" s="32" t="inlineStr">
        <is>
          <t>FL_DES_ABC_1kg</t>
        </is>
      </c>
      <c r="R26" s="17" t="n"/>
    </row>
    <row r="27" outlineLevel="1">
      <c r="A27" s="32" t="n">
        <v>2</v>
      </c>
      <c r="B27" s="32" t="inlineStr">
        <is>
          <t>ABC1-07</t>
        </is>
      </c>
      <c r="C27" s="17" t="inlineStr">
        <is>
          <t xml:space="preserve">        Cuerpo de válvula</t>
        </is>
      </c>
      <c r="D27" s="32" t="n">
        <v>1</v>
      </c>
      <c r="E27" s="32" t="inlineStr">
        <is>
          <t>u</t>
        </is>
      </c>
      <c r="F27" s="33" t="n">
        <v>0.0935</v>
      </c>
      <c r="G27" s="33">
        <f>D27*F27</f>
        <v/>
      </c>
      <c r="H27" s="32" t="inlineStr">
        <is>
          <t>Latón forjado</t>
        </is>
      </c>
      <c r="I27" s="17" t="inlineStr">
        <is>
          <t>32,3 × 28 × 22,9</t>
        </is>
      </c>
      <c r="J27" s="32" t="inlineStr">
        <is>
          <t>Incluido en válvula HZ</t>
        </is>
      </c>
      <c r="K27" s="32" t="inlineStr">
        <is>
          <t>No</t>
        </is>
      </c>
      <c r="L27" s="17" t="n"/>
      <c r="M27" s="17" t="n"/>
      <c r="N27" s="17" t="inlineStr">
        <is>
          <t>19 Ensamblaje de válvula (T03/T04)</t>
        </is>
      </c>
      <c r="O27" s="17" t="n"/>
      <c r="P27" s="32" t="inlineStr">
        <is>
          <t>P</t>
        </is>
      </c>
      <c r="Q27" s="32" t="inlineStr">
        <is>
          <t>FL_DES_ABC_1kg</t>
        </is>
      </c>
      <c r="R27" s="17" t="n"/>
    </row>
    <row r="28" outlineLevel="1">
      <c r="A28" s="41" t="n">
        <v>2</v>
      </c>
      <c r="B28" s="41" t="inlineStr">
        <is>
          <t>ABC1-08</t>
        </is>
      </c>
      <c r="C28" s="42" t="inlineStr">
        <is>
          <t xml:space="preserve">        Manómetro</t>
        </is>
      </c>
      <c r="D28" s="41" t="n">
        <v>1</v>
      </c>
      <c r="E28" s="41" t="inlineStr">
        <is>
          <t>u</t>
        </is>
      </c>
      <c r="F28" s="43" t="n"/>
      <c r="G28" s="43" t="n"/>
      <c r="H28" s="41" t="inlineStr">
        <is>
          <t>Comercial</t>
        </is>
      </c>
      <c r="I28" s="42" t="inlineStr">
        <is>
          <t>Ø36 esfera, rango 0-3,5 MPa, sector verde en 1,4</t>
        </is>
      </c>
      <c r="J28" s="41" t="inlineStr">
        <is>
          <t>Compra</t>
        </is>
      </c>
      <c r="K28" s="41" t="inlineStr">
        <is>
          <t>Sí</t>
        </is>
      </c>
      <c r="L28" s="42" t="inlineStr">
        <is>
          <t>Yukon / MatafuegosYa S.R.L.</t>
        </is>
      </c>
      <c r="M28" s="42" t="inlineStr">
        <is>
          <t>Matafuegos Iglesias</t>
        </is>
      </c>
      <c r="N28" s="42" t="inlineStr">
        <is>
          <t>19 Ensamblaje de válvula (T03/T04)</t>
        </is>
      </c>
      <c r="O28" s="42" t="inlineStr">
        <is>
          <t>IRAM 3533</t>
        </is>
      </c>
      <c r="P28" s="41" t="inlineStr">
        <is>
          <t>P</t>
        </is>
      </c>
      <c r="Q28" s="41" t="inlineStr">
        <is>
          <t>FL_DES_ABC_1kg</t>
        </is>
      </c>
      <c r="R28" s="42" t="inlineStr">
        <is>
          <t>Pieza comercial; sello IRAM 3533; peso: completar con la ficha del proveedor (no afecta el MRP)</t>
        </is>
      </c>
    </row>
    <row r="29" outlineLevel="1">
      <c r="A29" s="32" t="n">
        <v>2</v>
      </c>
      <c r="B29" s="32" t="inlineStr">
        <is>
          <t>ABC1-09</t>
        </is>
      </c>
      <c r="C29" s="17" t="inlineStr">
        <is>
          <t xml:space="preserve">        Vástago</t>
        </is>
      </c>
      <c r="D29" s="32" t="n">
        <v>1</v>
      </c>
      <c r="E29" s="32" t="inlineStr">
        <is>
          <t>u</t>
        </is>
      </c>
      <c r="F29" s="33" t="n">
        <v>0.0044</v>
      </c>
      <c r="G29" s="33">
        <f>D29*F29</f>
        <v/>
      </c>
      <c r="H29" s="32" t="inlineStr">
        <is>
          <t>Latón</t>
        </is>
      </c>
      <c r="I29" s="17" t="inlineStr">
        <is>
          <t>22,8 × 9 × 9</t>
        </is>
      </c>
      <c r="J29" s="32" t="inlineStr">
        <is>
          <t>Incluido en válvula HZ</t>
        </is>
      </c>
      <c r="K29" s="32" t="inlineStr">
        <is>
          <t>No</t>
        </is>
      </c>
      <c r="L29" s="17" t="n"/>
      <c r="M29" s="17" t="n"/>
      <c r="N29" s="17" t="inlineStr">
        <is>
          <t>19 Ensamblaje de válvula (T03/T04)</t>
        </is>
      </c>
      <c r="O29" s="17" t="n"/>
      <c r="P29" s="32" t="inlineStr">
        <is>
          <t>P</t>
        </is>
      </c>
      <c r="Q29" s="32" t="inlineStr">
        <is>
          <t>FL_DES_ABC_1kg</t>
        </is>
      </c>
      <c r="R29" s="17" t="inlineStr">
        <is>
          <t>con junta tórica</t>
        </is>
      </c>
    </row>
    <row r="30" outlineLevel="1">
      <c r="A30" s="32" t="n">
        <v>2</v>
      </c>
      <c r="B30" s="32" t="inlineStr">
        <is>
          <t>ABC1-10</t>
        </is>
      </c>
      <c r="C30" s="17" t="inlineStr">
        <is>
          <t xml:space="preserve">        Resorte de válvula</t>
        </is>
      </c>
      <c r="D30" s="32" t="n">
        <v>1</v>
      </c>
      <c r="E30" s="32" t="inlineStr">
        <is>
          <t>u</t>
        </is>
      </c>
      <c r="F30" s="33" t="n">
        <v>0.0018</v>
      </c>
      <c r="G30" s="33">
        <f>D30*F30</f>
        <v/>
      </c>
      <c r="H30" s="32" t="inlineStr">
        <is>
          <t>Alambre acero inox. AISI 302</t>
        </is>
      </c>
      <c r="I30" s="17" t="inlineStr">
        <is>
          <t>19,9 × 9,8 × 9,8</t>
        </is>
      </c>
      <c r="J30" s="32" t="inlineStr">
        <is>
          <t>Incluido en válvula HZ</t>
        </is>
      </c>
      <c r="K30" s="32" t="inlineStr">
        <is>
          <t>No</t>
        </is>
      </c>
      <c r="L30" s="17" t="n"/>
      <c r="M30" s="17" t="n"/>
      <c r="N30" s="17" t="inlineStr">
        <is>
          <t>19 Ensamblaje de válvula (T03/T04)</t>
        </is>
      </c>
      <c r="O30" s="17" t="n"/>
      <c r="P30" s="32" t="inlineStr">
        <is>
          <t>P</t>
        </is>
      </c>
      <c r="Q30" s="32" t="inlineStr">
        <is>
          <t>FL_DES_ABC_1kg</t>
        </is>
      </c>
      <c r="R30" s="17" t="inlineStr">
        <is>
          <t>cierre del vástago</t>
        </is>
      </c>
    </row>
    <row r="31" outlineLevel="1">
      <c r="A31" s="32" t="n">
        <v>2</v>
      </c>
      <c r="B31" s="32" t="inlineStr">
        <is>
          <t>ABC1-11</t>
        </is>
      </c>
      <c r="C31" s="17" t="inlineStr">
        <is>
          <t xml:space="preserve">        Eje de palanca</t>
        </is>
      </c>
      <c r="D31" s="32" t="n">
        <v>1</v>
      </c>
      <c r="E31" s="32" t="inlineStr">
        <is>
          <t>u</t>
        </is>
      </c>
      <c r="F31" s="33" t="n">
        <v>0.0023</v>
      </c>
      <c r="G31" s="33">
        <f>D31*F31</f>
        <v/>
      </c>
      <c r="H31" s="32" t="inlineStr">
        <is>
          <t>Acero inox. AISI 304</t>
        </is>
      </c>
      <c r="I31" s="17" t="inlineStr">
        <is>
          <t>29 × 3,6 × 3,6</t>
        </is>
      </c>
      <c r="J31" s="32" t="inlineStr">
        <is>
          <t>Incluido en válvula HZ</t>
        </is>
      </c>
      <c r="K31" s="32" t="inlineStr">
        <is>
          <t>No</t>
        </is>
      </c>
      <c r="L31" s="17" t="n"/>
      <c r="M31" s="17" t="n"/>
      <c r="N31" s="17" t="inlineStr">
        <is>
          <t>19 Ensamblaje de válvula (T03/T04)</t>
        </is>
      </c>
      <c r="O31" s="17" t="n"/>
      <c r="P31" s="32" t="inlineStr">
        <is>
          <t>P</t>
        </is>
      </c>
      <c r="Q31" s="32" t="inlineStr">
        <is>
          <t>FL_DES_ABC_1kg</t>
        </is>
      </c>
      <c r="R31" s="17" t="n"/>
    </row>
    <row r="32" outlineLevel="1">
      <c r="A32" s="32" t="n">
        <v>2</v>
      </c>
      <c r="B32" s="32" t="inlineStr">
        <is>
          <t>ABC1-12</t>
        </is>
      </c>
      <c r="C32" s="17" t="inlineStr">
        <is>
          <t xml:space="preserve">        Pasador de seguridad</t>
        </is>
      </c>
      <c r="D32" s="32" t="n">
        <v>1</v>
      </c>
      <c r="E32" s="32" t="inlineStr">
        <is>
          <t>u</t>
        </is>
      </c>
      <c r="F32" s="33" t="n">
        <v>0.0053</v>
      </c>
      <c r="G32" s="33">
        <f>D32*F32</f>
        <v/>
      </c>
      <c r="H32" s="32" t="inlineStr">
        <is>
          <t>Alambre acero inox. AISI 304</t>
        </is>
      </c>
      <c r="I32" s="17" t="inlineStr">
        <is>
          <t>41,9 × 21 × 20,8</t>
        </is>
      </c>
      <c r="J32" s="32" t="inlineStr">
        <is>
          <t>Incluido en válvula HZ</t>
        </is>
      </c>
      <c r="K32" s="32" t="inlineStr">
        <is>
          <t>No</t>
        </is>
      </c>
      <c r="L32" s="17" t="n"/>
      <c r="M32" s="17" t="n"/>
      <c r="N32" s="17" t="inlineStr">
        <is>
          <t>19 Ensamblaje de válvula (T03/T04)</t>
        </is>
      </c>
      <c r="O32" s="17" t="n"/>
      <c r="P32" s="32" t="inlineStr">
        <is>
          <t>P</t>
        </is>
      </c>
      <c r="Q32" s="32" t="inlineStr">
        <is>
          <t>FL_DES_ABC_1kg</t>
        </is>
      </c>
      <c r="R32" s="17" t="inlineStr">
        <is>
          <t>con precinto</t>
        </is>
      </c>
    </row>
    <row r="33" outlineLevel="1">
      <c r="A33" s="32" t="n">
        <v>2</v>
      </c>
      <c r="B33" s="32" t="inlineStr">
        <is>
          <t>ABC1-13</t>
        </is>
      </c>
      <c r="C33" s="17" t="inlineStr">
        <is>
          <t xml:space="preserve">        Manija de accionamiento</t>
        </is>
      </c>
      <c r="D33" s="32" t="n">
        <v>1</v>
      </c>
      <c r="E33" s="32" t="inlineStr">
        <is>
          <t>u</t>
        </is>
      </c>
      <c r="F33" s="33" t="n">
        <v>0.025</v>
      </c>
      <c r="G33" s="33">
        <f>D33*F33</f>
        <v/>
      </c>
      <c r="H33" s="32" t="inlineStr">
        <is>
          <t>Chapa acero SAE 1010 pintada</t>
        </is>
      </c>
      <c r="I33" s="17" t="inlineStr">
        <is>
          <t>67,1 × 27 × 11</t>
        </is>
      </c>
      <c r="J33" s="32" t="inlineStr">
        <is>
          <t>Incluido en válvula HZ</t>
        </is>
      </c>
      <c r="K33" s="32" t="inlineStr">
        <is>
          <t>No</t>
        </is>
      </c>
      <c r="L33" s="17" t="n"/>
      <c r="M33" s="17" t="n"/>
      <c r="N33" s="17" t="inlineStr">
        <is>
          <t>19 Ensamblaje de válvula (T03/T04)</t>
        </is>
      </c>
      <c r="O33" s="17" t="n"/>
      <c r="P33" s="32" t="inlineStr">
        <is>
          <t>P</t>
        </is>
      </c>
      <c r="Q33" s="32" t="inlineStr">
        <is>
          <t>FL_DES_ABC_1kg</t>
        </is>
      </c>
      <c r="R33" s="17" t="n"/>
    </row>
    <row r="34" outlineLevel="1">
      <c r="A34" s="32" t="n">
        <v>2</v>
      </c>
      <c r="B34" s="32" t="inlineStr">
        <is>
          <t>ABC1-14</t>
        </is>
      </c>
      <c r="C34" s="17" t="inlineStr">
        <is>
          <t xml:space="preserve">        Manija de transporte</t>
        </is>
      </c>
      <c r="D34" s="32" t="n">
        <v>1</v>
      </c>
      <c r="E34" s="32" t="inlineStr">
        <is>
          <t>u</t>
        </is>
      </c>
      <c r="F34" s="33" t="n">
        <v>0.0501</v>
      </c>
      <c r="G34" s="33">
        <f>D34*F34</f>
        <v/>
      </c>
      <c r="H34" s="32" t="inlineStr">
        <is>
          <t>Chapa acero SAE 1010 pintada</t>
        </is>
      </c>
      <c r="I34" s="17" t="inlineStr">
        <is>
          <t>91,7 × 60 × 31</t>
        </is>
      </c>
      <c r="J34" s="32" t="inlineStr">
        <is>
          <t>Incluido en válvula HZ</t>
        </is>
      </c>
      <c r="K34" s="32" t="inlineStr">
        <is>
          <t>No</t>
        </is>
      </c>
      <c r="L34" s="17" t="n"/>
      <c r="M34" s="17" t="n"/>
      <c r="N34" s="17" t="inlineStr">
        <is>
          <t>19 Ensamblaje de válvula (T03/T04)</t>
        </is>
      </c>
      <c r="O34" s="17" t="n"/>
      <c r="P34" s="32" t="inlineStr">
        <is>
          <t>P</t>
        </is>
      </c>
      <c r="Q34" s="32" t="inlineStr">
        <is>
          <t>FL_DES_ABC_1kg</t>
        </is>
      </c>
      <c r="R34" s="17" t="n"/>
    </row>
    <row r="35" outlineLevel="1">
      <c r="A35" s="32" t="n">
        <v>2</v>
      </c>
      <c r="B35" s="32" t="inlineStr">
        <is>
          <t>ABC1-15</t>
        </is>
      </c>
      <c r="C35" s="17" t="inlineStr">
        <is>
          <t xml:space="preserve">        Caño de pesca (sifón)</t>
        </is>
      </c>
      <c r="D35" s="32" t="n">
        <v>1</v>
      </c>
      <c r="E35" s="32" t="inlineStr">
        <is>
          <t>u</t>
        </is>
      </c>
      <c r="F35" s="33" t="n">
        <v>0.023</v>
      </c>
      <c r="G35" s="33">
        <f>D35*F35</f>
        <v/>
      </c>
      <c r="H35" s="32" t="inlineStr">
        <is>
          <t>Tubo PVC rígido</t>
        </is>
      </c>
      <c r="I35" s="17" t="inlineStr">
        <is>
          <t>Ø14,4 × 270,1 de largo</t>
        </is>
      </c>
      <c r="J35" s="32" t="inlineStr">
        <is>
          <t>Incluido en válvula HZ</t>
        </is>
      </c>
      <c r="K35" s="32" t="inlineStr">
        <is>
          <t>No</t>
        </is>
      </c>
      <c r="L35" s="17" t="n"/>
      <c r="M35" s="17" t="n"/>
      <c r="N35" s="17" t="inlineStr">
        <is>
          <t>19 Ensamblaje de válvula (T03/T04)</t>
        </is>
      </c>
      <c r="O35" s="17" t="n"/>
      <c r="P35" s="32" t="inlineStr">
        <is>
          <t>P</t>
        </is>
      </c>
      <c r="Q35" s="32" t="inlineStr">
        <is>
          <t>FL_DES_ABC_1kg</t>
        </is>
      </c>
      <c r="R35" s="17" t="n"/>
    </row>
    <row r="36" outlineLevel="1">
      <c r="A36" s="32" t="n">
        <v>2</v>
      </c>
      <c r="B36" s="32" t="inlineStr">
        <is>
          <t>ABC1-21</t>
        </is>
      </c>
      <c r="C36" s="17" t="inlineStr">
        <is>
          <t xml:space="preserve">        Junta tórica de asiento</t>
        </is>
      </c>
      <c r="D36" s="32" t="n">
        <v>1</v>
      </c>
      <c r="E36" s="32" t="inlineStr">
        <is>
          <t>u</t>
        </is>
      </c>
      <c r="F36" s="33" t="n">
        <v>0.0007</v>
      </c>
      <c r="G36" s="33">
        <f>D36*F36</f>
        <v/>
      </c>
      <c r="H36" s="32" t="inlineStr">
        <is>
          <t>NBR 70 Shore A</t>
        </is>
      </c>
      <c r="I36" s="17" t="inlineStr">
        <is>
          <t>Ø24 ext. × cordón 3</t>
        </is>
      </c>
      <c r="J36" s="32" t="inlineStr">
        <is>
          <t>Compra</t>
        </is>
      </c>
      <c r="K36" s="32" t="inlineStr">
        <is>
          <t>Sí</t>
        </is>
      </c>
      <c r="L36" s="17" t="inlineStr">
        <is>
          <t>Argensold</t>
        </is>
      </c>
      <c r="M36" s="17" t="inlineStr">
        <is>
          <t>Matafuegos Iglesias</t>
        </is>
      </c>
      <c r="N36" s="17" t="inlineStr">
        <is>
          <t>19 Ensamblaje de válvula (T03/T04)</t>
        </is>
      </c>
      <c r="O36" s="17" t="n"/>
      <c r="P36" s="32" t="inlineStr">
        <is>
          <t>P</t>
        </is>
      </c>
      <c r="Q36" s="32" t="inlineStr">
        <is>
          <t>FL_DES_ABC_1kg</t>
        </is>
      </c>
      <c r="R36" s="17" t="inlineStr">
        <is>
          <t>cambio c/recarga</t>
        </is>
      </c>
    </row>
    <row r="37" outlineLevel="1">
      <c r="A37" s="32" t="n">
        <v>2</v>
      </c>
      <c r="B37" s="32" t="inlineStr">
        <is>
          <t>ABC1-K2</t>
        </is>
      </c>
      <c r="C37" s="17" t="inlineStr">
        <is>
          <t xml:space="preserve">        Válvula HZ armada M-22 1 kg c/tubo de pesca plástico</t>
        </is>
      </c>
      <c r="D37" s="32" t="n">
        <v>1</v>
      </c>
      <c r="E37" s="32" t="inlineStr">
        <is>
          <t>u</t>
        </is>
      </c>
      <c r="F37" s="33" t="n"/>
      <c r="G37" s="33" t="n"/>
      <c r="H37" s="32" t="inlineStr">
        <is>
          <t>Latón forjado (HZ)</t>
        </is>
      </c>
      <c r="I37" s="17" t="inlineStr">
        <is>
          <t>rosca M22x1,5</t>
        </is>
      </c>
      <c r="J37" s="32" t="inlineStr">
        <is>
          <t>Compra</t>
        </is>
      </c>
      <c r="K37" s="32" t="inlineStr">
        <is>
          <t>Sí</t>
        </is>
      </c>
      <c r="L37" s="17" t="inlineStr">
        <is>
          <t>Polvex S.R.L. / Sancibrao</t>
        </is>
      </c>
      <c r="M37" s="17" t="inlineStr">
        <is>
          <t>Mozart S.R.L.</t>
        </is>
      </c>
      <c r="N37" s="17" t="inlineStr">
        <is>
          <t>19 Ensamblaje de válvula</t>
        </is>
      </c>
      <c r="O37" s="17" t="inlineStr">
        <is>
          <t>IRAM 3523 3.3</t>
        </is>
      </c>
      <c r="P37" s="32" t="inlineStr">
        <is>
          <t>Q</t>
        </is>
      </c>
      <c r="Q37" s="32" t="inlineStr">
        <is>
          <t>FL_DES_ABC_1kg</t>
        </is>
      </c>
      <c r="R37" s="17" t="inlineStr">
        <is>
          <t>Lista de precios HZ (Q-AGENTES); plano Fadesa usa válvula HZ (R-FADESA). Trae las piezas marcadas «Incluido en válvula HZ»</t>
        </is>
      </c>
    </row>
    <row r="38" outlineLevel="1">
      <c r="A38" s="32" t="n">
        <v>2</v>
      </c>
      <c r="B38" s="32" t="inlineStr">
        <is>
          <t>ABC1-V2</t>
        </is>
      </c>
      <c r="C38" s="17" t="inlineStr">
        <is>
          <t xml:space="preserve">        Resorte de retorno del vástago</t>
        </is>
      </c>
      <c r="D38" s="32" t="n">
        <v>1</v>
      </c>
      <c r="E38" s="32" t="inlineStr">
        <is>
          <t>u</t>
        </is>
      </c>
      <c r="F38" s="33" t="n"/>
      <c r="G38" s="33" t="n"/>
      <c r="H38" s="32" t="inlineStr">
        <is>
          <t>Acero para resortes</t>
        </is>
      </c>
      <c r="I38" s="17" t="inlineStr">
        <is>
          <t>incluido en la válvula</t>
        </is>
      </c>
      <c r="J38" s="32" t="inlineStr">
        <is>
          <t>Incluido en válvula HZ</t>
        </is>
      </c>
      <c r="K38" s="32" t="inlineStr">
        <is>
          <t>No</t>
        </is>
      </c>
      <c r="L38" s="17" t="n"/>
      <c r="M38" s="17" t="n"/>
      <c r="N38" s="17" t="inlineStr">
        <is>
          <t>19 Ensamblaje</t>
        </is>
      </c>
      <c r="O38" s="17" t="n"/>
      <c r="P38" s="32" t="inlineStr">
        <is>
          <t>Q</t>
        </is>
      </c>
      <c r="Q38" s="32" t="n"/>
      <c r="R38" s="17" t="inlineStr">
        <is>
          <t>Lista de precios HZ: válvula «c/resorte» (Q-AGENTES)</t>
        </is>
      </c>
    </row>
    <row r="39" outlineLevel="1">
      <c r="A39" s="32" t="n">
        <v>2</v>
      </c>
      <c r="B39" s="32" t="inlineStr">
        <is>
          <t>ABC1-V3</t>
        </is>
      </c>
      <c r="C39" s="17" t="inlineStr">
        <is>
          <t xml:space="preserve">        Junta tórica del vástago</t>
        </is>
      </c>
      <c r="D39" s="32" t="n">
        <v>1</v>
      </c>
      <c r="E39" s="32" t="inlineStr">
        <is>
          <t>u</t>
        </is>
      </c>
      <c r="F39" s="33" t="n"/>
      <c r="G39" s="33" t="n"/>
      <c r="H39" s="32" t="inlineStr">
        <is>
          <t>NBR 70 Shore A</t>
        </is>
      </c>
      <c r="I39" s="17" t="inlineStr">
        <is>
          <t>incluida en la válvula</t>
        </is>
      </c>
      <c r="J39" s="32" t="inlineStr">
        <is>
          <t>Incluido en válvula HZ</t>
        </is>
      </c>
      <c r="K39" s="32" t="inlineStr">
        <is>
          <t>No</t>
        </is>
      </c>
      <c r="L39" s="17" t="n"/>
      <c r="M39" s="17" t="n"/>
      <c r="N39" s="17" t="inlineStr">
        <is>
          <t>19 Ensamblaje</t>
        </is>
      </c>
      <c r="O39" s="17" t="n"/>
      <c r="P39" s="32" t="inlineStr">
        <is>
          <t>P</t>
        </is>
      </c>
      <c r="Q39" s="32" t="n"/>
      <c r="R39" s="17" t="inlineStr">
        <is>
          <t>Figura en el plano como «vástago con junta tórica»</t>
        </is>
      </c>
    </row>
    <row r="40">
      <c r="A40" s="29" t="n">
        <v>1</v>
      </c>
      <c r="B40" s="29" t="inlineStr">
        <is>
          <t>ABC1-S3</t>
        </is>
      </c>
      <c r="C40" s="30" t="inlineStr">
        <is>
          <t xml:space="preserve">    Dispositivo de descarga</t>
        </is>
      </c>
      <c r="D40" s="29" t="n">
        <v>1</v>
      </c>
      <c r="E40" s="29" t="inlineStr">
        <is>
          <t>u</t>
        </is>
      </c>
      <c r="F40" s="31" t="n"/>
      <c r="G40" s="31">
        <f>G41</f>
        <v/>
      </c>
      <c r="H40" s="29" t="n"/>
      <c r="I40" s="30" t="n"/>
      <c r="J40" s="29" t="inlineStr">
        <is>
          <t>Compra / armado</t>
        </is>
      </c>
      <c r="K40" s="29" t="n"/>
      <c r="L40" s="30" t="n"/>
      <c r="M40" s="30" t="n"/>
      <c r="N40" s="30" t="n"/>
      <c r="O40" s="30" t="n"/>
      <c r="P40" s="29" t="inlineStr">
        <is>
          <t>P</t>
        </is>
      </c>
      <c r="Q40" s="29" t="inlineStr">
        <is>
          <t>FL_DES_ABC_1kg</t>
        </is>
      </c>
      <c r="R40" s="30" t="n"/>
    </row>
    <row r="41" outlineLevel="1">
      <c r="A41" s="32" t="n">
        <v>2</v>
      </c>
      <c r="B41" s="32" t="inlineStr">
        <is>
          <t>ABC1-16</t>
        </is>
      </c>
      <c r="C41" s="17" t="inlineStr">
        <is>
          <t xml:space="preserve">        Tobera</t>
        </is>
      </c>
      <c r="D41" s="32" t="n">
        <v>1</v>
      </c>
      <c r="E41" s="32" t="inlineStr">
        <is>
          <t>u</t>
        </is>
      </c>
      <c r="F41" s="33" t="n">
        <v>0.0005999999999999999</v>
      </c>
      <c r="G41" s="33">
        <f>D41*F41</f>
        <v/>
      </c>
      <c r="H41" s="32" t="inlineStr">
        <is>
          <t>Polipropileno</t>
        </is>
      </c>
      <c r="I41" s="17" t="inlineStr">
        <is>
          <t>12 × 12 × 10</t>
        </is>
      </c>
      <c r="J41" s="32" t="inlineStr">
        <is>
          <t>Compra</t>
        </is>
      </c>
      <c r="K41" s="32" t="inlineStr">
        <is>
          <t>Sí</t>
        </is>
      </c>
      <c r="L41" s="17" t="inlineStr">
        <is>
          <t>Yukon / MatafuegosYa S.R.L.</t>
        </is>
      </c>
      <c r="M41" s="17" t="inlineStr">
        <is>
          <t>Matafuegos Iglesias</t>
        </is>
      </c>
      <c r="N41" s="17" t="inlineStr">
        <is>
          <t>19 Ensamblaje (T03/T04)</t>
        </is>
      </c>
      <c r="O41" s="17" t="n"/>
      <c r="P41" s="32" t="inlineStr">
        <is>
          <t>P</t>
        </is>
      </c>
      <c r="Q41" s="32" t="inlineStr">
        <is>
          <t>FL_DES_ABC_1kg</t>
        </is>
      </c>
      <c r="R41" s="17" t="n"/>
    </row>
    <row r="42">
      <c r="A42" s="29" t="n">
        <v>1</v>
      </c>
      <c r="B42" s="29" t="inlineStr">
        <is>
          <t>ABC1-S5</t>
        </is>
      </c>
      <c r="C42" s="30" t="inlineStr">
        <is>
          <t xml:space="preserve">    Carga: agente extintor y gas impulsor</t>
        </is>
      </c>
      <c r="D42" s="29" t="n">
        <v>1</v>
      </c>
      <c r="E42" s="29" t="inlineStr">
        <is>
          <t>u</t>
        </is>
      </c>
      <c r="F42" s="31" t="n"/>
      <c r="G42" s="31">
        <f>G43+G44</f>
        <v/>
      </c>
      <c r="H42" s="29" t="n"/>
      <c r="I42" s="30" t="n"/>
      <c r="J42" s="29" t="inlineStr">
        <is>
          <t>Carga en planta</t>
        </is>
      </c>
      <c r="K42" s="29" t="n"/>
      <c r="L42" s="30" t="n"/>
      <c r="M42" s="30" t="n"/>
      <c r="N42" s="30" t="inlineStr">
        <is>
          <t>18 Carga de polvo (T01) / C8 (T02)</t>
        </is>
      </c>
      <c r="O42" s="30" t="n"/>
      <c r="P42" s="29" t="n"/>
      <c r="Q42" s="29" t="n"/>
      <c r="R42" s="30" t="n"/>
    </row>
    <row r="43" outlineLevel="1">
      <c r="A43" s="32" t="n">
        <v>2</v>
      </c>
      <c r="B43" s="32" t="inlineStr">
        <is>
          <t>ABC1-A1</t>
        </is>
      </c>
      <c r="C43" s="17" t="inlineStr">
        <is>
          <t xml:space="preserve">        Polvo químico seco ABC 60 (Sello IRAM 3569)</t>
        </is>
      </c>
      <c r="D43" s="32" t="n">
        <v>1.05</v>
      </c>
      <c r="E43" s="32" t="inlineStr">
        <is>
          <t>kg</t>
        </is>
      </c>
      <c r="F43" s="33" t="n">
        <v>1</v>
      </c>
      <c r="G43" s="33">
        <f>D43*F43</f>
        <v/>
      </c>
      <c r="H43" s="32" t="inlineStr">
        <is>
          <t>Polvo químico seco ABC 60 (Sello IRAM 3569)</t>
        </is>
      </c>
      <c r="I43" s="17" t="inlineStr">
        <is>
          <t>nominal 1 kg; tolerancia 0 / +100 g (IRAM 3517-2:2020 tabla 3 · IRAM 3523 tabla II)</t>
        </is>
      </c>
      <c r="J43" s="32" t="inlineStr">
        <is>
          <t>Compra</t>
        </is>
      </c>
      <c r="K43" s="32" t="inlineStr">
        <is>
          <t>Sí</t>
        </is>
      </c>
      <c r="L43" s="17" t="inlineStr">
        <is>
          <t>DEM S.A. (DEMSA)</t>
        </is>
      </c>
      <c r="M43" s="17" t="inlineStr">
        <is>
          <t>Polvex S.R.L. / Sancibrao</t>
        </is>
      </c>
      <c r="N43" s="17" t="inlineStr">
        <is>
          <t>SP-1 almacén previo a la carga</t>
        </is>
      </c>
      <c r="O43" s="17" t="inlineStr">
        <is>
          <t>IRAM 3569</t>
        </is>
      </c>
      <c r="P43" s="32" t="inlineStr">
        <is>
          <t>N</t>
        </is>
      </c>
      <c r="Q43" s="32" t="n"/>
      <c r="R43" s="17" t="inlineStr">
        <is>
          <t>Composición declarada del polvo ABC 60: MAP 60 % (IRAM 3569: 57-63 %) = 0,63 kg MAP + 0,389 kg sulfato de amonio + 0,032 kg aditivos · potencial de referencia 1A-5B:C (licencia Drago con DEM-60/90, L-DRAGO) · Decisión: DEMSA principal (sello IRAM 3569 y potencial de referencia); Polvex/Sancibrao alternativa sujeta a sello IRAM 3569 y ensayo de tipo de FLAMA (IRAM 3542/3543) · Lote único por extintor; prohibido mezclar ABC con BC (3517-2 9.9.1.6)</t>
        </is>
      </c>
    </row>
    <row r="44" outlineLevel="1">
      <c r="A44" s="37" t="n">
        <v>2</v>
      </c>
      <c r="B44" s="37" t="inlineStr">
        <is>
          <t>ABC1-A2</t>
        </is>
      </c>
      <c r="C44" s="18" t="inlineStr">
        <is>
          <t xml:space="preserve">        Gas impulsor: N₂</t>
        </is>
      </c>
      <c r="D44" s="37" t="n">
        <v>0.0047</v>
      </c>
      <c r="E44" s="37" t="inlineStr">
        <is>
          <t>kg</t>
        </is>
      </c>
      <c r="F44" s="38" t="n">
        <v>1</v>
      </c>
      <c r="G44" s="38">
        <f>D44*F44</f>
        <v/>
      </c>
      <c r="H44" s="37" t="inlineStr">
        <is>
          <t>N₂</t>
        </is>
      </c>
      <c r="I44" s="18" t="inlineStr">
        <is>
          <t>3,7 L normales para 1,4 MPa a 20 °C en 0,27 dm³ libres</t>
        </is>
      </c>
      <c r="J44" s="37" t="inlineStr">
        <is>
          <t>Compra</t>
        </is>
      </c>
      <c r="K44" s="37" t="inlineStr">
        <is>
          <t>Sí</t>
        </is>
      </c>
      <c r="L44" s="18" t="inlineStr">
        <is>
          <t>Air Liquide Argentina - sucursal Piñeyro</t>
        </is>
      </c>
      <c r="M44" s="18" t="inlineStr">
        <is>
          <t>Gogniat</t>
        </is>
      </c>
      <c r="N44" s="18" t="inlineStr">
        <is>
          <t>20 Presurización (T05) / C10</t>
        </is>
      </c>
      <c r="O44" s="18" t="inlineStr">
        <is>
          <t>IRAM 3517-2 9.4.9 (tabla 2) · IRAM 3523 2.3 y 3.10</t>
        </is>
      </c>
      <c r="P44" s="37" t="inlineStr">
        <is>
          <t>C</t>
        </is>
      </c>
      <c r="Q44" s="37" t="n"/>
      <c r="R44" s="18" t="inlineStr">
        <is>
          <t>N₂ ≥ 99,8 %, H₂O ≤ 40 ppm (Q-N2, Air Liquide) · volumen libre con ρ empacada mínima 1,1 kg/dm³ (NOM-104-STPS-2001); confirmar con descarga ≥ 85 % (IRAM 3523 4.9.1)</t>
        </is>
      </c>
    </row>
    <row r="45">
      <c r="A45" s="29" t="n">
        <v>1</v>
      </c>
      <c r="B45" s="29" t="inlineStr">
        <is>
          <t>ABC1-S6</t>
        </is>
      </c>
      <c r="C45" s="30" t="inlineStr">
        <is>
          <t xml:space="preserve">    Identificación y precinto</t>
        </is>
      </c>
      <c r="D45" s="29" t="n">
        <v>1</v>
      </c>
      <c r="E45" s="29" t="inlineStr">
        <is>
          <t>u</t>
        </is>
      </c>
      <c r="F45" s="31" t="n"/>
      <c r="G45" s="31">
        <f>G46+G47+G48+G49+G50+G51</f>
        <v/>
      </c>
      <c r="H45" s="29" t="n"/>
      <c r="I45" s="30" t="n"/>
      <c r="J45" s="29" t="inlineStr">
        <is>
          <t>Compra</t>
        </is>
      </c>
      <c r="K45" s="29" t="n"/>
      <c r="L45" s="30" t="n"/>
      <c r="M45" s="30" t="n"/>
      <c r="N45" s="30" t="inlineStr">
        <is>
          <t>22 Etiquetado (T07)</t>
        </is>
      </c>
      <c r="O45" s="30" t="n"/>
      <c r="P45" s="29" t="n"/>
      <c r="Q45" s="29" t="n"/>
      <c r="R45" s="30" t="n"/>
    </row>
    <row r="46" outlineLevel="1">
      <c r="A46" s="32" t="n">
        <v>2</v>
      </c>
      <c r="B46" s="32" t="inlineStr">
        <is>
          <t>ABC1-17</t>
        </is>
      </c>
      <c r="C46" s="17" t="inlineStr">
        <is>
          <t xml:space="preserve">        Etiqueta / placa de características</t>
        </is>
      </c>
      <c r="D46" s="32" t="n">
        <v>1</v>
      </c>
      <c r="E46" s="32" t="inlineStr">
        <is>
          <t>u</t>
        </is>
      </c>
      <c r="F46" s="33" t="n">
        <v>0.0097</v>
      </c>
      <c r="G46" s="33">
        <f>D46*F46</f>
        <v/>
      </c>
      <c r="H46" s="32" t="inlineStr">
        <is>
          <t>Vinilo autoadhesivo laminado</t>
        </is>
      </c>
      <c r="I46" s="17" t="inlineStr">
        <is>
          <t>168 × 137 (desarrollo × alto: panel central 108° + 2 alas laterales), e ≈ 0,3, laminado UV</t>
        </is>
      </c>
      <c r="J46" s="32" t="inlineStr">
        <is>
          <t>Compra</t>
        </is>
      </c>
      <c r="K46" s="32" t="inlineStr">
        <is>
          <t>Sí</t>
        </is>
      </c>
      <c r="L46" s="17" t="inlineStr">
        <is>
          <t>Astuprint</t>
        </is>
      </c>
      <c r="M46" s="17" t="inlineStr">
        <is>
          <t>Multilabel Argentina S.A.</t>
        </is>
      </c>
      <c r="N46" s="17" t="inlineStr">
        <is>
          <t>22 Etiquetado (T07)</t>
        </is>
      </c>
      <c r="O46" s="17" t="inlineStr">
        <is>
          <t>IRAM 3534 · IRAM 3523 cap. 5 · relevamiento de mercado</t>
        </is>
      </c>
      <c r="P46" s="32" t="inlineStr">
        <is>
          <t>P</t>
        </is>
      </c>
      <c r="Q46" s="32" t="inlineStr">
        <is>
          <t>FL_DES_ABC_1kg</t>
        </is>
      </c>
      <c r="R46" s="17" t="inlineStr">
        <is>
          <t>IRAM 3534</t>
        </is>
      </c>
    </row>
    <row r="47" outlineLevel="1">
      <c r="A47" s="32" t="n">
        <v>2</v>
      </c>
      <c r="B47" s="32" t="inlineStr">
        <is>
          <t>ABC1-18</t>
        </is>
      </c>
      <c r="C47" s="17" t="inlineStr">
        <is>
          <t xml:space="preserve">        Oblea de fabricación (PBA)</t>
        </is>
      </c>
      <c r="D47" s="32" t="n">
        <v>1</v>
      </c>
      <c r="E47" s="32" t="inlineStr">
        <is>
          <t>u</t>
        </is>
      </c>
      <c r="F47" s="33" t="n">
        <v>0.0009</v>
      </c>
      <c r="G47" s="33">
        <f>D47*F47</f>
        <v/>
      </c>
      <c r="H47" s="32" t="inlineStr">
        <is>
          <t>Papel de seguridad autodestructible</t>
        </is>
      </c>
      <c r="I47" s="17" t="inlineStr">
        <is>
          <t>Ø46 (Res. OPDS 522/07), numerada, autodestructible</t>
        </is>
      </c>
      <c r="J47" s="32" t="inlineStr">
        <is>
          <t>Compra</t>
        </is>
      </c>
      <c r="K47" s="32" t="inlineStr">
        <is>
          <t>Sí</t>
        </is>
      </c>
      <c r="L47" s="17" t="inlineStr">
        <is>
          <t>Ministerio de Ambiente PBA (ex OPDS)</t>
        </is>
      </c>
      <c r="M47" s="17" t="inlineStr">
        <is>
          <t>-</t>
        </is>
      </c>
      <c r="N47" s="17" t="inlineStr">
        <is>
          <t>22 Etiquetado (T07)</t>
        </is>
      </c>
      <c r="O47" s="17" t="inlineStr">
        <is>
          <t>Res. OPDS 522/07 anexos 1, 2 y 6</t>
        </is>
      </c>
      <c r="P47" s="32" t="inlineStr">
        <is>
          <t>P</t>
        </is>
      </c>
      <c r="Q47" s="32" t="inlineStr">
        <is>
          <t>FL_DES_ABC_1kg</t>
        </is>
      </c>
      <c r="R47" s="17" t="inlineStr">
        <is>
          <t>Res. 522/07</t>
        </is>
      </c>
    </row>
    <row r="48" outlineLevel="1">
      <c r="A48" s="32" t="n">
        <v>2</v>
      </c>
      <c r="B48" s="32" t="inlineStr">
        <is>
          <t>ABC1-19</t>
        </is>
      </c>
      <c r="C48" s="17" t="inlineStr">
        <is>
          <t xml:space="preserve">        Estampilla IRAM de conformidad</t>
        </is>
      </c>
      <c r="D48" s="32" t="n">
        <v>1</v>
      </c>
      <c r="E48" s="32" t="inlineStr">
        <is>
          <t>u</t>
        </is>
      </c>
      <c r="F48" s="33" t="n">
        <v>0.001</v>
      </c>
      <c r="G48" s="33">
        <f>D48*F48</f>
        <v/>
      </c>
      <c r="H48" s="32" t="inlineStr">
        <is>
          <t>Provista por IRAM (Anexo R)</t>
        </is>
      </c>
      <c r="I48" s="17" t="inlineStr">
        <is>
          <t>60 × 40</t>
        </is>
      </c>
      <c r="J48" s="32" t="inlineStr">
        <is>
          <t>Compra</t>
        </is>
      </c>
      <c r="K48" s="32" t="inlineStr">
        <is>
          <t>Sí</t>
        </is>
      </c>
      <c r="L48" s="17" t="inlineStr">
        <is>
          <t>IRAM - Instituto Argentino de Normalización</t>
        </is>
      </c>
      <c r="M48" s="17" t="inlineStr">
        <is>
          <t>-</t>
        </is>
      </c>
      <c r="N48" s="17" t="inlineStr">
        <is>
          <t>22 Etiquetado (T07)</t>
        </is>
      </c>
      <c r="O48" s="17" t="inlineStr">
        <is>
          <t>IRAM Anexo R (DC-PG-129)</t>
        </is>
      </c>
      <c r="P48" s="32" t="inlineStr">
        <is>
          <t>P</t>
        </is>
      </c>
      <c r="Q48" s="32" t="inlineStr">
        <is>
          <t>FL_DES_ABC_1kg</t>
        </is>
      </c>
      <c r="R48" s="17" t="inlineStr">
        <is>
          <t>numerada</t>
        </is>
      </c>
    </row>
    <row r="49" outlineLevel="1">
      <c r="A49" s="32" t="n">
        <v>2</v>
      </c>
      <c r="B49" s="32" t="inlineStr">
        <is>
          <t>ABC1-20</t>
        </is>
      </c>
      <c r="C49" s="17" t="inlineStr">
        <is>
          <t xml:space="preserve">        Etiqueta de n° de serie GS1</t>
        </is>
      </c>
      <c r="D49" s="32" t="n">
        <v>1</v>
      </c>
      <c r="E49" s="32" t="inlineStr">
        <is>
          <t>u</t>
        </is>
      </c>
      <c r="F49" s="33" t="n">
        <v>0.0005</v>
      </c>
      <c r="G49" s="33">
        <f>D49*F49</f>
        <v/>
      </c>
      <c r="H49" s="32" t="inlineStr">
        <is>
          <t>Poliéster autoadhesivo impreso térmico</t>
        </is>
      </c>
      <c r="I49" s="17" t="inlineStr">
        <is>
          <t>45 × 25</t>
        </is>
      </c>
      <c r="J49" s="32" t="inlineStr">
        <is>
          <t>Compra</t>
        </is>
      </c>
      <c r="K49" s="32" t="inlineStr">
        <is>
          <t>Sí</t>
        </is>
      </c>
      <c r="L49" s="17" t="inlineStr">
        <is>
          <t>Astuprint</t>
        </is>
      </c>
      <c r="M49" s="17" t="inlineStr">
        <is>
          <t>GS1 Argentina</t>
        </is>
      </c>
      <c r="N49" s="17" t="inlineStr">
        <is>
          <t>22 Etiquetado (T07)</t>
        </is>
      </c>
      <c r="O49" s="17" t="inlineStr">
        <is>
          <t>GS1 Argentina (GTIN 779) · trazabilidad IRAM 3523 5.1</t>
        </is>
      </c>
      <c r="P49" s="32" t="inlineStr">
        <is>
          <t>P</t>
        </is>
      </c>
      <c r="Q49" s="32" t="inlineStr">
        <is>
          <t>FL_DES_ABC_1kg</t>
        </is>
      </c>
      <c r="R49" s="17" t="inlineStr">
        <is>
          <t>QR GTIN + serie</t>
        </is>
      </c>
    </row>
    <row r="50" outlineLevel="1">
      <c r="A50" s="32" t="n">
        <v>2</v>
      </c>
      <c r="B50" s="32" t="inlineStr">
        <is>
          <t>ABC1-22</t>
        </is>
      </c>
      <c r="C50" s="17" t="inlineStr">
        <is>
          <t xml:space="preserve">        Faja de garantía válvula-cuello</t>
        </is>
      </c>
      <c r="D50" s="32" t="n">
        <v>1</v>
      </c>
      <c r="E50" s="32" t="inlineStr">
        <is>
          <t>u</t>
        </is>
      </c>
      <c r="F50" s="33" t="n">
        <v>0.0001</v>
      </c>
      <c r="G50" s="33">
        <f>D50*F50</f>
        <v/>
      </c>
      <c r="H50" s="32" t="inlineStr">
        <is>
          <t>Vinilo destructible rayado rojo/blanco</t>
        </is>
      </c>
      <c r="I50" s="17" t="inlineStr">
        <is>
          <t>17 × 20 (ancho × largo desarrollado), pegada sobre la unión: cuerpo de la válvula, tuerca y cuello</t>
        </is>
      </c>
      <c r="J50" s="32" t="inlineStr">
        <is>
          <t>Compra</t>
        </is>
      </c>
      <c r="K50" s="32" t="inlineStr">
        <is>
          <t>Sí</t>
        </is>
      </c>
      <c r="L50" s="17" t="inlineStr">
        <is>
          <t>Astuprint</t>
        </is>
      </c>
      <c r="M50" s="17" t="inlineStr">
        <is>
          <t>Multilabel Argentina S.A.</t>
        </is>
      </c>
      <c r="N50" s="17" t="inlineStr">
        <is>
          <t>22 Etiquetado (T07)</t>
        </is>
      </c>
      <c r="O50" s="17" t="inlineStr">
        <is>
          <t>Sin norma: práctica de mercado (garantía de fábrica)</t>
        </is>
      </c>
      <c r="P50" s="32" t="inlineStr">
        <is>
          <t>P</t>
        </is>
      </c>
      <c r="Q50" s="32" t="inlineStr">
        <is>
          <t>FL_DES_ABC_1kg</t>
        </is>
      </c>
      <c r="R50" s="17" t="inlineStr">
        <is>
          <t>nuevo sin abrir</t>
        </is>
      </c>
    </row>
    <row r="51" outlineLevel="1">
      <c r="A51" s="32" t="n">
        <v>2</v>
      </c>
      <c r="B51" s="32" t="inlineStr">
        <is>
          <t>ABC1-23</t>
        </is>
      </c>
      <c r="C51" s="17" t="inlineStr">
        <is>
          <t xml:space="preserve">        Precinto de fábrica</t>
        </is>
      </c>
      <c r="D51" s="32" t="n">
        <v>1</v>
      </c>
      <c r="E51" s="32" t="inlineStr">
        <is>
          <t>u</t>
        </is>
      </c>
      <c r="F51" s="33" t="n">
        <v>0.0002</v>
      </c>
      <c r="G51" s="33">
        <f>D51*F51</f>
        <v/>
      </c>
      <c r="H51" s="32" t="inlineStr">
        <is>
          <t>Polipropileno color</t>
        </is>
      </c>
      <c r="I51" s="17" t="inlineStr">
        <is>
          <t>Ø5 × 10, numerado, rotura 30-50 N</t>
        </is>
      </c>
      <c r="J51" s="32" t="inlineStr">
        <is>
          <t>Compra</t>
        </is>
      </c>
      <c r="K51" s="32" t="inlineStr">
        <is>
          <t>Sí</t>
        </is>
      </c>
      <c r="L51" s="17" t="inlineStr">
        <is>
          <t>SonFuertes (vía Papelera Damián)</t>
        </is>
      </c>
      <c r="M51" s="17" t="inlineStr">
        <is>
          <t>Precinter S.R.L.</t>
        </is>
      </c>
      <c r="N51" s="17" t="inlineStr">
        <is>
          <t>20 Presurización (T05)</t>
        </is>
      </c>
      <c r="O51" s="17" t="inlineStr">
        <is>
          <t>IRAM 3523 3.3.2 · IRAM 3517-2:2020 9.4.13</t>
        </is>
      </c>
      <c r="P51" s="32" t="inlineStr">
        <is>
          <t>P</t>
        </is>
      </c>
      <c r="Q51" s="32" t="inlineStr">
        <is>
          <t>FL_DES_ABC_1kg</t>
        </is>
      </c>
      <c r="R51" s="17" t="inlineStr">
        <is>
          <t>id. FLAMA y lote</t>
        </is>
      </c>
    </row>
    <row r="52">
      <c r="A52" s="29" t="n">
        <v>1</v>
      </c>
      <c r="B52" s="29" t="inlineStr">
        <is>
          <t>ABC1-S8</t>
        </is>
      </c>
      <c r="C52" s="30" t="inlineStr">
        <is>
          <t xml:space="preserve">    Soporte (accesorio de montaje)</t>
        </is>
      </c>
      <c r="D52" s="29" t="n">
        <v>1</v>
      </c>
      <c r="E52" s="29" t="inlineStr">
        <is>
          <t>u</t>
        </is>
      </c>
      <c r="F52" s="31" t="n"/>
      <c r="G52" s="31">
        <f>G53</f>
        <v/>
      </c>
      <c r="H52" s="29" t="n"/>
      <c r="I52" s="30" t="n"/>
      <c r="J52" s="29" t="inlineStr">
        <is>
          <t>Compra</t>
        </is>
      </c>
      <c r="K52" s="29" t="n"/>
      <c r="L52" s="30" t="n"/>
      <c r="M52" s="30" t="n"/>
      <c r="N52" s="30" t="inlineStr">
        <is>
          <t>23 Embalaje (va dentro de la caja)</t>
        </is>
      </c>
      <c r="O52" s="30" t="inlineStr">
        <is>
          <t>IRAM 3517-2 7.4</t>
        </is>
      </c>
      <c r="P52" s="29" t="n"/>
      <c r="Q52" s="29" t="n"/>
      <c r="R52" s="30" t="n"/>
    </row>
    <row r="53" outlineLevel="1">
      <c r="A53" s="32" t="n">
        <v>2</v>
      </c>
      <c r="B53" s="32" t="inlineStr">
        <is>
          <t>ABC1-I7</t>
        </is>
      </c>
      <c r="C53" s="17" t="inlineStr">
        <is>
          <t xml:space="preserve">        Soporte vehicular con cierre rápido (FL_ACC_02)</t>
        </is>
      </c>
      <c r="D53" s="32" t="n">
        <v>1</v>
      </c>
      <c r="E53" s="32" t="inlineStr">
        <is>
          <t>u</t>
        </is>
      </c>
      <c r="F53" s="33" t="n">
        <v>0.631</v>
      </c>
      <c r="G53" s="33">
        <f>D53*F53</f>
        <v/>
      </c>
      <c r="H53" s="32" t="inlineStr">
        <is>
          <t>Chapa acero SAE 1010 e=2,5 pintada</t>
        </is>
      </c>
      <c r="I53" s="17" t="inlineStr">
        <is>
          <t>base 80 de ancho, 2 aros con hebilla</t>
        </is>
      </c>
      <c r="J53" s="32" t="inlineStr">
        <is>
          <t>Compra</t>
        </is>
      </c>
      <c r="K53" s="32" t="inlineStr">
        <is>
          <t>Sí</t>
        </is>
      </c>
      <c r="L53" s="17" t="inlineStr">
        <is>
          <t>Maxiseguridad</t>
        </is>
      </c>
      <c r="M53" s="17" t="inlineStr">
        <is>
          <t>CM Representaciones</t>
        </is>
      </c>
      <c r="N53" s="17" t="inlineStr">
        <is>
          <t>23 Embalaje</t>
        </is>
      </c>
      <c r="O53" s="17" t="inlineStr">
        <is>
          <t>IRAM 3517-2 7.4</t>
        </is>
      </c>
      <c r="P53" s="32" t="inlineStr">
        <is>
          <t>P</t>
        </is>
      </c>
      <c r="Q53" s="32" t="inlineStr">
        <is>
          <t>FL_ACC_02</t>
        </is>
      </c>
      <c r="R53" s="17" t="n"/>
    </row>
    <row r="54">
      <c r="A54" s="29" t="n">
        <v>1</v>
      </c>
      <c r="B54" s="29" t="inlineStr">
        <is>
          <t>ABC1-S7</t>
        </is>
      </c>
      <c r="C54" s="30" t="inlineStr">
        <is>
          <t xml:space="preserve">    Embalaje</t>
        </is>
      </c>
      <c r="D54" s="29" t="n">
        <v>1</v>
      </c>
      <c r="E54" s="29" t="inlineStr">
        <is>
          <t>u</t>
        </is>
      </c>
      <c r="F54" s="31" t="n"/>
      <c r="G54" s="31">
        <f>G58</f>
        <v/>
      </c>
      <c r="H54" s="29" t="n"/>
      <c r="I54" s="30" t="n"/>
      <c r="J54" s="29" t="inlineStr">
        <is>
          <t>Compra</t>
        </is>
      </c>
      <c r="K54" s="29" t="n"/>
      <c r="L54" s="30" t="n"/>
      <c r="M54" s="30" t="n"/>
      <c r="N54" s="30" t="inlineStr">
        <is>
          <t>23 Embalaje -&gt; 24 envolvedora (T11)</t>
        </is>
      </c>
      <c r="O54" s="30" t="n"/>
      <c r="P54" s="29" t="n"/>
      <c r="Q54" s="29" t="n"/>
      <c r="R54" s="30" t="n"/>
    </row>
    <row r="55" outlineLevel="1">
      <c r="A55" s="32" t="n">
        <v>2</v>
      </c>
      <c r="B55" s="32" t="inlineStr">
        <is>
          <t>ABC1-E1</t>
        </is>
      </c>
      <c r="C55" s="17" t="inlineStr">
        <is>
          <t xml:space="preserve">        Caja de cartón corrugado simple</t>
        </is>
      </c>
      <c r="D55" s="32" t="n">
        <v>1</v>
      </c>
      <c r="E55" s="32" t="inlineStr">
        <is>
          <t>u</t>
        </is>
      </c>
      <c r="F55" s="33" t="n"/>
      <c r="G55" s="33" t="n"/>
      <c r="H55" s="32" t="inlineStr">
        <is>
          <t>Cartón corrugado</t>
        </is>
      </c>
      <c r="I55" s="17" t="inlineStr">
        <is>
          <t>160 × 107 × 347 interior (envolvente del plano + 15 por lado)</t>
        </is>
      </c>
      <c r="J55" s="32" t="inlineStr">
        <is>
          <t>Compra</t>
        </is>
      </c>
      <c r="K55" s="32" t="inlineStr">
        <is>
          <t>Sí</t>
        </is>
      </c>
      <c r="L55" s="17" t="inlineStr">
        <is>
          <t>Maxipack</t>
        </is>
      </c>
      <c r="M55" s="17" t="inlineStr">
        <is>
          <t>Cartocan</t>
        </is>
      </c>
      <c r="N55" s="17" t="inlineStr">
        <is>
          <t>23 Embalaje</t>
        </is>
      </c>
      <c r="O55" s="17" t="n"/>
      <c r="P55" s="32" t="inlineStr">
        <is>
          <t>P</t>
        </is>
      </c>
      <c r="Q55" s="32" t="n"/>
      <c r="R55" s="17" t="inlineStr">
        <is>
          <t>Medida del plano</t>
        </is>
      </c>
    </row>
    <row r="56" outlineLevel="1">
      <c r="A56" s="32" t="n">
        <v>2</v>
      </c>
      <c r="B56" s="32" t="inlineStr">
        <is>
          <t>ABC1-E2</t>
        </is>
      </c>
      <c r="C56" s="17" t="inlineStr">
        <is>
          <t xml:space="preserve">        Instructivo de uso y mantenimiento</t>
        </is>
      </c>
      <c r="D56" s="32" t="n">
        <v>1</v>
      </c>
      <c r="E56" s="32" t="inlineStr">
        <is>
          <t>u</t>
        </is>
      </c>
      <c r="F56" s="33" t="n"/>
      <c r="G56" s="33" t="n"/>
      <c r="H56" s="32" t="inlineStr">
        <is>
          <t>Papel</t>
        </is>
      </c>
      <c r="I56" s="17" t="inlineStr">
        <is>
          <t>A5</t>
        </is>
      </c>
      <c r="J56" s="32" t="inlineStr">
        <is>
          <t>Compra</t>
        </is>
      </c>
      <c r="K56" s="32" t="inlineStr">
        <is>
          <t>Sí</t>
        </is>
      </c>
      <c r="L56" s="17" t="inlineStr">
        <is>
          <t>Astuprint</t>
        </is>
      </c>
      <c r="M56" s="17" t="inlineStr">
        <is>
          <t>-</t>
        </is>
      </c>
      <c r="N56" s="17" t="inlineStr">
        <is>
          <t>23 Embalaje</t>
        </is>
      </c>
      <c r="O56" s="17" t="n"/>
      <c r="P56" s="32" t="inlineStr">
        <is>
          <t>I</t>
        </is>
      </c>
      <c r="Q56" s="32" t="n"/>
      <c r="R56" s="17" t="inlineStr">
        <is>
          <t>Decisión comercial de FLAMA (las instrucciones de uso obligatorias van en la etiqueta, IRAM 3534)</t>
        </is>
      </c>
    </row>
    <row r="57" outlineLevel="1">
      <c r="A57" s="32" t="n">
        <v>2</v>
      </c>
      <c r="B57" s="32" t="inlineStr">
        <is>
          <t>ABC1-E3</t>
        </is>
      </c>
      <c r="C57" s="17" t="inlineStr">
        <is>
          <t xml:space="preserve">        Pallet 1200 × 1000 (fracción)</t>
        </is>
      </c>
      <c r="D57" s="32" t="n">
        <v>0.0038</v>
      </c>
      <c r="E57" s="32" t="inlineStr">
        <is>
          <t>u</t>
        </is>
      </c>
      <c r="F57" s="33" t="n"/>
      <c r="G57" s="33" t="n"/>
      <c r="H57" s="32" t="inlineStr">
        <is>
          <t>Madera</t>
        </is>
      </c>
      <c r="I57" s="17" t="inlineStr">
        <is>
          <t>264 u por pallet</t>
        </is>
      </c>
      <c r="J57" s="32" t="inlineStr">
        <is>
          <t>Compra</t>
        </is>
      </c>
      <c r="K57" s="32" t="inlineStr">
        <is>
          <t>Sí</t>
        </is>
      </c>
      <c r="L57" s="17" t="inlineStr">
        <is>
          <t>IndusPallets</t>
        </is>
      </c>
      <c r="M57" s="17" t="inlineStr">
        <is>
          <t>-</t>
        </is>
      </c>
      <c r="N57" s="17" t="inlineStr">
        <is>
          <t>23 Embalaje</t>
        </is>
      </c>
      <c r="O57" s="17" t="n"/>
      <c r="P57" s="32" t="inlineStr">
        <is>
          <t>C</t>
        </is>
      </c>
      <c r="Q57" s="32" t="n"/>
      <c r="R57" s="17" t="inlineStr">
        <is>
          <t>u por pallet = acomodo de la caja (plano) en 1200 × 1000 × 1450 de alto</t>
        </is>
      </c>
    </row>
    <row r="58" outlineLevel="1">
      <c r="A58" s="37" t="n">
        <v>2</v>
      </c>
      <c r="B58" s="37" t="inlineStr">
        <is>
          <t>ABC1-E4</t>
        </is>
      </c>
      <c r="C58" s="18" t="inlineStr">
        <is>
          <t xml:space="preserve">        Film stretch (fracción del pallet)</t>
        </is>
      </c>
      <c r="D58" s="37" t="n">
        <v>0.0005</v>
      </c>
      <c r="E58" s="37" t="inlineStr">
        <is>
          <t>kg</t>
        </is>
      </c>
      <c r="F58" s="38" t="n">
        <v>1</v>
      </c>
      <c r="G58" s="38">
        <f>D58*F58</f>
        <v/>
      </c>
      <c r="H58" s="37" t="inlineStr">
        <is>
          <t>PE lineal 23 µm</t>
        </is>
      </c>
      <c r="I58" s="18" t="inlineStr">
        <is>
          <t>0,12 kg por pallet / 264 u</t>
        </is>
      </c>
      <c r="J58" s="37" t="inlineStr">
        <is>
          <t>Compra</t>
        </is>
      </c>
      <c r="K58" s="37" t="inlineStr">
        <is>
          <t>Sí</t>
        </is>
      </c>
      <c r="L58" s="18" t="inlineStr">
        <is>
          <t>MV Embalajes</t>
        </is>
      </c>
      <c r="M58" s="18" t="inlineStr">
        <is>
          <t>Embalpack</t>
        </is>
      </c>
      <c r="N58" s="18" t="inlineStr">
        <is>
          <t>24 Envolvedora (T11)</t>
        </is>
      </c>
      <c r="O58" s="18" t="n"/>
      <c r="P58" s="37" t="inlineStr">
        <is>
          <t>C</t>
        </is>
      </c>
      <c r="Q58" s="37" t="n"/>
      <c r="R58"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9" outlineLevel="1">
      <c r="A59" s="32" t="n">
        <v>2</v>
      </c>
      <c r="B59" s="32" t="inlineStr">
        <is>
          <t>ABC1-E5</t>
        </is>
      </c>
      <c r="C59" s="17" t="inlineStr">
        <is>
          <t xml:space="preserve">        Etiqueta de pallet (lote y destino, fracción)</t>
        </is>
      </c>
      <c r="D59" s="32" t="n">
        <v>0.0038</v>
      </c>
      <c r="E59" s="32" t="inlineStr">
        <is>
          <t>u</t>
        </is>
      </c>
      <c r="F59" s="33" t="n"/>
      <c r="G59" s="33" t="n"/>
      <c r="H59" s="32" t="inlineStr">
        <is>
          <t>Papel térmico</t>
        </is>
      </c>
      <c r="I59" s="17" t="inlineStr">
        <is>
          <t>100 × 150</t>
        </is>
      </c>
      <c r="J59" s="32" t="inlineStr">
        <is>
          <t>Compra</t>
        </is>
      </c>
      <c r="K59" s="32" t="inlineStr">
        <is>
          <t>Sí</t>
        </is>
      </c>
      <c r="L59" s="17" t="inlineStr">
        <is>
          <t>Astuprint</t>
        </is>
      </c>
      <c r="M59" s="17" t="inlineStr">
        <is>
          <t>Multilabel Argentina S.A.</t>
        </is>
      </c>
      <c r="N59" s="17" t="inlineStr">
        <is>
          <t>24 Envolvedora</t>
        </is>
      </c>
      <c r="O59" s="17" t="n"/>
      <c r="P59" s="32" t="inlineStr">
        <is>
          <t>C</t>
        </is>
      </c>
      <c r="Q59" s="32" t="n"/>
      <c r="R59" s="17" t="n"/>
    </row>
    <row r="60" outlineLevel="1">
      <c r="A60" s="37" t="n">
        <v>2</v>
      </c>
      <c r="B60" s="37" t="inlineStr">
        <is>
          <t>ABC1-E6</t>
        </is>
      </c>
      <c r="C60" s="18" t="inlineStr">
        <is>
          <t xml:space="preserve">        Cinta de embalaje PP 48 mm (cierre de la caja)</t>
        </is>
      </c>
      <c r="D60" s="37" t="n">
        <v>0.6</v>
      </c>
      <c r="E60" s="37" t="inlineStr">
        <is>
          <t>m</t>
        </is>
      </c>
      <c r="F60" s="38" t="n"/>
      <c r="G60" s="38" t="n"/>
      <c r="H60" s="37" t="inlineStr">
        <is>
          <t>Polipropileno con adhesivo acrílico</t>
        </is>
      </c>
      <c r="I60" s="18" t="inlineStr">
        <is>
          <t>cierre en I arriba y abajo: 2 × (160 + 2 × 70 de solapa)</t>
        </is>
      </c>
      <c r="J60" s="37" t="inlineStr">
        <is>
          <t>Compra</t>
        </is>
      </c>
      <c r="K60" s="37" t="inlineStr">
        <is>
          <t>Sí</t>
        </is>
      </c>
      <c r="L60" s="18" t="inlineStr">
        <is>
          <t>MV Embalajes</t>
        </is>
      </c>
      <c r="M60" s="18" t="inlineStr">
        <is>
          <t>Embalpack</t>
        </is>
      </c>
      <c r="N60" s="18" t="inlineStr">
        <is>
          <t>23 Embalaje</t>
        </is>
      </c>
      <c r="O60" s="18" t="n"/>
      <c r="P60" s="37" t="inlineStr">
        <is>
          <t>C</t>
        </is>
      </c>
      <c r="Q60" s="37" t="n"/>
      <c r="R60" s="18" t="inlineStr">
        <is>
          <t>Solapa de 70 mm por lado: práctica de cierre de cajas (medir en la línea)</t>
        </is>
      </c>
    </row>
    <row r="61" outlineLevel="1">
      <c r="A61" s="32" t="n">
        <v>2</v>
      </c>
      <c r="B61" s="32" t="inlineStr">
        <is>
          <t>ABC1-E7</t>
        </is>
      </c>
      <c r="C61" s="17" t="inlineStr">
        <is>
          <t xml:space="preserve">        Esquineros de cartón 50 × 50 × 1200 (fracción del pallet)</t>
        </is>
      </c>
      <c r="D61" s="32" t="n">
        <v>0.0152</v>
      </c>
      <c r="E61" s="32" t="inlineStr">
        <is>
          <t>u</t>
        </is>
      </c>
      <c r="F61" s="33" t="n"/>
      <c r="G61" s="33" t="n"/>
      <c r="H61" s="32" t="inlineStr">
        <is>
          <t>Cartón</t>
        </is>
      </c>
      <c r="I61" s="17" t="inlineStr">
        <is>
          <t>4 por pallet / 264 u</t>
        </is>
      </c>
      <c r="J61" s="32" t="inlineStr">
        <is>
          <t>Compra</t>
        </is>
      </c>
      <c r="K61" s="32" t="inlineStr">
        <is>
          <t>Sí</t>
        </is>
      </c>
      <c r="L61" s="17" t="inlineStr">
        <is>
          <t>Maxipack</t>
        </is>
      </c>
      <c r="M61" s="17" t="inlineStr">
        <is>
          <t>Cartocan</t>
        </is>
      </c>
      <c r="N61" s="17" t="inlineStr">
        <is>
          <t>24 Envolvedora (T11)</t>
        </is>
      </c>
      <c r="O61" s="17" t="n"/>
      <c r="P61" s="32" t="inlineStr">
        <is>
          <t>C</t>
        </is>
      </c>
      <c r="Q61" s="32" t="n"/>
      <c r="R61" s="17" t="inlineStr">
        <is>
          <t>Planilla MP-64</t>
        </is>
      </c>
    </row>
  </sheetData>
  <autoFilter ref="A10:R61"/>
  <pageMargins left="0.75" right="0.75" top="1" bottom="1" header="0.5" footer="0.5"/>
  <pageSetup orientation="landscape" fitToHeight="0" fitToWidth="1"/>
</worksheet>
</file>

<file path=xl/worksheets/sheet17.xml><?xml version="1.0" encoding="utf-8"?>
<worksheet xmlns="http://schemas.openxmlformats.org/spreadsheetml/2006/main">
  <sheetPr>
    <tabColor rgb="007F1D1D"/>
    <outlinePr summaryBelow="0" summaryRight="1"/>
    <pageSetUpPr fitToPage="1"/>
  </sheetPr>
  <dimension ref="A1:R67"/>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FL_MAT_ABC_2.5kg</t>
        </is>
      </c>
    </row>
    <row r="2">
      <c r="A2" s="58" t="inlineStr">
        <is>
          <t>Extintor ABC 2,5 kg</t>
        </is>
      </c>
    </row>
    <row r="3">
      <c r="A3" s="2" t="inlineStr">
        <is>
          <t>Plano de origen</t>
        </is>
      </c>
      <c r="C3" t="inlineStr">
        <is>
          <t>FL_MAT_ABC_2.5kg  (4 láminas)</t>
        </is>
      </c>
      <c r="E3" s="2" t="inlineStr">
        <is>
          <t>Peso vacío S1-S4 (kg)</t>
        </is>
      </c>
      <c r="G3" s="59">
        <f>G12+G24+G40</f>
        <v/>
      </c>
    </row>
    <row r="4">
      <c r="A4" s="2" t="inlineStr">
        <is>
          <t>Plano de despiece</t>
        </is>
      </c>
      <c r="C4" t="inlineStr">
        <is>
          <t>FL_DES_ABC_2.5kg (salida/despiece/)</t>
        </is>
      </c>
      <c r="E4" s="2" t="inlineStr">
        <is>
          <t>Peso cargado S1-S6 (kg)</t>
        </is>
      </c>
      <c r="G4" s="59">
        <f>G12+G24+G40+G45+G48</f>
        <v/>
      </c>
    </row>
    <row r="5">
      <c r="A5" s="2" t="inlineStr">
        <is>
          <t>Norma del producto</t>
        </is>
      </c>
      <c r="C5" t="inlineStr">
        <is>
          <t>IRAM 3523</t>
        </is>
      </c>
      <c r="E5" s="2" t="inlineStr">
        <is>
          <t>Peso con soporte y embalaje (kg)</t>
        </is>
      </c>
      <c r="G5" s="59">
        <f>G12+G24+G40+G45+G48+G60+G56</f>
        <v/>
      </c>
    </row>
    <row r="6">
      <c r="A6" s="2" t="inlineStr">
        <is>
          <t>Fabricación</t>
        </is>
      </c>
      <c r="C6" t="inlineStr">
        <is>
          <t>Fabricación propia</t>
        </is>
      </c>
      <c r="E6" s="2" t="inlineStr">
        <is>
          <t>Desvío cargado vs referencia</t>
        </is>
      </c>
      <c r="G6" s="24">
        <f>G4/C7-1</f>
        <v/>
      </c>
    </row>
    <row r="7">
      <c r="A7" s="2" t="inlineStr">
        <is>
          <t>Peso cargado de referencia (kg)</t>
        </is>
      </c>
      <c r="C7" t="n">
        <v>4.62</v>
      </c>
      <c r="E7" s="60" t="inlineStr">
        <is>
          <t>Referencia: Plano Fadesa «Extintor 2,5 kg válvula HZ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FL_MAT_ABC_2.5kg</t>
        </is>
      </c>
      <c r="C11" s="27" t="inlineStr">
        <is>
          <t>Extintor ABC 2,5 kg</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FL_MAT_ABC_2.5kg</t>
        </is>
      </c>
      <c r="R11" s="27" t="inlineStr">
        <is>
          <t>Fabricación propia</t>
        </is>
      </c>
    </row>
    <row r="12">
      <c r="A12" s="29" t="n">
        <v>1</v>
      </c>
      <c r="B12" s="29" t="inlineStr">
        <is>
          <t>FL_REC_ABC_2.5kg</t>
        </is>
      </c>
      <c r="C12" s="30" t="inlineStr">
        <is>
          <t xml:space="preserve">    Recipiente (cilindro)</t>
        </is>
      </c>
      <c r="D12" s="29" t="n">
        <v>1</v>
      </c>
      <c r="E12" s="29" t="inlineStr">
        <is>
          <t>u</t>
        </is>
      </c>
      <c r="F12" s="31" t="n"/>
      <c r="G12" s="31">
        <f>G13+G15+G17+G19+G20</f>
        <v/>
      </c>
      <c r="H12" s="29" t="n"/>
      <c r="I12" s="30" t="n"/>
      <c r="J12" s="29" t="inlineStr">
        <is>
          <t>Fabricación</t>
        </is>
      </c>
      <c r="K12" s="29" t="n"/>
      <c r="L12" s="30" t="n"/>
      <c r="M12" s="30" t="n"/>
      <c r="N12" s="30" t="n"/>
      <c r="O12" s="30" t="inlineStr">
        <is>
          <t>IRAM 3523 / 3550 (recipiente)</t>
        </is>
      </c>
      <c r="P12" s="29" t="inlineStr">
        <is>
          <t>P</t>
        </is>
      </c>
      <c r="Q12" s="29" t="inlineStr">
        <is>
          <t>FL_REC_ABC_2.5kg</t>
        </is>
      </c>
      <c r="R12" s="30" t="n"/>
    </row>
    <row r="13" outlineLevel="1">
      <c r="A13" s="32" t="n">
        <v>2</v>
      </c>
      <c r="B13" s="32" t="inlineStr">
        <is>
          <t>ABC2.5-01</t>
        </is>
      </c>
      <c r="C13" s="17" t="inlineStr">
        <is>
          <t xml:space="preserve">        Cuerpo (virola)</t>
        </is>
      </c>
      <c r="D13" s="32" t="n">
        <v>1</v>
      </c>
      <c r="E13" s="32" t="inlineStr">
        <is>
          <t>u</t>
        </is>
      </c>
      <c r="F13" s="33" t="n">
        <v>1.011</v>
      </c>
      <c r="G13" s="33">
        <f>D13*F13</f>
        <v/>
      </c>
      <c r="H13" s="32" t="inlineStr">
        <is>
          <t>Chapa LAF IRAM-IAS U 500-05 e=1,25</t>
        </is>
      </c>
      <c r="I13" s="17" t="inlineStr">
        <is>
          <t>Ø124 × e1,25 × 267,4 de alto; desarrollo 385,6 × 267,4</t>
        </is>
      </c>
      <c r="J13" s="32" t="inlineStr">
        <is>
          <t>Fabricación</t>
        </is>
      </c>
      <c r="K13" s="32" t="inlineStr">
        <is>
          <t>No</t>
        </is>
      </c>
      <c r="L13" s="17" t="n"/>
      <c r="M13" s="17" t="n"/>
      <c r="N13" s="17" t="inlineStr">
        <is>
          <t>1 Guillotina -&gt; 3 cilindrado -&gt; 4 soldadura longitudinal -&gt; 9 encastre del fondo -&gt; 10 bordoneado</t>
        </is>
      </c>
      <c r="O13" s="17" t="n"/>
      <c r="P13" s="32" t="inlineStr">
        <is>
          <t>P</t>
        </is>
      </c>
      <c r="Q13" s="32" t="inlineStr">
        <is>
          <t>FL_DES_ABC_2.5kg</t>
        </is>
      </c>
      <c r="R13" s="17" t="inlineStr">
        <is>
          <t>costura long. MAG</t>
        </is>
      </c>
    </row>
    <row r="14" outlineLevel="2">
      <c r="A14" s="34" t="n">
        <v>3</v>
      </c>
      <c r="B14" s="34" t="inlineStr">
        <is>
          <t>MP-HOJA</t>
        </is>
      </c>
      <c r="C14" s="35" t="inlineStr">
        <is>
          <t xml:space="preserve">            Recorte de hoja LAF 1220 × 2440 e=1,25</t>
        </is>
      </c>
      <c r="D14" s="34" t="n">
        <v>1</v>
      </c>
      <c r="E14" s="34" t="inlineStr">
        <is>
          <t>u</t>
        </is>
      </c>
      <c r="F14" s="36" t="n">
        <v>1.082</v>
      </c>
      <c r="G14" s="36">
        <f>D14*F14</f>
        <v/>
      </c>
      <c r="H14" s="34" t="inlineStr">
        <is>
          <t>Chapa LAF IRAM-IAS U 500-05 LAF</t>
        </is>
      </c>
      <c r="I14" s="35" t="inlineStr">
        <is>
          <t>385,5 × 269,5 (aprovech. 94,2 %)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ABC2.5-02</t>
        </is>
      </c>
      <c r="C15" s="17" t="inlineStr">
        <is>
          <t xml:space="preserve">        Cúpula</t>
        </is>
      </c>
      <c r="D15" s="32" t="n">
        <v>1</v>
      </c>
      <c r="E15" s="32" t="inlineStr">
        <is>
          <t>u</t>
        </is>
      </c>
      <c r="F15" s="33" t="n">
        <v>0.1734</v>
      </c>
      <c r="G15" s="33">
        <f>D15*F15</f>
        <v/>
      </c>
      <c r="H15" s="32" t="inlineStr">
        <is>
          <t>Chapa LAF IRAM-IAS U 500-05 e=1,25</t>
        </is>
      </c>
      <c r="I15" s="17" t="inlineStr">
        <is>
          <t>Ø124 × e1,25 × 38,1 de alto; disco Ø179</t>
        </is>
      </c>
      <c r="J15" s="32" t="inlineStr">
        <is>
          <t>Fabricación</t>
        </is>
      </c>
      <c r="K15" s="32" t="inlineStr">
        <is>
          <t>No</t>
        </is>
      </c>
      <c r="L15" s="17" t="n"/>
      <c r="M15" s="17" t="n"/>
      <c r="N15" s="17" t="inlineStr">
        <is>
          <t>6 Desbobinado + embutido (M06-M08) -&gt; numerado de cúpula (micropercusión, en arco junto al cuello) -&gt; 8 soldadura de cuello</t>
        </is>
      </c>
      <c r="O15" s="17" t="n"/>
      <c r="P15" s="32" t="inlineStr">
        <is>
          <t>P</t>
        </is>
      </c>
      <c r="Q15" s="32" t="inlineStr">
        <is>
          <t>FL_DES_ABC_2.5kg</t>
        </is>
      </c>
      <c r="R15" s="17" t="inlineStr">
        <is>
          <t>embutida</t>
        </is>
      </c>
    </row>
    <row r="16" outlineLevel="2">
      <c r="A16" s="34" t="n">
        <v>3</v>
      </c>
      <c r="B16" s="34" t="inlineStr">
        <is>
          <t>MP-FLEJE</t>
        </is>
      </c>
      <c r="C16" s="35" t="inlineStr">
        <is>
          <t xml:space="preserve">            Fleje e=1,25 × 200 (paso 182)</t>
        </is>
      </c>
      <c r="D16" s="34" t="n">
        <v>0.182</v>
      </c>
      <c r="E16" s="34" t="inlineStr">
        <is>
          <t>m</t>
        </is>
      </c>
      <c r="F16" s="36" t="n">
        <v>1.962</v>
      </c>
      <c r="G16" s="36">
        <f>D16*F16</f>
        <v/>
      </c>
      <c r="H16" s="34" t="inlineStr">
        <is>
          <t>Fleje SAE 1010</t>
        </is>
      </c>
      <c r="I16" s="35" t="inlineStr">
        <is>
          <t>disco Ø179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ABC2.5-03</t>
        </is>
      </c>
      <c r="C17" s="17" t="inlineStr">
        <is>
          <t xml:space="preserve">        Fondo</t>
        </is>
      </c>
      <c r="D17" s="32" t="n">
        <v>1</v>
      </c>
      <c r="E17" s="32" t="inlineStr">
        <is>
          <t>u</t>
        </is>
      </c>
      <c r="F17" s="33" t="n">
        <v>0.1657</v>
      </c>
      <c r="G17" s="33">
        <f>D17*F17</f>
        <v/>
      </c>
      <c r="H17" s="32" t="inlineStr">
        <is>
          <t>Chapa LAF IRAM-IAS U 500-05 e=1,25</t>
        </is>
      </c>
      <c r="I17" s="17" t="inlineStr">
        <is>
          <t>Ø124 × e1,25 × 20,5 de alto; disco Ø148</t>
        </is>
      </c>
      <c r="J17" s="32" t="inlineStr">
        <is>
          <t>Fabricación</t>
        </is>
      </c>
      <c r="K17" s="32" t="inlineStr">
        <is>
          <t>No</t>
        </is>
      </c>
      <c r="L17" s="17" t="n"/>
      <c r="M17" s="17" t="n"/>
      <c r="N17" s="17" t="inlineStr">
        <is>
          <t>6 Desbobinado + embutido (M06-M08)</t>
        </is>
      </c>
      <c r="O17" s="17" t="n"/>
      <c r="P17" s="32" t="inlineStr">
        <is>
          <t>P</t>
        </is>
      </c>
      <c r="Q17" s="32" t="inlineStr">
        <is>
          <t>FL_DES_ABC_2.5kg</t>
        </is>
      </c>
      <c r="R17" s="17" t="inlineStr">
        <is>
          <t>embutido</t>
        </is>
      </c>
    </row>
    <row r="18" outlineLevel="2">
      <c r="A18" s="34" t="n">
        <v>3</v>
      </c>
      <c r="B18" s="34" t="inlineStr">
        <is>
          <t>MP-FLEJE</t>
        </is>
      </c>
      <c r="C18" s="35" t="inlineStr">
        <is>
          <t xml:space="preserve">            Fleje e=1,25 × 200 (paso 151)</t>
        </is>
      </c>
      <c r="D18" s="34" t="n">
        <v>0.151</v>
      </c>
      <c r="E18" s="34" t="inlineStr">
        <is>
          <t>m</t>
        </is>
      </c>
      <c r="F18" s="36" t="n">
        <v>1.962</v>
      </c>
      <c r="G18" s="36">
        <f>D18*F18</f>
        <v/>
      </c>
      <c r="H18" s="34" t="inlineStr">
        <is>
          <t>Fleje SAE 1010</t>
        </is>
      </c>
      <c r="I18" s="35" t="inlineStr">
        <is>
          <t>disco Ø148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ABC2.5-04</t>
        </is>
      </c>
      <c r="C19" s="17" t="inlineStr">
        <is>
          <t xml:space="preserve">        Cuello roscado</t>
        </is>
      </c>
      <c r="D19" s="32" t="n">
        <v>1</v>
      </c>
      <c r="E19" s="32" t="inlineStr">
        <is>
          <t>u</t>
        </is>
      </c>
      <c r="F19" s="33" t="n">
        <v>0.0545</v>
      </c>
      <c r="G19" s="33">
        <f>D19*F19</f>
        <v/>
      </c>
      <c r="H19" s="32" t="inlineStr">
        <is>
          <t>Acero SAE 1010</t>
        </is>
      </c>
      <c r="I19" s="17" t="inlineStr">
        <is>
          <t>Ø37 × 14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FL_DES_ABC_2.5kg</t>
        </is>
      </c>
      <c r="R19" s="17" t="inlineStr">
        <is>
          <t>M30x1,5</t>
        </is>
      </c>
    </row>
    <row r="20" outlineLevel="1">
      <c r="A20" s="37" t="n">
        <v>2</v>
      </c>
      <c r="B20" s="37" t="inlineStr">
        <is>
          <t>ABC2.5-C1</t>
        </is>
      </c>
      <c r="C20" s="18" t="inlineStr">
        <is>
          <t xml:space="preserve">        Alambre MAG ER70S-6 Ø0,9 (AWS A5.18)</t>
        </is>
      </c>
      <c r="D20" s="37" t="n">
        <v>0.0292</v>
      </c>
      <c r="E20" s="37" t="inlineStr">
        <is>
          <t>kg</t>
        </is>
      </c>
      <c r="F20" s="38" t="n">
        <v>0.95</v>
      </c>
      <c r="G20" s="38">
        <f>D20*F20</f>
        <v/>
      </c>
      <c r="H20" s="37" t="inlineStr">
        <is>
          <t>ER70S-6</t>
        </is>
      </c>
      <c r="I20" s="18" t="inlineStr">
        <is>
          <t>metal depositado de los cordones del plano 28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ABC2.5-C2</t>
        </is>
      </c>
      <c r="C21" s="18" t="inlineStr">
        <is>
          <t xml:space="preserve">        Gas de protección MAG Arcal 21 / ARCAL Speed (Ar + 8 % CO₂, M20)</t>
        </is>
      </c>
      <c r="D21" s="37" t="n">
        <v>27.1</v>
      </c>
      <c r="E21" s="37" t="inlineStr">
        <is>
          <t>L</t>
        </is>
      </c>
      <c r="F21" s="38" t="n"/>
      <c r="G21" s="38" t="n"/>
      <c r="H21" s="37" t="inlineStr">
        <is>
          <t>EN ISO 14175 M20-ArC-8</t>
        </is>
      </c>
      <c r="I21" s="18" t="inlineStr">
        <is>
          <t>14 L/min × 1,94 min de arco (cordones 1.163 mm: long. 267 + circ. 779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ABC2.5-C3</t>
        </is>
      </c>
      <c r="C22" s="18" t="inlineStr">
        <is>
          <t xml:space="preserve">        Granalla de acero S330 / S390 (ISO 11124-3, SAE J444)</t>
        </is>
      </c>
      <c r="D22" s="37" t="n">
        <v>0.08</v>
      </c>
      <c r="E22" s="37" t="inlineStr">
        <is>
          <t>kg</t>
        </is>
      </c>
      <c r="F22" s="38" t="n"/>
      <c r="G22" s="38" t="n"/>
      <c r="H22" s="37" t="inlineStr">
        <is>
          <t>Granalla esférica alto C</t>
        </is>
      </c>
      <c r="I22" s="18" t="inlineStr">
        <is>
          <t>0,138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ABC2.5-C4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0,138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c r="A24" s="29" t="n">
        <v>1</v>
      </c>
      <c r="B24" s="29" t="inlineStr">
        <is>
          <t>ABC2.5-S2</t>
        </is>
      </c>
      <c r="C24" s="30" t="inlineStr">
        <is>
          <t xml:space="preserve">    Conjunto de válvula</t>
        </is>
      </c>
      <c r="D24" s="29" t="n">
        <v>1</v>
      </c>
      <c r="E24" s="29" t="inlineStr">
        <is>
          <t>u</t>
        </is>
      </c>
      <c r="F24" s="31" t="n"/>
      <c r="G24" s="31">
        <f>G25+G26+G27+G29+G30+G31+G32+G33+G34+G35+G36</f>
        <v/>
      </c>
      <c r="H24" s="29" t="n"/>
      <c r="I24" s="30" t="n"/>
      <c r="J24" s="29" t="inlineStr">
        <is>
          <t>Compra / armado</t>
        </is>
      </c>
      <c r="K24" s="29" t="n"/>
      <c r="L24" s="30" t="n"/>
      <c r="M24" s="30" t="n"/>
      <c r="N24" s="30" t="n"/>
      <c r="O24" s="30" t="inlineStr">
        <is>
          <t>Manómetro IRAM 3533</t>
        </is>
      </c>
      <c r="P24" s="29" t="inlineStr">
        <is>
          <t>P</t>
        </is>
      </c>
      <c r="Q24" s="29" t="inlineStr">
        <is>
          <t>FL_DES_ABC_2.5kg</t>
        </is>
      </c>
      <c r="R24" s="30" t="n"/>
    </row>
    <row r="25" outlineLevel="1">
      <c r="A25" s="32" t="n">
        <v>2</v>
      </c>
      <c r="B25" s="32" t="inlineStr">
        <is>
          <t>ABC2.5-05</t>
        </is>
      </c>
      <c r="C25" s="17" t="inlineStr">
        <is>
          <t xml:space="preserve">        Espiga roscada</t>
        </is>
      </c>
      <c r="D25" s="32" t="n">
        <v>1</v>
      </c>
      <c r="E25" s="32" t="inlineStr">
        <is>
          <t>u</t>
        </is>
      </c>
      <c r="F25" s="33" t="n">
        <v>0.0245</v>
      </c>
      <c r="G25" s="33">
        <f>D25*F25</f>
        <v/>
      </c>
      <c r="H25" s="32" t="inlineStr">
        <is>
          <t>Latón forjado</t>
        </is>
      </c>
      <c r="I25" s="17" t="inlineStr">
        <is>
          <t>29,8 × 29,8 × 10,8</t>
        </is>
      </c>
      <c r="J25" s="32" t="inlineStr">
        <is>
          <t>Incluido en válvula HZ</t>
        </is>
      </c>
      <c r="K25" s="32" t="inlineStr">
        <is>
          <t>No</t>
        </is>
      </c>
      <c r="L25" s="17" t="n"/>
      <c r="M25" s="17" t="n"/>
      <c r="N25" s="17" t="inlineStr">
        <is>
          <t>19 Ensamblaje de válvula (T03/T04)</t>
        </is>
      </c>
      <c r="O25" s="17" t="n"/>
      <c r="P25" s="32" t="inlineStr">
        <is>
          <t>P</t>
        </is>
      </c>
      <c r="Q25" s="32" t="inlineStr">
        <is>
          <t>FL_DES_ABC_2.5kg</t>
        </is>
      </c>
      <c r="R25" s="17" t="n"/>
    </row>
    <row r="26" outlineLevel="1">
      <c r="A26" s="32" t="n">
        <v>2</v>
      </c>
      <c r="B26" s="32" t="inlineStr">
        <is>
          <t>ABC2.5-06</t>
        </is>
      </c>
      <c r="C26" s="17" t="inlineStr">
        <is>
          <t xml:space="preserve">        Collarín de válvula</t>
        </is>
      </c>
      <c r="D26" s="32" t="n">
        <v>1</v>
      </c>
      <c r="E26" s="32" t="inlineStr">
        <is>
          <t>u</t>
        </is>
      </c>
      <c r="F26" s="33" t="n">
        <v>0.0053</v>
      </c>
      <c r="G26" s="33">
        <f>D26*F26</f>
        <v/>
      </c>
      <c r="H26" s="32" t="inlineStr">
        <is>
          <t>Latón forjado</t>
        </is>
      </c>
      <c r="I26" s="17" t="inlineStr">
        <is>
          <t>27,2 × 27,2 × 4,1</t>
        </is>
      </c>
      <c r="J26" s="32" t="inlineStr">
        <is>
          <t>Incluido en válvula HZ</t>
        </is>
      </c>
      <c r="K26" s="32" t="inlineStr">
        <is>
          <t>No</t>
        </is>
      </c>
      <c r="L26" s="17" t="n"/>
      <c r="M26" s="17" t="n"/>
      <c r="N26" s="17" t="inlineStr">
        <is>
          <t>19 Ensamblaje de válvula (T03/T04)</t>
        </is>
      </c>
      <c r="O26" s="17" t="n"/>
      <c r="P26" s="32" t="inlineStr">
        <is>
          <t>P</t>
        </is>
      </c>
      <c r="Q26" s="32" t="inlineStr">
        <is>
          <t>FL_DES_ABC_2.5kg</t>
        </is>
      </c>
      <c r="R26" s="17" t="n"/>
    </row>
    <row r="27" outlineLevel="1">
      <c r="A27" s="32" t="n">
        <v>2</v>
      </c>
      <c r="B27" s="32" t="inlineStr">
        <is>
          <t>ABC2.5-07</t>
        </is>
      </c>
      <c r="C27" s="17" t="inlineStr">
        <is>
          <t xml:space="preserve">        Cuerpo de válvula</t>
        </is>
      </c>
      <c r="D27" s="32" t="n">
        <v>1</v>
      </c>
      <c r="E27" s="32" t="inlineStr">
        <is>
          <t>u</t>
        </is>
      </c>
      <c r="F27" s="33" t="n">
        <v>0.1328</v>
      </c>
      <c r="G27" s="33">
        <f>D27*F27</f>
        <v/>
      </c>
      <c r="H27" s="32" t="inlineStr">
        <is>
          <t>Latón forjado</t>
        </is>
      </c>
      <c r="I27" s="17" t="inlineStr">
        <is>
          <t>43,9 × 32 × 24,5</t>
        </is>
      </c>
      <c r="J27" s="32" t="inlineStr">
        <is>
          <t>Incluido en válvula HZ</t>
        </is>
      </c>
      <c r="K27" s="32" t="inlineStr">
        <is>
          <t>No</t>
        </is>
      </c>
      <c r="L27" s="17" t="n"/>
      <c r="M27" s="17" t="n"/>
      <c r="N27" s="17" t="inlineStr">
        <is>
          <t>19 Ensamblaje de válvula (T03/T04)</t>
        </is>
      </c>
      <c r="O27" s="17" t="n"/>
      <c r="P27" s="32" t="inlineStr">
        <is>
          <t>P</t>
        </is>
      </c>
      <c r="Q27" s="32" t="inlineStr">
        <is>
          <t>FL_DES_ABC_2.5kg</t>
        </is>
      </c>
      <c r="R27" s="17" t="n"/>
    </row>
    <row r="28" outlineLevel="1">
      <c r="A28" s="41" t="n">
        <v>2</v>
      </c>
      <c r="B28" s="41" t="inlineStr">
        <is>
          <t>ABC2.5-08</t>
        </is>
      </c>
      <c r="C28" s="42" t="inlineStr">
        <is>
          <t xml:space="preserve">        Manómetro</t>
        </is>
      </c>
      <c r="D28" s="41" t="n">
        <v>1</v>
      </c>
      <c r="E28" s="41" t="inlineStr">
        <is>
          <t>u</t>
        </is>
      </c>
      <c r="F28" s="43" t="n"/>
      <c r="G28" s="43" t="n"/>
      <c r="H28" s="41" t="inlineStr">
        <is>
          <t>Comercial</t>
        </is>
      </c>
      <c r="I28" s="42" t="inlineStr">
        <is>
          <t>Ø36 esfera, rango 0-3,5 MPa, sector verde en 1,4</t>
        </is>
      </c>
      <c r="J28" s="41" t="inlineStr">
        <is>
          <t>Compra</t>
        </is>
      </c>
      <c r="K28" s="41" t="inlineStr">
        <is>
          <t>Sí</t>
        </is>
      </c>
      <c r="L28" s="42" t="inlineStr">
        <is>
          <t>Yukon / MatafuegosYa S.R.L.</t>
        </is>
      </c>
      <c r="M28" s="42" t="inlineStr">
        <is>
          <t>Matafuegos Iglesias</t>
        </is>
      </c>
      <c r="N28" s="42" t="inlineStr">
        <is>
          <t>19 Ensamblaje de válvula (T03/T04)</t>
        </is>
      </c>
      <c r="O28" s="42" t="inlineStr">
        <is>
          <t>IRAM 3533</t>
        </is>
      </c>
      <c r="P28" s="41" t="inlineStr">
        <is>
          <t>P</t>
        </is>
      </c>
      <c r="Q28" s="41" t="inlineStr">
        <is>
          <t>FL_DES_ABC_2.5kg</t>
        </is>
      </c>
      <c r="R28" s="42" t="inlineStr">
        <is>
          <t>Pieza comercial; sello IRAM 3533; peso: completar con la ficha del proveedor (no afecta el MRP)</t>
        </is>
      </c>
    </row>
    <row r="29" outlineLevel="1">
      <c r="A29" s="32" t="n">
        <v>2</v>
      </c>
      <c r="B29" s="32" t="inlineStr">
        <is>
          <t>ABC2.5-09</t>
        </is>
      </c>
      <c r="C29" s="17" t="inlineStr">
        <is>
          <t xml:space="preserve">        Vástago</t>
        </is>
      </c>
      <c r="D29" s="32" t="n">
        <v>1</v>
      </c>
      <c r="E29" s="32" t="inlineStr">
        <is>
          <t>u</t>
        </is>
      </c>
      <c r="F29" s="33" t="n">
        <v>0.0137</v>
      </c>
      <c r="G29" s="33">
        <f>D29*F29</f>
        <v/>
      </c>
      <c r="H29" s="32" t="inlineStr">
        <is>
          <t>Latón</t>
        </is>
      </c>
      <c r="I29" s="17" t="inlineStr">
        <is>
          <t>35,6 × 14 × 14</t>
        </is>
      </c>
      <c r="J29" s="32" t="inlineStr">
        <is>
          <t>Incluido en válvula HZ</t>
        </is>
      </c>
      <c r="K29" s="32" t="inlineStr">
        <is>
          <t>No</t>
        </is>
      </c>
      <c r="L29" s="17" t="n"/>
      <c r="M29" s="17" t="n"/>
      <c r="N29" s="17" t="inlineStr">
        <is>
          <t>19 Ensamblaje de válvula (T03/T04)</t>
        </is>
      </c>
      <c r="O29" s="17" t="n"/>
      <c r="P29" s="32" t="inlineStr">
        <is>
          <t>P</t>
        </is>
      </c>
      <c r="Q29" s="32" t="inlineStr">
        <is>
          <t>FL_DES_ABC_2.5kg</t>
        </is>
      </c>
      <c r="R29" s="17" t="inlineStr">
        <is>
          <t>con junta tórica</t>
        </is>
      </c>
    </row>
    <row r="30" outlineLevel="1">
      <c r="A30" s="32" t="n">
        <v>2</v>
      </c>
      <c r="B30" s="32" t="inlineStr">
        <is>
          <t>ABC2.5-10</t>
        </is>
      </c>
      <c r="C30" s="17" t="inlineStr">
        <is>
          <t xml:space="preserve">        Resorte de válvula</t>
        </is>
      </c>
      <c r="D30" s="32" t="n">
        <v>1</v>
      </c>
      <c r="E30" s="32" t="inlineStr">
        <is>
          <t>u</t>
        </is>
      </c>
      <c r="F30" s="33" t="n">
        <v>0.0049</v>
      </c>
      <c r="G30" s="33">
        <f>D30*F30</f>
        <v/>
      </c>
      <c r="H30" s="32" t="inlineStr">
        <is>
          <t>Alambre acero inox. AISI 302</t>
        </is>
      </c>
      <c r="I30" s="17" t="inlineStr">
        <is>
          <t>28,8 × 17,3 × 17,3</t>
        </is>
      </c>
      <c r="J30" s="32" t="inlineStr">
        <is>
          <t>Incluido en válvula HZ</t>
        </is>
      </c>
      <c r="K30" s="32" t="inlineStr">
        <is>
          <t>No</t>
        </is>
      </c>
      <c r="L30" s="17" t="n"/>
      <c r="M30" s="17" t="n"/>
      <c r="N30" s="17" t="inlineStr">
        <is>
          <t>19 Ensamblaje de válvula (T03/T04)</t>
        </is>
      </c>
      <c r="O30" s="17" t="n"/>
      <c r="P30" s="32" t="inlineStr">
        <is>
          <t>P</t>
        </is>
      </c>
      <c r="Q30" s="32" t="inlineStr">
        <is>
          <t>FL_DES_ABC_2.5kg</t>
        </is>
      </c>
      <c r="R30" s="17" t="inlineStr">
        <is>
          <t>cierre del vástago</t>
        </is>
      </c>
    </row>
    <row r="31" outlineLevel="1">
      <c r="A31" s="32" t="n">
        <v>2</v>
      </c>
      <c r="B31" s="32" t="inlineStr">
        <is>
          <t>ABC2.5-11</t>
        </is>
      </c>
      <c r="C31" s="17" t="inlineStr">
        <is>
          <t xml:space="preserve">        Eje de palanca</t>
        </is>
      </c>
      <c r="D31" s="32" t="n">
        <v>1</v>
      </c>
      <c r="E31" s="32" t="inlineStr">
        <is>
          <t>u</t>
        </is>
      </c>
      <c r="F31" s="33" t="n">
        <v>0.0033</v>
      </c>
      <c r="G31" s="33">
        <f>D31*F31</f>
        <v/>
      </c>
      <c r="H31" s="32" t="inlineStr">
        <is>
          <t>Acero inox. AISI 304</t>
        </is>
      </c>
      <c r="I31" s="17" t="inlineStr">
        <is>
          <t>33 × 4 × 4</t>
        </is>
      </c>
      <c r="J31" s="32" t="inlineStr">
        <is>
          <t>Incluido en válvula HZ</t>
        </is>
      </c>
      <c r="K31" s="32" t="inlineStr">
        <is>
          <t>No</t>
        </is>
      </c>
      <c r="L31" s="17" t="n"/>
      <c r="M31" s="17" t="n"/>
      <c r="N31" s="17" t="inlineStr">
        <is>
          <t>19 Ensamblaje de válvula (T03/T04)</t>
        </is>
      </c>
      <c r="O31" s="17" t="n"/>
      <c r="P31" s="32" t="inlineStr">
        <is>
          <t>P</t>
        </is>
      </c>
      <c r="Q31" s="32" t="inlineStr">
        <is>
          <t>FL_DES_ABC_2.5kg</t>
        </is>
      </c>
      <c r="R31" s="17" t="n"/>
    </row>
    <row r="32" outlineLevel="1">
      <c r="A32" s="32" t="n">
        <v>2</v>
      </c>
      <c r="B32" s="32" t="inlineStr">
        <is>
          <t>ABC2.5-12</t>
        </is>
      </c>
      <c r="C32" s="17" t="inlineStr">
        <is>
          <t xml:space="preserve">        Pasador de seguridad</t>
        </is>
      </c>
      <c r="D32" s="32" t="n">
        <v>1</v>
      </c>
      <c r="E32" s="32" t="inlineStr">
        <is>
          <t>u</t>
        </is>
      </c>
      <c r="F32" s="33" t="n">
        <v>0.0055</v>
      </c>
      <c r="G32" s="33">
        <f>D32*F32</f>
        <v/>
      </c>
      <c r="H32" s="32" t="inlineStr">
        <is>
          <t>Alambre acero inox. AISI 304</t>
        </is>
      </c>
      <c r="I32" s="17" t="inlineStr">
        <is>
          <t>45,9 × 21 × 20,8</t>
        </is>
      </c>
      <c r="J32" s="32" t="inlineStr">
        <is>
          <t>Incluido en válvula HZ</t>
        </is>
      </c>
      <c r="K32" s="32" t="inlineStr">
        <is>
          <t>No</t>
        </is>
      </c>
      <c r="L32" s="17" t="n"/>
      <c r="M32" s="17" t="n"/>
      <c r="N32" s="17" t="inlineStr">
        <is>
          <t>19 Ensamblaje de válvula (T03/T04)</t>
        </is>
      </c>
      <c r="O32" s="17" t="n"/>
      <c r="P32" s="32" t="inlineStr">
        <is>
          <t>P</t>
        </is>
      </c>
      <c r="Q32" s="32" t="inlineStr">
        <is>
          <t>FL_DES_ABC_2.5kg</t>
        </is>
      </c>
      <c r="R32" s="17" t="inlineStr">
        <is>
          <t>con precinto</t>
        </is>
      </c>
    </row>
    <row r="33" outlineLevel="1">
      <c r="A33" s="32" t="n">
        <v>2</v>
      </c>
      <c r="B33" s="32" t="inlineStr">
        <is>
          <t>ABC2.5-13</t>
        </is>
      </c>
      <c r="C33" s="17" t="inlineStr">
        <is>
          <t xml:space="preserve">        Manija de accionamiento</t>
        </is>
      </c>
      <c r="D33" s="32" t="n">
        <v>1</v>
      </c>
      <c r="E33" s="32" t="inlineStr">
        <is>
          <t>u</t>
        </is>
      </c>
      <c r="F33" s="33" t="n">
        <v>0.0959</v>
      </c>
      <c r="G33" s="33">
        <f>D33*F33</f>
        <v/>
      </c>
      <c r="H33" s="32" t="inlineStr">
        <is>
          <t>Chapa acero SAE 1010 pintada</t>
        </is>
      </c>
      <c r="I33" s="17" t="inlineStr">
        <is>
          <t>124,6 × 31 × 29,3</t>
        </is>
      </c>
      <c r="J33" s="32" t="inlineStr">
        <is>
          <t>Incluido en válvula HZ</t>
        </is>
      </c>
      <c r="K33" s="32" t="inlineStr">
        <is>
          <t>No</t>
        </is>
      </c>
      <c r="L33" s="17" t="n"/>
      <c r="M33" s="17" t="n"/>
      <c r="N33" s="17" t="inlineStr">
        <is>
          <t>19 Ensamblaje de válvula (T03/T04)</t>
        </is>
      </c>
      <c r="O33" s="17" t="n"/>
      <c r="P33" s="32" t="inlineStr">
        <is>
          <t>P</t>
        </is>
      </c>
      <c r="Q33" s="32" t="inlineStr">
        <is>
          <t>FL_DES_ABC_2.5kg</t>
        </is>
      </c>
      <c r="R33" s="17" t="n"/>
    </row>
    <row r="34" outlineLevel="1">
      <c r="A34" s="32" t="n">
        <v>2</v>
      </c>
      <c r="B34" s="32" t="inlineStr">
        <is>
          <t>ABC2.5-14</t>
        </is>
      </c>
      <c r="C34" s="17" t="inlineStr">
        <is>
          <t xml:space="preserve">        Manija de transporte</t>
        </is>
      </c>
      <c r="D34" s="32" t="n">
        <v>1</v>
      </c>
      <c r="E34" s="32" t="inlineStr">
        <is>
          <t>u</t>
        </is>
      </c>
      <c r="F34" s="33" t="n">
        <v>0.0757</v>
      </c>
      <c r="G34" s="33">
        <f>D34*F34</f>
        <v/>
      </c>
      <c r="H34" s="32" t="inlineStr">
        <is>
          <t>Chapa acero SAE 1010 pintada</t>
        </is>
      </c>
      <c r="I34" s="17" t="inlineStr">
        <is>
          <t>102,6 × 35 × 25,4</t>
        </is>
      </c>
      <c r="J34" s="32" t="inlineStr">
        <is>
          <t>Incluido en válvula HZ</t>
        </is>
      </c>
      <c r="K34" s="32" t="inlineStr">
        <is>
          <t>No</t>
        </is>
      </c>
      <c r="L34" s="17" t="n"/>
      <c r="M34" s="17" t="n"/>
      <c r="N34" s="17" t="inlineStr">
        <is>
          <t>19 Ensamblaje de válvula (T03/T04)</t>
        </is>
      </c>
      <c r="O34" s="17" t="n"/>
      <c r="P34" s="32" t="inlineStr">
        <is>
          <t>P</t>
        </is>
      </c>
      <c r="Q34" s="32" t="inlineStr">
        <is>
          <t>FL_DES_ABC_2.5kg</t>
        </is>
      </c>
      <c r="R34" s="17" t="n"/>
    </row>
    <row r="35" outlineLevel="1">
      <c r="A35" s="32" t="n">
        <v>2</v>
      </c>
      <c r="B35" s="32" t="inlineStr">
        <is>
          <t>ABC2.5-15</t>
        </is>
      </c>
      <c r="C35" s="17" t="inlineStr">
        <is>
          <t xml:space="preserve">        Caño de pesca (sifón)</t>
        </is>
      </c>
      <c r="D35" s="32" t="n">
        <v>1</v>
      </c>
      <c r="E35" s="32" t="inlineStr">
        <is>
          <t>u</t>
        </is>
      </c>
      <c r="F35" s="33" t="n">
        <v>0.0363</v>
      </c>
      <c r="G35" s="33">
        <f>D35*F35</f>
        <v/>
      </c>
      <c r="H35" s="32" t="inlineStr">
        <is>
          <t>Tubo PVC rígido</t>
        </is>
      </c>
      <c r="I35" s="17" t="inlineStr">
        <is>
          <t>Ø21,3 × 277,9 de largo</t>
        </is>
      </c>
      <c r="J35" s="32" t="inlineStr">
        <is>
          <t>Incluido en válvula HZ</t>
        </is>
      </c>
      <c r="K35" s="32" t="inlineStr">
        <is>
          <t>No</t>
        </is>
      </c>
      <c r="L35" s="17" t="n"/>
      <c r="M35" s="17" t="n"/>
      <c r="N35" s="17" t="inlineStr">
        <is>
          <t>19 Ensamblaje de válvula (T03/T04)</t>
        </is>
      </c>
      <c r="O35" s="17" t="n"/>
      <c r="P35" s="32" t="inlineStr">
        <is>
          <t>P</t>
        </is>
      </c>
      <c r="Q35" s="32" t="inlineStr">
        <is>
          <t>FL_DES_ABC_2.5kg</t>
        </is>
      </c>
      <c r="R35" s="17" t="n"/>
    </row>
    <row r="36" outlineLevel="1">
      <c r="A36" s="32" t="n">
        <v>2</v>
      </c>
      <c r="B36" s="32" t="inlineStr">
        <is>
          <t>ABC2.5-25</t>
        </is>
      </c>
      <c r="C36" s="17" t="inlineStr">
        <is>
          <t xml:space="preserve">        Junta tórica de asiento</t>
        </is>
      </c>
      <c r="D36" s="32" t="n">
        <v>1</v>
      </c>
      <c r="E36" s="32" t="inlineStr">
        <is>
          <t>u</t>
        </is>
      </c>
      <c r="F36" s="33" t="n">
        <v>0.001</v>
      </c>
      <c r="G36" s="33">
        <f>D36*F36</f>
        <v/>
      </c>
      <c r="H36" s="32" t="inlineStr">
        <is>
          <t>NBR 70 Shore A</t>
        </is>
      </c>
      <c r="I36" s="17" t="inlineStr">
        <is>
          <t>Ø32,8 ext. × cordón 3</t>
        </is>
      </c>
      <c r="J36" s="32" t="inlineStr">
        <is>
          <t>Compra</t>
        </is>
      </c>
      <c r="K36" s="32" t="inlineStr">
        <is>
          <t>Sí</t>
        </is>
      </c>
      <c r="L36" s="17" t="inlineStr">
        <is>
          <t>Argensold</t>
        </is>
      </c>
      <c r="M36" s="17" t="inlineStr">
        <is>
          <t>Matafuegos Iglesias</t>
        </is>
      </c>
      <c r="N36" s="17" t="inlineStr">
        <is>
          <t>19 Ensamblaje de válvula (T03/T04)</t>
        </is>
      </c>
      <c r="O36" s="17" t="n"/>
      <c r="P36" s="32" t="inlineStr">
        <is>
          <t>P</t>
        </is>
      </c>
      <c r="Q36" s="32" t="inlineStr">
        <is>
          <t>FL_DES_ABC_2.5kg</t>
        </is>
      </c>
      <c r="R36" s="17" t="inlineStr">
        <is>
          <t>cambio c/recarga</t>
        </is>
      </c>
    </row>
    <row r="37" outlineLevel="1">
      <c r="A37" s="32" t="n">
        <v>2</v>
      </c>
      <c r="B37" s="32" t="inlineStr">
        <is>
          <t>ABC2.5-K2</t>
        </is>
      </c>
      <c r="C37" s="17" t="inlineStr">
        <is>
          <t xml:space="preserve">        Válvula HZ armada M-30 c/resorte y tubo 7/8</t>
        </is>
      </c>
      <c r="D37" s="32" t="n">
        <v>1</v>
      </c>
      <c r="E37" s="32" t="inlineStr">
        <is>
          <t>u</t>
        </is>
      </c>
      <c r="F37" s="33" t="n"/>
      <c r="G37" s="33" t="n"/>
      <c r="H37" s="32" t="inlineStr">
        <is>
          <t>Latón forjado (HZ)</t>
        </is>
      </c>
      <c r="I37" s="17" t="inlineStr">
        <is>
          <t>rosca M30x1,5</t>
        </is>
      </c>
      <c r="J37" s="32" t="inlineStr">
        <is>
          <t>Compra</t>
        </is>
      </c>
      <c r="K37" s="32" t="inlineStr">
        <is>
          <t>Sí</t>
        </is>
      </c>
      <c r="L37" s="17" t="inlineStr">
        <is>
          <t>Polvex S.R.L. / Sancibrao</t>
        </is>
      </c>
      <c r="M37" s="17" t="inlineStr">
        <is>
          <t>Mozart S.R.L.</t>
        </is>
      </c>
      <c r="N37" s="17" t="inlineStr">
        <is>
          <t>19 Ensamblaje de válvula</t>
        </is>
      </c>
      <c r="O37" s="17" t="inlineStr">
        <is>
          <t>IRAM 3523 3.3</t>
        </is>
      </c>
      <c r="P37" s="32" t="inlineStr">
        <is>
          <t>Q</t>
        </is>
      </c>
      <c r="Q37" s="32" t="inlineStr">
        <is>
          <t>FL_DES_ABC_2.5kg</t>
        </is>
      </c>
      <c r="R37" s="17" t="inlineStr">
        <is>
          <t>Lista de precios HZ (Q-AGENTES); plano Fadesa usa válvula HZ (R-FADESA). Trae las piezas marcadas «Incluido en válvula HZ»</t>
        </is>
      </c>
    </row>
    <row r="38" outlineLevel="1">
      <c r="A38" s="32" t="n">
        <v>2</v>
      </c>
      <c r="B38" s="32" t="inlineStr">
        <is>
          <t>ABC2.5-V2</t>
        </is>
      </c>
      <c r="C38" s="17" t="inlineStr">
        <is>
          <t xml:space="preserve">        Resorte de retorno del vástago</t>
        </is>
      </c>
      <c r="D38" s="32" t="n">
        <v>1</v>
      </c>
      <c r="E38" s="32" t="inlineStr">
        <is>
          <t>u</t>
        </is>
      </c>
      <c r="F38" s="33" t="n"/>
      <c r="G38" s="33" t="n"/>
      <c r="H38" s="32" t="inlineStr">
        <is>
          <t>Acero para resortes</t>
        </is>
      </c>
      <c r="I38" s="17" t="inlineStr">
        <is>
          <t>incluido en la válvula</t>
        </is>
      </c>
      <c r="J38" s="32" t="inlineStr">
        <is>
          <t>Incluido en válvula HZ</t>
        </is>
      </c>
      <c r="K38" s="32" t="inlineStr">
        <is>
          <t>No</t>
        </is>
      </c>
      <c r="L38" s="17" t="n"/>
      <c r="M38" s="17" t="n"/>
      <c r="N38" s="17" t="inlineStr">
        <is>
          <t>19 Ensamblaje</t>
        </is>
      </c>
      <c r="O38" s="17" t="n"/>
      <c r="P38" s="32" t="inlineStr">
        <is>
          <t>Q</t>
        </is>
      </c>
      <c r="Q38" s="32" t="n"/>
      <c r="R38" s="17" t="inlineStr">
        <is>
          <t>Lista de precios HZ: válvula «c/resorte» (Q-AGENTES)</t>
        </is>
      </c>
    </row>
    <row r="39" outlineLevel="1">
      <c r="A39" s="32" t="n">
        <v>2</v>
      </c>
      <c r="B39" s="32" t="inlineStr">
        <is>
          <t>ABC2.5-V3</t>
        </is>
      </c>
      <c r="C39" s="17" t="inlineStr">
        <is>
          <t xml:space="preserve">        Junta tórica del vástago</t>
        </is>
      </c>
      <c r="D39" s="32" t="n">
        <v>1</v>
      </c>
      <c r="E39" s="32" t="inlineStr">
        <is>
          <t>u</t>
        </is>
      </c>
      <c r="F39" s="33" t="n"/>
      <c r="G39" s="33" t="n"/>
      <c r="H39" s="32" t="inlineStr">
        <is>
          <t>NBR 70 Shore A</t>
        </is>
      </c>
      <c r="I39" s="17" t="inlineStr">
        <is>
          <t>incluida en la válvula</t>
        </is>
      </c>
      <c r="J39" s="32" t="inlineStr">
        <is>
          <t>Incluido en válvula HZ</t>
        </is>
      </c>
      <c r="K39" s="32" t="inlineStr">
        <is>
          <t>No</t>
        </is>
      </c>
      <c r="L39" s="17" t="n"/>
      <c r="M39" s="17" t="n"/>
      <c r="N39" s="17" t="inlineStr">
        <is>
          <t>19 Ensamblaje</t>
        </is>
      </c>
      <c r="O39" s="17" t="n"/>
      <c r="P39" s="32" t="inlineStr">
        <is>
          <t>P</t>
        </is>
      </c>
      <c r="Q39" s="32" t="n"/>
      <c r="R39" s="17" t="inlineStr">
        <is>
          <t>Figura en el plano como «vástago con junta tórica»</t>
        </is>
      </c>
    </row>
    <row r="40">
      <c r="A40" s="29" t="n">
        <v>1</v>
      </c>
      <c r="B40" s="29" t="inlineStr">
        <is>
          <t>ABC2.5-S3</t>
        </is>
      </c>
      <c r="C40" s="30" t="inlineStr">
        <is>
          <t xml:space="preserve">    Dispositivo de descarga</t>
        </is>
      </c>
      <c r="D40" s="29" t="n">
        <v>1</v>
      </c>
      <c r="E40" s="29" t="inlineStr">
        <is>
          <t>u</t>
        </is>
      </c>
      <c r="F40" s="31" t="n"/>
      <c r="G40" s="31">
        <f>G41+G42+G43+G44</f>
        <v/>
      </c>
      <c r="H40" s="29" t="n"/>
      <c r="I40" s="30" t="n"/>
      <c r="J40" s="29" t="inlineStr">
        <is>
          <t>Compra / armado</t>
        </is>
      </c>
      <c r="K40" s="29" t="n"/>
      <c r="L40" s="30" t="n"/>
      <c r="M40" s="30" t="n"/>
      <c r="N40" s="30" t="n"/>
      <c r="O40" s="30" t="n"/>
      <c r="P40" s="29" t="inlineStr">
        <is>
          <t>P</t>
        </is>
      </c>
      <c r="Q40" s="29" t="inlineStr">
        <is>
          <t>FL_DES_ABC_2.5kg</t>
        </is>
      </c>
      <c r="R40" s="30" t="n"/>
    </row>
    <row r="41" outlineLevel="1">
      <c r="A41" s="32" t="n">
        <v>2</v>
      </c>
      <c r="B41" s="32" t="inlineStr">
        <is>
          <t>ABC2.5-16</t>
        </is>
      </c>
      <c r="C41" s="17" t="inlineStr">
        <is>
          <t xml:space="preserve">        Racor de manguera</t>
        </is>
      </c>
      <c r="D41" s="32" t="n">
        <v>1</v>
      </c>
      <c r="E41" s="32" t="inlineStr">
        <is>
          <t>u</t>
        </is>
      </c>
      <c r="F41" s="33" t="n">
        <v>0.0394</v>
      </c>
      <c r="G41" s="33">
        <f>D41*F41</f>
        <v/>
      </c>
      <c r="H41" s="32" t="inlineStr">
        <is>
          <t>Latón</t>
        </is>
      </c>
      <c r="I41" s="17" t="inlineStr">
        <is>
          <t>19,4 × 18,8 × 18,8</t>
        </is>
      </c>
      <c r="J41" s="32" t="inlineStr">
        <is>
          <t>Compra</t>
        </is>
      </c>
      <c r="K41" s="32" t="inlineStr">
        <is>
          <t>Sí</t>
        </is>
      </c>
      <c r="L41" s="17" t="inlineStr">
        <is>
          <t>Yukon / MatafuegosYa S.R.L.</t>
        </is>
      </c>
      <c r="M41" s="17" t="inlineStr">
        <is>
          <t>Matafuegos Iglesias</t>
        </is>
      </c>
      <c r="N41" s="17" t="inlineStr">
        <is>
          <t>19 Ensamblaje (T03/T04)</t>
        </is>
      </c>
      <c r="O41" s="17" t="n"/>
      <c r="P41" s="32" t="inlineStr">
        <is>
          <t>P</t>
        </is>
      </c>
      <c r="Q41" s="32" t="inlineStr">
        <is>
          <t>FL_DES_ABC_2.5kg</t>
        </is>
      </c>
      <c r="R41" s="17" t="n"/>
    </row>
    <row r="42" outlineLevel="1">
      <c r="A42" s="32" t="n">
        <v>2</v>
      </c>
      <c r="B42" s="32" t="inlineStr">
        <is>
          <t>ABC2.5-17</t>
        </is>
      </c>
      <c r="C42" s="17" t="inlineStr">
        <is>
          <t xml:space="preserve">        Manguera</t>
        </is>
      </c>
      <c r="D42" s="32" t="n">
        <v>1</v>
      </c>
      <c r="E42" s="32" t="inlineStr">
        <is>
          <t>u</t>
        </is>
      </c>
      <c r="F42" s="33" t="n">
        <v>0.0368</v>
      </c>
      <c r="G42" s="33">
        <f>D42*F42</f>
        <v/>
      </c>
      <c r="H42" s="32" t="inlineStr">
        <is>
          <t>Caucho sintético</t>
        </is>
      </c>
      <c r="I42" s="17" t="inlineStr">
        <is>
          <t>Ø16 × 238 de largo desarrollado</t>
        </is>
      </c>
      <c r="J42" s="32" t="inlineStr">
        <is>
          <t>Compra</t>
        </is>
      </c>
      <c r="K42" s="32" t="inlineStr">
        <is>
          <t>Sí</t>
        </is>
      </c>
      <c r="L42" s="17" t="inlineStr">
        <is>
          <t>Yukon / MatafuegosYa S.R.L.</t>
        </is>
      </c>
      <c r="M42" s="17" t="inlineStr">
        <is>
          <t>Matafuegos Iglesias</t>
        </is>
      </c>
      <c r="N42" s="17" t="inlineStr">
        <is>
          <t>19 Ensamblaje (T03/T04)</t>
        </is>
      </c>
      <c r="O42" s="17" t="n"/>
      <c r="P42" s="32" t="inlineStr">
        <is>
          <t>P</t>
        </is>
      </c>
      <c r="Q42" s="32" t="inlineStr">
        <is>
          <t>FL_DES_ABC_2.5kg</t>
        </is>
      </c>
      <c r="R42" s="17" t="n"/>
    </row>
    <row r="43" outlineLevel="1">
      <c r="A43" s="32" t="n">
        <v>2</v>
      </c>
      <c r="B43" s="32" t="inlineStr">
        <is>
          <t>ABC2.5-18</t>
        </is>
      </c>
      <c r="C43" s="17" t="inlineStr">
        <is>
          <t xml:space="preserve">        Tobera con portatobera</t>
        </is>
      </c>
      <c r="D43" s="32" t="n">
        <v>1</v>
      </c>
      <c r="E43" s="32" t="inlineStr">
        <is>
          <t>u</t>
        </is>
      </c>
      <c r="F43" s="33" t="n">
        <v>0.0168</v>
      </c>
      <c r="G43" s="33">
        <f>D43*F43</f>
        <v/>
      </c>
      <c r="H43" s="32" t="inlineStr">
        <is>
          <t>Polipropileno</t>
        </is>
      </c>
      <c r="I43" s="17" t="inlineStr">
        <is>
          <t>73,5 × 19,9 × 19,9</t>
        </is>
      </c>
      <c r="J43" s="32" t="inlineStr">
        <is>
          <t>Compra</t>
        </is>
      </c>
      <c r="K43" s="32" t="inlineStr">
        <is>
          <t>Sí</t>
        </is>
      </c>
      <c r="L43" s="17" t="inlineStr">
        <is>
          <t>Yukon / MatafuegosYa S.R.L.</t>
        </is>
      </c>
      <c r="M43" s="17" t="inlineStr">
        <is>
          <t>Matafuegos Iglesias</t>
        </is>
      </c>
      <c r="N43" s="17" t="inlineStr">
        <is>
          <t>19 Ensamblaje (T03/T04)</t>
        </is>
      </c>
      <c r="O43" s="17" t="n"/>
      <c r="P43" s="32" t="inlineStr">
        <is>
          <t>P</t>
        </is>
      </c>
      <c r="Q43" s="32" t="inlineStr">
        <is>
          <t>FL_DES_ABC_2.5kg</t>
        </is>
      </c>
      <c r="R43" s="17" t="n"/>
    </row>
    <row r="44" outlineLevel="1">
      <c r="A44" s="32" t="n">
        <v>2</v>
      </c>
      <c r="B44" s="32" t="inlineStr">
        <is>
          <t>ABC2.5-19</t>
        </is>
      </c>
      <c r="C44" s="17" t="inlineStr">
        <is>
          <t xml:space="preserve">        Suncho portatobera</t>
        </is>
      </c>
      <c r="D44" s="32" t="n">
        <v>1</v>
      </c>
      <c r="E44" s="32" t="inlineStr">
        <is>
          <t>u</t>
        </is>
      </c>
      <c r="F44" s="33" t="n">
        <v>0.0791</v>
      </c>
      <c r="G44" s="33">
        <f>D44*F44</f>
        <v/>
      </c>
      <c r="H44" s="32" t="inlineStr">
        <is>
          <t>Fleje acero SAE 1010 pintado</t>
        </is>
      </c>
      <c r="I44" s="17" t="inlineStr">
        <is>
          <t>137,6 × 127,6 × 14,4</t>
        </is>
      </c>
      <c r="J44" s="32" t="inlineStr">
        <is>
          <t>Compra (estructura)</t>
        </is>
      </c>
      <c r="K44" s="32" t="inlineStr">
        <is>
          <t>Sí</t>
        </is>
      </c>
      <c r="L44" s="17" t="inlineStr">
        <is>
          <t>Yukon / MatafuegosYa S.R.L.</t>
        </is>
      </c>
      <c r="M44" s="17" t="inlineStr">
        <is>
          <t>Matafuegos Iglesias</t>
        </is>
      </c>
      <c r="N44" s="17" t="inlineStr">
        <is>
          <t>19 Ensamblaje (T03/T04)</t>
        </is>
      </c>
      <c r="O44" s="17" t="n"/>
      <c r="P44" s="32" t="inlineStr">
        <is>
          <t>P</t>
        </is>
      </c>
      <c r="Q44" s="32" t="inlineStr">
        <is>
          <t>FL_DES_ABC_2.5kg</t>
        </is>
      </c>
      <c r="R44" s="17" t="n"/>
    </row>
    <row r="45">
      <c r="A45" s="29" t="n">
        <v>1</v>
      </c>
      <c r="B45" s="29" t="inlineStr">
        <is>
          <t>ABC2.5-S5</t>
        </is>
      </c>
      <c r="C45" s="30" t="inlineStr">
        <is>
          <t xml:space="preserve">    Carga: agente extintor y gas impulsor</t>
        </is>
      </c>
      <c r="D45" s="29" t="n">
        <v>1</v>
      </c>
      <c r="E45" s="29" t="inlineStr">
        <is>
          <t>u</t>
        </is>
      </c>
      <c r="F45" s="31" t="n"/>
      <c r="G45" s="31">
        <f>G46+G47</f>
        <v/>
      </c>
      <c r="H45" s="29" t="n"/>
      <c r="I45" s="30" t="n"/>
      <c r="J45" s="29" t="inlineStr">
        <is>
          <t>Carga en planta</t>
        </is>
      </c>
      <c r="K45" s="29" t="n"/>
      <c r="L45" s="30" t="n"/>
      <c r="M45" s="30" t="n"/>
      <c r="N45" s="30" t="inlineStr">
        <is>
          <t>18 Carga de polvo (T01) / C8 (T02)</t>
        </is>
      </c>
      <c r="O45" s="30" t="n"/>
      <c r="P45" s="29" t="n"/>
      <c r="Q45" s="29" t="n"/>
      <c r="R45" s="30" t="n"/>
    </row>
    <row r="46" outlineLevel="1">
      <c r="A46" s="32" t="n">
        <v>2</v>
      </c>
      <c r="B46" s="32" t="inlineStr">
        <is>
          <t>ABC2.5-A1</t>
        </is>
      </c>
      <c r="C46" s="17" t="inlineStr">
        <is>
          <t xml:space="preserve">        Polvo químico seco ABC 60 (Sello IRAM 3569)</t>
        </is>
      </c>
      <c r="D46" s="32" t="n">
        <v>2.55</v>
      </c>
      <c r="E46" s="32" t="inlineStr">
        <is>
          <t>kg</t>
        </is>
      </c>
      <c r="F46" s="33" t="n">
        <v>1</v>
      </c>
      <c r="G46" s="33">
        <f>D46*F46</f>
        <v/>
      </c>
      <c r="H46" s="32" t="inlineStr">
        <is>
          <t>Polvo químico seco ABC 60 (Sello IRAM 3569)</t>
        </is>
      </c>
      <c r="I46" s="17" t="inlineStr">
        <is>
          <t>nominal 2,5 kg; tolerancia 0 / +100 g (IRAM 3517-2:2020 tabla 3 · IRAM 3523 tabla II)</t>
        </is>
      </c>
      <c r="J46" s="32" t="inlineStr">
        <is>
          <t>Compra</t>
        </is>
      </c>
      <c r="K46" s="32" t="inlineStr">
        <is>
          <t>Sí</t>
        </is>
      </c>
      <c r="L46" s="17" t="inlineStr">
        <is>
          <t>DEM S.A. (DEMSA)</t>
        </is>
      </c>
      <c r="M46" s="17" t="inlineStr">
        <is>
          <t>Polvex S.R.L. / Sancibrao</t>
        </is>
      </c>
      <c r="N46" s="17" t="inlineStr">
        <is>
          <t>SP-1 almacén previo a la carga</t>
        </is>
      </c>
      <c r="O46" s="17" t="inlineStr">
        <is>
          <t>IRAM 3569</t>
        </is>
      </c>
      <c r="P46" s="32" t="inlineStr">
        <is>
          <t>N</t>
        </is>
      </c>
      <c r="Q46" s="32" t="n"/>
      <c r="R46" s="17" t="inlineStr">
        <is>
          <t>Composición declarada del polvo ABC 60: MAP 60 % (IRAM 3569: 57-63 %) = 1,53 kg MAP + 0,943 kg sulfato de amonio + 0,076 kg aditivos · potencial de referencia 3A-20B:C (licencia Drago con DEM-60/90, L-DRAGO) · Decisión: DEMSA principal (sello IRAM 3569 y potencial de referencia); Polvex/Sancibrao alternativa sujeta a sello IRAM 3569 y ensayo de tipo de FLAMA (IRAM 3542/3543) · Lote único por extintor; prohibido mezclar ABC con BC (3517-2 9.9.1.6)</t>
        </is>
      </c>
    </row>
    <row r="47" outlineLevel="1">
      <c r="A47" s="37" t="n">
        <v>2</v>
      </c>
      <c r="B47" s="37" t="inlineStr">
        <is>
          <t>ABC2.5-A2</t>
        </is>
      </c>
      <c r="C47" s="18" t="inlineStr">
        <is>
          <t xml:space="preserve">        Gas impulsor: N₂</t>
        </is>
      </c>
      <c r="D47" s="37" t="n">
        <v>0.0212</v>
      </c>
      <c r="E47" s="37" t="inlineStr">
        <is>
          <t>kg</t>
        </is>
      </c>
      <c r="F47" s="38" t="n">
        <v>1</v>
      </c>
      <c r="G47" s="38">
        <f>D47*F47</f>
        <v/>
      </c>
      <c r="H47" s="37" t="inlineStr">
        <is>
          <t>N₂</t>
        </is>
      </c>
      <c r="I47" s="18" t="inlineStr">
        <is>
          <t>16,9 L normales para 1,4 MPa a 20 °C en 1,23 dm³ libres</t>
        </is>
      </c>
      <c r="J47" s="37" t="inlineStr">
        <is>
          <t>Compra</t>
        </is>
      </c>
      <c r="K47" s="37" t="inlineStr">
        <is>
          <t>Sí</t>
        </is>
      </c>
      <c r="L47" s="18" t="inlineStr">
        <is>
          <t>Air Liquide Argentina - sucursal Piñeyro</t>
        </is>
      </c>
      <c r="M47" s="18" t="inlineStr">
        <is>
          <t>Gogniat</t>
        </is>
      </c>
      <c r="N47" s="18" t="inlineStr">
        <is>
          <t>20 Presurización (T05) / C10</t>
        </is>
      </c>
      <c r="O47" s="18" t="inlineStr">
        <is>
          <t>IRAM 3517-2 9.4.9 (tabla 2) · IRAM 3523 2.3 y 3.10</t>
        </is>
      </c>
      <c r="P47" s="37" t="inlineStr">
        <is>
          <t>C</t>
        </is>
      </c>
      <c r="Q47" s="37" t="n"/>
      <c r="R47" s="18" t="inlineStr">
        <is>
          <t>N₂ ≥ 99,8 %, H₂O ≤ 40 ppm (Q-N2, Air Liquide) · volumen libre con ρ empacada mínima 1,1 kg/dm³ (NOM-104-STPS-2001); confirmar con descarga ≥ 85 % (IRAM 3523 4.9.1)</t>
        </is>
      </c>
    </row>
    <row r="48">
      <c r="A48" s="29" t="n">
        <v>1</v>
      </c>
      <c r="B48" s="29" t="inlineStr">
        <is>
          <t>ABC2.5-S6</t>
        </is>
      </c>
      <c r="C48" s="30" t="inlineStr">
        <is>
          <t xml:space="preserve">    Identificación y precinto</t>
        </is>
      </c>
      <c r="D48" s="29" t="n">
        <v>1</v>
      </c>
      <c r="E48" s="29" t="inlineStr">
        <is>
          <t>u</t>
        </is>
      </c>
      <c r="F48" s="31" t="n"/>
      <c r="G48" s="31">
        <f>G49+G50+G51+G52+G53+G54+G55</f>
        <v/>
      </c>
      <c r="H48" s="29" t="n"/>
      <c r="I48" s="30" t="n"/>
      <c r="J48" s="29" t="inlineStr">
        <is>
          <t>Compra</t>
        </is>
      </c>
      <c r="K48" s="29" t="n"/>
      <c r="L48" s="30" t="n"/>
      <c r="M48" s="30" t="n"/>
      <c r="N48" s="30" t="inlineStr">
        <is>
          <t>22 Etiquetado (T07)</t>
        </is>
      </c>
      <c r="O48" s="30" t="n"/>
      <c r="P48" s="29" t="n"/>
      <c r="Q48" s="29" t="n"/>
      <c r="R48" s="30" t="n"/>
    </row>
    <row r="49" outlineLevel="1">
      <c r="A49" s="32" t="n">
        <v>2</v>
      </c>
      <c r="B49" s="32" t="inlineStr">
        <is>
          <t>ABC2.5-20</t>
        </is>
      </c>
      <c r="C49" s="17" t="inlineStr">
        <is>
          <t xml:space="preserve">        Etiqueta / placa de características</t>
        </is>
      </c>
      <c r="D49" s="32" t="n">
        <v>1</v>
      </c>
      <c r="E49" s="32" t="inlineStr">
        <is>
          <t>u</t>
        </is>
      </c>
      <c r="F49" s="33" t="n">
        <v>0.0149</v>
      </c>
      <c r="G49" s="33">
        <f>D49*F49</f>
        <v/>
      </c>
      <c r="H49" s="32" t="inlineStr">
        <is>
          <t>Vinilo autoadhesivo laminado</t>
        </is>
      </c>
      <c r="I49" s="17" t="inlineStr">
        <is>
          <t>234 × 152 (desarrollo × alto: panel central 108° + 2 alas laterales), e ≈ 0,3, laminado UV</t>
        </is>
      </c>
      <c r="J49" s="32" t="inlineStr">
        <is>
          <t>Compra</t>
        </is>
      </c>
      <c r="K49" s="32" t="inlineStr">
        <is>
          <t>Sí</t>
        </is>
      </c>
      <c r="L49" s="17" t="inlineStr">
        <is>
          <t>Astuprint</t>
        </is>
      </c>
      <c r="M49" s="17" t="inlineStr">
        <is>
          <t>Multilabel Argentina S.A.</t>
        </is>
      </c>
      <c r="N49" s="17" t="inlineStr">
        <is>
          <t>22 Etiquetado (T07)</t>
        </is>
      </c>
      <c r="O49" s="17" t="inlineStr">
        <is>
          <t>IRAM 3534 · IRAM 3523 cap. 5 · relevamiento de mercado</t>
        </is>
      </c>
      <c r="P49" s="32" t="inlineStr">
        <is>
          <t>P</t>
        </is>
      </c>
      <c r="Q49" s="32" t="inlineStr">
        <is>
          <t>FL_DES_ABC_2.5kg</t>
        </is>
      </c>
      <c r="R49" s="17" t="inlineStr">
        <is>
          <t>IRAM 3534</t>
        </is>
      </c>
    </row>
    <row r="50" outlineLevel="1">
      <c r="A50" s="32" t="n">
        <v>2</v>
      </c>
      <c r="B50" s="32" t="inlineStr">
        <is>
          <t>ABC2.5-21</t>
        </is>
      </c>
      <c r="C50" s="17" t="inlineStr">
        <is>
          <t xml:space="preserve">        Oblea de fabricación (PBA)</t>
        </is>
      </c>
      <c r="D50" s="32" t="n">
        <v>1</v>
      </c>
      <c r="E50" s="32" t="inlineStr">
        <is>
          <t>u</t>
        </is>
      </c>
      <c r="F50" s="33" t="n">
        <v>0.0009</v>
      </c>
      <c r="G50" s="33">
        <f>D50*F50</f>
        <v/>
      </c>
      <c r="H50" s="32" t="inlineStr">
        <is>
          <t>Papel de seguridad autodestructible</t>
        </is>
      </c>
      <c r="I50" s="17" t="inlineStr">
        <is>
          <t>Ø46 (Res. OPDS 522/07), numerada, autodestructible</t>
        </is>
      </c>
      <c r="J50" s="32" t="inlineStr">
        <is>
          <t>Compra</t>
        </is>
      </c>
      <c r="K50" s="32" t="inlineStr">
        <is>
          <t>Sí</t>
        </is>
      </c>
      <c r="L50" s="17" t="inlineStr">
        <is>
          <t>Ministerio de Ambiente PBA (ex OPDS)</t>
        </is>
      </c>
      <c r="M50" s="17" t="inlineStr">
        <is>
          <t>-</t>
        </is>
      </c>
      <c r="N50" s="17" t="inlineStr">
        <is>
          <t>22 Etiquetado (T07)</t>
        </is>
      </c>
      <c r="O50" s="17" t="inlineStr">
        <is>
          <t>Res. OPDS 522/07 anexos 1, 2 y 6</t>
        </is>
      </c>
      <c r="P50" s="32" t="inlineStr">
        <is>
          <t>P</t>
        </is>
      </c>
      <c r="Q50" s="32" t="inlineStr">
        <is>
          <t>FL_DES_ABC_2.5kg</t>
        </is>
      </c>
      <c r="R50" s="17" t="inlineStr">
        <is>
          <t>Res. 522/07</t>
        </is>
      </c>
    </row>
    <row r="51" outlineLevel="1">
      <c r="A51" s="32" t="n">
        <v>2</v>
      </c>
      <c r="B51" s="32" t="inlineStr">
        <is>
          <t>ABC2.5-22</t>
        </is>
      </c>
      <c r="C51" s="17" t="inlineStr">
        <is>
          <t xml:space="preserve">        Estampilla IRAM de conformidad</t>
        </is>
      </c>
      <c r="D51" s="32" t="n">
        <v>1</v>
      </c>
      <c r="E51" s="32" t="inlineStr">
        <is>
          <t>u</t>
        </is>
      </c>
      <c r="F51" s="33" t="n">
        <v>0.001</v>
      </c>
      <c r="G51" s="33">
        <f>D51*F51</f>
        <v/>
      </c>
      <c r="H51" s="32" t="inlineStr">
        <is>
          <t>Provista por IRAM (Anexo R)</t>
        </is>
      </c>
      <c r="I51" s="17" t="inlineStr">
        <is>
          <t>60 × 40</t>
        </is>
      </c>
      <c r="J51" s="32" t="inlineStr">
        <is>
          <t>Compra</t>
        </is>
      </c>
      <c r="K51" s="32" t="inlineStr">
        <is>
          <t>Sí</t>
        </is>
      </c>
      <c r="L51" s="17" t="inlineStr">
        <is>
          <t>IRAM - Instituto Argentino de Normalización</t>
        </is>
      </c>
      <c r="M51" s="17" t="inlineStr">
        <is>
          <t>-</t>
        </is>
      </c>
      <c r="N51" s="17" t="inlineStr">
        <is>
          <t>22 Etiquetado (T07)</t>
        </is>
      </c>
      <c r="O51" s="17" t="inlineStr">
        <is>
          <t>IRAM Anexo R (DC-PG-129)</t>
        </is>
      </c>
      <c r="P51" s="32" t="inlineStr">
        <is>
          <t>P</t>
        </is>
      </c>
      <c r="Q51" s="32" t="inlineStr">
        <is>
          <t>FL_DES_ABC_2.5kg</t>
        </is>
      </c>
      <c r="R51" s="17" t="inlineStr">
        <is>
          <t>numerada</t>
        </is>
      </c>
    </row>
    <row r="52" outlineLevel="1">
      <c r="A52" s="32" t="n">
        <v>2</v>
      </c>
      <c r="B52" s="32" t="inlineStr">
        <is>
          <t>ABC2.5-23</t>
        </is>
      </c>
      <c r="C52" s="17" t="inlineStr">
        <is>
          <t xml:space="preserve">        Tarjeta de identificación AGC (CABA)</t>
        </is>
      </c>
      <c r="D52" s="32" t="n">
        <v>1</v>
      </c>
      <c r="E52" s="32" t="inlineStr">
        <is>
          <t>u</t>
        </is>
      </c>
      <c r="F52" s="33" t="n">
        <v>0.0032</v>
      </c>
      <c r="G52" s="33">
        <f>D52*F52</f>
        <v/>
      </c>
      <c r="H52" s="32" t="inlineStr">
        <is>
          <t>Etiqueta autoadhesiva emitida por la AGC</t>
        </is>
      </c>
      <c r="I52" s="17" t="inlineStr">
        <is>
          <t>140 × 55</t>
        </is>
      </c>
      <c r="J52" s="32" t="inlineStr">
        <is>
          <t>Compra</t>
        </is>
      </c>
      <c r="K52" s="32" t="inlineStr">
        <is>
          <t>Sí</t>
        </is>
      </c>
      <c r="L52" s="17" t="inlineStr">
        <is>
          <t>Agencia Gubernamental de Control (CABA)</t>
        </is>
      </c>
      <c r="M52" s="17" t="inlineStr">
        <is>
          <t>-</t>
        </is>
      </c>
      <c r="N52" s="17" t="inlineStr">
        <is>
          <t>22 Etiquetado (T07)</t>
        </is>
      </c>
      <c r="O52" s="17" t="inlineStr">
        <is>
          <t>Ordenanza 40.473 art. 6 · Res. AGC 32/15</t>
        </is>
      </c>
      <c r="P52" s="32" t="inlineStr">
        <is>
          <t>P</t>
        </is>
      </c>
      <c r="Q52" s="32" t="inlineStr">
        <is>
          <t>FL_DES_ABC_2.5kg</t>
        </is>
      </c>
      <c r="R52" s="17" t="inlineStr">
        <is>
          <t>sólo destino CABA</t>
        </is>
      </c>
    </row>
    <row r="53" outlineLevel="1">
      <c r="A53" s="32" t="n">
        <v>2</v>
      </c>
      <c r="B53" s="32" t="inlineStr">
        <is>
          <t>ABC2.5-24</t>
        </is>
      </c>
      <c r="C53" s="17" t="inlineStr">
        <is>
          <t xml:space="preserve">        Etiqueta de n° de serie GS1</t>
        </is>
      </c>
      <c r="D53" s="32" t="n">
        <v>1</v>
      </c>
      <c r="E53" s="32" t="inlineStr">
        <is>
          <t>u</t>
        </is>
      </c>
      <c r="F53" s="33" t="n">
        <v>0.0005</v>
      </c>
      <c r="G53" s="33">
        <f>D53*F53</f>
        <v/>
      </c>
      <c r="H53" s="32" t="inlineStr">
        <is>
          <t>Poliéster autoadhesivo impreso térmico</t>
        </is>
      </c>
      <c r="I53" s="17" t="inlineStr">
        <is>
          <t>45 × 25</t>
        </is>
      </c>
      <c r="J53" s="32" t="inlineStr">
        <is>
          <t>Compra</t>
        </is>
      </c>
      <c r="K53" s="32" t="inlineStr">
        <is>
          <t>Sí</t>
        </is>
      </c>
      <c r="L53" s="17" t="inlineStr">
        <is>
          <t>Astuprint</t>
        </is>
      </c>
      <c r="M53" s="17" t="inlineStr">
        <is>
          <t>GS1 Argentina</t>
        </is>
      </c>
      <c r="N53" s="17" t="inlineStr">
        <is>
          <t>22 Etiquetado (T07)</t>
        </is>
      </c>
      <c r="O53" s="17" t="inlineStr">
        <is>
          <t>GS1 Argentina (GTIN 779) · trazabilidad IRAM 3523 5.1</t>
        </is>
      </c>
      <c r="P53" s="32" t="inlineStr">
        <is>
          <t>P</t>
        </is>
      </c>
      <c r="Q53" s="32" t="inlineStr">
        <is>
          <t>FL_DES_ABC_2.5kg</t>
        </is>
      </c>
      <c r="R53" s="17" t="inlineStr">
        <is>
          <t>QR GTIN + serie</t>
        </is>
      </c>
    </row>
    <row r="54" outlineLevel="1">
      <c r="A54" s="32" t="n">
        <v>2</v>
      </c>
      <c r="B54" s="32" t="inlineStr">
        <is>
          <t>ABC2.5-26</t>
        </is>
      </c>
      <c r="C54" s="17" t="inlineStr">
        <is>
          <t xml:space="preserve">        Faja de garantía válvula-cuello</t>
        </is>
      </c>
      <c r="D54" s="32" t="n">
        <v>1</v>
      </c>
      <c r="E54" s="32" t="inlineStr">
        <is>
          <t>u</t>
        </is>
      </c>
      <c r="F54" s="33" t="n">
        <v>0.0001</v>
      </c>
      <c r="G54" s="33">
        <f>D54*F54</f>
        <v/>
      </c>
      <c r="H54" s="32" t="inlineStr">
        <is>
          <t>Vinilo destructible rayado rojo/blanco</t>
        </is>
      </c>
      <c r="I54" s="17" t="inlineStr">
        <is>
          <t>22 × 22 (ancho × largo desarrollado), pegada sobre la unión: cuerpo de la válvula, tuerca y cuello</t>
        </is>
      </c>
      <c r="J54" s="32" t="inlineStr">
        <is>
          <t>Compra</t>
        </is>
      </c>
      <c r="K54" s="32" t="inlineStr">
        <is>
          <t>Sí</t>
        </is>
      </c>
      <c r="L54" s="17" t="inlineStr">
        <is>
          <t>Astuprint</t>
        </is>
      </c>
      <c r="M54" s="17" t="inlineStr">
        <is>
          <t>Multilabel Argentina S.A.</t>
        </is>
      </c>
      <c r="N54" s="17" t="inlineStr">
        <is>
          <t>22 Etiquetado (T07)</t>
        </is>
      </c>
      <c r="O54" s="17" t="inlineStr">
        <is>
          <t>Sin norma: práctica de mercado (garantía de fábrica)</t>
        </is>
      </c>
      <c r="P54" s="32" t="inlineStr">
        <is>
          <t>P</t>
        </is>
      </c>
      <c r="Q54" s="32" t="inlineStr">
        <is>
          <t>FL_DES_ABC_2.5kg</t>
        </is>
      </c>
      <c r="R54" s="17" t="inlineStr">
        <is>
          <t>nuevo sin abrir</t>
        </is>
      </c>
    </row>
    <row r="55" outlineLevel="1">
      <c r="A55" s="32" t="n">
        <v>2</v>
      </c>
      <c r="B55" s="32" t="inlineStr">
        <is>
          <t>ABC2.5-27</t>
        </is>
      </c>
      <c r="C55" s="17" t="inlineStr">
        <is>
          <t xml:space="preserve">        Precinto de fábrica</t>
        </is>
      </c>
      <c r="D55" s="32" t="n">
        <v>1</v>
      </c>
      <c r="E55" s="32" t="inlineStr">
        <is>
          <t>u</t>
        </is>
      </c>
      <c r="F55" s="33" t="n">
        <v>0.0002</v>
      </c>
      <c r="G55" s="33">
        <f>D55*F55</f>
        <v/>
      </c>
      <c r="H55" s="32" t="inlineStr">
        <is>
          <t>Polipropileno color</t>
        </is>
      </c>
      <c r="I55" s="17" t="inlineStr">
        <is>
          <t>Ø5 × 10, numerado, rotura 30-50 N</t>
        </is>
      </c>
      <c r="J55" s="32" t="inlineStr">
        <is>
          <t>Compra</t>
        </is>
      </c>
      <c r="K55" s="32" t="inlineStr">
        <is>
          <t>Sí</t>
        </is>
      </c>
      <c r="L55" s="17" t="inlineStr">
        <is>
          <t>SonFuertes (vía Papelera Damián)</t>
        </is>
      </c>
      <c r="M55" s="17" t="inlineStr">
        <is>
          <t>Precinter S.R.L.</t>
        </is>
      </c>
      <c r="N55" s="17" t="inlineStr">
        <is>
          <t>20 Presurización (T05)</t>
        </is>
      </c>
      <c r="O55" s="17" t="inlineStr">
        <is>
          <t>IRAM 3523 3.3.2 · IRAM 3517-2:2020 9.4.13</t>
        </is>
      </c>
      <c r="P55" s="32" t="inlineStr">
        <is>
          <t>P</t>
        </is>
      </c>
      <c r="Q55" s="32" t="inlineStr">
        <is>
          <t>FL_DES_ABC_2.5kg</t>
        </is>
      </c>
      <c r="R55" s="17" t="inlineStr">
        <is>
          <t>id. FLAMA y lote</t>
        </is>
      </c>
    </row>
    <row r="56">
      <c r="A56" s="29" t="n">
        <v>1</v>
      </c>
      <c r="B56" s="29" t="inlineStr">
        <is>
          <t>ABC2.5-S8</t>
        </is>
      </c>
      <c r="C56" s="30" t="inlineStr">
        <is>
          <t xml:space="preserve">    Soporte (accesorio de montaje)</t>
        </is>
      </c>
      <c r="D56" s="29" t="n">
        <v>1</v>
      </c>
      <c r="E56" s="29" t="inlineStr">
        <is>
          <t>u</t>
        </is>
      </c>
      <c r="F56" s="31" t="n"/>
      <c r="G56" s="31">
        <f>G57</f>
        <v/>
      </c>
      <c r="H56" s="29" t="n"/>
      <c r="I56" s="30" t="n"/>
      <c r="J56" s="29" t="inlineStr">
        <is>
          <t>Compra</t>
        </is>
      </c>
      <c r="K56" s="29" t="n"/>
      <c r="L56" s="30" t="n"/>
      <c r="M56" s="30" t="n"/>
      <c r="N56" s="30" t="inlineStr">
        <is>
          <t>23 Embalaje (va dentro de la caja)</t>
        </is>
      </c>
      <c r="O56" s="30" t="inlineStr">
        <is>
          <t>IRAM 3517-2 7.4</t>
        </is>
      </c>
      <c r="P56" s="29" t="n"/>
      <c r="Q56" s="29" t="n"/>
      <c r="R56" s="30" t="n"/>
    </row>
    <row r="57" outlineLevel="1">
      <c r="A57" s="32" t="n">
        <v>2</v>
      </c>
      <c r="B57" s="32" t="inlineStr">
        <is>
          <t>ABC2.5-I5</t>
        </is>
      </c>
      <c r="C57" s="17" t="inlineStr">
        <is>
          <t xml:space="preserve">        Soporte de pared (FL_ACC_01)</t>
        </is>
      </c>
      <c r="D57" s="32" t="n">
        <v>1</v>
      </c>
      <c r="E57" s="32" t="inlineStr">
        <is>
          <t>u</t>
        </is>
      </c>
      <c r="F57" s="33" t="n">
        <v>0.264</v>
      </c>
      <c r="G57" s="33">
        <f>D57*F57</f>
        <v/>
      </c>
      <c r="H57" s="32" t="inlineStr">
        <is>
          <t>Chapa acero SAE 1010 e=2 pintada</t>
        </is>
      </c>
      <c r="I57" s="17" t="inlineStr">
        <is>
          <t>placa 60 × 180, ala con ranura Ø cuello + 3</t>
        </is>
      </c>
      <c r="J57" s="32" t="inlineStr">
        <is>
          <t>Compra</t>
        </is>
      </c>
      <c r="K57" s="32" t="inlineStr">
        <is>
          <t>Sí</t>
        </is>
      </c>
      <c r="L57" s="17" t="inlineStr">
        <is>
          <t>Maxiseguridad</t>
        </is>
      </c>
      <c r="M57" s="17" t="inlineStr">
        <is>
          <t>CM Representaciones</t>
        </is>
      </c>
      <c r="N57" s="17" t="inlineStr">
        <is>
          <t>23 Embalaje</t>
        </is>
      </c>
      <c r="O57" s="17" t="inlineStr">
        <is>
          <t>IRAM 3517-2 7.4</t>
        </is>
      </c>
      <c r="P57" s="32" t="inlineStr">
        <is>
          <t>P</t>
        </is>
      </c>
      <c r="Q57" s="32" t="inlineStr">
        <is>
          <t>FL_ACC_01</t>
        </is>
      </c>
      <c r="R57" s="17" t="n"/>
    </row>
    <row r="58" outlineLevel="1">
      <c r="A58" s="32" t="n">
        <v>2</v>
      </c>
      <c r="B58" s="32" t="inlineStr">
        <is>
          <t>ABC2.5-I6</t>
        </is>
      </c>
      <c r="C58" s="17" t="inlineStr">
        <is>
          <t xml:space="preserve">        Tornillo y tarugo de fijación</t>
        </is>
      </c>
      <c r="D58" s="32" t="n">
        <v>2</v>
      </c>
      <c r="E58" s="32" t="inlineStr">
        <is>
          <t>u</t>
        </is>
      </c>
      <c r="F58" s="33" t="n"/>
      <c r="G58" s="33" t="n"/>
      <c r="H58" s="32" t="inlineStr">
        <is>
          <t>Acero cincado / nylon</t>
        </is>
      </c>
      <c r="I58" s="17" t="inlineStr">
        <is>
          <t>2 agujeros Ø8,5 del plano FL_ACC_01 → tornillo M8 + tarugo</t>
        </is>
      </c>
      <c r="J58" s="32" t="inlineStr">
        <is>
          <t>Compra</t>
        </is>
      </c>
      <c r="K58" s="32" t="inlineStr">
        <is>
          <t>Sí</t>
        </is>
      </c>
      <c r="L58" s="17" t="inlineStr">
        <is>
          <t>Würth Argentina</t>
        </is>
      </c>
      <c r="M58" s="17" t="inlineStr">
        <is>
          <t>-</t>
        </is>
      </c>
      <c r="N58" s="17" t="inlineStr">
        <is>
          <t>23 Embalaje</t>
        </is>
      </c>
      <c r="O58" s="17" t="n"/>
      <c r="P58" s="32" t="inlineStr">
        <is>
          <t>P</t>
        </is>
      </c>
      <c r="Q58" s="32" t="inlineStr">
        <is>
          <t>FL_ACC_01</t>
        </is>
      </c>
      <c r="R58" s="17" t="n"/>
    </row>
    <row r="59" outlineLevel="1">
      <c r="A59" s="32" t="n">
        <v>2</v>
      </c>
      <c r="B59" s="32" t="inlineStr">
        <is>
          <t>ABC2.5-I8</t>
        </is>
      </c>
      <c r="C59" s="17" t="inlineStr">
        <is>
          <t xml:space="preserve">        Soporte opcional (pared o vehicular, según pedido)</t>
        </is>
      </c>
      <c r="D59" s="32" t="n">
        <v>0</v>
      </c>
      <c r="E59" s="32" t="inlineStr">
        <is>
          <t>u</t>
        </is>
      </c>
      <c r="F59" s="33" t="n"/>
      <c r="G59" s="33" t="n"/>
      <c r="H59" s="32" t="inlineStr">
        <is>
          <t>-</t>
        </is>
      </c>
      <c r="I59" s="17" t="inlineStr">
        <is>
          <t>-</t>
        </is>
      </c>
      <c r="J59" s="32" t="inlineStr">
        <is>
          <t>Compra</t>
        </is>
      </c>
      <c r="K59" s="32" t="inlineStr">
        <is>
          <t>Sí</t>
        </is>
      </c>
      <c r="L59" s="17" t="inlineStr">
        <is>
          <t>Maxiseguridad</t>
        </is>
      </c>
      <c r="M59" s="17" t="inlineStr">
        <is>
          <t>CM Representaciones</t>
        </is>
      </c>
      <c r="N59" s="17" t="n"/>
      <c r="O59" s="17" t="inlineStr">
        <is>
          <t>IRAM 3517-2 7.4</t>
        </is>
      </c>
      <c r="P59" s="32" t="inlineStr">
        <is>
          <t>N</t>
        </is>
      </c>
      <c r="Q59" s="32" t="n"/>
      <c r="R59" s="17" t="inlineStr">
        <is>
          <t>Sólo si el pedido lo incluye</t>
        </is>
      </c>
    </row>
    <row r="60">
      <c r="A60" s="29" t="n">
        <v>1</v>
      </c>
      <c r="B60" s="29" t="inlineStr">
        <is>
          <t>ABC2.5-S7</t>
        </is>
      </c>
      <c r="C60" s="30" t="inlineStr">
        <is>
          <t xml:space="preserve">    Embalaje</t>
        </is>
      </c>
      <c r="D60" s="29" t="n">
        <v>1</v>
      </c>
      <c r="E60" s="29" t="inlineStr">
        <is>
          <t>u</t>
        </is>
      </c>
      <c r="F60" s="31" t="n"/>
      <c r="G60" s="31">
        <f>G64</f>
        <v/>
      </c>
      <c r="H60" s="29" t="n"/>
      <c r="I60" s="30" t="n"/>
      <c r="J60" s="29" t="inlineStr">
        <is>
          <t>Compra</t>
        </is>
      </c>
      <c r="K60" s="29" t="n"/>
      <c r="L60" s="30" t="n"/>
      <c r="M60" s="30" t="n"/>
      <c r="N60" s="30" t="inlineStr">
        <is>
          <t>23 Embalaje -&gt; 24 envolvedora (T11)</t>
        </is>
      </c>
      <c r="O60" s="30" t="n"/>
      <c r="P60" s="29" t="n"/>
      <c r="Q60" s="29" t="n"/>
      <c r="R60" s="30" t="n"/>
    </row>
    <row r="61" outlineLevel="1">
      <c r="A61" s="32" t="n">
        <v>2</v>
      </c>
      <c r="B61" s="32" t="inlineStr">
        <is>
          <t>ABC2.5-E1</t>
        </is>
      </c>
      <c r="C61" s="17" t="inlineStr">
        <is>
          <t xml:space="preserve">        Caja de cartón corrugado simple</t>
        </is>
      </c>
      <c r="D61" s="32" t="n">
        <v>1</v>
      </c>
      <c r="E61" s="32" t="inlineStr">
        <is>
          <t>u</t>
        </is>
      </c>
      <c r="F61" s="33" t="n"/>
      <c r="G61" s="33" t="n"/>
      <c r="H61" s="32" t="inlineStr">
        <is>
          <t>Cartón corrugado</t>
        </is>
      </c>
      <c r="I61" s="17" t="inlineStr">
        <is>
          <t>229 × 158 × 379 interior (envolvente del plano + 15 por lado)</t>
        </is>
      </c>
      <c r="J61" s="32" t="inlineStr">
        <is>
          <t>Compra</t>
        </is>
      </c>
      <c r="K61" s="32" t="inlineStr">
        <is>
          <t>Sí</t>
        </is>
      </c>
      <c r="L61" s="17" t="inlineStr">
        <is>
          <t>Maxipack</t>
        </is>
      </c>
      <c r="M61" s="17" t="inlineStr">
        <is>
          <t>Cartocan</t>
        </is>
      </c>
      <c r="N61" s="17" t="inlineStr">
        <is>
          <t>23 Embalaje</t>
        </is>
      </c>
      <c r="O61" s="17" t="n"/>
      <c r="P61" s="32" t="inlineStr">
        <is>
          <t>P</t>
        </is>
      </c>
      <c r="Q61" s="32" t="n"/>
      <c r="R61" s="17" t="inlineStr">
        <is>
          <t>Medida del plano</t>
        </is>
      </c>
    </row>
    <row r="62" outlineLevel="1">
      <c r="A62" s="32" t="n">
        <v>2</v>
      </c>
      <c r="B62" s="32" t="inlineStr">
        <is>
          <t>ABC2.5-E2</t>
        </is>
      </c>
      <c r="C62" s="17" t="inlineStr">
        <is>
          <t xml:space="preserve">        Instructivo de uso y mantenimiento</t>
        </is>
      </c>
      <c r="D62" s="32" t="n">
        <v>1</v>
      </c>
      <c r="E62" s="32" t="inlineStr">
        <is>
          <t>u</t>
        </is>
      </c>
      <c r="F62" s="33" t="n"/>
      <c r="G62" s="33" t="n"/>
      <c r="H62" s="32" t="inlineStr">
        <is>
          <t>Papel</t>
        </is>
      </c>
      <c r="I62" s="17" t="inlineStr">
        <is>
          <t>A5</t>
        </is>
      </c>
      <c r="J62" s="32" t="inlineStr">
        <is>
          <t>Compra</t>
        </is>
      </c>
      <c r="K62" s="32" t="inlineStr">
        <is>
          <t>Sí</t>
        </is>
      </c>
      <c r="L62" s="17" t="inlineStr">
        <is>
          <t>Astuprint</t>
        </is>
      </c>
      <c r="M62" s="17" t="inlineStr">
        <is>
          <t>-</t>
        </is>
      </c>
      <c r="N62" s="17" t="inlineStr">
        <is>
          <t>23 Embalaje</t>
        </is>
      </c>
      <c r="O62" s="17" t="n"/>
      <c r="P62" s="32" t="inlineStr">
        <is>
          <t>I</t>
        </is>
      </c>
      <c r="Q62" s="32" t="n"/>
      <c r="R62" s="17" t="inlineStr">
        <is>
          <t>Decisión comercial de FLAMA (las instrucciones de uso obligatorias van en la etiqueta, IRAM 3534)</t>
        </is>
      </c>
    </row>
    <row r="63" outlineLevel="1">
      <c r="A63" s="32" t="n">
        <v>2</v>
      </c>
      <c r="B63" s="32" t="inlineStr">
        <is>
          <t>ABC2.5-E3</t>
        </is>
      </c>
      <c r="C63" s="17" t="inlineStr">
        <is>
          <t xml:space="preserve">        Pallet 1200 × 1000 (fracción)</t>
        </is>
      </c>
      <c r="D63" s="32" t="n">
        <v>0.0111</v>
      </c>
      <c r="E63" s="32" t="inlineStr">
        <is>
          <t>u</t>
        </is>
      </c>
      <c r="F63" s="33" t="n"/>
      <c r="G63" s="33" t="n"/>
      <c r="H63" s="32" t="inlineStr">
        <is>
          <t>Madera</t>
        </is>
      </c>
      <c r="I63" s="17" t="inlineStr">
        <is>
          <t>90 u por pallet</t>
        </is>
      </c>
      <c r="J63" s="32" t="inlineStr">
        <is>
          <t>Compra</t>
        </is>
      </c>
      <c r="K63" s="32" t="inlineStr">
        <is>
          <t>Sí</t>
        </is>
      </c>
      <c r="L63" s="17" t="inlineStr">
        <is>
          <t>IndusPallets</t>
        </is>
      </c>
      <c r="M63" s="17" t="inlineStr">
        <is>
          <t>-</t>
        </is>
      </c>
      <c r="N63" s="17" t="inlineStr">
        <is>
          <t>23 Embalaje</t>
        </is>
      </c>
      <c r="O63" s="17" t="n"/>
      <c r="P63" s="32" t="inlineStr">
        <is>
          <t>C</t>
        </is>
      </c>
      <c r="Q63" s="32" t="n"/>
      <c r="R63" s="17" t="inlineStr">
        <is>
          <t>u por pallet = acomodo de la caja (plano) en 1200 × 1000 × 1450 de alto</t>
        </is>
      </c>
    </row>
    <row r="64" outlineLevel="1">
      <c r="A64" s="37" t="n">
        <v>2</v>
      </c>
      <c r="B64" s="37" t="inlineStr">
        <is>
          <t>ABC2.5-E4</t>
        </is>
      </c>
      <c r="C64" s="18" t="inlineStr">
        <is>
          <t xml:space="preserve">        Film stretch (fracción del pallet)</t>
        </is>
      </c>
      <c r="D64" s="37" t="n">
        <v>0.0013</v>
      </c>
      <c r="E64" s="37" t="inlineStr">
        <is>
          <t>kg</t>
        </is>
      </c>
      <c r="F64" s="38" t="n">
        <v>1</v>
      </c>
      <c r="G64" s="38">
        <f>D64*F64</f>
        <v/>
      </c>
      <c r="H64" s="37" t="inlineStr">
        <is>
          <t>PE lineal 23 µm</t>
        </is>
      </c>
      <c r="I64" s="18" t="inlineStr">
        <is>
          <t>0,12 kg por pallet / 90 u</t>
        </is>
      </c>
      <c r="J64" s="37" t="inlineStr">
        <is>
          <t>Compra</t>
        </is>
      </c>
      <c r="K64" s="37" t="inlineStr">
        <is>
          <t>Sí</t>
        </is>
      </c>
      <c r="L64" s="18" t="inlineStr">
        <is>
          <t>MV Embalajes</t>
        </is>
      </c>
      <c r="M64" s="18" t="inlineStr">
        <is>
          <t>Embalpack</t>
        </is>
      </c>
      <c r="N64" s="18" t="inlineStr">
        <is>
          <t>24 Envolvedora (T11)</t>
        </is>
      </c>
      <c r="O64" s="18" t="n"/>
      <c r="P64" s="37" t="inlineStr">
        <is>
          <t>C</t>
        </is>
      </c>
      <c r="Q64" s="37" t="n"/>
      <c r="R64"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5" outlineLevel="1">
      <c r="A65" s="32" t="n">
        <v>2</v>
      </c>
      <c r="B65" s="32" t="inlineStr">
        <is>
          <t>ABC2.5-E5</t>
        </is>
      </c>
      <c r="C65" s="17" t="inlineStr">
        <is>
          <t xml:space="preserve">        Etiqueta de pallet (lote y destino, fracción)</t>
        </is>
      </c>
      <c r="D65" s="32" t="n">
        <v>0.0111</v>
      </c>
      <c r="E65" s="32" t="inlineStr">
        <is>
          <t>u</t>
        </is>
      </c>
      <c r="F65" s="33" t="n"/>
      <c r="G65" s="33" t="n"/>
      <c r="H65" s="32" t="inlineStr">
        <is>
          <t>Papel térmico</t>
        </is>
      </c>
      <c r="I65" s="17" t="inlineStr">
        <is>
          <t>100 × 150</t>
        </is>
      </c>
      <c r="J65" s="32" t="inlineStr">
        <is>
          <t>Compra</t>
        </is>
      </c>
      <c r="K65" s="32" t="inlineStr">
        <is>
          <t>Sí</t>
        </is>
      </c>
      <c r="L65" s="17" t="inlineStr">
        <is>
          <t>Astuprint</t>
        </is>
      </c>
      <c r="M65" s="17" t="inlineStr">
        <is>
          <t>Multilabel Argentina S.A.</t>
        </is>
      </c>
      <c r="N65" s="17" t="inlineStr">
        <is>
          <t>24 Envolvedora</t>
        </is>
      </c>
      <c r="O65" s="17" t="n"/>
      <c r="P65" s="32" t="inlineStr">
        <is>
          <t>C</t>
        </is>
      </c>
      <c r="Q65" s="32" t="n"/>
      <c r="R65" s="17" t="n"/>
    </row>
    <row r="66" outlineLevel="1">
      <c r="A66" s="37" t="n">
        <v>2</v>
      </c>
      <c r="B66" s="37" t="inlineStr">
        <is>
          <t>ABC2.5-E6</t>
        </is>
      </c>
      <c r="C66" s="18" t="inlineStr">
        <is>
          <t xml:space="preserve">        Cinta de embalaje PP 48 mm (cierre de la caja)</t>
        </is>
      </c>
      <c r="D66" s="37" t="n">
        <v>0.738</v>
      </c>
      <c r="E66" s="37" t="inlineStr">
        <is>
          <t>m</t>
        </is>
      </c>
      <c r="F66" s="38" t="n"/>
      <c r="G66" s="38" t="n"/>
      <c r="H66" s="37" t="inlineStr">
        <is>
          <t>Polipropileno con adhesivo acrílico</t>
        </is>
      </c>
      <c r="I66" s="18" t="inlineStr">
        <is>
          <t>cierre en I arriba y abajo: 2 × (229 + 2 × 70 de solapa)</t>
        </is>
      </c>
      <c r="J66" s="37" t="inlineStr">
        <is>
          <t>Compra</t>
        </is>
      </c>
      <c r="K66" s="37" t="inlineStr">
        <is>
          <t>Sí</t>
        </is>
      </c>
      <c r="L66" s="18" t="inlineStr">
        <is>
          <t>MV Embalajes</t>
        </is>
      </c>
      <c r="M66" s="18" t="inlineStr">
        <is>
          <t>Embalpack</t>
        </is>
      </c>
      <c r="N66" s="18" t="inlineStr">
        <is>
          <t>23 Embalaje</t>
        </is>
      </c>
      <c r="O66" s="18" t="n"/>
      <c r="P66" s="37" t="inlineStr">
        <is>
          <t>C</t>
        </is>
      </c>
      <c r="Q66" s="37" t="n"/>
      <c r="R66" s="18" t="inlineStr">
        <is>
          <t>Solapa de 70 mm por lado: práctica de cierre de cajas (medir en la línea)</t>
        </is>
      </c>
    </row>
    <row r="67" outlineLevel="1">
      <c r="A67" s="32" t="n">
        <v>2</v>
      </c>
      <c r="B67" s="32" t="inlineStr">
        <is>
          <t>ABC2.5-E7</t>
        </is>
      </c>
      <c r="C67" s="17" t="inlineStr">
        <is>
          <t xml:space="preserve">        Esquineros de cartón 50 × 50 × 1200 (fracción del pallet)</t>
        </is>
      </c>
      <c r="D67" s="32" t="n">
        <v>0.0444</v>
      </c>
      <c r="E67" s="32" t="inlineStr">
        <is>
          <t>u</t>
        </is>
      </c>
      <c r="F67" s="33" t="n"/>
      <c r="G67" s="33" t="n"/>
      <c r="H67" s="32" t="inlineStr">
        <is>
          <t>Cartón</t>
        </is>
      </c>
      <c r="I67" s="17" t="inlineStr">
        <is>
          <t>4 por pallet / 90 u</t>
        </is>
      </c>
      <c r="J67" s="32" t="inlineStr">
        <is>
          <t>Compra</t>
        </is>
      </c>
      <c r="K67" s="32" t="inlineStr">
        <is>
          <t>Sí</t>
        </is>
      </c>
      <c r="L67" s="17" t="inlineStr">
        <is>
          <t>Maxipack</t>
        </is>
      </c>
      <c r="M67" s="17" t="inlineStr">
        <is>
          <t>Cartocan</t>
        </is>
      </c>
      <c r="N67" s="17" t="inlineStr">
        <is>
          <t>24 Envolvedora (T11)</t>
        </is>
      </c>
      <c r="O67" s="17" t="n"/>
      <c r="P67" s="32" t="inlineStr">
        <is>
          <t>C</t>
        </is>
      </c>
      <c r="Q67" s="32" t="n"/>
      <c r="R67" s="17" t="inlineStr">
        <is>
          <t>Planilla MP-64</t>
        </is>
      </c>
    </row>
  </sheetData>
  <autoFilter ref="A10:R67"/>
  <pageMargins left="0.75" right="0.75" top="1" bottom="1" header="0.5" footer="0.5"/>
  <pageSetup orientation="landscape" fitToHeight="0" fitToWidth="1"/>
</worksheet>
</file>

<file path=xl/worksheets/sheet18.xml><?xml version="1.0" encoding="utf-8"?>
<worksheet xmlns="http://schemas.openxmlformats.org/spreadsheetml/2006/main">
  <sheetPr>
    <tabColor rgb="007F1D1D"/>
    <outlinePr summaryBelow="0" summaryRight="1"/>
    <pageSetUpPr fitToPage="1"/>
  </sheetPr>
  <dimension ref="A1:R67"/>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FL_MAT_ABC_5kg</t>
        </is>
      </c>
    </row>
    <row r="2">
      <c r="A2" s="58" t="inlineStr">
        <is>
          <t>Extintor ABC 5 kg</t>
        </is>
      </c>
    </row>
    <row r="3">
      <c r="A3" s="2" t="inlineStr">
        <is>
          <t>Plano de origen</t>
        </is>
      </c>
      <c r="C3" t="inlineStr">
        <is>
          <t>FL_MAT_ABC_5kg  (4 láminas)</t>
        </is>
      </c>
      <c r="E3" s="2" t="inlineStr">
        <is>
          <t>Peso vacío S1-S4 (kg)</t>
        </is>
      </c>
      <c r="G3" s="59">
        <f>G12+G24+G40</f>
        <v/>
      </c>
    </row>
    <row r="4">
      <c r="A4" s="2" t="inlineStr">
        <is>
          <t>Plano de despiece</t>
        </is>
      </c>
      <c r="C4" t="inlineStr">
        <is>
          <t>FL_DES_ABC_5kg (salida/despiece/)</t>
        </is>
      </c>
      <c r="E4" s="2" t="inlineStr">
        <is>
          <t>Peso cargado S1-S6 (kg)</t>
        </is>
      </c>
      <c r="G4" s="59">
        <f>G12+G24+G40+G45+G48</f>
        <v/>
      </c>
    </row>
    <row r="5">
      <c r="A5" s="2" t="inlineStr">
        <is>
          <t>Norma del producto</t>
        </is>
      </c>
      <c r="C5" t="inlineStr">
        <is>
          <t>IRAM 3523</t>
        </is>
      </c>
      <c r="E5" s="2" t="inlineStr">
        <is>
          <t>Peso con soporte y embalaje (kg)</t>
        </is>
      </c>
      <c r="G5" s="59">
        <f>G12+G24+G40+G45+G48+G60+G56</f>
        <v/>
      </c>
    </row>
    <row r="6">
      <c r="A6" s="2" t="inlineStr">
        <is>
          <t>Fabricación</t>
        </is>
      </c>
      <c r="C6" t="inlineStr">
        <is>
          <t>Fabricación propia</t>
        </is>
      </c>
      <c r="E6" s="2" t="inlineStr">
        <is>
          <t>Desvío cargado vs referencia</t>
        </is>
      </c>
      <c r="G6" s="24">
        <f>G4/C7-1</f>
        <v/>
      </c>
    </row>
    <row r="7">
      <c r="A7" s="2" t="inlineStr">
        <is>
          <t>Peso cargado de referencia (kg)</t>
        </is>
      </c>
      <c r="C7" t="n">
        <v>8.4</v>
      </c>
      <c r="E7" s="60" t="inlineStr">
        <is>
          <t>Referencia: Plano Fadesa «Extintor 5 kg válvula HZ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FL_MAT_ABC_5kg</t>
        </is>
      </c>
      <c r="C11" s="27" t="inlineStr">
        <is>
          <t>Extintor ABC 5 kg</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FL_MAT_ABC_5kg</t>
        </is>
      </c>
      <c r="R11" s="27" t="inlineStr">
        <is>
          <t>Fabricación propia</t>
        </is>
      </c>
    </row>
    <row r="12">
      <c r="A12" s="29" t="n">
        <v>1</v>
      </c>
      <c r="B12" s="29" t="inlineStr">
        <is>
          <t>FL_REC_ABC_5kg</t>
        </is>
      </c>
      <c r="C12" s="30" t="inlineStr">
        <is>
          <t xml:space="preserve">    Recipiente (cilindro)</t>
        </is>
      </c>
      <c r="D12" s="29" t="n">
        <v>1</v>
      </c>
      <c r="E12" s="29" t="inlineStr">
        <is>
          <t>u</t>
        </is>
      </c>
      <c r="F12" s="31" t="n"/>
      <c r="G12" s="31">
        <f>G13+G15+G17+G19+G20</f>
        <v/>
      </c>
      <c r="H12" s="29" t="n"/>
      <c r="I12" s="30" t="n"/>
      <c r="J12" s="29" t="inlineStr">
        <is>
          <t>Fabricación</t>
        </is>
      </c>
      <c r="K12" s="29" t="n"/>
      <c r="L12" s="30" t="n"/>
      <c r="M12" s="30" t="n"/>
      <c r="N12" s="30" t="n"/>
      <c r="O12" s="30" t="inlineStr">
        <is>
          <t>IRAM 3523 / 3550 (recipiente)</t>
        </is>
      </c>
      <c r="P12" s="29" t="inlineStr">
        <is>
          <t>P</t>
        </is>
      </c>
      <c r="Q12" s="29" t="inlineStr">
        <is>
          <t>FL_REC_ABC_5kg</t>
        </is>
      </c>
      <c r="R12" s="30" t="n"/>
    </row>
    <row r="13" outlineLevel="1">
      <c r="A13" s="32" t="n">
        <v>2</v>
      </c>
      <c r="B13" s="32" t="inlineStr">
        <is>
          <t>ABC5-01</t>
        </is>
      </c>
      <c r="C13" s="17" t="inlineStr">
        <is>
          <t xml:space="preserve">        Cuerpo (virola)</t>
        </is>
      </c>
      <c r="D13" s="32" t="n">
        <v>1</v>
      </c>
      <c r="E13" s="32" t="inlineStr">
        <is>
          <t>u</t>
        </is>
      </c>
      <c r="F13" s="33" t="n">
        <v>1.9541</v>
      </c>
      <c r="G13" s="33">
        <f>D13*F13</f>
        <v/>
      </c>
      <c r="H13" s="32" t="inlineStr">
        <is>
          <t>Chapa LAF IRAM-IAS U 500-05 e=1,6</t>
        </is>
      </c>
      <c r="I13" s="17" t="inlineStr">
        <is>
          <t>Ø153 × e1,6 × 327,3 de alto; desarrollo 475,6 × 327,3</t>
        </is>
      </c>
      <c r="J13" s="32" t="inlineStr">
        <is>
          <t>Fabricación</t>
        </is>
      </c>
      <c r="K13" s="32" t="inlineStr">
        <is>
          <t>No</t>
        </is>
      </c>
      <c r="L13" s="17" t="n"/>
      <c r="M13" s="17" t="n"/>
      <c r="N13" s="17" t="inlineStr">
        <is>
          <t>1 Guillotina -&gt; 3 cilindrado -&gt; 4 soldadura longitudinal -&gt; 9 encastre del fondo -&gt; 10 bordoneado</t>
        </is>
      </c>
      <c r="O13" s="17" t="n"/>
      <c r="P13" s="32" t="inlineStr">
        <is>
          <t>P</t>
        </is>
      </c>
      <c r="Q13" s="32" t="inlineStr">
        <is>
          <t>FL_DES_ABC_5kg</t>
        </is>
      </c>
      <c r="R13" s="17" t="inlineStr">
        <is>
          <t>costura long. MAG</t>
        </is>
      </c>
    </row>
    <row r="14" outlineLevel="2">
      <c r="A14" s="34" t="n">
        <v>3</v>
      </c>
      <c r="B14" s="34" t="inlineStr">
        <is>
          <t>MP-HOJA</t>
        </is>
      </c>
      <c r="C14" s="35" t="inlineStr">
        <is>
          <t xml:space="preserve">            Recorte de hoja LAF 1000 × 2000 e=1,6</t>
        </is>
      </c>
      <c r="D14" s="34" t="n">
        <v>1</v>
      </c>
      <c r="E14" s="34" t="inlineStr">
        <is>
          <t>u</t>
        </is>
      </c>
      <c r="F14" s="36" t="n">
        <v>2.092</v>
      </c>
      <c r="G14" s="36">
        <f>D14*F14</f>
        <v/>
      </c>
      <c r="H14" s="34" t="inlineStr">
        <is>
          <t>Chapa LAF IRAM-IAS U 500-05 LAF</t>
        </is>
      </c>
      <c r="I14" s="35" t="inlineStr">
        <is>
          <t>330 × 474,5 (aprovech. 94 %)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ABC5-02</t>
        </is>
      </c>
      <c r="C15" s="17" t="inlineStr">
        <is>
          <t xml:space="preserve">        Cúpula</t>
        </is>
      </c>
      <c r="D15" s="32" t="n">
        <v>1</v>
      </c>
      <c r="E15" s="32" t="inlineStr">
        <is>
          <t>u</t>
        </is>
      </c>
      <c r="F15" s="33" t="n">
        <v>0.3608</v>
      </c>
      <c r="G15" s="33">
        <f>D15*F15</f>
        <v/>
      </c>
      <c r="H15" s="32" t="inlineStr">
        <is>
          <t>Chapa LAF IRAM-IAS U 500-05 e=1,6</t>
        </is>
      </c>
      <c r="I15" s="17" t="inlineStr">
        <is>
          <t>Ø153 × e1,6 × 53,2 de alto; disco Ø221</t>
        </is>
      </c>
      <c r="J15" s="32" t="inlineStr">
        <is>
          <t>Fabricación</t>
        </is>
      </c>
      <c r="K15" s="32" t="inlineStr">
        <is>
          <t>No</t>
        </is>
      </c>
      <c r="L15" s="17" t="n"/>
      <c r="M15" s="17" t="n"/>
      <c r="N15" s="17" t="inlineStr">
        <is>
          <t>6 Desbobinado + embutido (M06-M08) -&gt; numerado de cúpula (micropercusión, en arco junto al cuello) -&gt; 8 soldadura de cuello</t>
        </is>
      </c>
      <c r="O15" s="17" t="n"/>
      <c r="P15" s="32" t="inlineStr">
        <is>
          <t>P</t>
        </is>
      </c>
      <c r="Q15" s="32" t="inlineStr">
        <is>
          <t>FL_DES_ABC_5kg</t>
        </is>
      </c>
      <c r="R15" s="17" t="inlineStr">
        <is>
          <t>embutida</t>
        </is>
      </c>
    </row>
    <row r="16" outlineLevel="2">
      <c r="A16" s="34" t="n">
        <v>3</v>
      </c>
      <c r="B16" s="34" t="inlineStr">
        <is>
          <t>MP-FLEJE</t>
        </is>
      </c>
      <c r="C16" s="35" t="inlineStr">
        <is>
          <t xml:space="preserve">            Fleje e=1,6 × 250 (paso 224)</t>
        </is>
      </c>
      <c r="D16" s="34" t="n">
        <v>0.224</v>
      </c>
      <c r="E16" s="34" t="inlineStr">
        <is>
          <t>m</t>
        </is>
      </c>
      <c r="F16" s="36" t="n">
        <v>3.14</v>
      </c>
      <c r="G16" s="36">
        <f>D16*F16</f>
        <v/>
      </c>
      <c r="H16" s="34" t="inlineStr">
        <is>
          <t>Fleje SAE 1010</t>
        </is>
      </c>
      <c r="I16" s="35" t="inlineStr">
        <is>
          <t>disco Ø221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ABC5-03</t>
        </is>
      </c>
      <c r="C17" s="17" t="inlineStr">
        <is>
          <t xml:space="preserve">        Fondo</t>
        </is>
      </c>
      <c r="D17" s="32" t="n">
        <v>1</v>
      </c>
      <c r="E17" s="32" t="inlineStr">
        <is>
          <t>u</t>
        </is>
      </c>
      <c r="F17" s="33" t="n">
        <v>0.3173</v>
      </c>
      <c r="G17" s="33">
        <f>D17*F17</f>
        <v/>
      </c>
      <c r="H17" s="32" t="inlineStr">
        <is>
          <t>Chapa LAF IRAM-IAS U 500-05 e=1,6</t>
        </is>
      </c>
      <c r="I17" s="17" t="inlineStr">
        <is>
          <t>Ø153 × e1,6 × 26 de alto; disco Ø177</t>
        </is>
      </c>
      <c r="J17" s="32" t="inlineStr">
        <is>
          <t>Fabricación</t>
        </is>
      </c>
      <c r="K17" s="32" t="inlineStr">
        <is>
          <t>No</t>
        </is>
      </c>
      <c r="L17" s="17" t="n"/>
      <c r="M17" s="17" t="n"/>
      <c r="N17" s="17" t="inlineStr">
        <is>
          <t>6 Desbobinado + embutido (M06-M08)</t>
        </is>
      </c>
      <c r="O17" s="17" t="n"/>
      <c r="P17" s="32" t="inlineStr">
        <is>
          <t>P</t>
        </is>
      </c>
      <c r="Q17" s="32" t="inlineStr">
        <is>
          <t>FL_DES_ABC_5kg</t>
        </is>
      </c>
      <c r="R17" s="17" t="inlineStr">
        <is>
          <t>embutido</t>
        </is>
      </c>
    </row>
    <row r="18" outlineLevel="2">
      <c r="A18" s="34" t="n">
        <v>3</v>
      </c>
      <c r="B18" s="34" t="inlineStr">
        <is>
          <t>MP-FLEJE</t>
        </is>
      </c>
      <c r="C18" s="35" t="inlineStr">
        <is>
          <t xml:space="preserve">            Fleje e=1,6 × 200 (paso 180)</t>
        </is>
      </c>
      <c r="D18" s="34" t="n">
        <v>0.18</v>
      </c>
      <c r="E18" s="34" t="inlineStr">
        <is>
          <t>m</t>
        </is>
      </c>
      <c r="F18" s="36" t="n">
        <v>2.512</v>
      </c>
      <c r="G18" s="36">
        <f>D18*F18</f>
        <v/>
      </c>
      <c r="H18" s="34" t="inlineStr">
        <is>
          <t>Fleje SAE 1010</t>
        </is>
      </c>
      <c r="I18" s="35" t="inlineStr">
        <is>
          <t>disco Ø177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ABC5-04</t>
        </is>
      </c>
      <c r="C19" s="17" t="inlineStr">
        <is>
          <t xml:space="preserve">        Cuello roscado</t>
        </is>
      </c>
      <c r="D19" s="32" t="n">
        <v>1</v>
      </c>
      <c r="E19" s="32" t="inlineStr">
        <is>
          <t>u</t>
        </is>
      </c>
      <c r="F19" s="33" t="n">
        <v>0.0589</v>
      </c>
      <c r="G19" s="33">
        <f>D19*F19</f>
        <v/>
      </c>
      <c r="H19" s="32" t="inlineStr">
        <is>
          <t>Acero SAE 1010</t>
        </is>
      </c>
      <c r="I19" s="17" t="inlineStr">
        <is>
          <t>Ø37 × 15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FL_DES_ABC_5kg</t>
        </is>
      </c>
      <c r="R19" s="17" t="inlineStr">
        <is>
          <t>M30x1,5</t>
        </is>
      </c>
    </row>
    <row r="20" outlineLevel="1">
      <c r="A20" s="37" t="n">
        <v>2</v>
      </c>
      <c r="B20" s="37" t="inlineStr">
        <is>
          <t>ABC5-C1</t>
        </is>
      </c>
      <c r="C20" s="18" t="inlineStr">
        <is>
          <t xml:space="preserve">        Alambre MAG ER70S-6 Ø0,9 (AWS A5.18)</t>
        </is>
      </c>
      <c r="D20" s="37" t="n">
        <v>0.0551</v>
      </c>
      <c r="E20" s="37" t="inlineStr">
        <is>
          <t>kg</t>
        </is>
      </c>
      <c r="F20" s="38" t="n">
        <v>0.95</v>
      </c>
      <c r="G20" s="38">
        <f>D20*F20</f>
        <v/>
      </c>
      <c r="H20" s="37" t="inlineStr">
        <is>
          <t>ER70S-6</t>
        </is>
      </c>
      <c r="I20" s="18" t="inlineStr">
        <is>
          <t>metal depositado de los cordones del plano 52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ABC5-C2</t>
        </is>
      </c>
      <c r="C21" s="18" t="inlineStr">
        <is>
          <t xml:space="preserve">        Gas de protección MAG Arcal 21 / ARCAL Speed (Ar + 8 % CO₂, M20)</t>
        </is>
      </c>
      <c r="D21" s="37" t="n">
        <v>32.8</v>
      </c>
      <c r="E21" s="37" t="inlineStr">
        <is>
          <t>L</t>
        </is>
      </c>
      <c r="F21" s="38" t="n"/>
      <c r="G21" s="38" t="n"/>
      <c r="H21" s="37" t="inlineStr">
        <is>
          <t>EN ISO 14175 M20-ArC-8</t>
        </is>
      </c>
      <c r="I21" s="18" t="inlineStr">
        <is>
          <t>14 L/min × 2,34 min de arco (cordones 1.405 mm: long. 327 + circ. 961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ABC5-C3</t>
        </is>
      </c>
      <c r="C22" s="18" t="inlineStr">
        <is>
          <t xml:space="preserve">        Granalla de acero S330 / S390 (ISO 11124-3, SAE J444)</t>
        </is>
      </c>
      <c r="D22" s="37" t="n">
        <v>0.08</v>
      </c>
      <c r="E22" s="37" t="inlineStr">
        <is>
          <t>kg</t>
        </is>
      </c>
      <c r="F22" s="38" t="n"/>
      <c r="G22" s="38" t="n"/>
      <c r="H22" s="37" t="inlineStr">
        <is>
          <t>Granalla esférica alto C</t>
        </is>
      </c>
      <c r="I22" s="18" t="inlineStr">
        <is>
          <t>0,21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ABC5-C4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0,21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c r="A24" s="29" t="n">
        <v>1</v>
      </c>
      <c r="B24" s="29" t="inlineStr">
        <is>
          <t>ABC5-S2</t>
        </is>
      </c>
      <c r="C24" s="30" t="inlineStr">
        <is>
          <t xml:space="preserve">    Conjunto de válvula</t>
        </is>
      </c>
      <c r="D24" s="29" t="n">
        <v>1</v>
      </c>
      <c r="E24" s="29" t="inlineStr">
        <is>
          <t>u</t>
        </is>
      </c>
      <c r="F24" s="31" t="n"/>
      <c r="G24" s="31">
        <f>G25+G26+G27+G29+G30+G31+G32+G33+G34+G35+G36</f>
        <v/>
      </c>
      <c r="H24" s="29" t="n"/>
      <c r="I24" s="30" t="n"/>
      <c r="J24" s="29" t="inlineStr">
        <is>
          <t>Compra / armado</t>
        </is>
      </c>
      <c r="K24" s="29" t="n"/>
      <c r="L24" s="30" t="n"/>
      <c r="M24" s="30" t="n"/>
      <c r="N24" s="30" t="n"/>
      <c r="O24" s="30" t="inlineStr">
        <is>
          <t>Manómetro IRAM 3533</t>
        </is>
      </c>
      <c r="P24" s="29" t="inlineStr">
        <is>
          <t>P</t>
        </is>
      </c>
      <c r="Q24" s="29" t="inlineStr">
        <is>
          <t>FL_DES_ABC_5kg</t>
        </is>
      </c>
      <c r="R24" s="30" t="n"/>
    </row>
    <row r="25" outlineLevel="1">
      <c r="A25" s="32" t="n">
        <v>2</v>
      </c>
      <c r="B25" s="32" t="inlineStr">
        <is>
          <t>ABC5-05</t>
        </is>
      </c>
      <c r="C25" s="17" t="inlineStr">
        <is>
          <t xml:space="preserve">        Espiga roscada</t>
        </is>
      </c>
      <c r="D25" s="32" t="n">
        <v>1</v>
      </c>
      <c r="E25" s="32" t="inlineStr">
        <is>
          <t>u</t>
        </is>
      </c>
      <c r="F25" s="33" t="n">
        <v>0.0245</v>
      </c>
      <c r="G25" s="33">
        <f>D25*F25</f>
        <v/>
      </c>
      <c r="H25" s="32" t="inlineStr">
        <is>
          <t>Latón forjado</t>
        </is>
      </c>
      <c r="I25" s="17" t="inlineStr">
        <is>
          <t>29,8 × 29,8 × 10,8</t>
        </is>
      </c>
      <c r="J25" s="32" t="inlineStr">
        <is>
          <t>Incluido en válvula HZ</t>
        </is>
      </c>
      <c r="K25" s="32" t="inlineStr">
        <is>
          <t>No</t>
        </is>
      </c>
      <c r="L25" s="17" t="n"/>
      <c r="M25" s="17" t="n"/>
      <c r="N25" s="17" t="inlineStr">
        <is>
          <t>19 Ensamblaje de válvula (T03/T04)</t>
        </is>
      </c>
      <c r="O25" s="17" t="n"/>
      <c r="P25" s="32" t="inlineStr">
        <is>
          <t>P</t>
        </is>
      </c>
      <c r="Q25" s="32" t="inlineStr">
        <is>
          <t>FL_DES_ABC_5kg</t>
        </is>
      </c>
      <c r="R25" s="17" t="n"/>
    </row>
    <row r="26" outlineLevel="1">
      <c r="A26" s="32" t="n">
        <v>2</v>
      </c>
      <c r="B26" s="32" t="inlineStr">
        <is>
          <t>ABC5-06</t>
        </is>
      </c>
      <c r="C26" s="17" t="inlineStr">
        <is>
          <t xml:space="preserve">        Collarín de válvula</t>
        </is>
      </c>
      <c r="D26" s="32" t="n">
        <v>1</v>
      </c>
      <c r="E26" s="32" t="inlineStr">
        <is>
          <t>u</t>
        </is>
      </c>
      <c r="F26" s="33" t="n">
        <v>0.0053</v>
      </c>
      <c r="G26" s="33">
        <f>D26*F26</f>
        <v/>
      </c>
      <c r="H26" s="32" t="inlineStr">
        <is>
          <t>Latón forjado</t>
        </is>
      </c>
      <c r="I26" s="17" t="inlineStr">
        <is>
          <t>27,2 × 27,2 × 4,1</t>
        </is>
      </c>
      <c r="J26" s="32" t="inlineStr">
        <is>
          <t>Incluido en válvula HZ</t>
        </is>
      </c>
      <c r="K26" s="32" t="inlineStr">
        <is>
          <t>No</t>
        </is>
      </c>
      <c r="L26" s="17" t="n"/>
      <c r="M26" s="17" t="n"/>
      <c r="N26" s="17" t="inlineStr">
        <is>
          <t>19 Ensamblaje de válvula (T03/T04)</t>
        </is>
      </c>
      <c r="O26" s="17" t="n"/>
      <c r="P26" s="32" t="inlineStr">
        <is>
          <t>P</t>
        </is>
      </c>
      <c r="Q26" s="32" t="inlineStr">
        <is>
          <t>FL_DES_ABC_5kg</t>
        </is>
      </c>
      <c r="R26" s="17" t="n"/>
    </row>
    <row r="27" outlineLevel="1">
      <c r="A27" s="32" t="n">
        <v>2</v>
      </c>
      <c r="B27" s="32" t="inlineStr">
        <is>
          <t>ABC5-07</t>
        </is>
      </c>
      <c r="C27" s="17" t="inlineStr">
        <is>
          <t xml:space="preserve">        Cuerpo de válvula</t>
        </is>
      </c>
      <c r="D27" s="32" t="n">
        <v>1</v>
      </c>
      <c r="E27" s="32" t="inlineStr">
        <is>
          <t>u</t>
        </is>
      </c>
      <c r="F27" s="33" t="n">
        <v>0.1328</v>
      </c>
      <c r="G27" s="33">
        <f>D27*F27</f>
        <v/>
      </c>
      <c r="H27" s="32" t="inlineStr">
        <is>
          <t>Latón forjado</t>
        </is>
      </c>
      <c r="I27" s="17" t="inlineStr">
        <is>
          <t>43,9 × 32 × 24,5</t>
        </is>
      </c>
      <c r="J27" s="32" t="inlineStr">
        <is>
          <t>Incluido en válvula HZ</t>
        </is>
      </c>
      <c r="K27" s="32" t="inlineStr">
        <is>
          <t>No</t>
        </is>
      </c>
      <c r="L27" s="17" t="n"/>
      <c r="M27" s="17" t="n"/>
      <c r="N27" s="17" t="inlineStr">
        <is>
          <t>19 Ensamblaje de válvula (T03/T04)</t>
        </is>
      </c>
      <c r="O27" s="17" t="n"/>
      <c r="P27" s="32" t="inlineStr">
        <is>
          <t>P</t>
        </is>
      </c>
      <c r="Q27" s="32" t="inlineStr">
        <is>
          <t>FL_DES_ABC_5kg</t>
        </is>
      </c>
      <c r="R27" s="17" t="n"/>
    </row>
    <row r="28" outlineLevel="1">
      <c r="A28" s="41" t="n">
        <v>2</v>
      </c>
      <c r="B28" s="41" t="inlineStr">
        <is>
          <t>ABC5-08</t>
        </is>
      </c>
      <c r="C28" s="42" t="inlineStr">
        <is>
          <t xml:space="preserve">        Manómetro</t>
        </is>
      </c>
      <c r="D28" s="41" t="n">
        <v>1</v>
      </c>
      <c r="E28" s="41" t="inlineStr">
        <is>
          <t>u</t>
        </is>
      </c>
      <c r="F28" s="43" t="n"/>
      <c r="G28" s="43" t="n"/>
      <c r="H28" s="41" t="inlineStr">
        <is>
          <t>Comercial</t>
        </is>
      </c>
      <c r="I28" s="42" t="inlineStr">
        <is>
          <t>Ø36 esfera, rango 0-3,5 MPa, sector verde en 1,4</t>
        </is>
      </c>
      <c r="J28" s="41" t="inlineStr">
        <is>
          <t>Compra</t>
        </is>
      </c>
      <c r="K28" s="41" t="inlineStr">
        <is>
          <t>Sí</t>
        </is>
      </c>
      <c r="L28" s="42" t="inlineStr">
        <is>
          <t>Yukon / MatafuegosYa S.R.L.</t>
        </is>
      </c>
      <c r="M28" s="42" t="inlineStr">
        <is>
          <t>Matafuegos Iglesias</t>
        </is>
      </c>
      <c r="N28" s="42" t="inlineStr">
        <is>
          <t>19 Ensamblaje de válvula (T03/T04)</t>
        </is>
      </c>
      <c r="O28" s="42" t="inlineStr">
        <is>
          <t>IRAM 3533</t>
        </is>
      </c>
      <c r="P28" s="41" t="inlineStr">
        <is>
          <t>P</t>
        </is>
      </c>
      <c r="Q28" s="41" t="inlineStr">
        <is>
          <t>FL_DES_ABC_5kg</t>
        </is>
      </c>
      <c r="R28" s="42" t="inlineStr">
        <is>
          <t>Pieza comercial; sello IRAM 3533; peso: completar con la ficha del proveedor (no afecta el MRP)</t>
        </is>
      </c>
    </row>
    <row r="29" outlineLevel="1">
      <c r="A29" s="32" t="n">
        <v>2</v>
      </c>
      <c r="B29" s="32" t="inlineStr">
        <is>
          <t>ABC5-09</t>
        </is>
      </c>
      <c r="C29" s="17" t="inlineStr">
        <is>
          <t xml:space="preserve">        Vástago</t>
        </is>
      </c>
      <c r="D29" s="32" t="n">
        <v>1</v>
      </c>
      <c r="E29" s="32" t="inlineStr">
        <is>
          <t>u</t>
        </is>
      </c>
      <c r="F29" s="33" t="n">
        <v>0.0137</v>
      </c>
      <c r="G29" s="33">
        <f>D29*F29</f>
        <v/>
      </c>
      <c r="H29" s="32" t="inlineStr">
        <is>
          <t>Latón</t>
        </is>
      </c>
      <c r="I29" s="17" t="inlineStr">
        <is>
          <t>35,6 × 14 × 14</t>
        </is>
      </c>
      <c r="J29" s="32" t="inlineStr">
        <is>
          <t>Incluido en válvula HZ</t>
        </is>
      </c>
      <c r="K29" s="32" t="inlineStr">
        <is>
          <t>No</t>
        </is>
      </c>
      <c r="L29" s="17" t="n"/>
      <c r="M29" s="17" t="n"/>
      <c r="N29" s="17" t="inlineStr">
        <is>
          <t>19 Ensamblaje de válvula (T03/T04)</t>
        </is>
      </c>
      <c r="O29" s="17" t="n"/>
      <c r="P29" s="32" t="inlineStr">
        <is>
          <t>P</t>
        </is>
      </c>
      <c r="Q29" s="32" t="inlineStr">
        <is>
          <t>FL_DES_ABC_5kg</t>
        </is>
      </c>
      <c r="R29" s="17" t="inlineStr">
        <is>
          <t>con junta tórica</t>
        </is>
      </c>
    </row>
    <row r="30" outlineLevel="1">
      <c r="A30" s="32" t="n">
        <v>2</v>
      </c>
      <c r="B30" s="32" t="inlineStr">
        <is>
          <t>ABC5-10</t>
        </is>
      </c>
      <c r="C30" s="17" t="inlineStr">
        <is>
          <t xml:space="preserve">        Resorte de válvula</t>
        </is>
      </c>
      <c r="D30" s="32" t="n">
        <v>1</v>
      </c>
      <c r="E30" s="32" t="inlineStr">
        <is>
          <t>u</t>
        </is>
      </c>
      <c r="F30" s="33" t="n">
        <v>0.0049</v>
      </c>
      <c r="G30" s="33">
        <f>D30*F30</f>
        <v/>
      </c>
      <c r="H30" s="32" t="inlineStr">
        <is>
          <t>Alambre acero inox. AISI 302</t>
        </is>
      </c>
      <c r="I30" s="17" t="inlineStr">
        <is>
          <t>28,8 × 17,3 × 17,3</t>
        </is>
      </c>
      <c r="J30" s="32" t="inlineStr">
        <is>
          <t>Incluido en válvula HZ</t>
        </is>
      </c>
      <c r="K30" s="32" t="inlineStr">
        <is>
          <t>No</t>
        </is>
      </c>
      <c r="L30" s="17" t="n"/>
      <c r="M30" s="17" t="n"/>
      <c r="N30" s="17" t="inlineStr">
        <is>
          <t>19 Ensamblaje de válvula (T03/T04)</t>
        </is>
      </c>
      <c r="O30" s="17" t="n"/>
      <c r="P30" s="32" t="inlineStr">
        <is>
          <t>P</t>
        </is>
      </c>
      <c r="Q30" s="32" t="inlineStr">
        <is>
          <t>FL_DES_ABC_5kg</t>
        </is>
      </c>
      <c r="R30" s="17" t="inlineStr">
        <is>
          <t>cierre del vástago</t>
        </is>
      </c>
    </row>
    <row r="31" outlineLevel="1">
      <c r="A31" s="32" t="n">
        <v>2</v>
      </c>
      <c r="B31" s="32" t="inlineStr">
        <is>
          <t>ABC5-11</t>
        </is>
      </c>
      <c r="C31" s="17" t="inlineStr">
        <is>
          <t xml:space="preserve">        Eje de palanca</t>
        </is>
      </c>
      <c r="D31" s="32" t="n">
        <v>1</v>
      </c>
      <c r="E31" s="32" t="inlineStr">
        <is>
          <t>u</t>
        </is>
      </c>
      <c r="F31" s="33" t="n">
        <v>0.0033</v>
      </c>
      <c r="G31" s="33">
        <f>D31*F31</f>
        <v/>
      </c>
      <c r="H31" s="32" t="inlineStr">
        <is>
          <t>Acero inox. AISI 304</t>
        </is>
      </c>
      <c r="I31" s="17" t="inlineStr">
        <is>
          <t>33 × 4 × 4</t>
        </is>
      </c>
      <c r="J31" s="32" t="inlineStr">
        <is>
          <t>Incluido en válvula HZ</t>
        </is>
      </c>
      <c r="K31" s="32" t="inlineStr">
        <is>
          <t>No</t>
        </is>
      </c>
      <c r="L31" s="17" t="n"/>
      <c r="M31" s="17" t="n"/>
      <c r="N31" s="17" t="inlineStr">
        <is>
          <t>19 Ensamblaje de válvula (T03/T04)</t>
        </is>
      </c>
      <c r="O31" s="17" t="n"/>
      <c r="P31" s="32" t="inlineStr">
        <is>
          <t>P</t>
        </is>
      </c>
      <c r="Q31" s="32" t="inlineStr">
        <is>
          <t>FL_DES_ABC_5kg</t>
        </is>
      </c>
      <c r="R31" s="17" t="n"/>
    </row>
    <row r="32" outlineLevel="1">
      <c r="A32" s="32" t="n">
        <v>2</v>
      </c>
      <c r="B32" s="32" t="inlineStr">
        <is>
          <t>ABC5-12</t>
        </is>
      </c>
      <c r="C32" s="17" t="inlineStr">
        <is>
          <t xml:space="preserve">        Pasador de seguridad</t>
        </is>
      </c>
      <c r="D32" s="32" t="n">
        <v>1</v>
      </c>
      <c r="E32" s="32" t="inlineStr">
        <is>
          <t>u</t>
        </is>
      </c>
      <c r="F32" s="33" t="n">
        <v>0.0055</v>
      </c>
      <c r="G32" s="33">
        <f>D32*F32</f>
        <v/>
      </c>
      <c r="H32" s="32" t="inlineStr">
        <is>
          <t>Alambre acero inox. AISI 304</t>
        </is>
      </c>
      <c r="I32" s="17" t="inlineStr">
        <is>
          <t>45,9 × 21 × 20,8</t>
        </is>
      </c>
      <c r="J32" s="32" t="inlineStr">
        <is>
          <t>Incluido en válvula HZ</t>
        </is>
      </c>
      <c r="K32" s="32" t="inlineStr">
        <is>
          <t>No</t>
        </is>
      </c>
      <c r="L32" s="17" t="n"/>
      <c r="M32" s="17" t="n"/>
      <c r="N32" s="17" t="inlineStr">
        <is>
          <t>19 Ensamblaje de válvula (T03/T04)</t>
        </is>
      </c>
      <c r="O32" s="17" t="n"/>
      <c r="P32" s="32" t="inlineStr">
        <is>
          <t>P</t>
        </is>
      </c>
      <c r="Q32" s="32" t="inlineStr">
        <is>
          <t>FL_DES_ABC_5kg</t>
        </is>
      </c>
      <c r="R32" s="17" t="inlineStr">
        <is>
          <t>con precinto</t>
        </is>
      </c>
    </row>
    <row r="33" outlineLevel="1">
      <c r="A33" s="32" t="n">
        <v>2</v>
      </c>
      <c r="B33" s="32" t="inlineStr">
        <is>
          <t>ABC5-13</t>
        </is>
      </c>
      <c r="C33" s="17" t="inlineStr">
        <is>
          <t xml:space="preserve">        Manija de accionamiento</t>
        </is>
      </c>
      <c r="D33" s="32" t="n">
        <v>1</v>
      </c>
      <c r="E33" s="32" t="inlineStr">
        <is>
          <t>u</t>
        </is>
      </c>
      <c r="F33" s="33" t="n">
        <v>0.0959</v>
      </c>
      <c r="G33" s="33">
        <f>D33*F33</f>
        <v/>
      </c>
      <c r="H33" s="32" t="inlineStr">
        <is>
          <t>Chapa acero SAE 1010 pintada</t>
        </is>
      </c>
      <c r="I33" s="17" t="inlineStr">
        <is>
          <t>124,6 × 31 × 29,3</t>
        </is>
      </c>
      <c r="J33" s="32" t="inlineStr">
        <is>
          <t>Incluido en válvula HZ</t>
        </is>
      </c>
      <c r="K33" s="32" t="inlineStr">
        <is>
          <t>No</t>
        </is>
      </c>
      <c r="L33" s="17" t="n"/>
      <c r="M33" s="17" t="n"/>
      <c r="N33" s="17" t="inlineStr">
        <is>
          <t>19 Ensamblaje de válvula (T03/T04)</t>
        </is>
      </c>
      <c r="O33" s="17" t="n"/>
      <c r="P33" s="32" t="inlineStr">
        <is>
          <t>P</t>
        </is>
      </c>
      <c r="Q33" s="32" t="inlineStr">
        <is>
          <t>FL_DES_ABC_5kg</t>
        </is>
      </c>
      <c r="R33" s="17" t="n"/>
    </row>
    <row r="34" outlineLevel="1">
      <c r="A34" s="32" t="n">
        <v>2</v>
      </c>
      <c r="B34" s="32" t="inlineStr">
        <is>
          <t>ABC5-14</t>
        </is>
      </c>
      <c r="C34" s="17" t="inlineStr">
        <is>
          <t xml:space="preserve">        Manija de transporte</t>
        </is>
      </c>
      <c r="D34" s="32" t="n">
        <v>1</v>
      </c>
      <c r="E34" s="32" t="inlineStr">
        <is>
          <t>u</t>
        </is>
      </c>
      <c r="F34" s="33" t="n">
        <v>0.0757</v>
      </c>
      <c r="G34" s="33">
        <f>D34*F34</f>
        <v/>
      </c>
      <c r="H34" s="32" t="inlineStr">
        <is>
          <t>Chapa acero SAE 1010 pintada</t>
        </is>
      </c>
      <c r="I34" s="17" t="inlineStr">
        <is>
          <t>102,6 × 35 × 25,4</t>
        </is>
      </c>
      <c r="J34" s="32" t="inlineStr">
        <is>
          <t>Incluido en válvula HZ</t>
        </is>
      </c>
      <c r="K34" s="32" t="inlineStr">
        <is>
          <t>No</t>
        </is>
      </c>
      <c r="L34" s="17" t="n"/>
      <c r="M34" s="17" t="n"/>
      <c r="N34" s="17" t="inlineStr">
        <is>
          <t>19 Ensamblaje de válvula (T03/T04)</t>
        </is>
      </c>
      <c r="O34" s="17" t="n"/>
      <c r="P34" s="32" t="inlineStr">
        <is>
          <t>P</t>
        </is>
      </c>
      <c r="Q34" s="32" t="inlineStr">
        <is>
          <t>FL_DES_ABC_5kg</t>
        </is>
      </c>
      <c r="R34" s="17" t="n"/>
    </row>
    <row r="35" outlineLevel="1">
      <c r="A35" s="32" t="n">
        <v>2</v>
      </c>
      <c r="B35" s="32" t="inlineStr">
        <is>
          <t>ABC5-15</t>
        </is>
      </c>
      <c r="C35" s="17" t="inlineStr">
        <is>
          <t xml:space="preserve">        Caño de pesca (sifón)</t>
        </is>
      </c>
      <c r="D35" s="32" t="n">
        <v>1</v>
      </c>
      <c r="E35" s="32" t="inlineStr">
        <is>
          <t>u</t>
        </is>
      </c>
      <c r="F35" s="33" t="n">
        <v>0.0462</v>
      </c>
      <c r="G35" s="33">
        <f>D35*F35</f>
        <v/>
      </c>
      <c r="H35" s="32" t="inlineStr">
        <is>
          <t>Tubo PVC rígido</t>
        </is>
      </c>
      <c r="I35" s="17" t="inlineStr">
        <is>
          <t>Ø21,3 × 353,6 de largo</t>
        </is>
      </c>
      <c r="J35" s="32" t="inlineStr">
        <is>
          <t>Incluido en válvula HZ</t>
        </is>
      </c>
      <c r="K35" s="32" t="inlineStr">
        <is>
          <t>No</t>
        </is>
      </c>
      <c r="L35" s="17" t="n"/>
      <c r="M35" s="17" t="n"/>
      <c r="N35" s="17" t="inlineStr">
        <is>
          <t>19 Ensamblaje de válvula (T03/T04)</t>
        </is>
      </c>
      <c r="O35" s="17" t="n"/>
      <c r="P35" s="32" t="inlineStr">
        <is>
          <t>P</t>
        </is>
      </c>
      <c r="Q35" s="32" t="inlineStr">
        <is>
          <t>FL_DES_ABC_5kg</t>
        </is>
      </c>
      <c r="R35" s="17" t="n"/>
    </row>
    <row r="36" outlineLevel="1">
      <c r="A36" s="32" t="n">
        <v>2</v>
      </c>
      <c r="B36" s="32" t="inlineStr">
        <is>
          <t>ABC5-25</t>
        </is>
      </c>
      <c r="C36" s="17" t="inlineStr">
        <is>
          <t xml:space="preserve">        Junta tórica de asiento</t>
        </is>
      </c>
      <c r="D36" s="32" t="n">
        <v>1</v>
      </c>
      <c r="E36" s="32" t="inlineStr">
        <is>
          <t>u</t>
        </is>
      </c>
      <c r="F36" s="33" t="n">
        <v>0.001</v>
      </c>
      <c r="G36" s="33">
        <f>D36*F36</f>
        <v/>
      </c>
      <c r="H36" s="32" t="inlineStr">
        <is>
          <t>NBR 70 Shore A</t>
        </is>
      </c>
      <c r="I36" s="17" t="inlineStr">
        <is>
          <t>Ø32,8 ext. × cordón 3</t>
        </is>
      </c>
      <c r="J36" s="32" t="inlineStr">
        <is>
          <t>Compra</t>
        </is>
      </c>
      <c r="K36" s="32" t="inlineStr">
        <is>
          <t>Sí</t>
        </is>
      </c>
      <c r="L36" s="17" t="inlineStr">
        <is>
          <t>Argensold</t>
        </is>
      </c>
      <c r="M36" s="17" t="inlineStr">
        <is>
          <t>Matafuegos Iglesias</t>
        </is>
      </c>
      <c r="N36" s="17" t="inlineStr">
        <is>
          <t>19 Ensamblaje de válvula (T03/T04)</t>
        </is>
      </c>
      <c r="O36" s="17" t="n"/>
      <c r="P36" s="32" t="inlineStr">
        <is>
          <t>P</t>
        </is>
      </c>
      <c r="Q36" s="32" t="inlineStr">
        <is>
          <t>FL_DES_ABC_5kg</t>
        </is>
      </c>
      <c r="R36" s="17" t="inlineStr">
        <is>
          <t>cambio c/recarga</t>
        </is>
      </c>
    </row>
    <row r="37" outlineLevel="1">
      <c r="A37" s="32" t="n">
        <v>2</v>
      </c>
      <c r="B37" s="32" t="inlineStr">
        <is>
          <t>ABC5-K2</t>
        </is>
      </c>
      <c r="C37" s="17" t="inlineStr">
        <is>
          <t xml:space="preserve">        Válvula HZ armada M-30 c/resorte y tubo 7/8</t>
        </is>
      </c>
      <c r="D37" s="32" t="n">
        <v>1</v>
      </c>
      <c r="E37" s="32" t="inlineStr">
        <is>
          <t>u</t>
        </is>
      </c>
      <c r="F37" s="33" t="n"/>
      <c r="G37" s="33" t="n"/>
      <c r="H37" s="32" t="inlineStr">
        <is>
          <t>Latón forjado (HZ)</t>
        </is>
      </c>
      <c r="I37" s="17" t="inlineStr">
        <is>
          <t>rosca M30x1,5</t>
        </is>
      </c>
      <c r="J37" s="32" t="inlineStr">
        <is>
          <t>Compra</t>
        </is>
      </c>
      <c r="K37" s="32" t="inlineStr">
        <is>
          <t>Sí</t>
        </is>
      </c>
      <c r="L37" s="17" t="inlineStr">
        <is>
          <t>Polvex S.R.L. / Sancibrao</t>
        </is>
      </c>
      <c r="M37" s="17" t="inlineStr">
        <is>
          <t>Mozart S.R.L.</t>
        </is>
      </c>
      <c r="N37" s="17" t="inlineStr">
        <is>
          <t>19 Ensamblaje de válvula</t>
        </is>
      </c>
      <c r="O37" s="17" t="inlineStr">
        <is>
          <t>IRAM 3523 3.3</t>
        </is>
      </c>
      <c r="P37" s="32" t="inlineStr">
        <is>
          <t>Q</t>
        </is>
      </c>
      <c r="Q37" s="32" t="inlineStr">
        <is>
          <t>FL_DES_ABC_5kg</t>
        </is>
      </c>
      <c r="R37" s="17" t="inlineStr">
        <is>
          <t>Lista de precios HZ (Q-AGENTES); plano Fadesa usa válvula HZ (R-FADESA). Trae las piezas marcadas «Incluido en válvula HZ»</t>
        </is>
      </c>
    </row>
    <row r="38" outlineLevel="1">
      <c r="A38" s="32" t="n">
        <v>2</v>
      </c>
      <c r="B38" s="32" t="inlineStr">
        <is>
          <t>ABC5-V2</t>
        </is>
      </c>
      <c r="C38" s="17" t="inlineStr">
        <is>
          <t xml:space="preserve">        Resorte de retorno del vástago</t>
        </is>
      </c>
      <c r="D38" s="32" t="n">
        <v>1</v>
      </c>
      <c r="E38" s="32" t="inlineStr">
        <is>
          <t>u</t>
        </is>
      </c>
      <c r="F38" s="33" t="n"/>
      <c r="G38" s="33" t="n"/>
      <c r="H38" s="32" t="inlineStr">
        <is>
          <t>Acero para resortes</t>
        </is>
      </c>
      <c r="I38" s="17" t="inlineStr">
        <is>
          <t>incluido en la válvula</t>
        </is>
      </c>
      <c r="J38" s="32" t="inlineStr">
        <is>
          <t>Incluido en válvula HZ</t>
        </is>
      </c>
      <c r="K38" s="32" t="inlineStr">
        <is>
          <t>No</t>
        </is>
      </c>
      <c r="L38" s="17" t="n"/>
      <c r="M38" s="17" t="n"/>
      <c r="N38" s="17" t="inlineStr">
        <is>
          <t>19 Ensamblaje</t>
        </is>
      </c>
      <c r="O38" s="17" t="n"/>
      <c r="P38" s="32" t="inlineStr">
        <is>
          <t>Q</t>
        </is>
      </c>
      <c r="Q38" s="32" t="n"/>
      <c r="R38" s="17" t="inlineStr">
        <is>
          <t>Lista de precios HZ: válvula «c/resorte» (Q-AGENTES)</t>
        </is>
      </c>
    </row>
    <row r="39" outlineLevel="1">
      <c r="A39" s="32" t="n">
        <v>2</v>
      </c>
      <c r="B39" s="32" t="inlineStr">
        <is>
          <t>ABC5-V3</t>
        </is>
      </c>
      <c r="C39" s="17" t="inlineStr">
        <is>
          <t xml:space="preserve">        Junta tórica del vástago</t>
        </is>
      </c>
      <c r="D39" s="32" t="n">
        <v>1</v>
      </c>
      <c r="E39" s="32" t="inlineStr">
        <is>
          <t>u</t>
        </is>
      </c>
      <c r="F39" s="33" t="n"/>
      <c r="G39" s="33" t="n"/>
      <c r="H39" s="32" t="inlineStr">
        <is>
          <t>NBR 70 Shore A</t>
        </is>
      </c>
      <c r="I39" s="17" t="inlineStr">
        <is>
          <t>incluida en la válvula</t>
        </is>
      </c>
      <c r="J39" s="32" t="inlineStr">
        <is>
          <t>Incluido en válvula HZ</t>
        </is>
      </c>
      <c r="K39" s="32" t="inlineStr">
        <is>
          <t>No</t>
        </is>
      </c>
      <c r="L39" s="17" t="n"/>
      <c r="M39" s="17" t="n"/>
      <c r="N39" s="17" t="inlineStr">
        <is>
          <t>19 Ensamblaje</t>
        </is>
      </c>
      <c r="O39" s="17" t="n"/>
      <c r="P39" s="32" t="inlineStr">
        <is>
          <t>P</t>
        </is>
      </c>
      <c r="Q39" s="32" t="n"/>
      <c r="R39" s="17" t="inlineStr">
        <is>
          <t>Figura en el plano como «vástago con junta tórica»</t>
        </is>
      </c>
    </row>
    <row r="40">
      <c r="A40" s="29" t="n">
        <v>1</v>
      </c>
      <c r="B40" s="29" t="inlineStr">
        <is>
          <t>ABC5-S3</t>
        </is>
      </c>
      <c r="C40" s="30" t="inlineStr">
        <is>
          <t xml:space="preserve">    Dispositivo de descarga</t>
        </is>
      </c>
      <c r="D40" s="29" t="n">
        <v>1</v>
      </c>
      <c r="E40" s="29" t="inlineStr">
        <is>
          <t>u</t>
        </is>
      </c>
      <c r="F40" s="31" t="n"/>
      <c r="G40" s="31">
        <f>G41+G42+G43+G44</f>
        <v/>
      </c>
      <c r="H40" s="29" t="n"/>
      <c r="I40" s="30" t="n"/>
      <c r="J40" s="29" t="inlineStr">
        <is>
          <t>Compra / armado</t>
        </is>
      </c>
      <c r="K40" s="29" t="n"/>
      <c r="L40" s="30" t="n"/>
      <c r="M40" s="30" t="n"/>
      <c r="N40" s="30" t="n"/>
      <c r="O40" s="30" t="n"/>
      <c r="P40" s="29" t="inlineStr">
        <is>
          <t>P</t>
        </is>
      </c>
      <c r="Q40" s="29" t="inlineStr">
        <is>
          <t>FL_DES_ABC_5kg</t>
        </is>
      </c>
      <c r="R40" s="30" t="n"/>
    </row>
    <row r="41" outlineLevel="1">
      <c r="A41" s="32" t="n">
        <v>2</v>
      </c>
      <c r="B41" s="32" t="inlineStr">
        <is>
          <t>ABC5-16</t>
        </is>
      </c>
      <c r="C41" s="17" t="inlineStr">
        <is>
          <t xml:space="preserve">        Racor de manguera</t>
        </is>
      </c>
      <c r="D41" s="32" t="n">
        <v>1</v>
      </c>
      <c r="E41" s="32" t="inlineStr">
        <is>
          <t>u</t>
        </is>
      </c>
      <c r="F41" s="33" t="n">
        <v>0.0394</v>
      </c>
      <c r="G41" s="33">
        <f>D41*F41</f>
        <v/>
      </c>
      <c r="H41" s="32" t="inlineStr">
        <is>
          <t>Latón</t>
        </is>
      </c>
      <c r="I41" s="17" t="inlineStr">
        <is>
          <t>19,4 × 18,8 × 18,8</t>
        </is>
      </c>
      <c r="J41" s="32" t="inlineStr">
        <is>
          <t>Compra</t>
        </is>
      </c>
      <c r="K41" s="32" t="inlineStr">
        <is>
          <t>Sí</t>
        </is>
      </c>
      <c r="L41" s="17" t="inlineStr">
        <is>
          <t>Yukon / MatafuegosYa S.R.L.</t>
        </is>
      </c>
      <c r="M41" s="17" t="inlineStr">
        <is>
          <t>Matafuegos Iglesias</t>
        </is>
      </c>
      <c r="N41" s="17" t="inlineStr">
        <is>
          <t>19 Ensamblaje (T03/T04)</t>
        </is>
      </c>
      <c r="O41" s="17" t="n"/>
      <c r="P41" s="32" t="inlineStr">
        <is>
          <t>P</t>
        </is>
      </c>
      <c r="Q41" s="32" t="inlineStr">
        <is>
          <t>FL_DES_ABC_5kg</t>
        </is>
      </c>
      <c r="R41" s="17" t="n"/>
    </row>
    <row r="42" outlineLevel="1">
      <c r="A42" s="32" t="n">
        <v>2</v>
      </c>
      <c r="B42" s="32" t="inlineStr">
        <is>
          <t>ABC5-17</t>
        </is>
      </c>
      <c r="C42" s="17" t="inlineStr">
        <is>
          <t xml:space="preserve">        Manguera</t>
        </is>
      </c>
      <c r="D42" s="32" t="n">
        <v>1</v>
      </c>
      <c r="E42" s="32" t="inlineStr">
        <is>
          <t>u</t>
        </is>
      </c>
      <c r="F42" s="33" t="n">
        <v>0.0509</v>
      </c>
      <c r="G42" s="33">
        <f>D42*F42</f>
        <v/>
      </c>
      <c r="H42" s="32" t="inlineStr">
        <is>
          <t>Caucho sintético</t>
        </is>
      </c>
      <c r="I42" s="17" t="inlineStr">
        <is>
          <t>Ø16 × 329 de largo desarrollado</t>
        </is>
      </c>
      <c r="J42" s="32" t="inlineStr">
        <is>
          <t>Compra</t>
        </is>
      </c>
      <c r="K42" s="32" t="inlineStr">
        <is>
          <t>Sí</t>
        </is>
      </c>
      <c r="L42" s="17" t="inlineStr">
        <is>
          <t>Yukon / MatafuegosYa S.R.L.</t>
        </is>
      </c>
      <c r="M42" s="17" t="inlineStr">
        <is>
          <t>Matafuegos Iglesias</t>
        </is>
      </c>
      <c r="N42" s="17" t="inlineStr">
        <is>
          <t>19 Ensamblaje (T03/T04)</t>
        </is>
      </c>
      <c r="O42" s="17" t="n"/>
      <c r="P42" s="32" t="inlineStr">
        <is>
          <t>P</t>
        </is>
      </c>
      <c r="Q42" s="32" t="inlineStr">
        <is>
          <t>FL_DES_ABC_5kg</t>
        </is>
      </c>
      <c r="R42" s="17" t="n"/>
    </row>
    <row r="43" outlineLevel="1">
      <c r="A43" s="32" t="n">
        <v>2</v>
      </c>
      <c r="B43" s="32" t="inlineStr">
        <is>
          <t>ABC5-18</t>
        </is>
      </c>
      <c r="C43" s="17" t="inlineStr">
        <is>
          <t xml:space="preserve">        Tobera con portatobera</t>
        </is>
      </c>
      <c r="D43" s="32" t="n">
        <v>1</v>
      </c>
      <c r="E43" s="32" t="inlineStr">
        <is>
          <t>u</t>
        </is>
      </c>
      <c r="F43" s="33" t="n">
        <v>0.0168</v>
      </c>
      <c r="G43" s="33">
        <f>D43*F43</f>
        <v/>
      </c>
      <c r="H43" s="32" t="inlineStr">
        <is>
          <t>Polipropileno</t>
        </is>
      </c>
      <c r="I43" s="17" t="inlineStr">
        <is>
          <t>73,5 × 19,9 × 19,9</t>
        </is>
      </c>
      <c r="J43" s="32" t="inlineStr">
        <is>
          <t>Compra</t>
        </is>
      </c>
      <c r="K43" s="32" t="inlineStr">
        <is>
          <t>Sí</t>
        </is>
      </c>
      <c r="L43" s="17" t="inlineStr">
        <is>
          <t>Yukon / MatafuegosYa S.R.L.</t>
        </is>
      </c>
      <c r="M43" s="17" t="inlineStr">
        <is>
          <t>Matafuegos Iglesias</t>
        </is>
      </c>
      <c r="N43" s="17" t="inlineStr">
        <is>
          <t>19 Ensamblaje (T03/T04)</t>
        </is>
      </c>
      <c r="O43" s="17" t="n"/>
      <c r="P43" s="32" t="inlineStr">
        <is>
          <t>P</t>
        </is>
      </c>
      <c r="Q43" s="32" t="inlineStr">
        <is>
          <t>FL_DES_ABC_5kg</t>
        </is>
      </c>
      <c r="R43" s="17" t="n"/>
    </row>
    <row r="44" outlineLevel="1">
      <c r="A44" s="32" t="n">
        <v>2</v>
      </c>
      <c r="B44" s="32" t="inlineStr">
        <is>
          <t>ABC5-19</t>
        </is>
      </c>
      <c r="C44" s="17" t="inlineStr">
        <is>
          <t xml:space="preserve">        Suncho portatobera</t>
        </is>
      </c>
      <c r="D44" s="32" t="n">
        <v>1</v>
      </c>
      <c r="E44" s="32" t="inlineStr">
        <is>
          <t>u</t>
        </is>
      </c>
      <c r="F44" s="33" t="n">
        <v>0.0945</v>
      </c>
      <c r="G44" s="33">
        <f>D44*F44</f>
        <v/>
      </c>
      <c r="H44" s="32" t="inlineStr">
        <is>
          <t>Fleje acero SAE 1010 pintado</t>
        </is>
      </c>
      <c r="I44" s="17" t="inlineStr">
        <is>
          <t>166,6 × 156,6 × 14,4</t>
        </is>
      </c>
      <c r="J44" s="32" t="inlineStr">
        <is>
          <t>Compra (estructura)</t>
        </is>
      </c>
      <c r="K44" s="32" t="inlineStr">
        <is>
          <t>Sí</t>
        </is>
      </c>
      <c r="L44" s="17" t="inlineStr">
        <is>
          <t>Yukon / MatafuegosYa S.R.L.</t>
        </is>
      </c>
      <c r="M44" s="17" t="inlineStr">
        <is>
          <t>Matafuegos Iglesias</t>
        </is>
      </c>
      <c r="N44" s="17" t="inlineStr">
        <is>
          <t>19 Ensamblaje (T03/T04)</t>
        </is>
      </c>
      <c r="O44" s="17" t="n"/>
      <c r="P44" s="32" t="inlineStr">
        <is>
          <t>P</t>
        </is>
      </c>
      <c r="Q44" s="32" t="inlineStr">
        <is>
          <t>FL_DES_ABC_5kg</t>
        </is>
      </c>
      <c r="R44" s="17" t="n"/>
    </row>
    <row r="45">
      <c r="A45" s="29" t="n">
        <v>1</v>
      </c>
      <c r="B45" s="29" t="inlineStr">
        <is>
          <t>ABC5-S5</t>
        </is>
      </c>
      <c r="C45" s="30" t="inlineStr">
        <is>
          <t xml:space="preserve">    Carga: agente extintor y gas impulsor</t>
        </is>
      </c>
      <c r="D45" s="29" t="n">
        <v>1</v>
      </c>
      <c r="E45" s="29" t="inlineStr">
        <is>
          <t>u</t>
        </is>
      </c>
      <c r="F45" s="31" t="n"/>
      <c r="G45" s="31">
        <f>G46+G47</f>
        <v/>
      </c>
      <c r="H45" s="29" t="n"/>
      <c r="I45" s="30" t="n"/>
      <c r="J45" s="29" t="inlineStr">
        <is>
          <t>Carga en planta</t>
        </is>
      </c>
      <c r="K45" s="29" t="n"/>
      <c r="L45" s="30" t="n"/>
      <c r="M45" s="30" t="n"/>
      <c r="N45" s="30" t="inlineStr">
        <is>
          <t>18 Carga de polvo (T01) / C8 (T02)</t>
        </is>
      </c>
      <c r="O45" s="30" t="n"/>
      <c r="P45" s="29" t="n"/>
      <c r="Q45" s="29" t="n"/>
      <c r="R45" s="30" t="n"/>
    </row>
    <row r="46" outlineLevel="1">
      <c r="A46" s="32" t="n">
        <v>2</v>
      </c>
      <c r="B46" s="32" t="inlineStr">
        <is>
          <t>ABC5-A1</t>
        </is>
      </c>
      <c r="C46" s="17" t="inlineStr">
        <is>
          <t xml:space="preserve">        Polvo químico seco ABC 60 (Sello IRAM 3569)</t>
        </is>
      </c>
      <c r="D46" s="32" t="n">
        <v>5.15</v>
      </c>
      <c r="E46" s="32" t="inlineStr">
        <is>
          <t>kg</t>
        </is>
      </c>
      <c r="F46" s="33" t="n">
        <v>1</v>
      </c>
      <c r="G46" s="33">
        <f>D46*F46</f>
        <v/>
      </c>
      <c r="H46" s="32" t="inlineStr">
        <is>
          <t>Polvo químico seco ABC 60 (Sello IRAM 3569)</t>
        </is>
      </c>
      <c r="I46" s="17" t="inlineStr">
        <is>
          <t>nominal 5 kg; tolerancia 0 / +300 g (IRAM 3517-2:2020 tabla 3 · IRAM 3523 tabla II)</t>
        </is>
      </c>
      <c r="J46" s="32" t="inlineStr">
        <is>
          <t>Compra</t>
        </is>
      </c>
      <c r="K46" s="32" t="inlineStr">
        <is>
          <t>Sí</t>
        </is>
      </c>
      <c r="L46" s="17" t="inlineStr">
        <is>
          <t>DEM S.A. (DEMSA)</t>
        </is>
      </c>
      <c r="M46" s="17" t="inlineStr">
        <is>
          <t>Polvex S.R.L. / Sancibrao</t>
        </is>
      </c>
      <c r="N46" s="17" t="inlineStr">
        <is>
          <t>SP-1 almacén previo a la carga</t>
        </is>
      </c>
      <c r="O46" s="17" t="inlineStr">
        <is>
          <t>IRAM 3569</t>
        </is>
      </c>
      <c r="P46" s="32" t="inlineStr">
        <is>
          <t>N</t>
        </is>
      </c>
      <c r="Q46" s="32" t="n"/>
      <c r="R46" s="17" t="inlineStr">
        <is>
          <t>Composición declarada del polvo ABC 60: MAP 60 % (IRAM 3569: 57-63 %) = 3,09 kg MAP + 1,906 kg sulfato de amonio + 0,154 kg aditivos · potencial de referencia 6A-40B:C (licencia Drago con DEM-60/90, L-DRAGO) · Decisión: DEMSA principal (sello IRAM 3569 y potencial de referencia); Polvex/Sancibrao alternativa sujeta a sello IRAM 3569 y ensayo de tipo de FLAMA (IRAM 3542/3543) · alternativa ABC 90: 10A-40B:C · Lote único por extintor; prohibido mezclar ABC con BC (3517-2 9.9.1.6)</t>
        </is>
      </c>
    </row>
    <row r="47" outlineLevel="1">
      <c r="A47" s="37" t="n">
        <v>2</v>
      </c>
      <c r="B47" s="37" t="inlineStr">
        <is>
          <t>ABC5-A2</t>
        </is>
      </c>
      <c r="C47" s="18" t="inlineStr">
        <is>
          <t xml:space="preserve">        Gas impulsor: N₂</t>
        </is>
      </c>
      <c r="D47" s="37" t="n">
        <v>0.0251</v>
      </c>
      <c r="E47" s="37" t="inlineStr">
        <is>
          <t>kg</t>
        </is>
      </c>
      <c r="F47" s="38" t="n">
        <v>1</v>
      </c>
      <c r="G47" s="38">
        <f>D47*F47</f>
        <v/>
      </c>
      <c r="H47" s="37" t="inlineStr">
        <is>
          <t>N₂</t>
        </is>
      </c>
      <c r="I47" s="18" t="inlineStr">
        <is>
          <t>20,1 L normales para 1,4 MPa a 20 °C en 1,45 dm³ libres</t>
        </is>
      </c>
      <c r="J47" s="37" t="inlineStr">
        <is>
          <t>Compra</t>
        </is>
      </c>
      <c r="K47" s="37" t="inlineStr">
        <is>
          <t>Sí</t>
        </is>
      </c>
      <c r="L47" s="18" t="inlineStr">
        <is>
          <t>Air Liquide Argentina - sucursal Piñeyro</t>
        </is>
      </c>
      <c r="M47" s="18" t="inlineStr">
        <is>
          <t>Gogniat</t>
        </is>
      </c>
      <c r="N47" s="18" t="inlineStr">
        <is>
          <t>20 Presurización (T05) / C10</t>
        </is>
      </c>
      <c r="O47" s="18" t="inlineStr">
        <is>
          <t>IRAM 3517-2 9.4.9 (tabla 2) · IRAM 3523 2.3 y 3.10</t>
        </is>
      </c>
      <c r="P47" s="37" t="inlineStr">
        <is>
          <t>C</t>
        </is>
      </c>
      <c r="Q47" s="37" t="n"/>
      <c r="R47" s="18" t="inlineStr">
        <is>
          <t>N₂ ≥ 99,8 %, H₂O ≤ 40 ppm (Q-N2, Air Liquide) · volumen libre con ρ empacada mínima 1,1 kg/dm³ (NOM-104-STPS-2001); confirmar con descarga ≥ 85 % (IRAM 3523 4.9.1)</t>
        </is>
      </c>
    </row>
    <row r="48">
      <c r="A48" s="29" t="n">
        <v>1</v>
      </c>
      <c r="B48" s="29" t="inlineStr">
        <is>
          <t>ABC5-S6</t>
        </is>
      </c>
      <c r="C48" s="30" t="inlineStr">
        <is>
          <t xml:space="preserve">    Identificación y precinto</t>
        </is>
      </c>
      <c r="D48" s="29" t="n">
        <v>1</v>
      </c>
      <c r="E48" s="29" t="inlineStr">
        <is>
          <t>u</t>
        </is>
      </c>
      <c r="F48" s="31" t="n"/>
      <c r="G48" s="31">
        <f>G49+G50+G51+G52+G53+G54+G55</f>
        <v/>
      </c>
      <c r="H48" s="29" t="n"/>
      <c r="I48" s="30" t="n"/>
      <c r="J48" s="29" t="inlineStr">
        <is>
          <t>Compra</t>
        </is>
      </c>
      <c r="K48" s="29" t="n"/>
      <c r="L48" s="30" t="n"/>
      <c r="M48" s="30" t="n"/>
      <c r="N48" s="30" t="inlineStr">
        <is>
          <t>22 Etiquetado (T07)</t>
        </is>
      </c>
      <c r="O48" s="30" t="n"/>
      <c r="P48" s="29" t="n"/>
      <c r="Q48" s="29" t="n"/>
      <c r="R48" s="30" t="n"/>
    </row>
    <row r="49" outlineLevel="1">
      <c r="A49" s="32" t="n">
        <v>2</v>
      </c>
      <c r="B49" s="32" t="inlineStr">
        <is>
          <t>ABC5-20</t>
        </is>
      </c>
      <c r="C49" s="17" t="inlineStr">
        <is>
          <t xml:space="preserve">        Etiqueta / placa de características</t>
        </is>
      </c>
      <c r="D49" s="32" t="n">
        <v>1</v>
      </c>
      <c r="E49" s="32" t="inlineStr">
        <is>
          <t>u</t>
        </is>
      </c>
      <c r="F49" s="33" t="n">
        <v>0.0175</v>
      </c>
      <c r="G49" s="33">
        <f>D49*F49</f>
        <v/>
      </c>
      <c r="H49" s="32" t="inlineStr">
        <is>
          <t>Vinilo autoadhesivo laminado</t>
        </is>
      </c>
      <c r="I49" s="17" t="inlineStr">
        <is>
          <t>289 × 144 (desarrollo × alto: panel central 108° + 2 alas laterales), e ≈ 0,3, laminado UV</t>
        </is>
      </c>
      <c r="J49" s="32" t="inlineStr">
        <is>
          <t>Compra</t>
        </is>
      </c>
      <c r="K49" s="32" t="inlineStr">
        <is>
          <t>Sí</t>
        </is>
      </c>
      <c r="L49" s="17" t="inlineStr">
        <is>
          <t>Astuprint</t>
        </is>
      </c>
      <c r="M49" s="17" t="inlineStr">
        <is>
          <t>Multilabel Argentina S.A.</t>
        </is>
      </c>
      <c r="N49" s="17" t="inlineStr">
        <is>
          <t>22 Etiquetado (T07)</t>
        </is>
      </c>
      <c r="O49" s="17" t="inlineStr">
        <is>
          <t>IRAM 3534 · IRAM 3523 cap. 5 · relevamiento de mercado</t>
        </is>
      </c>
      <c r="P49" s="32" t="inlineStr">
        <is>
          <t>P</t>
        </is>
      </c>
      <c r="Q49" s="32" t="inlineStr">
        <is>
          <t>FL_DES_ABC_5kg</t>
        </is>
      </c>
      <c r="R49" s="17" t="inlineStr">
        <is>
          <t>IRAM 3534</t>
        </is>
      </c>
    </row>
    <row r="50" outlineLevel="1">
      <c r="A50" s="32" t="n">
        <v>2</v>
      </c>
      <c r="B50" s="32" t="inlineStr">
        <is>
          <t>ABC5-21</t>
        </is>
      </c>
      <c r="C50" s="17" t="inlineStr">
        <is>
          <t xml:space="preserve">        Oblea de fabricación (PBA)</t>
        </is>
      </c>
      <c r="D50" s="32" t="n">
        <v>1</v>
      </c>
      <c r="E50" s="32" t="inlineStr">
        <is>
          <t>u</t>
        </is>
      </c>
      <c r="F50" s="33" t="n">
        <v>0.0009</v>
      </c>
      <c r="G50" s="33">
        <f>D50*F50</f>
        <v/>
      </c>
      <c r="H50" s="32" t="inlineStr">
        <is>
          <t>Papel de seguridad autodestructible</t>
        </is>
      </c>
      <c r="I50" s="17" t="inlineStr">
        <is>
          <t>Ø46 (Res. OPDS 522/07), numerada, autodestructible</t>
        </is>
      </c>
      <c r="J50" s="32" t="inlineStr">
        <is>
          <t>Compra</t>
        </is>
      </c>
      <c r="K50" s="32" t="inlineStr">
        <is>
          <t>Sí</t>
        </is>
      </c>
      <c r="L50" s="17" t="inlineStr">
        <is>
          <t>Ministerio de Ambiente PBA (ex OPDS)</t>
        </is>
      </c>
      <c r="M50" s="17" t="inlineStr">
        <is>
          <t>-</t>
        </is>
      </c>
      <c r="N50" s="17" t="inlineStr">
        <is>
          <t>22 Etiquetado (T07)</t>
        </is>
      </c>
      <c r="O50" s="17" t="inlineStr">
        <is>
          <t>Res. OPDS 522/07 anexos 1, 2 y 6</t>
        </is>
      </c>
      <c r="P50" s="32" t="inlineStr">
        <is>
          <t>P</t>
        </is>
      </c>
      <c r="Q50" s="32" t="inlineStr">
        <is>
          <t>FL_DES_ABC_5kg</t>
        </is>
      </c>
      <c r="R50" s="17" t="inlineStr">
        <is>
          <t>Res. 522/07</t>
        </is>
      </c>
    </row>
    <row r="51" outlineLevel="1">
      <c r="A51" s="32" t="n">
        <v>2</v>
      </c>
      <c r="B51" s="32" t="inlineStr">
        <is>
          <t>ABC5-22</t>
        </is>
      </c>
      <c r="C51" s="17" t="inlineStr">
        <is>
          <t xml:space="preserve">        Estampilla IRAM de conformidad</t>
        </is>
      </c>
      <c r="D51" s="32" t="n">
        <v>1</v>
      </c>
      <c r="E51" s="32" t="inlineStr">
        <is>
          <t>u</t>
        </is>
      </c>
      <c r="F51" s="33" t="n">
        <v>0.001</v>
      </c>
      <c r="G51" s="33">
        <f>D51*F51</f>
        <v/>
      </c>
      <c r="H51" s="32" t="inlineStr">
        <is>
          <t>Provista por IRAM (Anexo R)</t>
        </is>
      </c>
      <c r="I51" s="17" t="inlineStr">
        <is>
          <t>60 × 40</t>
        </is>
      </c>
      <c r="J51" s="32" t="inlineStr">
        <is>
          <t>Compra</t>
        </is>
      </c>
      <c r="K51" s="32" t="inlineStr">
        <is>
          <t>Sí</t>
        </is>
      </c>
      <c r="L51" s="17" t="inlineStr">
        <is>
          <t>IRAM - Instituto Argentino de Normalización</t>
        </is>
      </c>
      <c r="M51" s="17" t="inlineStr">
        <is>
          <t>-</t>
        </is>
      </c>
      <c r="N51" s="17" t="inlineStr">
        <is>
          <t>22 Etiquetado (T07)</t>
        </is>
      </c>
      <c r="O51" s="17" t="inlineStr">
        <is>
          <t>IRAM Anexo R (DC-PG-129)</t>
        </is>
      </c>
      <c r="P51" s="32" t="inlineStr">
        <is>
          <t>P</t>
        </is>
      </c>
      <c r="Q51" s="32" t="inlineStr">
        <is>
          <t>FL_DES_ABC_5kg</t>
        </is>
      </c>
      <c r="R51" s="17" t="inlineStr">
        <is>
          <t>numerada</t>
        </is>
      </c>
    </row>
    <row r="52" outlineLevel="1">
      <c r="A52" s="32" t="n">
        <v>2</v>
      </c>
      <c r="B52" s="32" t="inlineStr">
        <is>
          <t>ABC5-23</t>
        </is>
      </c>
      <c r="C52" s="17" t="inlineStr">
        <is>
          <t xml:space="preserve">        Tarjeta de identificación AGC (CABA)</t>
        </is>
      </c>
      <c r="D52" s="32" t="n">
        <v>1</v>
      </c>
      <c r="E52" s="32" t="inlineStr">
        <is>
          <t>u</t>
        </is>
      </c>
      <c r="F52" s="33" t="n">
        <v>0.0032</v>
      </c>
      <c r="G52" s="33">
        <f>D52*F52</f>
        <v/>
      </c>
      <c r="H52" s="32" t="inlineStr">
        <is>
          <t>Etiqueta autoadhesiva emitida por la AGC</t>
        </is>
      </c>
      <c r="I52" s="17" t="inlineStr">
        <is>
          <t>140 × 55</t>
        </is>
      </c>
      <c r="J52" s="32" t="inlineStr">
        <is>
          <t>Compra</t>
        </is>
      </c>
      <c r="K52" s="32" t="inlineStr">
        <is>
          <t>Sí</t>
        </is>
      </c>
      <c r="L52" s="17" t="inlineStr">
        <is>
          <t>Agencia Gubernamental de Control (CABA)</t>
        </is>
      </c>
      <c r="M52" s="17" t="inlineStr">
        <is>
          <t>-</t>
        </is>
      </c>
      <c r="N52" s="17" t="inlineStr">
        <is>
          <t>22 Etiquetado (T07)</t>
        </is>
      </c>
      <c r="O52" s="17" t="inlineStr">
        <is>
          <t>Ordenanza 40.473 art. 6 · Res. AGC 32/15</t>
        </is>
      </c>
      <c r="P52" s="32" t="inlineStr">
        <is>
          <t>P</t>
        </is>
      </c>
      <c r="Q52" s="32" t="inlineStr">
        <is>
          <t>FL_DES_ABC_5kg</t>
        </is>
      </c>
      <c r="R52" s="17" t="inlineStr">
        <is>
          <t>sólo destino CABA</t>
        </is>
      </c>
    </row>
    <row r="53" outlineLevel="1">
      <c r="A53" s="32" t="n">
        <v>2</v>
      </c>
      <c r="B53" s="32" t="inlineStr">
        <is>
          <t>ABC5-24</t>
        </is>
      </c>
      <c r="C53" s="17" t="inlineStr">
        <is>
          <t xml:space="preserve">        Etiqueta de n° de serie GS1</t>
        </is>
      </c>
      <c r="D53" s="32" t="n">
        <v>1</v>
      </c>
      <c r="E53" s="32" t="inlineStr">
        <is>
          <t>u</t>
        </is>
      </c>
      <c r="F53" s="33" t="n">
        <v>0.0005</v>
      </c>
      <c r="G53" s="33">
        <f>D53*F53</f>
        <v/>
      </c>
      <c r="H53" s="32" t="inlineStr">
        <is>
          <t>Poliéster autoadhesivo impreso térmico</t>
        </is>
      </c>
      <c r="I53" s="17" t="inlineStr">
        <is>
          <t>45 × 25</t>
        </is>
      </c>
      <c r="J53" s="32" t="inlineStr">
        <is>
          <t>Compra</t>
        </is>
      </c>
      <c r="K53" s="32" t="inlineStr">
        <is>
          <t>Sí</t>
        </is>
      </c>
      <c r="L53" s="17" t="inlineStr">
        <is>
          <t>Astuprint</t>
        </is>
      </c>
      <c r="M53" s="17" t="inlineStr">
        <is>
          <t>GS1 Argentina</t>
        </is>
      </c>
      <c r="N53" s="17" t="inlineStr">
        <is>
          <t>22 Etiquetado (T07)</t>
        </is>
      </c>
      <c r="O53" s="17" t="inlineStr">
        <is>
          <t>GS1 Argentina (GTIN 779) · trazabilidad IRAM 3523 5.1</t>
        </is>
      </c>
      <c r="P53" s="32" t="inlineStr">
        <is>
          <t>P</t>
        </is>
      </c>
      <c r="Q53" s="32" t="inlineStr">
        <is>
          <t>FL_DES_ABC_5kg</t>
        </is>
      </c>
      <c r="R53" s="17" t="inlineStr">
        <is>
          <t>QR GTIN + serie</t>
        </is>
      </c>
    </row>
    <row r="54" outlineLevel="1">
      <c r="A54" s="32" t="n">
        <v>2</v>
      </c>
      <c r="B54" s="32" t="inlineStr">
        <is>
          <t>ABC5-26</t>
        </is>
      </c>
      <c r="C54" s="17" t="inlineStr">
        <is>
          <t xml:space="preserve">        Faja de garantía válvula-cuello</t>
        </is>
      </c>
      <c r="D54" s="32" t="n">
        <v>1</v>
      </c>
      <c r="E54" s="32" t="inlineStr">
        <is>
          <t>u</t>
        </is>
      </c>
      <c r="F54" s="33" t="n">
        <v>0.0001</v>
      </c>
      <c r="G54" s="33">
        <f>D54*F54</f>
        <v/>
      </c>
      <c r="H54" s="32" t="inlineStr">
        <is>
          <t>Vinilo destructible rayado rojo/blanco</t>
        </is>
      </c>
      <c r="I54" s="17" t="inlineStr">
        <is>
          <t>22 × 23 (ancho × largo desarrollado), pegada sobre la unión: cuerpo de la válvula, tuerca y cuello</t>
        </is>
      </c>
      <c r="J54" s="32" t="inlineStr">
        <is>
          <t>Compra</t>
        </is>
      </c>
      <c r="K54" s="32" t="inlineStr">
        <is>
          <t>Sí</t>
        </is>
      </c>
      <c r="L54" s="17" t="inlineStr">
        <is>
          <t>Astuprint</t>
        </is>
      </c>
      <c r="M54" s="17" t="inlineStr">
        <is>
          <t>Multilabel Argentina S.A.</t>
        </is>
      </c>
      <c r="N54" s="17" t="inlineStr">
        <is>
          <t>22 Etiquetado (T07)</t>
        </is>
      </c>
      <c r="O54" s="17" t="inlineStr">
        <is>
          <t>Sin norma: práctica de mercado (garantía de fábrica)</t>
        </is>
      </c>
      <c r="P54" s="32" t="inlineStr">
        <is>
          <t>P</t>
        </is>
      </c>
      <c r="Q54" s="32" t="inlineStr">
        <is>
          <t>FL_DES_ABC_5kg</t>
        </is>
      </c>
      <c r="R54" s="17" t="inlineStr">
        <is>
          <t>nuevo sin abrir</t>
        </is>
      </c>
    </row>
    <row r="55" outlineLevel="1">
      <c r="A55" s="32" t="n">
        <v>2</v>
      </c>
      <c r="B55" s="32" t="inlineStr">
        <is>
          <t>ABC5-27</t>
        </is>
      </c>
      <c r="C55" s="17" t="inlineStr">
        <is>
          <t xml:space="preserve">        Precinto de fábrica</t>
        </is>
      </c>
      <c r="D55" s="32" t="n">
        <v>1</v>
      </c>
      <c r="E55" s="32" t="inlineStr">
        <is>
          <t>u</t>
        </is>
      </c>
      <c r="F55" s="33" t="n">
        <v>0.0002</v>
      </c>
      <c r="G55" s="33">
        <f>D55*F55</f>
        <v/>
      </c>
      <c r="H55" s="32" t="inlineStr">
        <is>
          <t>Polipropileno color</t>
        </is>
      </c>
      <c r="I55" s="17" t="inlineStr">
        <is>
          <t>Ø5 × 10, numerado, rotura 30-50 N</t>
        </is>
      </c>
      <c r="J55" s="32" t="inlineStr">
        <is>
          <t>Compra</t>
        </is>
      </c>
      <c r="K55" s="32" t="inlineStr">
        <is>
          <t>Sí</t>
        </is>
      </c>
      <c r="L55" s="17" t="inlineStr">
        <is>
          <t>SonFuertes (vía Papelera Damián)</t>
        </is>
      </c>
      <c r="M55" s="17" t="inlineStr">
        <is>
          <t>Precinter S.R.L.</t>
        </is>
      </c>
      <c r="N55" s="17" t="inlineStr">
        <is>
          <t>20 Presurización (T05)</t>
        </is>
      </c>
      <c r="O55" s="17" t="inlineStr">
        <is>
          <t>IRAM 3523 3.3.2 · IRAM 3517-2:2020 9.4.13</t>
        </is>
      </c>
      <c r="P55" s="32" t="inlineStr">
        <is>
          <t>P</t>
        </is>
      </c>
      <c r="Q55" s="32" t="inlineStr">
        <is>
          <t>FL_DES_ABC_5kg</t>
        </is>
      </c>
      <c r="R55" s="17" t="inlineStr">
        <is>
          <t>id. FLAMA y lote</t>
        </is>
      </c>
    </row>
    <row r="56">
      <c r="A56" s="29" t="n">
        <v>1</v>
      </c>
      <c r="B56" s="29" t="inlineStr">
        <is>
          <t>ABC5-S8</t>
        </is>
      </c>
      <c r="C56" s="30" t="inlineStr">
        <is>
          <t xml:space="preserve">    Soporte (accesorio de montaje)</t>
        </is>
      </c>
      <c r="D56" s="29" t="n">
        <v>1</v>
      </c>
      <c r="E56" s="29" t="inlineStr">
        <is>
          <t>u</t>
        </is>
      </c>
      <c r="F56" s="31" t="n"/>
      <c r="G56" s="31">
        <f>G57</f>
        <v/>
      </c>
      <c r="H56" s="29" t="n"/>
      <c r="I56" s="30" t="n"/>
      <c r="J56" s="29" t="inlineStr">
        <is>
          <t>Compra</t>
        </is>
      </c>
      <c r="K56" s="29" t="n"/>
      <c r="L56" s="30" t="n"/>
      <c r="M56" s="30" t="n"/>
      <c r="N56" s="30" t="inlineStr">
        <is>
          <t>23 Embalaje (va dentro de la caja)</t>
        </is>
      </c>
      <c r="O56" s="30" t="inlineStr">
        <is>
          <t>IRAM 3517-2 7.4</t>
        </is>
      </c>
      <c r="P56" s="29" t="n"/>
      <c r="Q56" s="29" t="n"/>
      <c r="R56" s="30" t="n"/>
    </row>
    <row r="57" outlineLevel="1">
      <c r="A57" s="32" t="n">
        <v>2</v>
      </c>
      <c r="B57" s="32" t="inlineStr">
        <is>
          <t>ABC5-I5</t>
        </is>
      </c>
      <c r="C57" s="17" t="inlineStr">
        <is>
          <t xml:space="preserve">        Soporte de pared (FL_ACC_01)</t>
        </is>
      </c>
      <c r="D57" s="32" t="n">
        <v>1</v>
      </c>
      <c r="E57" s="32" t="inlineStr">
        <is>
          <t>u</t>
        </is>
      </c>
      <c r="F57" s="33" t="n">
        <v>0.29</v>
      </c>
      <c r="G57" s="33">
        <f>D57*F57</f>
        <v/>
      </c>
      <c r="H57" s="32" t="inlineStr">
        <is>
          <t>Chapa acero SAE 1010 e=2 pintada</t>
        </is>
      </c>
      <c r="I57" s="17" t="inlineStr">
        <is>
          <t>placa 60 × 180, ala con ranura Ø cuello + 3</t>
        </is>
      </c>
      <c r="J57" s="32" t="inlineStr">
        <is>
          <t>Compra</t>
        </is>
      </c>
      <c r="K57" s="32" t="inlineStr">
        <is>
          <t>Sí</t>
        </is>
      </c>
      <c r="L57" s="17" t="inlineStr">
        <is>
          <t>Maxiseguridad</t>
        </is>
      </c>
      <c r="M57" s="17" t="inlineStr">
        <is>
          <t>CM Representaciones</t>
        </is>
      </c>
      <c r="N57" s="17" t="inlineStr">
        <is>
          <t>23 Embalaje</t>
        </is>
      </c>
      <c r="O57" s="17" t="inlineStr">
        <is>
          <t>IRAM 3517-2 7.4</t>
        </is>
      </c>
      <c r="P57" s="32" t="inlineStr">
        <is>
          <t>P</t>
        </is>
      </c>
      <c r="Q57" s="32" t="inlineStr">
        <is>
          <t>FL_ACC_01</t>
        </is>
      </c>
      <c r="R57" s="17" t="n"/>
    </row>
    <row r="58" outlineLevel="1">
      <c r="A58" s="32" t="n">
        <v>2</v>
      </c>
      <c r="B58" s="32" t="inlineStr">
        <is>
          <t>ABC5-I6</t>
        </is>
      </c>
      <c r="C58" s="17" t="inlineStr">
        <is>
          <t xml:space="preserve">        Tornillo y tarugo de fijación</t>
        </is>
      </c>
      <c r="D58" s="32" t="n">
        <v>2</v>
      </c>
      <c r="E58" s="32" t="inlineStr">
        <is>
          <t>u</t>
        </is>
      </c>
      <c r="F58" s="33" t="n"/>
      <c r="G58" s="33" t="n"/>
      <c r="H58" s="32" t="inlineStr">
        <is>
          <t>Acero cincado / nylon</t>
        </is>
      </c>
      <c r="I58" s="17" t="inlineStr">
        <is>
          <t>2 agujeros Ø8,5 del plano FL_ACC_01 → tornillo M8 + tarugo</t>
        </is>
      </c>
      <c r="J58" s="32" t="inlineStr">
        <is>
          <t>Compra</t>
        </is>
      </c>
      <c r="K58" s="32" t="inlineStr">
        <is>
          <t>Sí</t>
        </is>
      </c>
      <c r="L58" s="17" t="inlineStr">
        <is>
          <t>Würth Argentina</t>
        </is>
      </c>
      <c r="M58" s="17" t="inlineStr">
        <is>
          <t>-</t>
        </is>
      </c>
      <c r="N58" s="17" t="inlineStr">
        <is>
          <t>23 Embalaje</t>
        </is>
      </c>
      <c r="O58" s="17" t="n"/>
      <c r="P58" s="32" t="inlineStr">
        <is>
          <t>P</t>
        </is>
      </c>
      <c r="Q58" s="32" t="inlineStr">
        <is>
          <t>FL_ACC_01</t>
        </is>
      </c>
      <c r="R58" s="17" t="n"/>
    </row>
    <row r="59" outlineLevel="1">
      <c r="A59" s="32" t="n">
        <v>2</v>
      </c>
      <c r="B59" s="32" t="inlineStr">
        <is>
          <t>ABC5-I8</t>
        </is>
      </c>
      <c r="C59" s="17" t="inlineStr">
        <is>
          <t xml:space="preserve">        Soporte opcional (pared o vehicular, según pedido)</t>
        </is>
      </c>
      <c r="D59" s="32" t="n">
        <v>0</v>
      </c>
      <c r="E59" s="32" t="inlineStr">
        <is>
          <t>u</t>
        </is>
      </c>
      <c r="F59" s="33" t="n"/>
      <c r="G59" s="33" t="n"/>
      <c r="H59" s="32" t="inlineStr">
        <is>
          <t>-</t>
        </is>
      </c>
      <c r="I59" s="17" t="inlineStr">
        <is>
          <t>-</t>
        </is>
      </c>
      <c r="J59" s="32" t="inlineStr">
        <is>
          <t>Compra</t>
        </is>
      </c>
      <c r="K59" s="32" t="inlineStr">
        <is>
          <t>Sí</t>
        </is>
      </c>
      <c r="L59" s="17" t="inlineStr">
        <is>
          <t>Maxiseguridad</t>
        </is>
      </c>
      <c r="M59" s="17" t="inlineStr">
        <is>
          <t>CM Representaciones</t>
        </is>
      </c>
      <c r="N59" s="17" t="n"/>
      <c r="O59" s="17" t="inlineStr">
        <is>
          <t>IRAM 3517-2 7.4</t>
        </is>
      </c>
      <c r="P59" s="32" t="inlineStr">
        <is>
          <t>N</t>
        </is>
      </c>
      <c r="Q59" s="32" t="n"/>
      <c r="R59" s="17" t="inlineStr">
        <is>
          <t>Sólo si el pedido lo incluye</t>
        </is>
      </c>
    </row>
    <row r="60">
      <c r="A60" s="29" t="n">
        <v>1</v>
      </c>
      <c r="B60" s="29" t="inlineStr">
        <is>
          <t>ABC5-S7</t>
        </is>
      </c>
      <c r="C60" s="30" t="inlineStr">
        <is>
          <t xml:space="preserve">    Embalaje</t>
        </is>
      </c>
      <c r="D60" s="29" t="n">
        <v>1</v>
      </c>
      <c r="E60" s="29" t="inlineStr">
        <is>
          <t>u</t>
        </is>
      </c>
      <c r="F60" s="31" t="n"/>
      <c r="G60" s="31">
        <f>G64</f>
        <v/>
      </c>
      <c r="H60" s="29" t="n"/>
      <c r="I60" s="30" t="n"/>
      <c r="J60" s="29" t="inlineStr">
        <is>
          <t>Compra</t>
        </is>
      </c>
      <c r="K60" s="29" t="n"/>
      <c r="L60" s="30" t="n"/>
      <c r="M60" s="30" t="n"/>
      <c r="N60" s="30" t="inlineStr">
        <is>
          <t>23 Embalaje -&gt; 24 envolvedora (T11)</t>
        </is>
      </c>
      <c r="O60" s="30" t="n"/>
      <c r="P60" s="29" t="n"/>
      <c r="Q60" s="29" t="n"/>
      <c r="R60" s="30" t="n"/>
    </row>
    <row r="61" outlineLevel="1">
      <c r="A61" s="32" t="n">
        <v>2</v>
      </c>
      <c r="B61" s="32" t="inlineStr">
        <is>
          <t>ABC5-E1</t>
        </is>
      </c>
      <c r="C61" s="17" t="inlineStr">
        <is>
          <t xml:space="preserve">        Caja de cartón corrugado simple</t>
        </is>
      </c>
      <c r="D61" s="32" t="n">
        <v>1</v>
      </c>
      <c r="E61" s="32" t="inlineStr">
        <is>
          <t>u</t>
        </is>
      </c>
      <c r="F61" s="33" t="n"/>
      <c r="G61" s="33" t="n"/>
      <c r="H61" s="32" t="inlineStr">
        <is>
          <t>Cartón corrugado</t>
        </is>
      </c>
      <c r="I61" s="17" t="inlineStr">
        <is>
          <t>244 × 187 × 455 interior (envolvente del plano + 15 por lado)</t>
        </is>
      </c>
      <c r="J61" s="32" t="inlineStr">
        <is>
          <t>Compra</t>
        </is>
      </c>
      <c r="K61" s="32" t="inlineStr">
        <is>
          <t>Sí</t>
        </is>
      </c>
      <c r="L61" s="17" t="inlineStr">
        <is>
          <t>Maxipack</t>
        </is>
      </c>
      <c r="M61" s="17" t="inlineStr">
        <is>
          <t>Cartocan</t>
        </is>
      </c>
      <c r="N61" s="17" t="inlineStr">
        <is>
          <t>23 Embalaje</t>
        </is>
      </c>
      <c r="O61" s="17" t="n"/>
      <c r="P61" s="32" t="inlineStr">
        <is>
          <t>P</t>
        </is>
      </c>
      <c r="Q61" s="32" t="n"/>
      <c r="R61" s="17" t="inlineStr">
        <is>
          <t>Medida del plano</t>
        </is>
      </c>
    </row>
    <row r="62" outlineLevel="1">
      <c r="A62" s="32" t="n">
        <v>2</v>
      </c>
      <c r="B62" s="32" t="inlineStr">
        <is>
          <t>ABC5-E2</t>
        </is>
      </c>
      <c r="C62" s="17" t="inlineStr">
        <is>
          <t xml:space="preserve">        Instructivo de uso y mantenimiento</t>
        </is>
      </c>
      <c r="D62" s="32" t="n">
        <v>1</v>
      </c>
      <c r="E62" s="32" t="inlineStr">
        <is>
          <t>u</t>
        </is>
      </c>
      <c r="F62" s="33" t="n"/>
      <c r="G62" s="33" t="n"/>
      <c r="H62" s="32" t="inlineStr">
        <is>
          <t>Papel</t>
        </is>
      </c>
      <c r="I62" s="17" t="inlineStr">
        <is>
          <t>A5</t>
        </is>
      </c>
      <c r="J62" s="32" t="inlineStr">
        <is>
          <t>Compra</t>
        </is>
      </c>
      <c r="K62" s="32" t="inlineStr">
        <is>
          <t>Sí</t>
        </is>
      </c>
      <c r="L62" s="17" t="inlineStr">
        <is>
          <t>Astuprint</t>
        </is>
      </c>
      <c r="M62" s="17" t="inlineStr">
        <is>
          <t>-</t>
        </is>
      </c>
      <c r="N62" s="17" t="inlineStr">
        <is>
          <t>23 Embalaje</t>
        </is>
      </c>
      <c r="O62" s="17" t="n"/>
      <c r="P62" s="32" t="inlineStr">
        <is>
          <t>I</t>
        </is>
      </c>
      <c r="Q62" s="32" t="n"/>
      <c r="R62" s="17" t="inlineStr">
        <is>
          <t>Decisión comercial de FLAMA (las instrucciones de uso obligatorias van en la etiqueta, IRAM 3534)</t>
        </is>
      </c>
    </row>
    <row r="63" outlineLevel="1">
      <c r="A63" s="32" t="n">
        <v>2</v>
      </c>
      <c r="B63" s="32" t="inlineStr">
        <is>
          <t>ABC5-E3</t>
        </is>
      </c>
      <c r="C63" s="17" t="inlineStr">
        <is>
          <t xml:space="preserve">        Pallet 1200 × 1000 (fracción)</t>
        </is>
      </c>
      <c r="D63" s="32" t="n">
        <v>0.0139</v>
      </c>
      <c r="E63" s="32" t="inlineStr">
        <is>
          <t>u</t>
        </is>
      </c>
      <c r="F63" s="33" t="n"/>
      <c r="G63" s="33" t="n"/>
      <c r="H63" s="32" t="inlineStr">
        <is>
          <t>Madera</t>
        </is>
      </c>
      <c r="I63" s="17" t="inlineStr">
        <is>
          <t>72 u por pallet</t>
        </is>
      </c>
      <c r="J63" s="32" t="inlineStr">
        <is>
          <t>Compra</t>
        </is>
      </c>
      <c r="K63" s="32" t="inlineStr">
        <is>
          <t>Sí</t>
        </is>
      </c>
      <c r="L63" s="17" t="inlineStr">
        <is>
          <t>IndusPallets</t>
        </is>
      </c>
      <c r="M63" s="17" t="inlineStr">
        <is>
          <t>-</t>
        </is>
      </c>
      <c r="N63" s="17" t="inlineStr">
        <is>
          <t>23 Embalaje</t>
        </is>
      </c>
      <c r="O63" s="17" t="n"/>
      <c r="P63" s="32" t="inlineStr">
        <is>
          <t>C</t>
        </is>
      </c>
      <c r="Q63" s="32" t="n"/>
      <c r="R63" s="17" t="inlineStr">
        <is>
          <t>u por pallet = acomodo de la caja (plano) en 1200 × 1000 × 1450 de alto</t>
        </is>
      </c>
    </row>
    <row r="64" outlineLevel="1">
      <c r="A64" s="37" t="n">
        <v>2</v>
      </c>
      <c r="B64" s="37" t="inlineStr">
        <is>
          <t>ABC5-E4</t>
        </is>
      </c>
      <c r="C64" s="18" t="inlineStr">
        <is>
          <t xml:space="preserve">        Film stretch (fracción del pallet)</t>
        </is>
      </c>
      <c r="D64" s="37" t="n">
        <v>0.0017</v>
      </c>
      <c r="E64" s="37" t="inlineStr">
        <is>
          <t>kg</t>
        </is>
      </c>
      <c r="F64" s="38" t="n">
        <v>1</v>
      </c>
      <c r="G64" s="38">
        <f>D64*F64</f>
        <v/>
      </c>
      <c r="H64" s="37" t="inlineStr">
        <is>
          <t>PE lineal 23 µm</t>
        </is>
      </c>
      <c r="I64" s="18" t="inlineStr">
        <is>
          <t>0,12 kg por pallet / 72 u</t>
        </is>
      </c>
      <c r="J64" s="37" t="inlineStr">
        <is>
          <t>Compra</t>
        </is>
      </c>
      <c r="K64" s="37" t="inlineStr">
        <is>
          <t>Sí</t>
        </is>
      </c>
      <c r="L64" s="18" t="inlineStr">
        <is>
          <t>MV Embalajes</t>
        </is>
      </c>
      <c r="M64" s="18" t="inlineStr">
        <is>
          <t>Embalpack</t>
        </is>
      </c>
      <c r="N64" s="18" t="inlineStr">
        <is>
          <t>24 Envolvedora (T11)</t>
        </is>
      </c>
      <c r="O64" s="18" t="n"/>
      <c r="P64" s="37" t="inlineStr">
        <is>
          <t>C</t>
        </is>
      </c>
      <c r="Q64" s="37" t="n"/>
      <c r="R64"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5" outlineLevel="1">
      <c r="A65" s="32" t="n">
        <v>2</v>
      </c>
      <c r="B65" s="32" t="inlineStr">
        <is>
          <t>ABC5-E5</t>
        </is>
      </c>
      <c r="C65" s="17" t="inlineStr">
        <is>
          <t xml:space="preserve">        Etiqueta de pallet (lote y destino, fracción)</t>
        </is>
      </c>
      <c r="D65" s="32" t="n">
        <v>0.0139</v>
      </c>
      <c r="E65" s="32" t="inlineStr">
        <is>
          <t>u</t>
        </is>
      </c>
      <c r="F65" s="33" t="n"/>
      <c r="G65" s="33" t="n"/>
      <c r="H65" s="32" t="inlineStr">
        <is>
          <t>Papel térmico</t>
        </is>
      </c>
      <c r="I65" s="17" t="inlineStr">
        <is>
          <t>100 × 150</t>
        </is>
      </c>
      <c r="J65" s="32" t="inlineStr">
        <is>
          <t>Compra</t>
        </is>
      </c>
      <c r="K65" s="32" t="inlineStr">
        <is>
          <t>Sí</t>
        </is>
      </c>
      <c r="L65" s="17" t="inlineStr">
        <is>
          <t>Astuprint</t>
        </is>
      </c>
      <c r="M65" s="17" t="inlineStr">
        <is>
          <t>Multilabel Argentina S.A.</t>
        </is>
      </c>
      <c r="N65" s="17" t="inlineStr">
        <is>
          <t>24 Envolvedora</t>
        </is>
      </c>
      <c r="O65" s="17" t="n"/>
      <c r="P65" s="32" t="inlineStr">
        <is>
          <t>C</t>
        </is>
      </c>
      <c r="Q65" s="32" t="n"/>
      <c r="R65" s="17" t="n"/>
    </row>
    <row r="66" outlineLevel="1">
      <c r="A66" s="37" t="n">
        <v>2</v>
      </c>
      <c r="B66" s="37" t="inlineStr">
        <is>
          <t>ABC5-E6</t>
        </is>
      </c>
      <c r="C66" s="18" t="inlineStr">
        <is>
          <t xml:space="preserve">        Cinta de embalaje PP 48 mm (cierre de la caja)</t>
        </is>
      </c>
      <c r="D66" s="37" t="n">
        <v>0.767</v>
      </c>
      <c r="E66" s="37" t="inlineStr">
        <is>
          <t>m</t>
        </is>
      </c>
      <c r="F66" s="38" t="n"/>
      <c r="G66" s="38" t="n"/>
      <c r="H66" s="37" t="inlineStr">
        <is>
          <t>Polipropileno con adhesivo acrílico</t>
        </is>
      </c>
      <c r="I66" s="18" t="inlineStr">
        <is>
          <t>cierre en I arriba y abajo: 2 × (244 + 2 × 70 de solapa)</t>
        </is>
      </c>
      <c r="J66" s="37" t="inlineStr">
        <is>
          <t>Compra</t>
        </is>
      </c>
      <c r="K66" s="37" t="inlineStr">
        <is>
          <t>Sí</t>
        </is>
      </c>
      <c r="L66" s="18" t="inlineStr">
        <is>
          <t>MV Embalajes</t>
        </is>
      </c>
      <c r="M66" s="18" t="inlineStr">
        <is>
          <t>Embalpack</t>
        </is>
      </c>
      <c r="N66" s="18" t="inlineStr">
        <is>
          <t>23 Embalaje</t>
        </is>
      </c>
      <c r="O66" s="18" t="n"/>
      <c r="P66" s="37" t="inlineStr">
        <is>
          <t>C</t>
        </is>
      </c>
      <c r="Q66" s="37" t="n"/>
      <c r="R66" s="18" t="inlineStr">
        <is>
          <t>Solapa de 70 mm por lado: práctica de cierre de cajas (medir en la línea)</t>
        </is>
      </c>
    </row>
    <row r="67" outlineLevel="1">
      <c r="A67" s="32" t="n">
        <v>2</v>
      </c>
      <c r="B67" s="32" t="inlineStr">
        <is>
          <t>ABC5-E7</t>
        </is>
      </c>
      <c r="C67" s="17" t="inlineStr">
        <is>
          <t xml:space="preserve">        Esquineros de cartón 50 × 50 × 1200 (fracción del pallet)</t>
        </is>
      </c>
      <c r="D67" s="32" t="n">
        <v>0.0556</v>
      </c>
      <c r="E67" s="32" t="inlineStr">
        <is>
          <t>u</t>
        </is>
      </c>
      <c r="F67" s="33" t="n"/>
      <c r="G67" s="33" t="n"/>
      <c r="H67" s="32" t="inlineStr">
        <is>
          <t>Cartón</t>
        </is>
      </c>
      <c r="I67" s="17" t="inlineStr">
        <is>
          <t>4 por pallet / 72 u</t>
        </is>
      </c>
      <c r="J67" s="32" t="inlineStr">
        <is>
          <t>Compra</t>
        </is>
      </c>
      <c r="K67" s="32" t="inlineStr">
        <is>
          <t>Sí</t>
        </is>
      </c>
      <c r="L67" s="17" t="inlineStr">
        <is>
          <t>Maxipack</t>
        </is>
      </c>
      <c r="M67" s="17" t="inlineStr">
        <is>
          <t>Cartocan</t>
        </is>
      </c>
      <c r="N67" s="17" t="inlineStr">
        <is>
          <t>24 Envolvedora (T11)</t>
        </is>
      </c>
      <c r="O67" s="17" t="n"/>
      <c r="P67" s="32" t="inlineStr">
        <is>
          <t>C</t>
        </is>
      </c>
      <c r="Q67" s="32" t="n"/>
      <c r="R67" s="17" t="inlineStr">
        <is>
          <t>Planilla MP-64</t>
        </is>
      </c>
    </row>
  </sheetData>
  <autoFilter ref="A10:R67"/>
  <pageMargins left="0.75" right="0.75" top="1" bottom="1" header="0.5" footer="0.5"/>
  <pageSetup orientation="landscape" fitToHeight="0" fitToWidth="1"/>
</worksheet>
</file>

<file path=xl/worksheets/sheet19.xml><?xml version="1.0" encoding="utf-8"?>
<worksheet xmlns="http://schemas.openxmlformats.org/spreadsheetml/2006/main">
  <sheetPr>
    <tabColor rgb="007F1D1D"/>
    <outlinePr summaryBelow="0" summaryRight="1"/>
    <pageSetUpPr fitToPage="1"/>
  </sheetPr>
  <dimension ref="A1:R67"/>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FL_MAT_ABC_10kg</t>
        </is>
      </c>
    </row>
    <row r="2">
      <c r="A2" s="58" t="inlineStr">
        <is>
          <t>Extintor ABC 10 kg</t>
        </is>
      </c>
    </row>
    <row r="3">
      <c r="A3" s="2" t="inlineStr">
        <is>
          <t>Plano de origen</t>
        </is>
      </c>
      <c r="C3" t="inlineStr">
        <is>
          <t>FL_MAT_ABC_10kg  (4 láminas)</t>
        </is>
      </c>
      <c r="E3" s="2" t="inlineStr">
        <is>
          <t>Peso vacío S1-S4 (kg)</t>
        </is>
      </c>
      <c r="G3" s="59">
        <f>G12+G24+G40</f>
        <v/>
      </c>
    </row>
    <row r="4">
      <c r="A4" s="2" t="inlineStr">
        <is>
          <t>Plano de despiece</t>
        </is>
      </c>
      <c r="C4" t="inlineStr">
        <is>
          <t>FL_DES_ABC_10kg (salida/despiece/)</t>
        </is>
      </c>
      <c r="E4" s="2" t="inlineStr">
        <is>
          <t>Peso cargado S1-S6 (kg)</t>
        </is>
      </c>
      <c r="G4" s="59">
        <f>G12+G24+G40+G45+G48</f>
        <v/>
      </c>
    </row>
    <row r="5">
      <c r="A5" s="2" t="inlineStr">
        <is>
          <t>Norma del producto</t>
        </is>
      </c>
      <c r="C5" t="inlineStr">
        <is>
          <t>IRAM 3523</t>
        </is>
      </c>
      <c r="E5" s="2" t="inlineStr">
        <is>
          <t>Peso con soporte y embalaje (kg)</t>
        </is>
      </c>
      <c r="G5" s="59">
        <f>G12+G24+G40+G45+G48+G60+G56</f>
        <v/>
      </c>
    </row>
    <row r="6">
      <c r="A6" s="2" t="inlineStr">
        <is>
          <t>Fabricación</t>
        </is>
      </c>
      <c r="C6" t="inlineStr">
        <is>
          <t>Fabricación propia</t>
        </is>
      </c>
      <c r="E6" s="2" t="inlineStr">
        <is>
          <t>Desvío cargado vs referencia</t>
        </is>
      </c>
      <c r="G6" s="24">
        <f>G4/C7-1</f>
        <v/>
      </c>
    </row>
    <row r="7">
      <c r="A7" s="2" t="inlineStr">
        <is>
          <t>Peso cargado de referencia (kg)</t>
        </is>
      </c>
      <c r="C7" t="n">
        <v>16.4</v>
      </c>
      <c r="E7" s="60" t="inlineStr">
        <is>
          <t>Referencia: Plano Fadesa «Extintor 10 kg HZ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FL_MAT_ABC_10kg</t>
        </is>
      </c>
      <c r="C11" s="27" t="inlineStr">
        <is>
          <t>Extintor ABC 10 kg</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FL_MAT_ABC_10kg</t>
        </is>
      </c>
      <c r="R11" s="27" t="inlineStr">
        <is>
          <t>Fabricación propia</t>
        </is>
      </c>
    </row>
    <row r="12">
      <c r="A12" s="29" t="n">
        <v>1</v>
      </c>
      <c r="B12" s="29" t="inlineStr">
        <is>
          <t>FL_REC_ABC_10kg</t>
        </is>
      </c>
      <c r="C12" s="30" t="inlineStr">
        <is>
          <t xml:space="preserve">    Recipiente (cilindro)</t>
        </is>
      </c>
      <c r="D12" s="29" t="n">
        <v>1</v>
      </c>
      <c r="E12" s="29" t="inlineStr">
        <is>
          <t>u</t>
        </is>
      </c>
      <c r="F12" s="31" t="n"/>
      <c r="G12" s="31">
        <f>G13+G15+G17+G19+G20</f>
        <v/>
      </c>
      <c r="H12" s="29" t="n"/>
      <c r="I12" s="30" t="n"/>
      <c r="J12" s="29" t="inlineStr">
        <is>
          <t>Fabricación</t>
        </is>
      </c>
      <c r="K12" s="29" t="n"/>
      <c r="L12" s="30" t="n"/>
      <c r="M12" s="30" t="n"/>
      <c r="N12" s="30" t="n"/>
      <c r="O12" s="30" t="inlineStr">
        <is>
          <t>IRAM 3523 / 3550 (recipiente)</t>
        </is>
      </c>
      <c r="P12" s="29" t="inlineStr">
        <is>
          <t>P</t>
        </is>
      </c>
      <c r="Q12" s="29" t="inlineStr">
        <is>
          <t>FL_REC_ABC_10kg</t>
        </is>
      </c>
      <c r="R12" s="30" t="n"/>
    </row>
    <row r="13" outlineLevel="1">
      <c r="A13" s="32" t="n">
        <v>2</v>
      </c>
      <c r="B13" s="32" t="inlineStr">
        <is>
          <t>ABC10-01</t>
        </is>
      </c>
      <c r="C13" s="17" t="inlineStr">
        <is>
          <t xml:space="preserve">        Cuerpo (virola)</t>
        </is>
      </c>
      <c r="D13" s="32" t="n">
        <v>1</v>
      </c>
      <c r="E13" s="32" t="inlineStr">
        <is>
          <t>u</t>
        </is>
      </c>
      <c r="F13" s="33" t="n">
        <v>4.3636</v>
      </c>
      <c r="G13" s="33">
        <f>D13*F13</f>
        <v/>
      </c>
      <c r="H13" s="32" t="inlineStr">
        <is>
          <t>Chapa LAF IRAM-IAS U 500-05 e=2</t>
        </is>
      </c>
      <c r="I13" s="17" t="inlineStr">
        <is>
          <t>Ø181,5 × e2 × 493,1 de alto; desarrollo 563,9 × 493,1</t>
        </is>
      </c>
      <c r="J13" s="32" t="inlineStr">
        <is>
          <t>Fabricación</t>
        </is>
      </c>
      <c r="K13" s="32" t="inlineStr">
        <is>
          <t>No</t>
        </is>
      </c>
      <c r="L13" s="17" t="n"/>
      <c r="M13" s="17" t="n"/>
      <c r="N13" s="17" t="inlineStr">
        <is>
          <t>1 Guillotina -&gt; 3 cilindrado -&gt; 4 soldadura longitudinal -&gt; 9 encastre del fondo -&gt; 10 bordoneado</t>
        </is>
      </c>
      <c r="O13" s="17" t="n"/>
      <c r="P13" s="32" t="inlineStr">
        <is>
          <t>P</t>
        </is>
      </c>
      <c r="Q13" s="32" t="inlineStr">
        <is>
          <t>FL_DES_ABC_10kg</t>
        </is>
      </c>
      <c r="R13" s="17" t="inlineStr">
        <is>
          <t>costura long. MAG</t>
        </is>
      </c>
    </row>
    <row r="14" outlineLevel="2">
      <c r="A14" s="34" t="n">
        <v>3</v>
      </c>
      <c r="B14" s="34" t="inlineStr">
        <is>
          <t>MP-HOJA</t>
        </is>
      </c>
      <c r="C14" s="35" t="inlineStr">
        <is>
          <t xml:space="preserve">            Recorte de hoja LAF 1500 × 3000 e=2</t>
        </is>
      </c>
      <c r="D14" s="34" t="n">
        <v>1</v>
      </c>
      <c r="E14" s="34" t="inlineStr">
        <is>
          <t>u</t>
        </is>
      </c>
      <c r="F14" s="36" t="n">
        <v>4.71</v>
      </c>
      <c r="G14" s="36">
        <f>D14*F14</f>
        <v/>
      </c>
      <c r="H14" s="34" t="inlineStr">
        <is>
          <t>Chapa LAF IRAM-IAS U 500-05 LAF</t>
        </is>
      </c>
      <c r="I14" s="35" t="inlineStr">
        <is>
          <t>495 × 563 (aprovech. 92,9 %)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ABC10-02</t>
        </is>
      </c>
      <c r="C15" s="17" t="inlineStr">
        <is>
          <t xml:space="preserve">        Cúpula</t>
        </is>
      </c>
      <c r="D15" s="32" t="n">
        <v>1</v>
      </c>
      <c r="E15" s="32" t="inlineStr">
        <is>
          <t>u</t>
        </is>
      </c>
      <c r="F15" s="33" t="n">
        <v>0.501</v>
      </c>
      <c r="G15" s="33">
        <f>D15*F15</f>
        <v/>
      </c>
      <c r="H15" s="32" t="inlineStr">
        <is>
          <t>Chapa LAF IRAM-IAS U 500-05 e=1,6</t>
        </is>
      </c>
      <c r="I15" s="17" t="inlineStr">
        <is>
          <t>Ø181,5 × e1,6 × 61,4 de alto; disco Ø258</t>
        </is>
      </c>
      <c r="J15" s="32" t="inlineStr">
        <is>
          <t>Fabricación</t>
        </is>
      </c>
      <c r="K15" s="32" t="inlineStr">
        <is>
          <t>No</t>
        </is>
      </c>
      <c r="L15" s="17" t="n"/>
      <c r="M15" s="17" t="n"/>
      <c r="N15" s="17" t="inlineStr">
        <is>
          <t>6 Desbobinado + embutido (M06-M08) -&gt; numerado de cúpula (micropercusión, en arco junto al cuello) -&gt; 8 soldadura de cuello</t>
        </is>
      </c>
      <c r="O15" s="17" t="n"/>
      <c r="P15" s="32" t="inlineStr">
        <is>
          <t>P</t>
        </is>
      </c>
      <c r="Q15" s="32" t="inlineStr">
        <is>
          <t>FL_DES_ABC_10kg</t>
        </is>
      </c>
      <c r="R15" s="17" t="inlineStr">
        <is>
          <t>embutida</t>
        </is>
      </c>
    </row>
    <row r="16" outlineLevel="2">
      <c r="A16" s="34" t="n">
        <v>3</v>
      </c>
      <c r="B16" s="34" t="inlineStr">
        <is>
          <t>MP-FLEJE</t>
        </is>
      </c>
      <c r="C16" s="35" t="inlineStr">
        <is>
          <t xml:space="preserve">            Fleje e=1,6 × 300 (paso 261)</t>
        </is>
      </c>
      <c r="D16" s="34" t="n">
        <v>0.261</v>
      </c>
      <c r="E16" s="34" t="inlineStr">
        <is>
          <t>m</t>
        </is>
      </c>
      <c r="F16" s="36" t="n">
        <v>3.768</v>
      </c>
      <c r="G16" s="36">
        <f>D16*F16</f>
        <v/>
      </c>
      <c r="H16" s="34" t="inlineStr">
        <is>
          <t>Fleje SAE 1010</t>
        </is>
      </c>
      <c r="I16" s="35" t="inlineStr">
        <is>
          <t>disco Ø258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ABC10-03</t>
        </is>
      </c>
      <c r="C17" s="17" t="inlineStr">
        <is>
          <t xml:space="preserve">        Fondo</t>
        </is>
      </c>
      <c r="D17" s="32" t="n">
        <v>1</v>
      </c>
      <c r="E17" s="32" t="inlineStr">
        <is>
          <t>u</t>
        </is>
      </c>
      <c r="F17" s="33" t="n">
        <v>0.5084</v>
      </c>
      <c r="G17" s="33">
        <f>D17*F17</f>
        <v/>
      </c>
      <c r="H17" s="32" t="inlineStr">
        <is>
          <t>Chapa LAF IRAM-IAS U 500-05 e=2</t>
        </is>
      </c>
      <c r="I17" s="17" t="inlineStr">
        <is>
          <t>Ø181,5 × e2 × 21,7 de alto; disco Ø205</t>
        </is>
      </c>
      <c r="J17" s="32" t="inlineStr">
        <is>
          <t>Fabricación</t>
        </is>
      </c>
      <c r="K17" s="32" t="inlineStr">
        <is>
          <t>No</t>
        </is>
      </c>
      <c r="L17" s="17" t="n"/>
      <c r="M17" s="17" t="n"/>
      <c r="N17" s="17" t="inlineStr">
        <is>
          <t>6 Desbobinado + embutido (M06-M08)</t>
        </is>
      </c>
      <c r="O17" s="17" t="n"/>
      <c r="P17" s="32" t="inlineStr">
        <is>
          <t>P</t>
        </is>
      </c>
      <c r="Q17" s="32" t="inlineStr">
        <is>
          <t>FL_DES_ABC_10kg</t>
        </is>
      </c>
      <c r="R17" s="17" t="inlineStr">
        <is>
          <t>embutido</t>
        </is>
      </c>
    </row>
    <row r="18" outlineLevel="2">
      <c r="A18" s="34" t="n">
        <v>3</v>
      </c>
      <c r="B18" s="34" t="inlineStr">
        <is>
          <t>MP-FLEJE</t>
        </is>
      </c>
      <c r="C18" s="35" t="inlineStr">
        <is>
          <t xml:space="preserve">            Fleje e=2 × 249 (paso 208)</t>
        </is>
      </c>
      <c r="D18" s="34" t="n">
        <v>0.208</v>
      </c>
      <c r="E18" s="34" t="inlineStr">
        <is>
          <t>m</t>
        </is>
      </c>
      <c r="F18" s="36" t="n">
        <v>3.909</v>
      </c>
      <c r="G18" s="36">
        <f>D18*F18</f>
        <v/>
      </c>
      <c r="H18" s="34" t="inlineStr">
        <is>
          <t>Fleje SAE 1010</t>
        </is>
      </c>
      <c r="I18" s="35" t="inlineStr">
        <is>
          <t>disco Ø205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ABC10-04</t>
        </is>
      </c>
      <c r="C19" s="17" t="inlineStr">
        <is>
          <t xml:space="preserve">        Cuello roscado</t>
        </is>
      </c>
      <c r="D19" s="32" t="n">
        <v>1</v>
      </c>
      <c r="E19" s="32" t="inlineStr">
        <is>
          <t>u</t>
        </is>
      </c>
      <c r="F19" s="33" t="n">
        <v>0.0541</v>
      </c>
      <c r="G19" s="33">
        <f>D19*F19</f>
        <v/>
      </c>
      <c r="H19" s="32" t="inlineStr">
        <is>
          <t>Acero SAE 1010</t>
        </is>
      </c>
      <c r="I19" s="17" t="inlineStr">
        <is>
          <t>Ø36,8 × 14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FL_DES_ABC_10kg</t>
        </is>
      </c>
      <c r="R19" s="17" t="inlineStr">
        <is>
          <t>M30x1,5</t>
        </is>
      </c>
    </row>
    <row r="20" outlineLevel="1">
      <c r="A20" s="37" t="n">
        <v>2</v>
      </c>
      <c r="B20" s="37" t="inlineStr">
        <is>
          <t>ABC10-C1</t>
        </is>
      </c>
      <c r="C20" s="18" t="inlineStr">
        <is>
          <t xml:space="preserve">        Alambre MAG ER70S-6 Ø0,9 (AWS A5.18)</t>
        </is>
      </c>
      <c r="D20" s="37" t="n">
        <v>0.0985</v>
      </c>
      <c r="E20" s="37" t="inlineStr">
        <is>
          <t>kg</t>
        </is>
      </c>
      <c r="F20" s="38" t="n">
        <v>0.95</v>
      </c>
      <c r="G20" s="38">
        <f>D20*F20</f>
        <v/>
      </c>
      <c r="H20" s="37" t="inlineStr">
        <is>
          <t>ER70S-6</t>
        </is>
      </c>
      <c r="I20" s="18" t="inlineStr">
        <is>
          <t>metal depositado de los cordones del plano 94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ABC10-C2</t>
        </is>
      </c>
      <c r="C21" s="18" t="inlineStr">
        <is>
          <t xml:space="preserve">        Gas de protección MAG Arcal 21 / ARCAL Speed (Ar + 8 % CO₂, M20)</t>
        </is>
      </c>
      <c r="D21" s="37" t="n">
        <v>40.8</v>
      </c>
      <c r="E21" s="37" t="inlineStr">
        <is>
          <t>L</t>
        </is>
      </c>
      <c r="F21" s="38" t="n"/>
      <c r="G21" s="38" t="n"/>
      <c r="H21" s="37" t="inlineStr">
        <is>
          <t>EN ISO 14175 M20-ArC-8</t>
        </is>
      </c>
      <c r="I21" s="18" t="inlineStr">
        <is>
          <t>14 L/min × 2,92 min de arco (cordones 1.749 mm: long. 493 + circ. 1.140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ABC10-C3</t>
        </is>
      </c>
      <c r="C22" s="18" t="inlineStr">
        <is>
          <t xml:space="preserve">        Granalla de acero S330 / S390 (ISO 11124-3, SAE J444)</t>
        </is>
      </c>
      <c r="D22" s="37" t="n">
        <v>0.08</v>
      </c>
      <c r="E22" s="37" t="inlineStr">
        <is>
          <t>kg</t>
        </is>
      </c>
      <c r="F22" s="38" t="n"/>
      <c r="G22" s="38" t="n"/>
      <c r="H22" s="37" t="inlineStr">
        <is>
          <t>Granalla esférica alto C</t>
        </is>
      </c>
      <c r="I22" s="18" t="inlineStr">
        <is>
          <t>0,35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ABC10-C4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0,35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c r="A24" s="29" t="n">
        <v>1</v>
      </c>
      <c r="B24" s="29" t="inlineStr">
        <is>
          <t>ABC10-S2</t>
        </is>
      </c>
      <c r="C24" s="30" t="inlineStr">
        <is>
          <t xml:space="preserve">    Conjunto de válvula</t>
        </is>
      </c>
      <c r="D24" s="29" t="n">
        <v>1</v>
      </c>
      <c r="E24" s="29" t="inlineStr">
        <is>
          <t>u</t>
        </is>
      </c>
      <c r="F24" s="31" t="n"/>
      <c r="G24" s="31">
        <f>G25+G26+G27+G29+G30+G31+G32+G33+G34+G35+G36</f>
        <v/>
      </c>
      <c r="H24" s="29" t="n"/>
      <c r="I24" s="30" t="n"/>
      <c r="J24" s="29" t="inlineStr">
        <is>
          <t>Compra / armado</t>
        </is>
      </c>
      <c r="K24" s="29" t="n"/>
      <c r="L24" s="30" t="n"/>
      <c r="M24" s="30" t="n"/>
      <c r="N24" s="30" t="n"/>
      <c r="O24" s="30" t="inlineStr">
        <is>
          <t>Manómetro IRAM 3533</t>
        </is>
      </c>
      <c r="P24" s="29" t="inlineStr">
        <is>
          <t>P</t>
        </is>
      </c>
      <c r="Q24" s="29" t="inlineStr">
        <is>
          <t>FL_DES_ABC_10kg</t>
        </is>
      </c>
      <c r="R24" s="30" t="n"/>
    </row>
    <row r="25" outlineLevel="1">
      <c r="A25" s="32" t="n">
        <v>2</v>
      </c>
      <c r="B25" s="32" t="inlineStr">
        <is>
          <t>ABC10-05</t>
        </is>
      </c>
      <c r="C25" s="17" t="inlineStr">
        <is>
          <t xml:space="preserve">        Espiga roscada</t>
        </is>
      </c>
      <c r="D25" s="32" t="n">
        <v>1</v>
      </c>
      <c r="E25" s="32" t="inlineStr">
        <is>
          <t>u</t>
        </is>
      </c>
      <c r="F25" s="33" t="n">
        <v>0.0245</v>
      </c>
      <c r="G25" s="33">
        <f>D25*F25</f>
        <v/>
      </c>
      <c r="H25" s="32" t="inlineStr">
        <is>
          <t>Latón forjado</t>
        </is>
      </c>
      <c r="I25" s="17" t="inlineStr">
        <is>
          <t>29,8 × 29,8 × 10,8</t>
        </is>
      </c>
      <c r="J25" s="32" t="inlineStr">
        <is>
          <t>Incluido en válvula HZ</t>
        </is>
      </c>
      <c r="K25" s="32" t="inlineStr">
        <is>
          <t>No</t>
        </is>
      </c>
      <c r="L25" s="17" t="n"/>
      <c r="M25" s="17" t="n"/>
      <c r="N25" s="17" t="inlineStr">
        <is>
          <t>19 Ensamblaje de válvula (T03/T04)</t>
        </is>
      </c>
      <c r="O25" s="17" t="n"/>
      <c r="P25" s="32" t="inlineStr">
        <is>
          <t>P</t>
        </is>
      </c>
      <c r="Q25" s="32" t="inlineStr">
        <is>
          <t>FL_DES_ABC_10kg</t>
        </is>
      </c>
      <c r="R25" s="17" t="n"/>
    </row>
    <row r="26" outlineLevel="1">
      <c r="A26" s="32" t="n">
        <v>2</v>
      </c>
      <c r="B26" s="32" t="inlineStr">
        <is>
          <t>ABC10-06</t>
        </is>
      </c>
      <c r="C26" s="17" t="inlineStr">
        <is>
          <t xml:space="preserve">        Collarín de válvula</t>
        </is>
      </c>
      <c r="D26" s="32" t="n">
        <v>1</v>
      </c>
      <c r="E26" s="32" t="inlineStr">
        <is>
          <t>u</t>
        </is>
      </c>
      <c r="F26" s="33" t="n">
        <v>0.0053</v>
      </c>
      <c r="G26" s="33">
        <f>D26*F26</f>
        <v/>
      </c>
      <c r="H26" s="32" t="inlineStr">
        <is>
          <t>Latón forjado</t>
        </is>
      </c>
      <c r="I26" s="17" t="inlineStr">
        <is>
          <t>27,2 × 27,2 × 4,1</t>
        </is>
      </c>
      <c r="J26" s="32" t="inlineStr">
        <is>
          <t>Incluido en válvula HZ</t>
        </is>
      </c>
      <c r="K26" s="32" t="inlineStr">
        <is>
          <t>No</t>
        </is>
      </c>
      <c r="L26" s="17" t="n"/>
      <c r="M26" s="17" t="n"/>
      <c r="N26" s="17" t="inlineStr">
        <is>
          <t>19 Ensamblaje de válvula (T03/T04)</t>
        </is>
      </c>
      <c r="O26" s="17" t="n"/>
      <c r="P26" s="32" t="inlineStr">
        <is>
          <t>P</t>
        </is>
      </c>
      <c r="Q26" s="32" t="inlineStr">
        <is>
          <t>FL_DES_ABC_10kg</t>
        </is>
      </c>
      <c r="R26" s="17" t="n"/>
    </row>
    <row r="27" outlineLevel="1">
      <c r="A27" s="32" t="n">
        <v>2</v>
      </c>
      <c r="B27" s="32" t="inlineStr">
        <is>
          <t>ABC10-07</t>
        </is>
      </c>
      <c r="C27" s="17" t="inlineStr">
        <is>
          <t xml:space="preserve">        Cuerpo de válvula</t>
        </is>
      </c>
      <c r="D27" s="32" t="n">
        <v>1</v>
      </c>
      <c r="E27" s="32" t="inlineStr">
        <is>
          <t>u</t>
        </is>
      </c>
      <c r="F27" s="33" t="n">
        <v>0.1328</v>
      </c>
      <c r="G27" s="33">
        <f>D27*F27</f>
        <v/>
      </c>
      <c r="H27" s="32" t="inlineStr">
        <is>
          <t>Latón forjado</t>
        </is>
      </c>
      <c r="I27" s="17" t="inlineStr">
        <is>
          <t>43,9 × 32 × 24,5</t>
        </is>
      </c>
      <c r="J27" s="32" t="inlineStr">
        <is>
          <t>Incluido en válvula HZ</t>
        </is>
      </c>
      <c r="K27" s="32" t="inlineStr">
        <is>
          <t>No</t>
        </is>
      </c>
      <c r="L27" s="17" t="n"/>
      <c r="M27" s="17" t="n"/>
      <c r="N27" s="17" t="inlineStr">
        <is>
          <t>19 Ensamblaje de válvula (T03/T04)</t>
        </is>
      </c>
      <c r="O27" s="17" t="n"/>
      <c r="P27" s="32" t="inlineStr">
        <is>
          <t>P</t>
        </is>
      </c>
      <c r="Q27" s="32" t="inlineStr">
        <is>
          <t>FL_DES_ABC_10kg</t>
        </is>
      </c>
      <c r="R27" s="17" t="n"/>
    </row>
    <row r="28" outlineLevel="1">
      <c r="A28" s="41" t="n">
        <v>2</v>
      </c>
      <c r="B28" s="41" t="inlineStr">
        <is>
          <t>ABC10-08</t>
        </is>
      </c>
      <c r="C28" s="42" t="inlineStr">
        <is>
          <t xml:space="preserve">        Manómetro</t>
        </is>
      </c>
      <c r="D28" s="41" t="n">
        <v>1</v>
      </c>
      <c r="E28" s="41" t="inlineStr">
        <is>
          <t>u</t>
        </is>
      </c>
      <c r="F28" s="43" t="n"/>
      <c r="G28" s="43" t="n"/>
      <c r="H28" s="41" t="inlineStr">
        <is>
          <t>Comercial</t>
        </is>
      </c>
      <c r="I28" s="42" t="inlineStr">
        <is>
          <t>Ø36 esfera, rango 0-3,5 MPa, sector verde en 1,4</t>
        </is>
      </c>
      <c r="J28" s="41" t="inlineStr">
        <is>
          <t>Compra</t>
        </is>
      </c>
      <c r="K28" s="41" t="inlineStr">
        <is>
          <t>Sí</t>
        </is>
      </c>
      <c r="L28" s="42" t="inlineStr">
        <is>
          <t>Yukon / MatafuegosYa S.R.L.</t>
        </is>
      </c>
      <c r="M28" s="42" t="inlineStr">
        <is>
          <t>Matafuegos Iglesias</t>
        </is>
      </c>
      <c r="N28" s="42" t="inlineStr">
        <is>
          <t>19 Ensamblaje de válvula (T03/T04)</t>
        </is>
      </c>
      <c r="O28" s="42" t="inlineStr">
        <is>
          <t>IRAM 3533</t>
        </is>
      </c>
      <c r="P28" s="41" t="inlineStr">
        <is>
          <t>P</t>
        </is>
      </c>
      <c r="Q28" s="41" t="inlineStr">
        <is>
          <t>FL_DES_ABC_10kg</t>
        </is>
      </c>
      <c r="R28" s="42" t="inlineStr">
        <is>
          <t>Pieza comercial; sello IRAM 3533; peso: completar con la ficha del proveedor (no afecta el MRP)</t>
        </is>
      </c>
    </row>
    <row r="29" outlineLevel="1">
      <c r="A29" s="32" t="n">
        <v>2</v>
      </c>
      <c r="B29" s="32" t="inlineStr">
        <is>
          <t>ABC10-09</t>
        </is>
      </c>
      <c r="C29" s="17" t="inlineStr">
        <is>
          <t xml:space="preserve">        Vástago</t>
        </is>
      </c>
      <c r="D29" s="32" t="n">
        <v>1</v>
      </c>
      <c r="E29" s="32" t="inlineStr">
        <is>
          <t>u</t>
        </is>
      </c>
      <c r="F29" s="33" t="n">
        <v>0.0137</v>
      </c>
      <c r="G29" s="33">
        <f>D29*F29</f>
        <v/>
      </c>
      <c r="H29" s="32" t="inlineStr">
        <is>
          <t>Latón</t>
        </is>
      </c>
      <c r="I29" s="17" t="inlineStr">
        <is>
          <t>35,6 × 14 × 14</t>
        </is>
      </c>
      <c r="J29" s="32" t="inlineStr">
        <is>
          <t>Incluido en válvula HZ</t>
        </is>
      </c>
      <c r="K29" s="32" t="inlineStr">
        <is>
          <t>No</t>
        </is>
      </c>
      <c r="L29" s="17" t="n"/>
      <c r="M29" s="17" t="n"/>
      <c r="N29" s="17" t="inlineStr">
        <is>
          <t>19 Ensamblaje de válvula (T03/T04)</t>
        </is>
      </c>
      <c r="O29" s="17" t="n"/>
      <c r="P29" s="32" t="inlineStr">
        <is>
          <t>P</t>
        </is>
      </c>
      <c r="Q29" s="32" t="inlineStr">
        <is>
          <t>FL_DES_ABC_10kg</t>
        </is>
      </c>
      <c r="R29" s="17" t="inlineStr">
        <is>
          <t>con junta tórica</t>
        </is>
      </c>
    </row>
    <row r="30" outlineLevel="1">
      <c r="A30" s="32" t="n">
        <v>2</v>
      </c>
      <c r="B30" s="32" t="inlineStr">
        <is>
          <t>ABC10-10</t>
        </is>
      </c>
      <c r="C30" s="17" t="inlineStr">
        <is>
          <t xml:space="preserve">        Resorte de válvula</t>
        </is>
      </c>
      <c r="D30" s="32" t="n">
        <v>1</v>
      </c>
      <c r="E30" s="32" t="inlineStr">
        <is>
          <t>u</t>
        </is>
      </c>
      <c r="F30" s="33" t="n">
        <v>0.0049</v>
      </c>
      <c r="G30" s="33">
        <f>D30*F30</f>
        <v/>
      </c>
      <c r="H30" s="32" t="inlineStr">
        <is>
          <t>Alambre acero inox. AISI 302</t>
        </is>
      </c>
      <c r="I30" s="17" t="inlineStr">
        <is>
          <t>28,8 × 17,3 × 17,3</t>
        </is>
      </c>
      <c r="J30" s="32" t="inlineStr">
        <is>
          <t>Incluido en válvula HZ</t>
        </is>
      </c>
      <c r="K30" s="32" t="inlineStr">
        <is>
          <t>No</t>
        </is>
      </c>
      <c r="L30" s="17" t="n"/>
      <c r="M30" s="17" t="n"/>
      <c r="N30" s="17" t="inlineStr">
        <is>
          <t>19 Ensamblaje de válvula (T03/T04)</t>
        </is>
      </c>
      <c r="O30" s="17" t="n"/>
      <c r="P30" s="32" t="inlineStr">
        <is>
          <t>P</t>
        </is>
      </c>
      <c r="Q30" s="32" t="inlineStr">
        <is>
          <t>FL_DES_ABC_10kg</t>
        </is>
      </c>
      <c r="R30" s="17" t="inlineStr">
        <is>
          <t>cierre del vástago</t>
        </is>
      </c>
    </row>
    <row r="31" outlineLevel="1">
      <c r="A31" s="32" t="n">
        <v>2</v>
      </c>
      <c r="B31" s="32" t="inlineStr">
        <is>
          <t>ABC10-11</t>
        </is>
      </c>
      <c r="C31" s="17" t="inlineStr">
        <is>
          <t xml:space="preserve">        Eje de palanca</t>
        </is>
      </c>
      <c r="D31" s="32" t="n">
        <v>1</v>
      </c>
      <c r="E31" s="32" t="inlineStr">
        <is>
          <t>u</t>
        </is>
      </c>
      <c r="F31" s="33" t="n">
        <v>0.0033</v>
      </c>
      <c r="G31" s="33">
        <f>D31*F31</f>
        <v/>
      </c>
      <c r="H31" s="32" t="inlineStr">
        <is>
          <t>Acero inox. AISI 304</t>
        </is>
      </c>
      <c r="I31" s="17" t="inlineStr">
        <is>
          <t>33 × 4 × 4</t>
        </is>
      </c>
      <c r="J31" s="32" t="inlineStr">
        <is>
          <t>Incluido en válvula HZ</t>
        </is>
      </c>
      <c r="K31" s="32" t="inlineStr">
        <is>
          <t>No</t>
        </is>
      </c>
      <c r="L31" s="17" t="n"/>
      <c r="M31" s="17" t="n"/>
      <c r="N31" s="17" t="inlineStr">
        <is>
          <t>19 Ensamblaje de válvula (T03/T04)</t>
        </is>
      </c>
      <c r="O31" s="17" t="n"/>
      <c r="P31" s="32" t="inlineStr">
        <is>
          <t>P</t>
        </is>
      </c>
      <c r="Q31" s="32" t="inlineStr">
        <is>
          <t>FL_DES_ABC_10kg</t>
        </is>
      </c>
      <c r="R31" s="17" t="n"/>
    </row>
    <row r="32" outlineLevel="1">
      <c r="A32" s="32" t="n">
        <v>2</v>
      </c>
      <c r="B32" s="32" t="inlineStr">
        <is>
          <t>ABC10-12</t>
        </is>
      </c>
      <c r="C32" s="17" t="inlineStr">
        <is>
          <t xml:space="preserve">        Pasador de seguridad</t>
        </is>
      </c>
      <c r="D32" s="32" t="n">
        <v>1</v>
      </c>
      <c r="E32" s="32" t="inlineStr">
        <is>
          <t>u</t>
        </is>
      </c>
      <c r="F32" s="33" t="n">
        <v>0.0055</v>
      </c>
      <c r="G32" s="33">
        <f>D32*F32</f>
        <v/>
      </c>
      <c r="H32" s="32" t="inlineStr">
        <is>
          <t>Alambre acero inox. AISI 304</t>
        </is>
      </c>
      <c r="I32" s="17" t="inlineStr">
        <is>
          <t>45,9 × 21 × 20,8</t>
        </is>
      </c>
      <c r="J32" s="32" t="inlineStr">
        <is>
          <t>Incluido en válvula HZ</t>
        </is>
      </c>
      <c r="K32" s="32" t="inlineStr">
        <is>
          <t>No</t>
        </is>
      </c>
      <c r="L32" s="17" t="n"/>
      <c r="M32" s="17" t="n"/>
      <c r="N32" s="17" t="inlineStr">
        <is>
          <t>19 Ensamblaje de válvula (T03/T04)</t>
        </is>
      </c>
      <c r="O32" s="17" t="n"/>
      <c r="P32" s="32" t="inlineStr">
        <is>
          <t>P</t>
        </is>
      </c>
      <c r="Q32" s="32" t="inlineStr">
        <is>
          <t>FL_DES_ABC_10kg</t>
        </is>
      </c>
      <c r="R32" s="17" t="inlineStr">
        <is>
          <t>con precinto</t>
        </is>
      </c>
    </row>
    <row r="33" outlineLevel="1">
      <c r="A33" s="32" t="n">
        <v>2</v>
      </c>
      <c r="B33" s="32" t="inlineStr">
        <is>
          <t>ABC10-13</t>
        </is>
      </c>
      <c r="C33" s="17" t="inlineStr">
        <is>
          <t xml:space="preserve">        Manija de accionamiento</t>
        </is>
      </c>
      <c r="D33" s="32" t="n">
        <v>1</v>
      </c>
      <c r="E33" s="32" t="inlineStr">
        <is>
          <t>u</t>
        </is>
      </c>
      <c r="F33" s="33" t="n">
        <v>0.0959</v>
      </c>
      <c r="G33" s="33">
        <f>D33*F33</f>
        <v/>
      </c>
      <c r="H33" s="32" t="inlineStr">
        <is>
          <t>Chapa acero SAE 1010 pintada</t>
        </is>
      </c>
      <c r="I33" s="17" t="inlineStr">
        <is>
          <t>124,6 × 31 × 29,3</t>
        </is>
      </c>
      <c r="J33" s="32" t="inlineStr">
        <is>
          <t>Incluido en válvula HZ</t>
        </is>
      </c>
      <c r="K33" s="32" t="inlineStr">
        <is>
          <t>No</t>
        </is>
      </c>
      <c r="L33" s="17" t="n"/>
      <c r="M33" s="17" t="n"/>
      <c r="N33" s="17" t="inlineStr">
        <is>
          <t>19 Ensamblaje de válvula (T03/T04)</t>
        </is>
      </c>
      <c r="O33" s="17" t="n"/>
      <c r="P33" s="32" t="inlineStr">
        <is>
          <t>P</t>
        </is>
      </c>
      <c r="Q33" s="32" t="inlineStr">
        <is>
          <t>FL_DES_ABC_10kg</t>
        </is>
      </c>
      <c r="R33" s="17" t="n"/>
    </row>
    <row r="34" outlineLevel="1">
      <c r="A34" s="32" t="n">
        <v>2</v>
      </c>
      <c r="B34" s="32" t="inlineStr">
        <is>
          <t>ABC10-14</t>
        </is>
      </c>
      <c r="C34" s="17" t="inlineStr">
        <is>
          <t xml:space="preserve">        Manija de transporte</t>
        </is>
      </c>
      <c r="D34" s="32" t="n">
        <v>1</v>
      </c>
      <c r="E34" s="32" t="inlineStr">
        <is>
          <t>u</t>
        </is>
      </c>
      <c r="F34" s="33" t="n">
        <v>0.0757</v>
      </c>
      <c r="G34" s="33">
        <f>D34*F34</f>
        <v/>
      </c>
      <c r="H34" s="32" t="inlineStr">
        <is>
          <t>Chapa acero SAE 1010 pintada</t>
        </is>
      </c>
      <c r="I34" s="17" t="inlineStr">
        <is>
          <t>102,6 × 35 × 25,4</t>
        </is>
      </c>
      <c r="J34" s="32" t="inlineStr">
        <is>
          <t>Incluido en válvula HZ</t>
        </is>
      </c>
      <c r="K34" s="32" t="inlineStr">
        <is>
          <t>No</t>
        </is>
      </c>
      <c r="L34" s="17" t="n"/>
      <c r="M34" s="17" t="n"/>
      <c r="N34" s="17" t="inlineStr">
        <is>
          <t>19 Ensamblaje de válvula (T03/T04)</t>
        </is>
      </c>
      <c r="O34" s="17" t="n"/>
      <c r="P34" s="32" t="inlineStr">
        <is>
          <t>P</t>
        </is>
      </c>
      <c r="Q34" s="32" t="inlineStr">
        <is>
          <t>FL_DES_ABC_10kg</t>
        </is>
      </c>
      <c r="R34" s="17" t="n"/>
    </row>
    <row r="35" outlineLevel="1">
      <c r="A35" s="32" t="n">
        <v>2</v>
      </c>
      <c r="B35" s="32" t="inlineStr">
        <is>
          <t>ABC10-15</t>
        </is>
      </c>
      <c r="C35" s="17" t="inlineStr">
        <is>
          <t xml:space="preserve">        Caño de pesca (sifón)</t>
        </is>
      </c>
      <c r="D35" s="32" t="n">
        <v>1</v>
      </c>
      <c r="E35" s="32" t="inlineStr">
        <is>
          <t>u</t>
        </is>
      </c>
      <c r="F35" s="33" t="n">
        <v>0.0688</v>
      </c>
      <c r="G35" s="33">
        <f>D35*F35</f>
        <v/>
      </c>
      <c r="H35" s="32" t="inlineStr">
        <is>
          <t>Tubo PVC rígido</t>
        </is>
      </c>
      <c r="I35" s="17" t="inlineStr">
        <is>
          <t>Ø21,3 × 526,9 de largo</t>
        </is>
      </c>
      <c r="J35" s="32" t="inlineStr">
        <is>
          <t>Incluido en válvula HZ</t>
        </is>
      </c>
      <c r="K35" s="32" t="inlineStr">
        <is>
          <t>No</t>
        </is>
      </c>
      <c r="L35" s="17" t="n"/>
      <c r="M35" s="17" t="n"/>
      <c r="N35" s="17" t="inlineStr">
        <is>
          <t>19 Ensamblaje de válvula (T03/T04)</t>
        </is>
      </c>
      <c r="O35" s="17" t="n"/>
      <c r="P35" s="32" t="inlineStr">
        <is>
          <t>P</t>
        </is>
      </c>
      <c r="Q35" s="32" t="inlineStr">
        <is>
          <t>FL_DES_ABC_10kg</t>
        </is>
      </c>
      <c r="R35" s="17" t="n"/>
    </row>
    <row r="36" outlineLevel="1">
      <c r="A36" s="32" t="n">
        <v>2</v>
      </c>
      <c r="B36" s="32" t="inlineStr">
        <is>
          <t>ABC10-25</t>
        </is>
      </c>
      <c r="C36" s="17" t="inlineStr">
        <is>
          <t xml:space="preserve">        Junta tórica de asiento</t>
        </is>
      </c>
      <c r="D36" s="32" t="n">
        <v>1</v>
      </c>
      <c r="E36" s="32" t="inlineStr">
        <is>
          <t>u</t>
        </is>
      </c>
      <c r="F36" s="33" t="n">
        <v>0.001</v>
      </c>
      <c r="G36" s="33">
        <f>D36*F36</f>
        <v/>
      </c>
      <c r="H36" s="32" t="inlineStr">
        <is>
          <t>NBR 70 Shore A</t>
        </is>
      </c>
      <c r="I36" s="17" t="inlineStr">
        <is>
          <t>Ø32,8 ext. × cordón 3</t>
        </is>
      </c>
      <c r="J36" s="32" t="inlineStr">
        <is>
          <t>Compra</t>
        </is>
      </c>
      <c r="K36" s="32" t="inlineStr">
        <is>
          <t>Sí</t>
        </is>
      </c>
      <c r="L36" s="17" t="inlineStr">
        <is>
          <t>Argensold</t>
        </is>
      </c>
      <c r="M36" s="17" t="inlineStr">
        <is>
          <t>Matafuegos Iglesias</t>
        </is>
      </c>
      <c r="N36" s="17" t="inlineStr">
        <is>
          <t>19 Ensamblaje de válvula (T03/T04)</t>
        </is>
      </c>
      <c r="O36" s="17" t="n"/>
      <c r="P36" s="32" t="inlineStr">
        <is>
          <t>P</t>
        </is>
      </c>
      <c r="Q36" s="32" t="inlineStr">
        <is>
          <t>FL_DES_ABC_10kg</t>
        </is>
      </c>
      <c r="R36" s="17" t="inlineStr">
        <is>
          <t>cambio c/recarga</t>
        </is>
      </c>
    </row>
    <row r="37" outlineLevel="1">
      <c r="A37" s="32" t="n">
        <v>2</v>
      </c>
      <c r="B37" s="32" t="inlineStr">
        <is>
          <t>ABC10-K2</t>
        </is>
      </c>
      <c r="C37" s="17" t="inlineStr">
        <is>
          <t xml:space="preserve">        Válvula HZ armada M-30 c/resorte y tubo 7/8</t>
        </is>
      </c>
      <c r="D37" s="32" t="n">
        <v>1</v>
      </c>
      <c r="E37" s="32" t="inlineStr">
        <is>
          <t>u</t>
        </is>
      </c>
      <c r="F37" s="33" t="n"/>
      <c r="G37" s="33" t="n"/>
      <c r="H37" s="32" t="inlineStr">
        <is>
          <t>Latón forjado (HZ)</t>
        </is>
      </c>
      <c r="I37" s="17" t="inlineStr">
        <is>
          <t>rosca M30x1,5</t>
        </is>
      </c>
      <c r="J37" s="32" t="inlineStr">
        <is>
          <t>Compra</t>
        </is>
      </c>
      <c r="K37" s="32" t="inlineStr">
        <is>
          <t>Sí</t>
        </is>
      </c>
      <c r="L37" s="17" t="inlineStr">
        <is>
          <t>Polvex S.R.L. / Sancibrao</t>
        </is>
      </c>
      <c r="M37" s="17" t="inlineStr">
        <is>
          <t>Mozart S.R.L.</t>
        </is>
      </c>
      <c r="N37" s="17" t="inlineStr">
        <is>
          <t>19 Ensamblaje de válvula</t>
        </is>
      </c>
      <c r="O37" s="17" t="inlineStr">
        <is>
          <t>IRAM 3523 3.3</t>
        </is>
      </c>
      <c r="P37" s="32" t="inlineStr">
        <is>
          <t>Q</t>
        </is>
      </c>
      <c r="Q37" s="32" t="inlineStr">
        <is>
          <t>FL_DES_ABC_10kg</t>
        </is>
      </c>
      <c r="R37" s="17" t="inlineStr">
        <is>
          <t>Lista de precios HZ (Q-AGENTES); plano Fadesa usa válvula HZ (R-FADESA). Trae las piezas marcadas «Incluido en válvula HZ»</t>
        </is>
      </c>
    </row>
    <row r="38" outlineLevel="1">
      <c r="A38" s="32" t="n">
        <v>2</v>
      </c>
      <c r="B38" s="32" t="inlineStr">
        <is>
          <t>ABC10-V2</t>
        </is>
      </c>
      <c r="C38" s="17" t="inlineStr">
        <is>
          <t xml:space="preserve">        Resorte de retorno del vástago</t>
        </is>
      </c>
      <c r="D38" s="32" t="n">
        <v>1</v>
      </c>
      <c r="E38" s="32" t="inlineStr">
        <is>
          <t>u</t>
        </is>
      </c>
      <c r="F38" s="33" t="n"/>
      <c r="G38" s="33" t="n"/>
      <c r="H38" s="32" t="inlineStr">
        <is>
          <t>Acero para resortes</t>
        </is>
      </c>
      <c r="I38" s="17" t="inlineStr">
        <is>
          <t>incluido en la válvula</t>
        </is>
      </c>
      <c r="J38" s="32" t="inlineStr">
        <is>
          <t>Incluido en válvula HZ</t>
        </is>
      </c>
      <c r="K38" s="32" t="inlineStr">
        <is>
          <t>No</t>
        </is>
      </c>
      <c r="L38" s="17" t="n"/>
      <c r="M38" s="17" t="n"/>
      <c r="N38" s="17" t="inlineStr">
        <is>
          <t>19 Ensamblaje</t>
        </is>
      </c>
      <c r="O38" s="17" t="n"/>
      <c r="P38" s="32" t="inlineStr">
        <is>
          <t>Q</t>
        </is>
      </c>
      <c r="Q38" s="32" t="n"/>
      <c r="R38" s="17" t="inlineStr">
        <is>
          <t>Lista de precios HZ: válvula «c/resorte» (Q-AGENTES)</t>
        </is>
      </c>
    </row>
    <row r="39" outlineLevel="1">
      <c r="A39" s="32" t="n">
        <v>2</v>
      </c>
      <c r="B39" s="32" t="inlineStr">
        <is>
          <t>ABC10-V3</t>
        </is>
      </c>
      <c r="C39" s="17" t="inlineStr">
        <is>
          <t xml:space="preserve">        Junta tórica del vástago</t>
        </is>
      </c>
      <c r="D39" s="32" t="n">
        <v>1</v>
      </c>
      <c r="E39" s="32" t="inlineStr">
        <is>
          <t>u</t>
        </is>
      </c>
      <c r="F39" s="33" t="n"/>
      <c r="G39" s="33" t="n"/>
      <c r="H39" s="32" t="inlineStr">
        <is>
          <t>NBR 70 Shore A</t>
        </is>
      </c>
      <c r="I39" s="17" t="inlineStr">
        <is>
          <t>incluida en la válvula</t>
        </is>
      </c>
      <c r="J39" s="32" t="inlineStr">
        <is>
          <t>Incluido en válvula HZ</t>
        </is>
      </c>
      <c r="K39" s="32" t="inlineStr">
        <is>
          <t>No</t>
        </is>
      </c>
      <c r="L39" s="17" t="n"/>
      <c r="M39" s="17" t="n"/>
      <c r="N39" s="17" t="inlineStr">
        <is>
          <t>19 Ensamblaje</t>
        </is>
      </c>
      <c r="O39" s="17" t="n"/>
      <c r="P39" s="32" t="inlineStr">
        <is>
          <t>P</t>
        </is>
      </c>
      <c r="Q39" s="32" t="n"/>
      <c r="R39" s="17" t="inlineStr">
        <is>
          <t>Figura en el plano como «vástago con junta tórica»</t>
        </is>
      </c>
    </row>
    <row r="40">
      <c r="A40" s="29" t="n">
        <v>1</v>
      </c>
      <c r="B40" s="29" t="inlineStr">
        <is>
          <t>ABC10-S3</t>
        </is>
      </c>
      <c r="C40" s="30" t="inlineStr">
        <is>
          <t xml:space="preserve">    Dispositivo de descarga</t>
        </is>
      </c>
      <c r="D40" s="29" t="n">
        <v>1</v>
      </c>
      <c r="E40" s="29" t="inlineStr">
        <is>
          <t>u</t>
        </is>
      </c>
      <c r="F40" s="31" t="n"/>
      <c r="G40" s="31">
        <f>G41+G42+G43+G44</f>
        <v/>
      </c>
      <c r="H40" s="29" t="n"/>
      <c r="I40" s="30" t="n"/>
      <c r="J40" s="29" t="inlineStr">
        <is>
          <t>Compra / armado</t>
        </is>
      </c>
      <c r="K40" s="29" t="n"/>
      <c r="L40" s="30" t="n"/>
      <c r="M40" s="30" t="n"/>
      <c r="N40" s="30" t="n"/>
      <c r="O40" s="30" t="n"/>
      <c r="P40" s="29" t="inlineStr">
        <is>
          <t>P</t>
        </is>
      </c>
      <c r="Q40" s="29" t="inlineStr">
        <is>
          <t>FL_DES_ABC_10kg</t>
        </is>
      </c>
      <c r="R40" s="30" t="n"/>
    </row>
    <row r="41" outlineLevel="1">
      <c r="A41" s="32" t="n">
        <v>2</v>
      </c>
      <c r="B41" s="32" t="inlineStr">
        <is>
          <t>ABC10-16</t>
        </is>
      </c>
      <c r="C41" s="17" t="inlineStr">
        <is>
          <t xml:space="preserve">        Racor de manguera</t>
        </is>
      </c>
      <c r="D41" s="32" t="n">
        <v>1</v>
      </c>
      <c r="E41" s="32" t="inlineStr">
        <is>
          <t>u</t>
        </is>
      </c>
      <c r="F41" s="33" t="n">
        <v>0.0394</v>
      </c>
      <c r="G41" s="33">
        <f>D41*F41</f>
        <v/>
      </c>
      <c r="H41" s="32" t="inlineStr">
        <is>
          <t>Latón</t>
        </is>
      </c>
      <c r="I41" s="17" t="inlineStr">
        <is>
          <t>19,4 × 18,8 × 18,8</t>
        </is>
      </c>
      <c r="J41" s="32" t="inlineStr">
        <is>
          <t>Compra</t>
        </is>
      </c>
      <c r="K41" s="32" t="inlineStr">
        <is>
          <t>Sí</t>
        </is>
      </c>
      <c r="L41" s="17" t="inlineStr">
        <is>
          <t>Yukon / MatafuegosYa S.R.L.</t>
        </is>
      </c>
      <c r="M41" s="17" t="inlineStr">
        <is>
          <t>Matafuegos Iglesias</t>
        </is>
      </c>
      <c r="N41" s="17" t="inlineStr">
        <is>
          <t>19 Ensamblaje (T03/T04)</t>
        </is>
      </c>
      <c r="O41" s="17" t="n"/>
      <c r="P41" s="32" t="inlineStr">
        <is>
          <t>P</t>
        </is>
      </c>
      <c r="Q41" s="32" t="inlineStr">
        <is>
          <t>FL_DES_ABC_10kg</t>
        </is>
      </c>
      <c r="R41" s="17" t="n"/>
    </row>
    <row r="42" outlineLevel="1">
      <c r="A42" s="32" t="n">
        <v>2</v>
      </c>
      <c r="B42" s="32" t="inlineStr">
        <is>
          <t>ABC10-17</t>
        </is>
      </c>
      <c r="C42" s="17" t="inlineStr">
        <is>
          <t xml:space="preserve">        Manguera</t>
        </is>
      </c>
      <c r="D42" s="32" t="n">
        <v>1</v>
      </c>
      <c r="E42" s="32" t="inlineStr">
        <is>
          <t>u</t>
        </is>
      </c>
      <c r="F42" s="33" t="n">
        <v>0.08</v>
      </c>
      <c r="G42" s="33">
        <f>D42*F42</f>
        <v/>
      </c>
      <c r="H42" s="32" t="inlineStr">
        <is>
          <t>Caucho sintético</t>
        </is>
      </c>
      <c r="I42" s="17" t="inlineStr">
        <is>
          <t>Ø16 × 518 de largo desarrollado</t>
        </is>
      </c>
      <c r="J42" s="32" t="inlineStr">
        <is>
          <t>Compra</t>
        </is>
      </c>
      <c r="K42" s="32" t="inlineStr">
        <is>
          <t>Sí</t>
        </is>
      </c>
      <c r="L42" s="17" t="inlineStr">
        <is>
          <t>Yukon / MatafuegosYa S.R.L.</t>
        </is>
      </c>
      <c r="M42" s="17" t="inlineStr">
        <is>
          <t>Matafuegos Iglesias</t>
        </is>
      </c>
      <c r="N42" s="17" t="inlineStr">
        <is>
          <t>19 Ensamblaje (T03/T04)</t>
        </is>
      </c>
      <c r="O42" s="17" t="n"/>
      <c r="P42" s="32" t="inlineStr">
        <is>
          <t>P</t>
        </is>
      </c>
      <c r="Q42" s="32" t="inlineStr">
        <is>
          <t>FL_DES_ABC_10kg</t>
        </is>
      </c>
      <c r="R42" s="17" t="n"/>
    </row>
    <row r="43" outlineLevel="1">
      <c r="A43" s="32" t="n">
        <v>2</v>
      </c>
      <c r="B43" s="32" t="inlineStr">
        <is>
          <t>ABC10-18</t>
        </is>
      </c>
      <c r="C43" s="17" t="inlineStr">
        <is>
          <t xml:space="preserve">        Tobera con portatobera</t>
        </is>
      </c>
      <c r="D43" s="32" t="n">
        <v>1</v>
      </c>
      <c r="E43" s="32" t="inlineStr">
        <is>
          <t>u</t>
        </is>
      </c>
      <c r="F43" s="33" t="n">
        <v>0.0168</v>
      </c>
      <c r="G43" s="33">
        <f>D43*F43</f>
        <v/>
      </c>
      <c r="H43" s="32" t="inlineStr">
        <is>
          <t>Polipropileno</t>
        </is>
      </c>
      <c r="I43" s="17" t="inlineStr">
        <is>
          <t>73,5 × 19,9 × 19,9</t>
        </is>
      </c>
      <c r="J43" s="32" t="inlineStr">
        <is>
          <t>Compra</t>
        </is>
      </c>
      <c r="K43" s="32" t="inlineStr">
        <is>
          <t>Sí</t>
        </is>
      </c>
      <c r="L43" s="17" t="inlineStr">
        <is>
          <t>Yukon / MatafuegosYa S.R.L.</t>
        </is>
      </c>
      <c r="M43" s="17" t="inlineStr">
        <is>
          <t>Matafuegos Iglesias</t>
        </is>
      </c>
      <c r="N43" s="17" t="inlineStr">
        <is>
          <t>19 Ensamblaje (T03/T04)</t>
        </is>
      </c>
      <c r="O43" s="17" t="n"/>
      <c r="P43" s="32" t="inlineStr">
        <is>
          <t>P</t>
        </is>
      </c>
      <c r="Q43" s="32" t="inlineStr">
        <is>
          <t>FL_DES_ABC_10kg</t>
        </is>
      </c>
      <c r="R43" s="17" t="n"/>
    </row>
    <row r="44" outlineLevel="1">
      <c r="A44" s="32" t="n">
        <v>2</v>
      </c>
      <c r="B44" s="32" t="inlineStr">
        <is>
          <t>ABC10-19</t>
        </is>
      </c>
      <c r="C44" s="17" t="inlineStr">
        <is>
          <t xml:space="preserve">        Suncho portatobera</t>
        </is>
      </c>
      <c r="D44" s="32" t="n">
        <v>1</v>
      </c>
      <c r="E44" s="32" t="inlineStr">
        <is>
          <t>u</t>
        </is>
      </c>
      <c r="F44" s="33" t="n">
        <v>0.1097</v>
      </c>
      <c r="G44" s="33">
        <f>D44*F44</f>
        <v/>
      </c>
      <c r="H44" s="32" t="inlineStr">
        <is>
          <t>Fleje acero SAE 1010 pintado</t>
        </is>
      </c>
      <c r="I44" s="17" t="inlineStr">
        <is>
          <t>195,1 × 185,1 × 14,4</t>
        </is>
      </c>
      <c r="J44" s="32" t="inlineStr">
        <is>
          <t>Compra (estructura)</t>
        </is>
      </c>
      <c r="K44" s="32" t="inlineStr">
        <is>
          <t>Sí</t>
        </is>
      </c>
      <c r="L44" s="17" t="inlineStr">
        <is>
          <t>Yukon / MatafuegosYa S.R.L.</t>
        </is>
      </c>
      <c r="M44" s="17" t="inlineStr">
        <is>
          <t>Matafuegos Iglesias</t>
        </is>
      </c>
      <c r="N44" s="17" t="inlineStr">
        <is>
          <t>19 Ensamblaje (T03/T04)</t>
        </is>
      </c>
      <c r="O44" s="17" t="n"/>
      <c r="P44" s="32" t="inlineStr">
        <is>
          <t>P</t>
        </is>
      </c>
      <c r="Q44" s="32" t="inlineStr">
        <is>
          <t>FL_DES_ABC_10kg</t>
        </is>
      </c>
      <c r="R44" s="17" t="n"/>
    </row>
    <row r="45">
      <c r="A45" s="29" t="n">
        <v>1</v>
      </c>
      <c r="B45" s="29" t="inlineStr">
        <is>
          <t>ABC10-S5</t>
        </is>
      </c>
      <c r="C45" s="30" t="inlineStr">
        <is>
          <t xml:space="preserve">    Carga: agente extintor y gas impulsor</t>
        </is>
      </c>
      <c r="D45" s="29" t="n">
        <v>1</v>
      </c>
      <c r="E45" s="29" t="inlineStr">
        <is>
          <t>u</t>
        </is>
      </c>
      <c r="F45" s="31" t="n"/>
      <c r="G45" s="31">
        <f>G46+G47</f>
        <v/>
      </c>
      <c r="H45" s="29" t="n"/>
      <c r="I45" s="30" t="n"/>
      <c r="J45" s="29" t="inlineStr">
        <is>
          <t>Carga en planta</t>
        </is>
      </c>
      <c r="K45" s="29" t="n"/>
      <c r="L45" s="30" t="n"/>
      <c r="M45" s="30" t="n"/>
      <c r="N45" s="30" t="inlineStr">
        <is>
          <t>18 Carga de polvo (T01) / C8 (T02)</t>
        </is>
      </c>
      <c r="O45" s="30" t="n"/>
      <c r="P45" s="29" t="n"/>
      <c r="Q45" s="29" t="n"/>
      <c r="R45" s="30" t="n"/>
    </row>
    <row r="46" outlineLevel="1">
      <c r="A46" s="32" t="n">
        <v>2</v>
      </c>
      <c r="B46" s="32" t="inlineStr">
        <is>
          <t>ABC10-A1</t>
        </is>
      </c>
      <c r="C46" s="17" t="inlineStr">
        <is>
          <t xml:space="preserve">        Polvo químico seco ABC 60 (Sello IRAM 3569)</t>
        </is>
      </c>
      <c r="D46" s="32" t="n">
        <v>10.15</v>
      </c>
      <c r="E46" s="32" t="inlineStr">
        <is>
          <t>kg</t>
        </is>
      </c>
      <c r="F46" s="33" t="n">
        <v>1</v>
      </c>
      <c r="G46" s="33">
        <f>D46*F46</f>
        <v/>
      </c>
      <c r="H46" s="32" t="inlineStr">
        <is>
          <t>Polvo químico seco ABC 60 (Sello IRAM 3569)</t>
        </is>
      </c>
      <c r="I46" s="17" t="inlineStr">
        <is>
          <t>nominal 10 kg; tolerancia 0 / +300 g (IRAM 3517-2:2020 tabla 3 · IRAM 3523 tabla II)</t>
        </is>
      </c>
      <c r="J46" s="32" t="inlineStr">
        <is>
          <t>Compra</t>
        </is>
      </c>
      <c r="K46" s="32" t="inlineStr">
        <is>
          <t>Sí</t>
        </is>
      </c>
      <c r="L46" s="17" t="inlineStr">
        <is>
          <t>DEM S.A. (DEMSA)</t>
        </is>
      </c>
      <c r="M46" s="17" t="inlineStr">
        <is>
          <t>Polvex S.R.L. / Sancibrao</t>
        </is>
      </c>
      <c r="N46" s="17" t="inlineStr">
        <is>
          <t>SP-1 almacén previo a la carga</t>
        </is>
      </c>
      <c r="O46" s="17" t="inlineStr">
        <is>
          <t>IRAM 3569</t>
        </is>
      </c>
      <c r="P46" s="32" t="inlineStr">
        <is>
          <t>N</t>
        </is>
      </c>
      <c r="Q46" s="32" t="n"/>
      <c r="R46" s="17" t="inlineStr">
        <is>
          <t>Composición declarada del polvo ABC 60: MAP 60 % (IRAM 3569: 57-63 %) = 6,09 kg MAP + 3,756 kg sulfato de amonio + 0,305 kg aditivos · potencial de referencia 6A-60B:C (licencia Drago con DEM-60/90, L-DRAGO) · Decisión: DEMSA principal (sello IRAM 3569 y potencial de referencia); Polvex/Sancibrao alternativa sujeta a sello IRAM 3569 y ensayo de tipo de FLAMA (IRAM 3542/3543) · alternativa ABC 90: 10A-60B:C · Lote único por extintor; prohibido mezclar ABC con BC (3517-2 9.9.1.6)</t>
        </is>
      </c>
    </row>
    <row r="47" outlineLevel="1">
      <c r="A47" s="37" t="n">
        <v>2</v>
      </c>
      <c r="B47" s="37" t="inlineStr">
        <is>
          <t>ABC10-A2</t>
        </is>
      </c>
      <c r="C47" s="18" t="inlineStr">
        <is>
          <t xml:space="preserve">        Gas impulsor: N₂</t>
        </is>
      </c>
      <c r="D47" s="37" t="n">
        <v>0.0588</v>
      </c>
      <c r="E47" s="37" t="inlineStr">
        <is>
          <t>kg</t>
        </is>
      </c>
      <c r="F47" s="38" t="n">
        <v>1</v>
      </c>
      <c r="G47" s="38">
        <f>D47*F47</f>
        <v/>
      </c>
      <c r="H47" s="37" t="inlineStr">
        <is>
          <t>N₂</t>
        </is>
      </c>
      <c r="I47" s="18" t="inlineStr">
        <is>
          <t>47,1 L normales para 1,4 MPa a 20 °C en 3,41 dm³ libres</t>
        </is>
      </c>
      <c r="J47" s="37" t="inlineStr">
        <is>
          <t>Compra</t>
        </is>
      </c>
      <c r="K47" s="37" t="inlineStr">
        <is>
          <t>Sí</t>
        </is>
      </c>
      <c r="L47" s="18" t="inlineStr">
        <is>
          <t>Air Liquide Argentina - sucursal Piñeyro</t>
        </is>
      </c>
      <c r="M47" s="18" t="inlineStr">
        <is>
          <t>Gogniat</t>
        </is>
      </c>
      <c r="N47" s="18" t="inlineStr">
        <is>
          <t>20 Presurización (T05) / C10</t>
        </is>
      </c>
      <c r="O47" s="18" t="inlineStr">
        <is>
          <t>IRAM 3517-2 9.4.9 (tabla 2) · IRAM 3523 2.3 y 3.10</t>
        </is>
      </c>
      <c r="P47" s="37" t="inlineStr">
        <is>
          <t>C</t>
        </is>
      </c>
      <c r="Q47" s="37" t="n"/>
      <c r="R47" s="18" t="inlineStr">
        <is>
          <t>N₂ ≥ 99,8 %, H₂O ≤ 40 ppm (Q-N2, Air Liquide) · volumen libre con ρ empacada mínima 1,1 kg/dm³ (NOM-104-STPS-2001); confirmar con descarga ≥ 85 % (IRAM 3523 4.9.1)</t>
        </is>
      </c>
    </row>
    <row r="48">
      <c r="A48" s="29" t="n">
        <v>1</v>
      </c>
      <c r="B48" s="29" t="inlineStr">
        <is>
          <t>ABC10-S6</t>
        </is>
      </c>
      <c r="C48" s="30" t="inlineStr">
        <is>
          <t xml:space="preserve">    Identificación y precinto</t>
        </is>
      </c>
      <c r="D48" s="29" t="n">
        <v>1</v>
      </c>
      <c r="E48" s="29" t="inlineStr">
        <is>
          <t>u</t>
        </is>
      </c>
      <c r="F48" s="31" t="n"/>
      <c r="G48" s="31">
        <f>G49+G50+G51+G52+G53+G54+G55</f>
        <v/>
      </c>
      <c r="H48" s="29" t="n"/>
      <c r="I48" s="30" t="n"/>
      <c r="J48" s="29" t="inlineStr">
        <is>
          <t>Compra</t>
        </is>
      </c>
      <c r="K48" s="29" t="n"/>
      <c r="L48" s="30" t="n"/>
      <c r="M48" s="30" t="n"/>
      <c r="N48" s="30" t="inlineStr">
        <is>
          <t>22 Etiquetado (T07)</t>
        </is>
      </c>
      <c r="O48" s="30" t="n"/>
      <c r="P48" s="29" t="n"/>
      <c r="Q48" s="29" t="n"/>
      <c r="R48" s="30" t="n"/>
    </row>
    <row r="49" outlineLevel="1">
      <c r="A49" s="32" t="n">
        <v>2</v>
      </c>
      <c r="B49" s="32" t="inlineStr">
        <is>
          <t>ABC10-20</t>
        </is>
      </c>
      <c r="C49" s="17" t="inlineStr">
        <is>
          <t xml:space="preserve">        Etiqueta / placa de características</t>
        </is>
      </c>
      <c r="D49" s="32" t="n">
        <v>1</v>
      </c>
      <c r="E49" s="32" t="inlineStr">
        <is>
          <t>u</t>
        </is>
      </c>
      <c r="F49" s="33" t="n">
        <v>0.0322</v>
      </c>
      <c r="G49" s="33">
        <f>D49*F49</f>
        <v/>
      </c>
      <c r="H49" s="32" t="inlineStr">
        <is>
          <t>Vinilo autoadhesivo laminado</t>
        </is>
      </c>
      <c r="I49" s="17" t="inlineStr">
        <is>
          <t>343 × 224 (desarrollo × alto: panel central 108° + 2 alas laterales), e ≈ 0,3, laminado UV</t>
        </is>
      </c>
      <c r="J49" s="32" t="inlineStr">
        <is>
          <t>Compra</t>
        </is>
      </c>
      <c r="K49" s="32" t="inlineStr">
        <is>
          <t>Sí</t>
        </is>
      </c>
      <c r="L49" s="17" t="inlineStr">
        <is>
          <t>Astuprint</t>
        </is>
      </c>
      <c r="M49" s="17" t="inlineStr">
        <is>
          <t>Multilabel Argentina S.A.</t>
        </is>
      </c>
      <c r="N49" s="17" t="inlineStr">
        <is>
          <t>22 Etiquetado (T07)</t>
        </is>
      </c>
      <c r="O49" s="17" t="inlineStr">
        <is>
          <t>IRAM 3534 · IRAM 3523 cap. 5 · relevamiento de mercado</t>
        </is>
      </c>
      <c r="P49" s="32" t="inlineStr">
        <is>
          <t>P</t>
        </is>
      </c>
      <c r="Q49" s="32" t="inlineStr">
        <is>
          <t>FL_DES_ABC_10kg</t>
        </is>
      </c>
      <c r="R49" s="17" t="inlineStr">
        <is>
          <t>IRAM 3534</t>
        </is>
      </c>
    </row>
    <row r="50" outlineLevel="1">
      <c r="A50" s="32" t="n">
        <v>2</v>
      </c>
      <c r="B50" s="32" t="inlineStr">
        <is>
          <t>ABC10-21</t>
        </is>
      </c>
      <c r="C50" s="17" t="inlineStr">
        <is>
          <t xml:space="preserve">        Oblea de fabricación (PBA)</t>
        </is>
      </c>
      <c r="D50" s="32" t="n">
        <v>1</v>
      </c>
      <c r="E50" s="32" t="inlineStr">
        <is>
          <t>u</t>
        </is>
      </c>
      <c r="F50" s="33" t="n">
        <v>0.0009</v>
      </c>
      <c r="G50" s="33">
        <f>D50*F50</f>
        <v/>
      </c>
      <c r="H50" s="32" t="inlineStr">
        <is>
          <t>Papel de seguridad autodestructible</t>
        </is>
      </c>
      <c r="I50" s="17" t="inlineStr">
        <is>
          <t>Ø46 (Res. OPDS 522/07), numerada, autodestructible</t>
        </is>
      </c>
      <c r="J50" s="32" t="inlineStr">
        <is>
          <t>Compra</t>
        </is>
      </c>
      <c r="K50" s="32" t="inlineStr">
        <is>
          <t>Sí</t>
        </is>
      </c>
      <c r="L50" s="17" t="inlineStr">
        <is>
          <t>Ministerio de Ambiente PBA (ex OPDS)</t>
        </is>
      </c>
      <c r="M50" s="17" t="inlineStr">
        <is>
          <t>-</t>
        </is>
      </c>
      <c r="N50" s="17" t="inlineStr">
        <is>
          <t>22 Etiquetado (T07)</t>
        </is>
      </c>
      <c r="O50" s="17" t="inlineStr">
        <is>
          <t>Res. OPDS 522/07 anexos 1, 2 y 6</t>
        </is>
      </c>
      <c r="P50" s="32" t="inlineStr">
        <is>
          <t>P</t>
        </is>
      </c>
      <c r="Q50" s="32" t="inlineStr">
        <is>
          <t>FL_DES_ABC_10kg</t>
        </is>
      </c>
      <c r="R50" s="17" t="inlineStr">
        <is>
          <t>Res. 522/07</t>
        </is>
      </c>
    </row>
    <row r="51" outlineLevel="1">
      <c r="A51" s="32" t="n">
        <v>2</v>
      </c>
      <c r="B51" s="32" t="inlineStr">
        <is>
          <t>ABC10-22</t>
        </is>
      </c>
      <c r="C51" s="17" t="inlineStr">
        <is>
          <t xml:space="preserve">        Estampilla IRAM de conformidad</t>
        </is>
      </c>
      <c r="D51" s="32" t="n">
        <v>1</v>
      </c>
      <c r="E51" s="32" t="inlineStr">
        <is>
          <t>u</t>
        </is>
      </c>
      <c r="F51" s="33" t="n">
        <v>0.001</v>
      </c>
      <c r="G51" s="33">
        <f>D51*F51</f>
        <v/>
      </c>
      <c r="H51" s="32" t="inlineStr">
        <is>
          <t>Provista por IRAM (Anexo R)</t>
        </is>
      </c>
      <c r="I51" s="17" t="inlineStr">
        <is>
          <t>60 × 40</t>
        </is>
      </c>
      <c r="J51" s="32" t="inlineStr">
        <is>
          <t>Compra</t>
        </is>
      </c>
      <c r="K51" s="32" t="inlineStr">
        <is>
          <t>Sí</t>
        </is>
      </c>
      <c r="L51" s="17" t="inlineStr">
        <is>
          <t>IRAM - Instituto Argentino de Normalización</t>
        </is>
      </c>
      <c r="M51" s="17" t="inlineStr">
        <is>
          <t>-</t>
        </is>
      </c>
      <c r="N51" s="17" t="inlineStr">
        <is>
          <t>22 Etiquetado (T07)</t>
        </is>
      </c>
      <c r="O51" s="17" t="inlineStr">
        <is>
          <t>IRAM Anexo R (DC-PG-129)</t>
        </is>
      </c>
      <c r="P51" s="32" t="inlineStr">
        <is>
          <t>P</t>
        </is>
      </c>
      <c r="Q51" s="32" t="inlineStr">
        <is>
          <t>FL_DES_ABC_10kg</t>
        </is>
      </c>
      <c r="R51" s="17" t="inlineStr">
        <is>
          <t>numerada</t>
        </is>
      </c>
    </row>
    <row r="52" outlineLevel="1">
      <c r="A52" s="32" t="n">
        <v>2</v>
      </c>
      <c r="B52" s="32" t="inlineStr">
        <is>
          <t>ABC10-23</t>
        </is>
      </c>
      <c r="C52" s="17" t="inlineStr">
        <is>
          <t xml:space="preserve">        Tarjeta de identificación AGC (CABA)</t>
        </is>
      </c>
      <c r="D52" s="32" t="n">
        <v>1</v>
      </c>
      <c r="E52" s="32" t="inlineStr">
        <is>
          <t>u</t>
        </is>
      </c>
      <c r="F52" s="33" t="n">
        <v>0.0032</v>
      </c>
      <c r="G52" s="33">
        <f>D52*F52</f>
        <v/>
      </c>
      <c r="H52" s="32" t="inlineStr">
        <is>
          <t>Etiqueta autoadhesiva emitida por la AGC</t>
        </is>
      </c>
      <c r="I52" s="17" t="inlineStr">
        <is>
          <t>140 × 55</t>
        </is>
      </c>
      <c r="J52" s="32" t="inlineStr">
        <is>
          <t>Compra</t>
        </is>
      </c>
      <c r="K52" s="32" t="inlineStr">
        <is>
          <t>Sí</t>
        </is>
      </c>
      <c r="L52" s="17" t="inlineStr">
        <is>
          <t>Agencia Gubernamental de Control (CABA)</t>
        </is>
      </c>
      <c r="M52" s="17" t="inlineStr">
        <is>
          <t>-</t>
        </is>
      </c>
      <c r="N52" s="17" t="inlineStr">
        <is>
          <t>22 Etiquetado (T07)</t>
        </is>
      </c>
      <c r="O52" s="17" t="inlineStr">
        <is>
          <t>Ordenanza 40.473 art. 6 · Res. AGC 32/15</t>
        </is>
      </c>
      <c r="P52" s="32" t="inlineStr">
        <is>
          <t>P</t>
        </is>
      </c>
      <c r="Q52" s="32" t="inlineStr">
        <is>
          <t>FL_DES_ABC_10kg</t>
        </is>
      </c>
      <c r="R52" s="17" t="inlineStr">
        <is>
          <t>sólo destino CABA</t>
        </is>
      </c>
    </row>
    <row r="53" outlineLevel="1">
      <c r="A53" s="32" t="n">
        <v>2</v>
      </c>
      <c r="B53" s="32" t="inlineStr">
        <is>
          <t>ABC10-24</t>
        </is>
      </c>
      <c r="C53" s="17" t="inlineStr">
        <is>
          <t xml:space="preserve">        Etiqueta de n° de serie GS1</t>
        </is>
      </c>
      <c r="D53" s="32" t="n">
        <v>1</v>
      </c>
      <c r="E53" s="32" t="inlineStr">
        <is>
          <t>u</t>
        </is>
      </c>
      <c r="F53" s="33" t="n">
        <v>0.0005</v>
      </c>
      <c r="G53" s="33">
        <f>D53*F53</f>
        <v/>
      </c>
      <c r="H53" s="32" t="inlineStr">
        <is>
          <t>Poliéster autoadhesivo impreso térmico</t>
        </is>
      </c>
      <c r="I53" s="17" t="inlineStr">
        <is>
          <t>45 × 25</t>
        </is>
      </c>
      <c r="J53" s="32" t="inlineStr">
        <is>
          <t>Compra</t>
        </is>
      </c>
      <c r="K53" s="32" t="inlineStr">
        <is>
          <t>Sí</t>
        </is>
      </c>
      <c r="L53" s="17" t="inlineStr">
        <is>
          <t>Astuprint</t>
        </is>
      </c>
      <c r="M53" s="17" t="inlineStr">
        <is>
          <t>GS1 Argentina</t>
        </is>
      </c>
      <c r="N53" s="17" t="inlineStr">
        <is>
          <t>22 Etiquetado (T07)</t>
        </is>
      </c>
      <c r="O53" s="17" t="inlineStr">
        <is>
          <t>GS1 Argentina (GTIN 779) · trazabilidad IRAM 3523 5.1</t>
        </is>
      </c>
      <c r="P53" s="32" t="inlineStr">
        <is>
          <t>P</t>
        </is>
      </c>
      <c r="Q53" s="32" t="inlineStr">
        <is>
          <t>FL_DES_ABC_10kg</t>
        </is>
      </c>
      <c r="R53" s="17" t="inlineStr">
        <is>
          <t>QR GTIN + serie</t>
        </is>
      </c>
    </row>
    <row r="54" outlineLevel="1">
      <c r="A54" s="32" t="n">
        <v>2</v>
      </c>
      <c r="B54" s="32" t="inlineStr">
        <is>
          <t>ABC10-26</t>
        </is>
      </c>
      <c r="C54" s="17" t="inlineStr">
        <is>
          <t xml:space="preserve">        Faja de garantía válvula-cuello</t>
        </is>
      </c>
      <c r="D54" s="32" t="n">
        <v>1</v>
      </c>
      <c r="E54" s="32" t="inlineStr">
        <is>
          <t>u</t>
        </is>
      </c>
      <c r="F54" s="33" t="n">
        <v>0.0001</v>
      </c>
      <c r="G54" s="33">
        <f>D54*F54</f>
        <v/>
      </c>
      <c r="H54" s="32" t="inlineStr">
        <is>
          <t>Vinilo destructible rayado rojo/blanco</t>
        </is>
      </c>
      <c r="I54" s="17" t="inlineStr">
        <is>
          <t>22 × 22 (ancho × largo desarrollado), pegada sobre la unión: cuerpo de la válvula, tuerca y cuello</t>
        </is>
      </c>
      <c r="J54" s="32" t="inlineStr">
        <is>
          <t>Compra</t>
        </is>
      </c>
      <c r="K54" s="32" t="inlineStr">
        <is>
          <t>Sí</t>
        </is>
      </c>
      <c r="L54" s="17" t="inlineStr">
        <is>
          <t>Astuprint</t>
        </is>
      </c>
      <c r="M54" s="17" t="inlineStr">
        <is>
          <t>Multilabel Argentina S.A.</t>
        </is>
      </c>
      <c r="N54" s="17" t="inlineStr">
        <is>
          <t>22 Etiquetado (T07)</t>
        </is>
      </c>
      <c r="O54" s="17" t="inlineStr">
        <is>
          <t>Sin norma: práctica de mercado (garantía de fábrica)</t>
        </is>
      </c>
      <c r="P54" s="32" t="inlineStr">
        <is>
          <t>P</t>
        </is>
      </c>
      <c r="Q54" s="32" t="inlineStr">
        <is>
          <t>FL_DES_ABC_10kg</t>
        </is>
      </c>
      <c r="R54" s="17" t="inlineStr">
        <is>
          <t>nuevo sin abrir</t>
        </is>
      </c>
    </row>
    <row r="55" outlineLevel="1">
      <c r="A55" s="32" t="n">
        <v>2</v>
      </c>
      <c r="B55" s="32" t="inlineStr">
        <is>
          <t>ABC10-27</t>
        </is>
      </c>
      <c r="C55" s="17" t="inlineStr">
        <is>
          <t xml:space="preserve">        Precinto de fábrica</t>
        </is>
      </c>
      <c r="D55" s="32" t="n">
        <v>1</v>
      </c>
      <c r="E55" s="32" t="inlineStr">
        <is>
          <t>u</t>
        </is>
      </c>
      <c r="F55" s="33" t="n">
        <v>0.0002</v>
      </c>
      <c r="G55" s="33">
        <f>D55*F55</f>
        <v/>
      </c>
      <c r="H55" s="32" t="inlineStr">
        <is>
          <t>Polipropileno color</t>
        </is>
      </c>
      <c r="I55" s="17" t="inlineStr">
        <is>
          <t>Ø5 × 10, numerado, rotura 30-50 N</t>
        </is>
      </c>
      <c r="J55" s="32" t="inlineStr">
        <is>
          <t>Compra</t>
        </is>
      </c>
      <c r="K55" s="32" t="inlineStr">
        <is>
          <t>Sí</t>
        </is>
      </c>
      <c r="L55" s="17" t="inlineStr">
        <is>
          <t>SonFuertes (vía Papelera Damián)</t>
        </is>
      </c>
      <c r="M55" s="17" t="inlineStr">
        <is>
          <t>Precinter S.R.L.</t>
        </is>
      </c>
      <c r="N55" s="17" t="inlineStr">
        <is>
          <t>20 Presurización (T05)</t>
        </is>
      </c>
      <c r="O55" s="17" t="inlineStr">
        <is>
          <t>IRAM 3523 3.3.2 · IRAM 3517-2:2020 9.4.13</t>
        </is>
      </c>
      <c r="P55" s="32" t="inlineStr">
        <is>
          <t>P</t>
        </is>
      </c>
      <c r="Q55" s="32" t="inlineStr">
        <is>
          <t>FL_DES_ABC_10kg</t>
        </is>
      </c>
      <c r="R55" s="17" t="inlineStr">
        <is>
          <t>id. FLAMA y lote</t>
        </is>
      </c>
    </row>
    <row r="56">
      <c r="A56" s="29" t="n">
        <v>1</v>
      </c>
      <c r="B56" s="29" t="inlineStr">
        <is>
          <t>ABC10-S8</t>
        </is>
      </c>
      <c r="C56" s="30" t="inlineStr">
        <is>
          <t xml:space="preserve">    Soporte (accesorio de montaje)</t>
        </is>
      </c>
      <c r="D56" s="29" t="n">
        <v>1</v>
      </c>
      <c r="E56" s="29" t="inlineStr">
        <is>
          <t>u</t>
        </is>
      </c>
      <c r="F56" s="31" t="n"/>
      <c r="G56" s="31">
        <f>G57</f>
        <v/>
      </c>
      <c r="H56" s="29" t="n"/>
      <c r="I56" s="30" t="n"/>
      <c r="J56" s="29" t="inlineStr">
        <is>
          <t>Compra</t>
        </is>
      </c>
      <c r="K56" s="29" t="n"/>
      <c r="L56" s="30" t="n"/>
      <c r="M56" s="30" t="n"/>
      <c r="N56" s="30" t="inlineStr">
        <is>
          <t>23 Embalaje (va dentro de la caja)</t>
        </is>
      </c>
      <c r="O56" s="30" t="inlineStr">
        <is>
          <t>IRAM 3517-2 7.4</t>
        </is>
      </c>
      <c r="P56" s="29" t="n"/>
      <c r="Q56" s="29" t="n"/>
      <c r="R56" s="30" t="n"/>
    </row>
    <row r="57" outlineLevel="1">
      <c r="A57" s="32" t="n">
        <v>2</v>
      </c>
      <c r="B57" s="32" t="inlineStr">
        <is>
          <t>ABC10-I5</t>
        </is>
      </c>
      <c r="C57" s="17" t="inlineStr">
        <is>
          <t xml:space="preserve">        Soporte de pared (FL_ACC_01)</t>
        </is>
      </c>
      <c r="D57" s="32" t="n">
        <v>1</v>
      </c>
      <c r="E57" s="32" t="inlineStr">
        <is>
          <t>u</t>
        </is>
      </c>
      <c r="F57" s="33" t="n">
        <v>0.319</v>
      </c>
      <c r="G57" s="33">
        <f>D57*F57</f>
        <v/>
      </c>
      <c r="H57" s="32" t="inlineStr">
        <is>
          <t>Chapa acero SAE 1010 e=2 pintada</t>
        </is>
      </c>
      <c r="I57" s="17" t="inlineStr">
        <is>
          <t>placa 60 × 180, ala con ranura Ø cuello + 3</t>
        </is>
      </c>
      <c r="J57" s="32" t="inlineStr">
        <is>
          <t>Compra</t>
        </is>
      </c>
      <c r="K57" s="32" t="inlineStr">
        <is>
          <t>Sí</t>
        </is>
      </c>
      <c r="L57" s="17" t="inlineStr">
        <is>
          <t>Maxiseguridad</t>
        </is>
      </c>
      <c r="M57" s="17" t="inlineStr">
        <is>
          <t>CM Representaciones</t>
        </is>
      </c>
      <c r="N57" s="17" t="inlineStr">
        <is>
          <t>23 Embalaje</t>
        </is>
      </c>
      <c r="O57" s="17" t="inlineStr">
        <is>
          <t>IRAM 3517-2 7.4</t>
        </is>
      </c>
      <c r="P57" s="32" t="inlineStr">
        <is>
          <t>P</t>
        </is>
      </c>
      <c r="Q57" s="32" t="inlineStr">
        <is>
          <t>FL_ACC_01</t>
        </is>
      </c>
      <c r="R57" s="17" t="n"/>
    </row>
    <row r="58" outlineLevel="1">
      <c r="A58" s="32" t="n">
        <v>2</v>
      </c>
      <c r="B58" s="32" t="inlineStr">
        <is>
          <t>ABC10-I6</t>
        </is>
      </c>
      <c r="C58" s="17" t="inlineStr">
        <is>
          <t xml:space="preserve">        Tornillo y tarugo de fijación</t>
        </is>
      </c>
      <c r="D58" s="32" t="n">
        <v>2</v>
      </c>
      <c r="E58" s="32" t="inlineStr">
        <is>
          <t>u</t>
        </is>
      </c>
      <c r="F58" s="33" t="n"/>
      <c r="G58" s="33" t="n"/>
      <c r="H58" s="32" t="inlineStr">
        <is>
          <t>Acero cincado / nylon</t>
        </is>
      </c>
      <c r="I58" s="17" t="inlineStr">
        <is>
          <t>2 agujeros Ø8,5 del plano FL_ACC_01 → tornillo M8 + tarugo</t>
        </is>
      </c>
      <c r="J58" s="32" t="inlineStr">
        <is>
          <t>Compra</t>
        </is>
      </c>
      <c r="K58" s="32" t="inlineStr">
        <is>
          <t>Sí</t>
        </is>
      </c>
      <c r="L58" s="17" t="inlineStr">
        <is>
          <t>Würth Argentina</t>
        </is>
      </c>
      <c r="M58" s="17" t="inlineStr">
        <is>
          <t>-</t>
        </is>
      </c>
      <c r="N58" s="17" t="inlineStr">
        <is>
          <t>23 Embalaje</t>
        </is>
      </c>
      <c r="O58" s="17" t="n"/>
      <c r="P58" s="32" t="inlineStr">
        <is>
          <t>P</t>
        </is>
      </c>
      <c r="Q58" s="32" t="inlineStr">
        <is>
          <t>FL_ACC_01</t>
        </is>
      </c>
      <c r="R58" s="17" t="n"/>
    </row>
    <row r="59" outlineLevel="1">
      <c r="A59" s="32" t="n">
        <v>2</v>
      </c>
      <c r="B59" s="32" t="inlineStr">
        <is>
          <t>ABC10-I8</t>
        </is>
      </c>
      <c r="C59" s="17" t="inlineStr">
        <is>
          <t xml:space="preserve">        Soporte opcional (pared o vehicular, según pedido)</t>
        </is>
      </c>
      <c r="D59" s="32" t="n">
        <v>0</v>
      </c>
      <c r="E59" s="32" t="inlineStr">
        <is>
          <t>u</t>
        </is>
      </c>
      <c r="F59" s="33" t="n"/>
      <c r="G59" s="33" t="n"/>
      <c r="H59" s="32" t="inlineStr">
        <is>
          <t>-</t>
        </is>
      </c>
      <c r="I59" s="17" t="inlineStr">
        <is>
          <t>-</t>
        </is>
      </c>
      <c r="J59" s="32" t="inlineStr">
        <is>
          <t>Compra</t>
        </is>
      </c>
      <c r="K59" s="32" t="inlineStr">
        <is>
          <t>Sí</t>
        </is>
      </c>
      <c r="L59" s="17" t="inlineStr">
        <is>
          <t>Maxiseguridad</t>
        </is>
      </c>
      <c r="M59" s="17" t="inlineStr">
        <is>
          <t>CM Representaciones</t>
        </is>
      </c>
      <c r="N59" s="17" t="n"/>
      <c r="O59" s="17" t="inlineStr">
        <is>
          <t>IRAM 3517-2 7.4</t>
        </is>
      </c>
      <c r="P59" s="32" t="inlineStr">
        <is>
          <t>N</t>
        </is>
      </c>
      <c r="Q59" s="32" t="n"/>
      <c r="R59" s="17" t="inlineStr">
        <is>
          <t>Sólo si el pedido lo incluye</t>
        </is>
      </c>
    </row>
    <row r="60">
      <c r="A60" s="29" t="n">
        <v>1</v>
      </c>
      <c r="B60" s="29" t="inlineStr">
        <is>
          <t>ABC10-S7</t>
        </is>
      </c>
      <c r="C60" s="30" t="inlineStr">
        <is>
          <t xml:space="preserve">    Embalaje</t>
        </is>
      </c>
      <c r="D60" s="29" t="n">
        <v>1</v>
      </c>
      <c r="E60" s="29" t="inlineStr">
        <is>
          <t>u</t>
        </is>
      </c>
      <c r="F60" s="31" t="n"/>
      <c r="G60" s="31">
        <f>G64</f>
        <v/>
      </c>
      <c r="H60" s="29" t="n"/>
      <c r="I60" s="30" t="n"/>
      <c r="J60" s="29" t="inlineStr">
        <is>
          <t>Compra</t>
        </is>
      </c>
      <c r="K60" s="29" t="n"/>
      <c r="L60" s="30" t="n"/>
      <c r="M60" s="30" t="n"/>
      <c r="N60" s="30" t="inlineStr">
        <is>
          <t>23 Embalaje -&gt; 24 envolvedora (T11)</t>
        </is>
      </c>
      <c r="O60" s="30" t="n"/>
      <c r="P60" s="29" t="n"/>
      <c r="Q60" s="29" t="n"/>
      <c r="R60" s="30" t="n"/>
    </row>
    <row r="61" outlineLevel="1">
      <c r="A61" s="32" t="n">
        <v>2</v>
      </c>
      <c r="B61" s="32" t="inlineStr">
        <is>
          <t>ABC10-E1</t>
        </is>
      </c>
      <c r="C61" s="17" t="inlineStr">
        <is>
          <t xml:space="preserve">        Caja de cartón corrugado doble</t>
        </is>
      </c>
      <c r="D61" s="32" t="n">
        <v>1</v>
      </c>
      <c r="E61" s="32" t="inlineStr">
        <is>
          <t>u</t>
        </is>
      </c>
      <c r="F61" s="33" t="n"/>
      <c r="G61" s="33" t="n"/>
      <c r="H61" s="32" t="inlineStr">
        <is>
          <t>Cartón corrugado</t>
        </is>
      </c>
      <c r="I61" s="17" t="inlineStr">
        <is>
          <t>258 × 215 × 628 interior (envolvente del plano + 15 por lado)</t>
        </is>
      </c>
      <c r="J61" s="32" t="inlineStr">
        <is>
          <t>Compra</t>
        </is>
      </c>
      <c r="K61" s="32" t="inlineStr">
        <is>
          <t>Sí</t>
        </is>
      </c>
      <c r="L61" s="17" t="inlineStr">
        <is>
          <t>Maxipack</t>
        </is>
      </c>
      <c r="M61" s="17" t="inlineStr">
        <is>
          <t>Cartocan</t>
        </is>
      </c>
      <c r="N61" s="17" t="inlineStr">
        <is>
          <t>23 Embalaje</t>
        </is>
      </c>
      <c r="O61" s="17" t="n"/>
      <c r="P61" s="32" t="inlineStr">
        <is>
          <t>P</t>
        </is>
      </c>
      <c r="Q61" s="32" t="n"/>
      <c r="R61" s="17" t="inlineStr">
        <is>
          <t>Medida del plano</t>
        </is>
      </c>
    </row>
    <row r="62" outlineLevel="1">
      <c r="A62" s="32" t="n">
        <v>2</v>
      </c>
      <c r="B62" s="32" t="inlineStr">
        <is>
          <t>ABC10-E2</t>
        </is>
      </c>
      <c r="C62" s="17" t="inlineStr">
        <is>
          <t xml:space="preserve">        Instructivo de uso y mantenimiento</t>
        </is>
      </c>
      <c r="D62" s="32" t="n">
        <v>1</v>
      </c>
      <c r="E62" s="32" t="inlineStr">
        <is>
          <t>u</t>
        </is>
      </c>
      <c r="F62" s="33" t="n"/>
      <c r="G62" s="33" t="n"/>
      <c r="H62" s="32" t="inlineStr">
        <is>
          <t>Papel</t>
        </is>
      </c>
      <c r="I62" s="17" t="inlineStr">
        <is>
          <t>A5</t>
        </is>
      </c>
      <c r="J62" s="32" t="inlineStr">
        <is>
          <t>Compra</t>
        </is>
      </c>
      <c r="K62" s="32" t="inlineStr">
        <is>
          <t>Sí</t>
        </is>
      </c>
      <c r="L62" s="17" t="inlineStr">
        <is>
          <t>Astuprint</t>
        </is>
      </c>
      <c r="M62" s="17" t="inlineStr">
        <is>
          <t>-</t>
        </is>
      </c>
      <c r="N62" s="17" t="inlineStr">
        <is>
          <t>23 Embalaje</t>
        </is>
      </c>
      <c r="O62" s="17" t="n"/>
      <c r="P62" s="32" t="inlineStr">
        <is>
          <t>I</t>
        </is>
      </c>
      <c r="Q62" s="32" t="n"/>
      <c r="R62" s="17" t="inlineStr">
        <is>
          <t>Decisión comercial de FLAMA (las instrucciones de uso obligatorias van en la etiqueta, IRAM 3534)</t>
        </is>
      </c>
    </row>
    <row r="63" outlineLevel="1">
      <c r="A63" s="32" t="n">
        <v>2</v>
      </c>
      <c r="B63" s="32" t="inlineStr">
        <is>
          <t>ABC10-E3</t>
        </is>
      </c>
      <c r="C63" s="17" t="inlineStr">
        <is>
          <t xml:space="preserve">        Pallet 1200 × 1000 (fracción)</t>
        </is>
      </c>
      <c r="D63" s="32" t="n">
        <v>0.0312</v>
      </c>
      <c r="E63" s="32" t="inlineStr">
        <is>
          <t>u</t>
        </is>
      </c>
      <c r="F63" s="33" t="n"/>
      <c r="G63" s="33" t="n"/>
      <c r="H63" s="32" t="inlineStr">
        <is>
          <t>Madera</t>
        </is>
      </c>
      <c r="I63" s="17" t="inlineStr">
        <is>
          <t>32 u por pallet</t>
        </is>
      </c>
      <c r="J63" s="32" t="inlineStr">
        <is>
          <t>Compra</t>
        </is>
      </c>
      <c r="K63" s="32" t="inlineStr">
        <is>
          <t>Sí</t>
        </is>
      </c>
      <c r="L63" s="17" t="inlineStr">
        <is>
          <t>IndusPallets</t>
        </is>
      </c>
      <c r="M63" s="17" t="inlineStr">
        <is>
          <t>-</t>
        </is>
      </c>
      <c r="N63" s="17" t="inlineStr">
        <is>
          <t>23 Embalaje</t>
        </is>
      </c>
      <c r="O63" s="17" t="n"/>
      <c r="P63" s="32" t="inlineStr">
        <is>
          <t>C</t>
        </is>
      </c>
      <c r="Q63" s="32" t="n"/>
      <c r="R63" s="17" t="inlineStr">
        <is>
          <t>u por pallet = acomodo de la caja (plano) en 1200 × 1000 × 1450 de alto</t>
        </is>
      </c>
    </row>
    <row r="64" outlineLevel="1">
      <c r="A64" s="37" t="n">
        <v>2</v>
      </c>
      <c r="B64" s="37" t="inlineStr">
        <is>
          <t>ABC10-E4</t>
        </is>
      </c>
      <c r="C64" s="18" t="inlineStr">
        <is>
          <t xml:space="preserve">        Film stretch (fracción del pallet)</t>
        </is>
      </c>
      <c r="D64" s="37" t="n">
        <v>0.0037</v>
      </c>
      <c r="E64" s="37" t="inlineStr">
        <is>
          <t>kg</t>
        </is>
      </c>
      <c r="F64" s="38" t="n">
        <v>1</v>
      </c>
      <c r="G64" s="38">
        <f>D64*F64</f>
        <v/>
      </c>
      <c r="H64" s="37" t="inlineStr">
        <is>
          <t>PE lineal 23 µm</t>
        </is>
      </c>
      <c r="I64" s="18" t="inlineStr">
        <is>
          <t>0,12 kg por pallet / 32 u</t>
        </is>
      </c>
      <c r="J64" s="37" t="inlineStr">
        <is>
          <t>Compra</t>
        </is>
      </c>
      <c r="K64" s="37" t="inlineStr">
        <is>
          <t>Sí</t>
        </is>
      </c>
      <c r="L64" s="18" t="inlineStr">
        <is>
          <t>MV Embalajes</t>
        </is>
      </c>
      <c r="M64" s="18" t="inlineStr">
        <is>
          <t>Embalpack</t>
        </is>
      </c>
      <c r="N64" s="18" t="inlineStr">
        <is>
          <t>24 Envolvedora (T11)</t>
        </is>
      </c>
      <c r="O64" s="18" t="n"/>
      <c r="P64" s="37" t="inlineStr">
        <is>
          <t>C</t>
        </is>
      </c>
      <c r="Q64" s="37" t="n"/>
      <c r="R64"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5" outlineLevel="1">
      <c r="A65" s="32" t="n">
        <v>2</v>
      </c>
      <c r="B65" s="32" t="inlineStr">
        <is>
          <t>ABC10-E5</t>
        </is>
      </c>
      <c r="C65" s="17" t="inlineStr">
        <is>
          <t xml:space="preserve">        Etiqueta de pallet (lote y destino, fracción)</t>
        </is>
      </c>
      <c r="D65" s="32" t="n">
        <v>0.0312</v>
      </c>
      <c r="E65" s="32" t="inlineStr">
        <is>
          <t>u</t>
        </is>
      </c>
      <c r="F65" s="33" t="n"/>
      <c r="G65" s="33" t="n"/>
      <c r="H65" s="32" t="inlineStr">
        <is>
          <t>Papel térmico</t>
        </is>
      </c>
      <c r="I65" s="17" t="inlineStr">
        <is>
          <t>100 × 150</t>
        </is>
      </c>
      <c r="J65" s="32" t="inlineStr">
        <is>
          <t>Compra</t>
        </is>
      </c>
      <c r="K65" s="32" t="inlineStr">
        <is>
          <t>Sí</t>
        </is>
      </c>
      <c r="L65" s="17" t="inlineStr">
        <is>
          <t>Astuprint</t>
        </is>
      </c>
      <c r="M65" s="17" t="inlineStr">
        <is>
          <t>Multilabel Argentina S.A.</t>
        </is>
      </c>
      <c r="N65" s="17" t="inlineStr">
        <is>
          <t>24 Envolvedora</t>
        </is>
      </c>
      <c r="O65" s="17" t="n"/>
      <c r="P65" s="32" t="inlineStr">
        <is>
          <t>C</t>
        </is>
      </c>
      <c r="Q65" s="32" t="n"/>
      <c r="R65" s="17" t="n"/>
    </row>
    <row r="66" outlineLevel="1">
      <c r="A66" s="37" t="n">
        <v>2</v>
      </c>
      <c r="B66" s="37" t="inlineStr">
        <is>
          <t>ABC10-E6</t>
        </is>
      </c>
      <c r="C66" s="18" t="inlineStr">
        <is>
          <t xml:space="preserve">        Cinta de embalaje PP 48 mm (cierre de la caja)</t>
        </is>
      </c>
      <c r="D66" s="37" t="n">
        <v>0.796</v>
      </c>
      <c r="E66" s="37" t="inlineStr">
        <is>
          <t>m</t>
        </is>
      </c>
      <c r="F66" s="38" t="n"/>
      <c r="G66" s="38" t="n"/>
      <c r="H66" s="37" t="inlineStr">
        <is>
          <t>Polipropileno con adhesivo acrílico</t>
        </is>
      </c>
      <c r="I66" s="18" t="inlineStr">
        <is>
          <t>cierre en I arriba y abajo: 2 × (258 + 2 × 70 de solapa)</t>
        </is>
      </c>
      <c r="J66" s="37" t="inlineStr">
        <is>
          <t>Compra</t>
        </is>
      </c>
      <c r="K66" s="37" t="inlineStr">
        <is>
          <t>Sí</t>
        </is>
      </c>
      <c r="L66" s="18" t="inlineStr">
        <is>
          <t>MV Embalajes</t>
        </is>
      </c>
      <c r="M66" s="18" t="inlineStr">
        <is>
          <t>Embalpack</t>
        </is>
      </c>
      <c r="N66" s="18" t="inlineStr">
        <is>
          <t>23 Embalaje</t>
        </is>
      </c>
      <c r="O66" s="18" t="n"/>
      <c r="P66" s="37" t="inlineStr">
        <is>
          <t>C</t>
        </is>
      </c>
      <c r="Q66" s="37" t="n"/>
      <c r="R66" s="18" t="inlineStr">
        <is>
          <t>Solapa de 70 mm por lado: práctica de cierre de cajas (medir en la línea)</t>
        </is>
      </c>
    </row>
    <row r="67" outlineLevel="1">
      <c r="A67" s="32" t="n">
        <v>2</v>
      </c>
      <c r="B67" s="32" t="inlineStr">
        <is>
          <t>ABC10-E7</t>
        </is>
      </c>
      <c r="C67" s="17" t="inlineStr">
        <is>
          <t xml:space="preserve">        Esquineros de cartón 50 × 50 × 1200 (fracción del pallet)</t>
        </is>
      </c>
      <c r="D67" s="32" t="n">
        <v>0.125</v>
      </c>
      <c r="E67" s="32" t="inlineStr">
        <is>
          <t>u</t>
        </is>
      </c>
      <c r="F67" s="33" t="n"/>
      <c r="G67" s="33" t="n"/>
      <c r="H67" s="32" t="inlineStr">
        <is>
          <t>Cartón</t>
        </is>
      </c>
      <c r="I67" s="17" t="inlineStr">
        <is>
          <t>4 por pallet / 32 u</t>
        </is>
      </c>
      <c r="J67" s="32" t="inlineStr">
        <is>
          <t>Compra</t>
        </is>
      </c>
      <c r="K67" s="32" t="inlineStr">
        <is>
          <t>Sí</t>
        </is>
      </c>
      <c r="L67" s="17" t="inlineStr">
        <is>
          <t>Maxipack</t>
        </is>
      </c>
      <c r="M67" s="17" t="inlineStr">
        <is>
          <t>Cartocan</t>
        </is>
      </c>
      <c r="N67" s="17" t="inlineStr">
        <is>
          <t>24 Envolvedora (T11)</t>
        </is>
      </c>
      <c r="O67" s="17" t="n"/>
      <c r="P67" s="32" t="inlineStr">
        <is>
          <t>C</t>
        </is>
      </c>
      <c r="Q67" s="32" t="n"/>
      <c r="R67" s="17" t="inlineStr">
        <is>
          <t>Planilla MP-64</t>
        </is>
      </c>
    </row>
  </sheetData>
  <autoFilter ref="A10:R67"/>
  <pageMargins left="0.75" right="0.75" top="1" bottom="1" header="0.5" footer="0.5"/>
  <pageSetup orientation="landscape" fitToHeight="0" fitToWidth="1"/>
</worksheet>
</file>

<file path=xl/worksheets/sheet20.xml><?xml version="1.0" encoding="utf-8"?>
<worksheet xmlns="http://schemas.openxmlformats.org/spreadsheetml/2006/main">
  <sheetPr>
    <tabColor rgb="00BF8F00"/>
    <outlinePr summaryBelow="0" summaryRight="1"/>
    <pageSetUpPr fitToPage="1"/>
  </sheetPr>
  <dimension ref="A1:R6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FL_MAT_AGUA_10l</t>
        </is>
      </c>
    </row>
    <row r="2">
      <c r="A2" s="58" t="inlineStr">
        <is>
          <t>Extintor Agua 10 l</t>
        </is>
      </c>
    </row>
    <row r="3">
      <c r="A3" s="2" t="inlineStr">
        <is>
          <t>Plano de origen</t>
        </is>
      </c>
      <c r="C3" t="inlineStr">
        <is>
          <t>FL_MAT_AGUA_10l  (4 láminas)</t>
        </is>
      </c>
      <c r="E3" s="2" t="inlineStr">
        <is>
          <t>Peso vacío S1-S4 (kg)</t>
        </is>
      </c>
      <c r="G3" s="59">
        <f>G13+G18+G34</f>
        <v/>
      </c>
    </row>
    <row r="4">
      <c r="A4" s="2" t="inlineStr">
        <is>
          <t>Plano de despiece</t>
        </is>
      </c>
      <c r="C4" t="inlineStr">
        <is>
          <t>FL_DES_AGUA_10l (salida/despiece/)</t>
        </is>
      </c>
      <c r="E4" s="2" t="inlineStr">
        <is>
          <t>Peso cargado S1-S6 (kg)</t>
        </is>
      </c>
      <c r="G4" s="59">
        <f>G13+G18+G34+G39+G42</f>
        <v/>
      </c>
    </row>
    <row r="5">
      <c r="A5" s="2" t="inlineStr">
        <is>
          <t>Norma del producto</t>
        </is>
      </c>
      <c r="C5" t="inlineStr">
        <is>
          <t>IRAM 3525</t>
        </is>
      </c>
      <c r="E5" s="2" t="inlineStr">
        <is>
          <t>Peso con soporte y embalaje (kg)</t>
        </is>
      </c>
      <c r="G5" s="59">
        <f>G13+G18+G34+G39+G42+G53+G50</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12.55</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FL_MAT_AGUA_10l</t>
        </is>
      </c>
      <c r="C11" s="27" t="inlineStr">
        <is>
          <t>Extintor Agua 10 l</t>
        </is>
      </c>
      <c r="D11" s="26" t="n">
        <v>1</v>
      </c>
      <c r="E11" s="26" t="inlineStr">
        <is>
          <t>u</t>
        </is>
      </c>
      <c r="F11" s="28" t="n"/>
      <c r="G11" s="28">
        <f>G5</f>
        <v/>
      </c>
      <c r="H11" s="26" t="n"/>
      <c r="I11" s="27" t="n"/>
      <c r="J11" s="26" t="n"/>
      <c r="K11" s="26" t="n"/>
      <c r="L11" s="27" t="n"/>
      <c r="M11" s="27" t="n"/>
      <c r="N11" s="27" t="n"/>
      <c r="O11" s="27" t="inlineStr">
        <is>
          <t>IRAM 3525</t>
        </is>
      </c>
      <c r="P11" s="26" t="inlineStr">
        <is>
          <t>P</t>
        </is>
      </c>
      <c r="Q11" s="26" t="inlineStr">
        <is>
          <t>FL_MAT_AGUA_10l</t>
        </is>
      </c>
      <c r="R11" s="27" t="inlineStr">
        <is>
          <t>Revendido: se compra terminado al fabricante con Sello IRAM; las piezas internas quedan como referencia (no entran en MRP)</t>
        </is>
      </c>
    </row>
    <row r="12">
      <c r="A12" s="29" t="n">
        <v>1</v>
      </c>
      <c r="B12" s="29" t="inlineStr">
        <is>
          <t>AGUA10-S0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Drago (Luis Pasquinelli e Hijos S.A.)</t>
        </is>
      </c>
      <c r="N12" s="30" t="inlineStr">
        <is>
          <t>Recepción y control de ingreso (SP-1)</t>
        </is>
      </c>
      <c r="O12" s="30" t="inlineStr">
        <is>
          <t>IRAM 3525</t>
        </is>
      </c>
      <c r="P12" s="29" t="inlineStr">
        <is>
          <t>I</t>
        </is>
      </c>
      <c r="Q12" s="29" t="inlineStr">
        <is>
          <t>FL_MAT_AGUA_10l</t>
        </is>
      </c>
      <c r="R12" s="30" t="inlineStr">
        <is>
          <t>Única fila de compra del revendido (más la tarjeta AGC si el destino es CABA)</t>
        </is>
      </c>
    </row>
    <row r="13">
      <c r="A13" s="29" t="n">
        <v>1</v>
      </c>
      <c r="B13" s="29" t="inlineStr">
        <is>
          <t>AGUA10-S1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FL_DES_AGUA_10l</t>
        </is>
      </c>
      <c r="R13" s="30" t="n"/>
    </row>
    <row r="14" outlineLevel="1">
      <c r="A14" s="32" t="n">
        <v>2</v>
      </c>
      <c r="B14" s="32" t="inlineStr">
        <is>
          <t>AGUA10-01</t>
        </is>
      </c>
      <c r="C14" s="17" t="inlineStr">
        <is>
          <t xml:space="preserve">        Cuerpo (virola)</t>
        </is>
      </c>
      <c r="D14" s="32" t="n">
        <v>1</v>
      </c>
      <c r="E14" s="32" t="inlineStr">
        <is>
          <t>u</t>
        </is>
      </c>
      <c r="F14" s="33" t="n">
        <v>1.8173</v>
      </c>
      <c r="G14" s="33">
        <f>D14*F14</f>
        <v/>
      </c>
      <c r="H14" s="32" t="inlineStr">
        <is>
          <t>Chapa acero inox. AISI 304 e=0,8</t>
        </is>
      </c>
      <c r="I14" s="17" t="inlineStr">
        <is>
          <t>Ø190 × e0,8 × 482 de alto; desarrollo 594,4 × 482</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FL_DES_AGUA_10l</t>
        </is>
      </c>
      <c r="R14" s="17" t="inlineStr">
        <is>
          <t>costura long. TIG</t>
        </is>
      </c>
    </row>
    <row r="15" outlineLevel="1">
      <c r="A15" s="32" t="n">
        <v>2</v>
      </c>
      <c r="B15" s="32" t="inlineStr">
        <is>
          <t>AGUA10-02</t>
        </is>
      </c>
      <c r="C15" s="17" t="inlineStr">
        <is>
          <t xml:space="preserve">        Cúpula</t>
        </is>
      </c>
      <c r="D15" s="32" t="n">
        <v>1</v>
      </c>
      <c r="E15" s="32" t="inlineStr">
        <is>
          <t>u</t>
        </is>
      </c>
      <c r="F15" s="33" t="n">
        <v>0.2669</v>
      </c>
      <c r="G15" s="33">
        <f>D15*F15</f>
        <v/>
      </c>
      <c r="H15" s="32" t="inlineStr">
        <is>
          <t>Chapa acero inox. AISI 304 e=0,8</t>
        </is>
      </c>
      <c r="I15" s="17" t="inlineStr">
        <is>
          <t>Ø190 × e0,8 × 59,1 de alto; disco Ø238,4</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FL_DES_AGUA_10l</t>
        </is>
      </c>
      <c r="R15" s="17" t="inlineStr">
        <is>
          <t>embutida</t>
        </is>
      </c>
    </row>
    <row r="16" outlineLevel="1">
      <c r="A16" s="32" t="n">
        <v>2</v>
      </c>
      <c r="B16" s="32" t="inlineStr">
        <is>
          <t>AGUA10-03</t>
        </is>
      </c>
      <c r="C16" s="17" t="inlineStr">
        <is>
          <t xml:space="preserve">        Fondo</t>
        </is>
      </c>
      <c r="D16" s="32" t="n">
        <v>1</v>
      </c>
      <c r="E16" s="32" t="inlineStr">
        <is>
          <t>u</t>
        </is>
      </c>
      <c r="F16" s="33" t="n">
        <v>0.2299</v>
      </c>
      <c r="G16" s="33">
        <f>D16*F16</f>
        <v/>
      </c>
      <c r="H16" s="32" t="inlineStr">
        <is>
          <t>Chapa acero inox. AISI 304 e=0,8</t>
        </is>
      </c>
      <c r="I16" s="17" t="inlineStr">
        <is>
          <t>Ø190 × e0,8 × 20 de alto; disco Ø221,3</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FL_DES_AGUA_10l</t>
        </is>
      </c>
      <c r="R16" s="17" t="inlineStr">
        <is>
          <t>embutido</t>
        </is>
      </c>
    </row>
    <row r="17" outlineLevel="1">
      <c r="A17" s="32" t="n">
        <v>2</v>
      </c>
      <c r="B17" s="32" t="inlineStr">
        <is>
          <t>AGUA10-04</t>
        </is>
      </c>
      <c r="C17" s="17" t="inlineStr">
        <is>
          <t xml:space="preserve">        Cuello roscado</t>
        </is>
      </c>
      <c r="D17" s="32" t="n">
        <v>1</v>
      </c>
      <c r="E17" s="32" t="inlineStr">
        <is>
          <t>u</t>
        </is>
      </c>
      <c r="F17" s="33" t="n">
        <v>0.0539</v>
      </c>
      <c r="G17" s="33">
        <f>D17*F17</f>
        <v/>
      </c>
      <c r="H17" s="32" t="inlineStr">
        <is>
          <t>Acero inox. AISI 304</t>
        </is>
      </c>
      <c r="I17" s="17" t="inlineStr">
        <is>
          <t>Ø37 × 14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FL_DES_AGUA_10l</t>
        </is>
      </c>
      <c r="R17" s="17" t="inlineStr">
        <is>
          <t>M30x1,5</t>
        </is>
      </c>
    </row>
    <row r="18">
      <c r="A18" s="29" t="n">
        <v>1</v>
      </c>
      <c r="B18" s="29" t="inlineStr">
        <is>
          <t>AGUA10-S2</t>
        </is>
      </c>
      <c r="C18" s="30" t="inlineStr">
        <is>
          <t xml:space="preserve">    Conjunto de válvula</t>
        </is>
      </c>
      <c r="D18" s="29" t="n">
        <v>1</v>
      </c>
      <c r="E18" s="29" t="inlineStr">
        <is>
          <t>u</t>
        </is>
      </c>
      <c r="F18" s="31" t="n"/>
      <c r="G18" s="31">
        <f>G19+G20+G21+G23+G24+G25+G26+G27+G28+G29+G30+G31</f>
        <v/>
      </c>
      <c r="H18" s="29" t="n"/>
      <c r="I18" s="30" t="n"/>
      <c r="J18" s="29" t="inlineStr">
        <is>
          <t>Compra / armado</t>
        </is>
      </c>
      <c r="K18" s="29" t="n"/>
      <c r="L18" s="30" t="n"/>
      <c r="M18" s="30" t="n"/>
      <c r="N18" s="30" t="n"/>
      <c r="O18" s="30" t="inlineStr">
        <is>
          <t>Manómetro IRAM 3533</t>
        </is>
      </c>
      <c r="P18" s="29" t="inlineStr">
        <is>
          <t>P</t>
        </is>
      </c>
      <c r="Q18" s="29" t="inlineStr">
        <is>
          <t>FL_DES_AGUA_10l</t>
        </is>
      </c>
      <c r="R18" s="30" t="n"/>
    </row>
    <row r="19" outlineLevel="1">
      <c r="A19" s="32" t="n">
        <v>2</v>
      </c>
      <c r="B19" s="32" t="inlineStr">
        <is>
          <t>AGUA10-05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FL_DES_AGUA_10l</t>
        </is>
      </c>
      <c r="R19" s="17" t="n"/>
    </row>
    <row r="20" outlineLevel="1">
      <c r="A20" s="32" t="n">
        <v>2</v>
      </c>
      <c r="B20" s="32" t="inlineStr">
        <is>
          <t>AGUA10-06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FL_DES_AGUA_10l</t>
        </is>
      </c>
      <c r="R20" s="17" t="n"/>
    </row>
    <row r="21" outlineLevel="1">
      <c r="A21" s="32" t="n">
        <v>2</v>
      </c>
      <c r="B21" s="32" t="inlineStr">
        <is>
          <t>AGUA10-07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FL_DES_AGUA_10l</t>
        </is>
      </c>
      <c r="R21" s="17" t="n"/>
    </row>
    <row r="22" outlineLevel="1">
      <c r="A22" s="32" t="n">
        <v>2</v>
      </c>
      <c r="B22" s="32" t="inlineStr">
        <is>
          <t>AGUA10-08</t>
        </is>
      </c>
      <c r="C22" s="17" t="inlineStr">
        <is>
          <t xml:space="preserve">        Manómetro</t>
        </is>
      </c>
      <c r="D22" s="32" t="n">
        <v>1</v>
      </c>
      <c r="E22" s="32" t="inlineStr">
        <is>
          <t>u</t>
        </is>
      </c>
      <c r="F22" s="33" t="n"/>
      <c r="G22" s="33" t="n"/>
      <c r="H22" s="32" t="inlineStr">
        <is>
          <t>Comercial</t>
        </is>
      </c>
      <c r="I22" s="17" t="inlineStr">
        <is>
          <t>Ø36 esfera, rango 0-2 MPa, sector verde en 0,8</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FL_DES_AGUA_10l</t>
        </is>
      </c>
      <c r="R22" s="17" t="inlineStr">
        <is>
          <t>Pieza comercial; sello IRAM 3533; peso: completar con la ficha del proveedor (no afecta el MRP)</t>
        </is>
      </c>
    </row>
    <row r="23" outlineLevel="1">
      <c r="A23" s="32" t="n">
        <v>2</v>
      </c>
      <c r="B23" s="32" t="inlineStr">
        <is>
          <t>AGUA10-09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FL_DES_AGUA_10l</t>
        </is>
      </c>
      <c r="R23" s="17" t="inlineStr">
        <is>
          <t>con junta tórica</t>
        </is>
      </c>
    </row>
    <row r="24" outlineLevel="1">
      <c r="A24" s="32" t="n">
        <v>2</v>
      </c>
      <c r="B24" s="32" t="inlineStr">
        <is>
          <t>AGUA10-10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FL_DES_AGUA_10l</t>
        </is>
      </c>
      <c r="R24" s="17" t="inlineStr">
        <is>
          <t>cierre del vástago</t>
        </is>
      </c>
    </row>
    <row r="25" outlineLevel="1">
      <c r="A25" s="32" t="n">
        <v>2</v>
      </c>
      <c r="B25" s="32" t="inlineStr">
        <is>
          <t>AGUA10-11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FL_DES_AGUA_10l</t>
        </is>
      </c>
      <c r="R25" s="17" t="n"/>
    </row>
    <row r="26" outlineLevel="1">
      <c r="A26" s="32" t="n">
        <v>2</v>
      </c>
      <c r="B26" s="32" t="inlineStr">
        <is>
          <t>AGUA10-12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FL_DES_AGUA_10l</t>
        </is>
      </c>
      <c r="R26" s="17" t="inlineStr">
        <is>
          <t>con precinto</t>
        </is>
      </c>
    </row>
    <row r="27" outlineLevel="1">
      <c r="A27" s="32" t="n">
        <v>2</v>
      </c>
      <c r="B27" s="32" t="inlineStr">
        <is>
          <t>AGUA10-13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FL_DES_AGUA_10l</t>
        </is>
      </c>
      <c r="R27" s="17" t="n"/>
    </row>
    <row r="28" outlineLevel="1">
      <c r="A28" s="32" t="n">
        <v>2</v>
      </c>
      <c r="B28" s="32" t="inlineStr">
        <is>
          <t>AGUA10-14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FL_DES_AGUA_10l</t>
        </is>
      </c>
      <c r="R28" s="17" t="n"/>
    </row>
    <row r="29" outlineLevel="1">
      <c r="A29" s="32" t="n">
        <v>2</v>
      </c>
      <c r="B29" s="32" t="inlineStr">
        <is>
          <t>AGUA10-15</t>
        </is>
      </c>
      <c r="C29" s="17" t="inlineStr">
        <is>
          <t xml:space="preserve">        Caño de pesca (sifón)</t>
        </is>
      </c>
      <c r="D29" s="32" t="n">
        <v>1</v>
      </c>
      <c r="E29" s="32" t="inlineStr">
        <is>
          <t>u</t>
        </is>
      </c>
      <c r="F29" s="33" t="n">
        <v>0.0433</v>
      </c>
      <c r="G29" s="33">
        <f>D29*F29</f>
        <v/>
      </c>
      <c r="H29" s="32" t="inlineStr">
        <is>
          <t>Tubo polipropileno</t>
        </is>
      </c>
      <c r="I29" s="17" t="inlineStr">
        <is>
          <t>Ø21,3 × 515,5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FL_DES_AGUA_10l</t>
        </is>
      </c>
      <c r="R29" s="17" t="n"/>
    </row>
    <row r="30" outlineLevel="1">
      <c r="A30" s="32" t="n">
        <v>2</v>
      </c>
      <c r="B30" s="32" t="inlineStr">
        <is>
          <t>AGUA10-16</t>
        </is>
      </c>
      <c r="C30" s="17" t="inlineStr">
        <is>
          <t xml:space="preserve">        Filtro del tubo de pesca</t>
        </is>
      </c>
      <c r="D30" s="32" t="n">
        <v>1</v>
      </c>
      <c r="E30" s="32" t="inlineStr">
        <is>
          <t>u</t>
        </is>
      </c>
      <c r="F30" s="33" t="n">
        <v>0.0015</v>
      </c>
      <c r="G30" s="33">
        <f>D30*F30</f>
        <v/>
      </c>
      <c r="H30" s="32" t="inlineStr">
        <is>
          <t>Polipropileno perforado</t>
        </is>
      </c>
      <c r="I30" s="17" t="inlineStr">
        <is>
          <t>25 × 24,3 × 24,3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FL_DES_AGUA_10l</t>
        </is>
      </c>
      <c r="R30" s="17" t="inlineStr">
        <is>
          <t>área ≥ 10 × boquilla</t>
        </is>
      </c>
    </row>
    <row r="31" outlineLevel="1">
      <c r="A31" s="32" t="n">
        <v>2</v>
      </c>
      <c r="B31" s="32" t="inlineStr">
        <is>
          <t>AGUA10-26</t>
        </is>
      </c>
      <c r="C31" s="17" t="inlineStr">
        <is>
          <t xml:space="preserve">        Junta tórica de asiento</t>
        </is>
      </c>
      <c r="D31" s="32" t="n">
        <v>1</v>
      </c>
      <c r="E31" s="32" t="inlineStr">
        <is>
          <t>u</t>
        </is>
      </c>
      <c r="F31" s="33" t="n">
        <v>0.001</v>
      </c>
      <c r="G31" s="33">
        <f>D31*F31</f>
        <v/>
      </c>
      <c r="H31" s="32" t="inlineStr">
        <is>
          <t>NBR 70 Shore A</t>
        </is>
      </c>
      <c r="I31" s="17" t="inlineStr">
        <is>
          <t>Ø32,8 ext. × cordón 3</t>
        </is>
      </c>
      <c r="J31" s="32" t="inlineStr">
        <is>
          <t>Compra (en el conjunto)</t>
        </is>
      </c>
      <c r="K31" s="32" t="inlineStr">
        <is>
          <t>No</t>
        </is>
      </c>
      <c r="L31" s="17" t="n"/>
      <c r="M31" s="17" t="n"/>
      <c r="N31" s="17" t="inlineStr">
        <is>
          <t>S4 - se compra terminado (tercerizado con sello IRAM)</t>
        </is>
      </c>
      <c r="O31" s="17" t="n"/>
      <c r="P31" s="32" t="inlineStr">
        <is>
          <t>P</t>
        </is>
      </c>
      <c r="Q31" s="32" t="inlineStr">
        <is>
          <t>FL_DES_AGUA_10l</t>
        </is>
      </c>
      <c r="R31" s="17" t="inlineStr">
        <is>
          <t>cambio c/recarga</t>
        </is>
      </c>
    </row>
    <row r="32" outlineLevel="1">
      <c r="A32" s="32" t="n">
        <v>2</v>
      </c>
      <c r="B32" s="32" t="inlineStr">
        <is>
          <t>AGUA10-V2</t>
        </is>
      </c>
      <c r="C32" s="17" t="inlineStr">
        <is>
          <t xml:space="preserve">        Resorte de retorno del vástago</t>
        </is>
      </c>
      <c r="D32" s="32" t="n">
        <v>1</v>
      </c>
      <c r="E32" s="32" t="inlineStr">
        <is>
          <t>u</t>
        </is>
      </c>
      <c r="F32" s="33" t="n"/>
      <c r="G32" s="33" t="n"/>
      <c r="H32" s="32" t="inlineStr">
        <is>
          <t>Acero para resortes</t>
        </is>
      </c>
      <c r="I32" s="17" t="inlineStr">
        <is>
          <t>incluido en la válvula</t>
        </is>
      </c>
      <c r="J32" s="32" t="inlineStr">
        <is>
          <t>Compra (en el conjunto)</t>
        </is>
      </c>
      <c r="K32" s="32" t="inlineStr">
        <is>
          <t>No</t>
        </is>
      </c>
      <c r="L32" s="17" t="n"/>
      <c r="M32" s="17" t="n"/>
      <c r="N32" s="17" t="inlineStr">
        <is>
          <t>19 Ensamblaje</t>
        </is>
      </c>
      <c r="O32" s="17" t="n"/>
      <c r="P32" s="32" t="inlineStr">
        <is>
          <t>Q</t>
        </is>
      </c>
      <c r="Q32" s="32" t="n"/>
      <c r="R32" s="17" t="inlineStr">
        <is>
          <t>Lista de precios HZ: válvula «c/resorte» (Q-AGENTES)</t>
        </is>
      </c>
    </row>
    <row r="33" outlineLevel="1">
      <c r="A33" s="32" t="n">
        <v>2</v>
      </c>
      <c r="B33" s="32" t="inlineStr">
        <is>
          <t>AGUA10-V3</t>
        </is>
      </c>
      <c r="C33" s="17" t="inlineStr">
        <is>
          <t xml:space="preserve">        Junta tórica del vástago</t>
        </is>
      </c>
      <c r="D33" s="32" t="n">
        <v>1</v>
      </c>
      <c r="E33" s="32" t="inlineStr">
        <is>
          <t>u</t>
        </is>
      </c>
      <c r="F33" s="33" t="n"/>
      <c r="G33" s="33" t="n"/>
      <c r="H33" s="32" t="inlineStr">
        <is>
          <t>NBR 70 Shore A</t>
        </is>
      </c>
      <c r="I33" s="17" t="inlineStr">
        <is>
          <t>incluida en la válvula</t>
        </is>
      </c>
      <c r="J33" s="32" t="inlineStr">
        <is>
          <t>Compra (en el conjunto)</t>
        </is>
      </c>
      <c r="K33" s="32" t="inlineStr">
        <is>
          <t>No</t>
        </is>
      </c>
      <c r="L33" s="17" t="n"/>
      <c r="M33" s="17" t="n"/>
      <c r="N33" s="17" t="inlineStr">
        <is>
          <t>19 Ensamblaje</t>
        </is>
      </c>
      <c r="O33" s="17" t="n"/>
      <c r="P33" s="32" t="inlineStr">
        <is>
          <t>P</t>
        </is>
      </c>
      <c r="Q33" s="32" t="n"/>
      <c r="R33" s="17" t="inlineStr">
        <is>
          <t>Figura en el plano como «vástago con junta tórica»</t>
        </is>
      </c>
    </row>
    <row r="34">
      <c r="A34" s="29" t="n">
        <v>1</v>
      </c>
      <c r="B34" s="29" t="inlineStr">
        <is>
          <t>AGUA10-S3</t>
        </is>
      </c>
      <c r="C34" s="30" t="inlineStr">
        <is>
          <t xml:space="preserve">    Dispositivo de descarga</t>
        </is>
      </c>
      <c r="D34" s="29" t="n">
        <v>1</v>
      </c>
      <c r="E34" s="29" t="inlineStr">
        <is>
          <t>u</t>
        </is>
      </c>
      <c r="F34" s="31" t="n"/>
      <c r="G34" s="31">
        <f>G35+G36+G37+G38</f>
        <v/>
      </c>
      <c r="H34" s="29" t="n"/>
      <c r="I34" s="30" t="n"/>
      <c r="J34" s="29" t="inlineStr">
        <is>
          <t>Compra / armado</t>
        </is>
      </c>
      <c r="K34" s="29" t="n"/>
      <c r="L34" s="30" t="n"/>
      <c r="M34" s="30" t="n"/>
      <c r="N34" s="30" t="n"/>
      <c r="O34" s="30" t="n"/>
      <c r="P34" s="29" t="inlineStr">
        <is>
          <t>P</t>
        </is>
      </c>
      <c r="Q34" s="29" t="inlineStr">
        <is>
          <t>FL_DES_AGUA_10l</t>
        </is>
      </c>
      <c r="R34" s="30" t="n"/>
    </row>
    <row r="35" outlineLevel="1">
      <c r="A35" s="32" t="n">
        <v>2</v>
      </c>
      <c r="B35" s="32" t="inlineStr">
        <is>
          <t>AGUA10-17</t>
        </is>
      </c>
      <c r="C35" s="17" t="inlineStr">
        <is>
          <t xml:space="preserve">        Racor de manguera</t>
        </is>
      </c>
      <c r="D35" s="32" t="n">
        <v>1</v>
      </c>
      <c r="E35" s="32" t="inlineStr">
        <is>
          <t>u</t>
        </is>
      </c>
      <c r="F35" s="33" t="n">
        <v>0.0258</v>
      </c>
      <c r="G35" s="33">
        <f>D35*F35</f>
        <v/>
      </c>
      <c r="H35" s="32" t="inlineStr">
        <is>
          <t>Latón</t>
        </is>
      </c>
      <c r="I35" s="17" t="inlineStr">
        <is>
          <t>18 × 18 × 12</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FL_DES_AGUA_10l</t>
        </is>
      </c>
      <c r="R35" s="17" t="n"/>
    </row>
    <row r="36" outlineLevel="1">
      <c r="A36" s="32" t="n">
        <v>2</v>
      </c>
      <c r="B36" s="32" t="inlineStr">
        <is>
          <t>AGUA10-18</t>
        </is>
      </c>
      <c r="C36" s="17" t="inlineStr">
        <is>
          <t xml:space="preserve">        Manguera</t>
        </is>
      </c>
      <c r="D36" s="32" t="n">
        <v>1</v>
      </c>
      <c r="E36" s="32" t="inlineStr">
        <is>
          <t>u</t>
        </is>
      </c>
      <c r="F36" s="33" t="n">
        <v>0.07679999999999999</v>
      </c>
      <c r="G36" s="33">
        <f>D36*F36</f>
        <v/>
      </c>
      <c r="H36" s="32" t="inlineStr">
        <is>
          <t>Caucho sintético</t>
        </is>
      </c>
      <c r="I36" s="17" t="inlineStr">
        <is>
          <t>Ø16 × 497 de largo desarrollado</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FL_DES_AGUA_10l</t>
        </is>
      </c>
      <c r="R36" s="17" t="n"/>
    </row>
    <row r="37" outlineLevel="1">
      <c r="A37" s="32" t="n">
        <v>2</v>
      </c>
      <c r="B37" s="32" t="inlineStr">
        <is>
          <t>AGUA10-19</t>
        </is>
      </c>
      <c r="C37" s="17" t="inlineStr">
        <is>
          <t xml:space="preserve">        Tobera de chorro pleno</t>
        </is>
      </c>
      <c r="D37" s="32" t="n">
        <v>1</v>
      </c>
      <c r="E37" s="32" t="inlineStr">
        <is>
          <t>u</t>
        </is>
      </c>
      <c r="F37" s="33" t="n">
        <v>0.0219</v>
      </c>
      <c r="G37" s="33">
        <f>D37*F37</f>
        <v/>
      </c>
      <c r="H37" s="32" t="inlineStr">
        <is>
          <t>Polipropileno</t>
        </is>
      </c>
      <c r="I37" s="17" t="inlineStr">
        <is>
          <t>85 × 22 × 22</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FL_DES_AGUA_10l</t>
        </is>
      </c>
      <c r="R37" s="17" t="n"/>
    </row>
    <row r="38" outlineLevel="1">
      <c r="A38" s="32" t="n">
        <v>2</v>
      </c>
      <c r="B38" s="32" t="inlineStr">
        <is>
          <t>AGUA10-20</t>
        </is>
      </c>
      <c r="C38" s="17" t="inlineStr">
        <is>
          <t xml:space="preserve">        Suncho portatobera</t>
        </is>
      </c>
      <c r="D38" s="32" t="n">
        <v>1</v>
      </c>
      <c r="E38" s="32" t="inlineStr">
        <is>
          <t>u</t>
        </is>
      </c>
      <c r="F38" s="33" t="n">
        <v>0.1324</v>
      </c>
      <c r="G38" s="33">
        <f>D38*F38</f>
        <v/>
      </c>
      <c r="H38" s="32" t="inlineStr">
        <is>
          <t>Fleje acero SAE 1010 pintado</t>
        </is>
      </c>
      <c r="I38" s="17" t="inlineStr">
        <is>
          <t>197,3 × 193,6 × 18</t>
        </is>
      </c>
      <c r="J38" s="32" t="inlineStr">
        <is>
          <t>Compra (en el conjunto)</t>
        </is>
      </c>
      <c r="K38" s="32" t="inlineStr">
        <is>
          <t>No</t>
        </is>
      </c>
      <c r="L38" s="17" t="n"/>
      <c r="M38" s="17" t="n"/>
      <c r="N38" s="17" t="inlineStr">
        <is>
          <t>S4 - se compra terminado (tercerizado con sello IRAM)</t>
        </is>
      </c>
      <c r="O38" s="17" t="n"/>
      <c r="P38" s="32" t="inlineStr">
        <is>
          <t>P</t>
        </is>
      </c>
      <c r="Q38" s="32" t="inlineStr">
        <is>
          <t>FL_DES_AGUA_10l</t>
        </is>
      </c>
      <c r="R38" s="17" t="n"/>
    </row>
    <row r="39">
      <c r="A39" s="29" t="n">
        <v>1</v>
      </c>
      <c r="B39" s="29" t="inlineStr">
        <is>
          <t>AGUA10-S5</t>
        </is>
      </c>
      <c r="C39" s="30" t="inlineStr">
        <is>
          <t xml:space="preserve">    Carga: agente extintor y gas impulsor</t>
        </is>
      </c>
      <c r="D39" s="29" t="n">
        <v>1</v>
      </c>
      <c r="E39" s="29" t="inlineStr">
        <is>
          <t>u</t>
        </is>
      </c>
      <c r="F39" s="31" t="n"/>
      <c r="G39" s="31">
        <f>G40+G41</f>
        <v/>
      </c>
      <c r="H39" s="29" t="n"/>
      <c r="I39" s="30" t="n"/>
      <c r="J39" s="29" t="inlineStr">
        <is>
          <t>Compra</t>
        </is>
      </c>
      <c r="K39" s="29" t="n"/>
      <c r="L39" s="30" t="n"/>
      <c r="M39" s="30" t="n"/>
      <c r="N39" s="30" t="n"/>
      <c r="O39" s="30" t="n"/>
      <c r="P39" s="29" t="n"/>
      <c r="Q39" s="29" t="n"/>
      <c r="R39" s="30" t="n"/>
    </row>
    <row r="40" outlineLevel="1">
      <c r="A40" s="32" t="n">
        <v>2</v>
      </c>
      <c r="B40" s="32" t="inlineStr">
        <is>
          <t>AGUA10-A1</t>
        </is>
      </c>
      <c r="C40" s="17" t="inlineStr">
        <is>
          <t xml:space="preserve">        Agua</t>
        </is>
      </c>
      <c r="D40" s="32" t="n">
        <v>10</v>
      </c>
      <c r="E40" s="32" t="inlineStr">
        <is>
          <t>L</t>
        </is>
      </c>
      <c r="F40" s="33" t="n">
        <v>1</v>
      </c>
      <c r="G40" s="33">
        <f>D40*F40</f>
        <v/>
      </c>
      <c r="H40" s="32" t="inlineStr">
        <is>
          <t>Agua</t>
        </is>
      </c>
      <c r="I40" s="17" t="inlineStr">
        <is>
          <t>nominal 10 L; tolerancia ± 3 % (IRAM 3517-2:2020 tabla 3)</t>
        </is>
      </c>
      <c r="J40" s="32" t="inlineStr">
        <is>
          <t>Compra</t>
        </is>
      </c>
      <c r="K40" s="32" t="inlineStr">
        <is>
          <t>No</t>
        </is>
      </c>
      <c r="L40" s="17" t="n"/>
      <c r="M40" s="17" t="n"/>
      <c r="N40" s="17" t="inlineStr">
        <is>
          <t>SP-1 almacén previo a la carga</t>
        </is>
      </c>
      <c r="O40" s="17" t="inlineStr">
        <is>
          <t>-</t>
        </is>
      </c>
      <c r="P40" s="32" t="inlineStr">
        <is>
          <t>N</t>
        </is>
      </c>
      <c r="Q40" s="32" t="n"/>
      <c r="R40" s="17" t="n"/>
    </row>
    <row r="41" outlineLevel="1">
      <c r="A41" s="32" t="n">
        <v>2</v>
      </c>
      <c r="B41" s="32" t="inlineStr">
        <is>
          <t>AGUA10-A2</t>
        </is>
      </c>
      <c r="C41" s="17" t="inlineStr">
        <is>
          <t xml:space="preserve">        Gas impulsor: Aire comprimido</t>
        </is>
      </c>
      <c r="D41" s="32" t="n">
        <v>0.0427</v>
      </c>
      <c r="E41" s="32" t="inlineStr">
        <is>
          <t>kg</t>
        </is>
      </c>
      <c r="F41" s="33" t="n">
        <v>1</v>
      </c>
      <c r="G41" s="33">
        <f>D41*F41</f>
        <v/>
      </c>
      <c r="H41" s="32" t="inlineStr">
        <is>
          <t>Aire comprimido</t>
        </is>
      </c>
      <c r="I41" s="17" t="inlineStr">
        <is>
          <t>33 L normales para 0,8 MPa a 20 °C en 3,98 dm³ libres</t>
        </is>
      </c>
      <c r="J41" s="32" t="inlineStr">
        <is>
          <t>Compra</t>
        </is>
      </c>
      <c r="K41" s="32" t="inlineStr">
        <is>
          <t>No</t>
        </is>
      </c>
      <c r="L41" s="17" t="n"/>
      <c r="M41" s="17" t="n"/>
      <c r="N41" s="17" t="inlineStr">
        <is>
          <t>20 Presurización (T05) / C10</t>
        </is>
      </c>
      <c r="O41" s="17" t="inlineStr">
        <is>
          <t>IRAM 3517-2 9.4.9 (tabla 2) · IRAM 3523 2.3 y 3.10</t>
        </is>
      </c>
      <c r="P41" s="32" t="inlineStr">
        <is>
          <t>C</t>
        </is>
      </c>
      <c r="Q41" s="32" t="n"/>
      <c r="R41" s="17" t="inlineStr">
        <is>
          <t>Batería en SP-1; punto de rocío ≤ -56,7 °C para gases limpios</t>
        </is>
      </c>
    </row>
    <row r="42">
      <c r="A42" s="29" t="n">
        <v>1</v>
      </c>
      <c r="B42" s="29" t="inlineStr">
        <is>
          <t>AGUA10-S6</t>
        </is>
      </c>
      <c r="C42" s="30" t="inlineStr">
        <is>
          <t xml:space="preserve">    Identificación y precinto</t>
        </is>
      </c>
      <c r="D42" s="29" t="n">
        <v>1</v>
      </c>
      <c r="E42" s="29" t="inlineStr">
        <is>
          <t>u</t>
        </is>
      </c>
      <c r="F42" s="31" t="n"/>
      <c r="G42" s="31">
        <f>G43+G44+G45+G46+G47+G48+G49</f>
        <v/>
      </c>
      <c r="H42" s="29" t="n"/>
      <c r="I42" s="30" t="n"/>
      <c r="J42" s="29" t="inlineStr">
        <is>
          <t>Compra</t>
        </is>
      </c>
      <c r="K42" s="29" t="n"/>
      <c r="L42" s="30" t="n"/>
      <c r="M42" s="30" t="n"/>
      <c r="N42" s="30" t="inlineStr">
        <is>
          <t>22 Etiquetado (T07)</t>
        </is>
      </c>
      <c r="O42" s="30" t="n"/>
      <c r="P42" s="29" t="n"/>
      <c r="Q42" s="29" t="n"/>
      <c r="R42" s="30" t="n"/>
    </row>
    <row r="43" outlineLevel="1">
      <c r="A43" s="32" t="n">
        <v>2</v>
      </c>
      <c r="B43" s="32" t="inlineStr">
        <is>
          <t>AGUA10-21</t>
        </is>
      </c>
      <c r="C43" s="17" t="inlineStr">
        <is>
          <t xml:space="preserve">        Etiqueta / placa de características</t>
        </is>
      </c>
      <c r="D43" s="32" t="n">
        <v>1</v>
      </c>
      <c r="E43" s="32" t="inlineStr">
        <is>
          <t>u</t>
        </is>
      </c>
      <c r="F43" s="33" t="n">
        <v>0.0288</v>
      </c>
      <c r="G43" s="33">
        <f>D43*F43</f>
        <v/>
      </c>
      <c r="H43" s="32" t="inlineStr">
        <is>
          <t>Vinilo autoadhesivo laminado</t>
        </is>
      </c>
      <c r="I43" s="17" t="inlineStr">
        <is>
          <t>359 × 191 (desarrollo × alto: panel central 108° + 2 alas laterales), e ≈ 0,3, laminado UV</t>
        </is>
      </c>
      <c r="J43" s="32" t="inlineStr">
        <is>
          <t>Compra</t>
        </is>
      </c>
      <c r="K43" s="32" t="inlineStr">
        <is>
          <t>No</t>
        </is>
      </c>
      <c r="L43" s="17" t="n"/>
      <c r="M43" s="17" t="n"/>
      <c r="N43" s="17" t="inlineStr">
        <is>
          <t>22 Etiquetado (T07)</t>
        </is>
      </c>
      <c r="O43" s="17" t="inlineStr">
        <is>
          <t>IRAM 3534 · IRAM 3525 cap. 5 · relevamiento de mercado</t>
        </is>
      </c>
      <c r="P43" s="32" t="inlineStr">
        <is>
          <t>P</t>
        </is>
      </c>
      <c r="Q43" s="32" t="inlineStr">
        <is>
          <t>FL_DES_AGUA_10l</t>
        </is>
      </c>
      <c r="R43" s="17" t="inlineStr">
        <is>
          <t>IRAM 3534</t>
        </is>
      </c>
    </row>
    <row r="44" outlineLevel="1">
      <c r="A44" s="32" t="n">
        <v>2</v>
      </c>
      <c r="B44" s="32" t="inlineStr">
        <is>
          <t>AGUA10-22</t>
        </is>
      </c>
      <c r="C44" s="17" t="inlineStr">
        <is>
          <t xml:space="preserve">        Oblea de fabricación (PBA)</t>
        </is>
      </c>
      <c r="D44" s="32" t="n">
        <v>1</v>
      </c>
      <c r="E44" s="32" t="inlineStr">
        <is>
          <t>u</t>
        </is>
      </c>
      <c r="F44" s="33" t="n">
        <v>0.0009</v>
      </c>
      <c r="G44" s="33">
        <f>D44*F44</f>
        <v/>
      </c>
      <c r="H44" s="32" t="inlineStr">
        <is>
          <t>Papel de seguridad autodestructible</t>
        </is>
      </c>
      <c r="I44" s="17" t="inlineStr">
        <is>
          <t>Ø46 (Res. OPDS 522/07), numerada, autodestructible</t>
        </is>
      </c>
      <c r="J44" s="32" t="inlineStr">
        <is>
          <t>Compra</t>
        </is>
      </c>
      <c r="K44" s="32" t="inlineStr">
        <is>
          <t>No</t>
        </is>
      </c>
      <c r="L44" s="17" t="n"/>
      <c r="M44" s="17" t="n"/>
      <c r="N44" s="17" t="inlineStr">
        <is>
          <t>22 Etiquetado (T07)</t>
        </is>
      </c>
      <c r="O44" s="17" t="inlineStr">
        <is>
          <t>Res. OPDS 522/07 anexos 1, 2 y 6</t>
        </is>
      </c>
      <c r="P44" s="32" t="inlineStr">
        <is>
          <t>P</t>
        </is>
      </c>
      <c r="Q44" s="32" t="inlineStr">
        <is>
          <t>FL_DES_AGUA_10l</t>
        </is>
      </c>
      <c r="R44" s="17" t="inlineStr">
        <is>
          <t>Res. 522/07</t>
        </is>
      </c>
    </row>
    <row r="45" outlineLevel="1">
      <c r="A45" s="32" t="n">
        <v>2</v>
      </c>
      <c r="B45" s="32" t="inlineStr">
        <is>
          <t>AGUA10-23</t>
        </is>
      </c>
      <c r="C45" s="17" t="inlineStr">
        <is>
          <t xml:space="preserve">        Estampilla IRAM de conformidad</t>
        </is>
      </c>
      <c r="D45" s="32" t="n">
        <v>1</v>
      </c>
      <c r="E45" s="32" t="inlineStr">
        <is>
          <t>u</t>
        </is>
      </c>
      <c r="F45" s="33" t="n">
        <v>0.001</v>
      </c>
      <c r="G45" s="33">
        <f>D45*F45</f>
        <v/>
      </c>
      <c r="H45" s="32" t="inlineStr">
        <is>
          <t>Provista por IRAM (Anexo R)</t>
        </is>
      </c>
      <c r="I45" s="17" t="inlineStr">
        <is>
          <t>60 × 40</t>
        </is>
      </c>
      <c r="J45" s="32" t="inlineStr">
        <is>
          <t>Compra</t>
        </is>
      </c>
      <c r="K45" s="32" t="inlineStr">
        <is>
          <t>No</t>
        </is>
      </c>
      <c r="L45" s="17" t="n"/>
      <c r="M45" s="17" t="n"/>
      <c r="N45" s="17" t="inlineStr">
        <is>
          <t>22 Etiquetado (T07)</t>
        </is>
      </c>
      <c r="O45" s="17" t="inlineStr">
        <is>
          <t>IRAM Anexo R (DC-PG-129)</t>
        </is>
      </c>
      <c r="P45" s="32" t="inlineStr">
        <is>
          <t>P</t>
        </is>
      </c>
      <c r="Q45" s="32" t="inlineStr">
        <is>
          <t>FL_DES_AGUA_10l</t>
        </is>
      </c>
      <c r="R45" s="17" t="inlineStr">
        <is>
          <t>numerada</t>
        </is>
      </c>
    </row>
    <row r="46" outlineLevel="1">
      <c r="A46" s="32" t="n">
        <v>2</v>
      </c>
      <c r="B46" s="32" t="inlineStr">
        <is>
          <t>AGUA10-24</t>
        </is>
      </c>
      <c r="C46" s="17" t="inlineStr">
        <is>
          <t xml:space="preserve">        Tarjeta de identificación AGC (CABA)</t>
        </is>
      </c>
      <c r="D46" s="32" t="n">
        <v>1</v>
      </c>
      <c r="E46" s="32" t="inlineStr">
        <is>
          <t>u</t>
        </is>
      </c>
      <c r="F46" s="33" t="n">
        <v>0.0032</v>
      </c>
      <c r="G46" s="33">
        <f>D46*F46</f>
        <v/>
      </c>
      <c r="H46" s="32" t="inlineStr">
        <is>
          <t>Etiqueta autoadhesiva emitida por la AGC</t>
        </is>
      </c>
      <c r="I46" s="17" t="inlineStr">
        <is>
          <t>140 × 55</t>
        </is>
      </c>
      <c r="J46" s="32" t="inlineStr">
        <is>
          <t>Compra</t>
        </is>
      </c>
      <c r="K46" s="32" t="inlineStr">
        <is>
          <t>Sí</t>
        </is>
      </c>
      <c r="L46" s="17" t="inlineStr">
        <is>
          <t>Agencia Gubernamental de Control (CABA)</t>
        </is>
      </c>
      <c r="M46" s="17" t="inlineStr">
        <is>
          <t>-</t>
        </is>
      </c>
      <c r="N46" s="17" t="inlineStr">
        <is>
          <t>22 Etiquetado (T07)</t>
        </is>
      </c>
      <c r="O46" s="17" t="inlineStr">
        <is>
          <t>Ordenanza 40.473 art. 6 · Res. AGC 32/15</t>
        </is>
      </c>
      <c r="P46" s="32" t="inlineStr">
        <is>
          <t>P</t>
        </is>
      </c>
      <c r="Q46" s="32" t="inlineStr">
        <is>
          <t>FL_DES_AGUA_10l</t>
        </is>
      </c>
      <c r="R46" s="17" t="inlineStr">
        <is>
          <t>sólo destino CABA; sólo destino CABA</t>
        </is>
      </c>
    </row>
    <row r="47" outlineLevel="1">
      <c r="A47" s="32" t="n">
        <v>2</v>
      </c>
      <c r="B47" s="32" t="inlineStr">
        <is>
          <t>AGUA10-25</t>
        </is>
      </c>
      <c r="C47" s="17" t="inlineStr">
        <is>
          <t xml:space="preserve">        Etiqueta de n° de serie GS1</t>
        </is>
      </c>
      <c r="D47" s="32" t="n">
        <v>1</v>
      </c>
      <c r="E47" s="32" t="inlineStr">
        <is>
          <t>u</t>
        </is>
      </c>
      <c r="F47" s="33" t="n">
        <v>0.0005</v>
      </c>
      <c r="G47" s="33">
        <f>D47*F47</f>
        <v/>
      </c>
      <c r="H47" s="32" t="inlineStr">
        <is>
          <t>Poliéster autoadhesivo impreso térmico</t>
        </is>
      </c>
      <c r="I47" s="17" t="inlineStr">
        <is>
          <t>45 × 25</t>
        </is>
      </c>
      <c r="J47" s="32" t="inlineStr">
        <is>
          <t>Compra</t>
        </is>
      </c>
      <c r="K47" s="32" t="inlineStr">
        <is>
          <t>No</t>
        </is>
      </c>
      <c r="L47" s="17" t="n"/>
      <c r="M47" s="17" t="n"/>
      <c r="N47" s="17" t="inlineStr">
        <is>
          <t>22 Etiquetado (T07)</t>
        </is>
      </c>
      <c r="O47" s="17" t="inlineStr">
        <is>
          <t>GS1 Argentina (GTIN 779) · trazabilidad IRAM 3523 5.1</t>
        </is>
      </c>
      <c r="P47" s="32" t="inlineStr">
        <is>
          <t>P</t>
        </is>
      </c>
      <c r="Q47" s="32" t="inlineStr">
        <is>
          <t>FL_DES_AGUA_10l</t>
        </is>
      </c>
      <c r="R47" s="17" t="inlineStr">
        <is>
          <t>QR GTIN + serie</t>
        </is>
      </c>
    </row>
    <row r="48" outlineLevel="1">
      <c r="A48" s="32" t="n">
        <v>2</v>
      </c>
      <c r="B48" s="32" t="inlineStr">
        <is>
          <t>AGUA10-27</t>
        </is>
      </c>
      <c r="C48" s="17" t="inlineStr">
        <is>
          <t xml:space="preserve">        Faja de garantía válvula-cuello</t>
        </is>
      </c>
      <c r="D48" s="32" t="n">
        <v>1</v>
      </c>
      <c r="E48" s="32" t="inlineStr">
        <is>
          <t>u</t>
        </is>
      </c>
      <c r="F48" s="33" t="n">
        <v>0.0001</v>
      </c>
      <c r="G48" s="33">
        <f>D48*F48</f>
        <v/>
      </c>
      <c r="H48" s="32" t="inlineStr">
        <is>
          <t>Vinilo destructible rayado rojo/blanco</t>
        </is>
      </c>
      <c r="I48" s="17" t="inlineStr">
        <is>
          <t>22 × 22 (ancho × largo desarrollado), pegada sobre la unión: cuerpo de la válvula, tuerca y cuello</t>
        </is>
      </c>
      <c r="J48" s="32" t="inlineStr">
        <is>
          <t>Compra</t>
        </is>
      </c>
      <c r="K48" s="32" t="inlineStr">
        <is>
          <t>No</t>
        </is>
      </c>
      <c r="L48" s="17" t="n"/>
      <c r="M48" s="17" t="n"/>
      <c r="N48" s="17" t="inlineStr">
        <is>
          <t>22 Etiquetado (T07)</t>
        </is>
      </c>
      <c r="O48" s="17" t="inlineStr">
        <is>
          <t>Sin norma: práctica de mercado (garantía de fábrica)</t>
        </is>
      </c>
      <c r="P48" s="32" t="inlineStr">
        <is>
          <t>P</t>
        </is>
      </c>
      <c r="Q48" s="32" t="inlineStr">
        <is>
          <t>FL_DES_AGUA_10l</t>
        </is>
      </c>
      <c r="R48" s="17" t="inlineStr">
        <is>
          <t>nuevo sin abrir</t>
        </is>
      </c>
    </row>
    <row r="49" outlineLevel="1">
      <c r="A49" s="32" t="n">
        <v>2</v>
      </c>
      <c r="B49" s="32" t="inlineStr">
        <is>
          <t>AGUA10-28</t>
        </is>
      </c>
      <c r="C49" s="17" t="inlineStr">
        <is>
          <t xml:space="preserve">        Precinto de fábrica</t>
        </is>
      </c>
      <c r="D49" s="32" t="n">
        <v>1</v>
      </c>
      <c r="E49" s="32" t="inlineStr">
        <is>
          <t>u</t>
        </is>
      </c>
      <c r="F49" s="33" t="n">
        <v>0.0002</v>
      </c>
      <c r="G49" s="33">
        <f>D49*F49</f>
        <v/>
      </c>
      <c r="H49" s="32" t="inlineStr">
        <is>
          <t>Polipropileno color</t>
        </is>
      </c>
      <c r="I49" s="17" t="inlineStr">
        <is>
          <t>Ø5 × 10, numerado, rotura 30-50 N</t>
        </is>
      </c>
      <c r="J49" s="32" t="inlineStr">
        <is>
          <t>Compra</t>
        </is>
      </c>
      <c r="K49" s="32" t="inlineStr">
        <is>
          <t>No</t>
        </is>
      </c>
      <c r="L49" s="17" t="n"/>
      <c r="M49" s="17" t="n"/>
      <c r="N49" s="17" t="inlineStr">
        <is>
          <t>20 Presurización (T05)</t>
        </is>
      </c>
      <c r="O49" s="17" t="inlineStr">
        <is>
          <t>IRAM 3523 3.3.2 · IRAM 3517-2:2020 9.4.13</t>
        </is>
      </c>
      <c r="P49" s="32" t="inlineStr">
        <is>
          <t>P</t>
        </is>
      </c>
      <c r="Q49" s="32" t="inlineStr">
        <is>
          <t>FL_DES_AGUA_10l</t>
        </is>
      </c>
      <c r="R49" s="17" t="inlineStr">
        <is>
          <t>id. FLAMA y lote</t>
        </is>
      </c>
    </row>
    <row r="50">
      <c r="A50" s="29" t="n">
        <v>1</v>
      </c>
      <c r="B50" s="29" t="inlineStr">
        <is>
          <t>AGUA10-S8</t>
        </is>
      </c>
      <c r="C50" s="30" t="inlineStr">
        <is>
          <t xml:space="preserve">    Soporte (accesorio de montaje)</t>
        </is>
      </c>
      <c r="D50" s="29" t="n">
        <v>1</v>
      </c>
      <c r="E50" s="29" t="inlineStr">
        <is>
          <t>u</t>
        </is>
      </c>
      <c r="F50" s="31" t="n"/>
      <c r="G50" s="31">
        <f>G51</f>
        <v/>
      </c>
      <c r="H50" s="29" t="n"/>
      <c r="I50" s="30" t="n"/>
      <c r="J50" s="29" t="inlineStr">
        <is>
          <t>Compra</t>
        </is>
      </c>
      <c r="K50" s="29" t="n"/>
      <c r="L50" s="30" t="n"/>
      <c r="M50" s="30" t="n"/>
      <c r="N50" s="30" t="inlineStr">
        <is>
          <t>23 Embalaje (va dentro de la caja)</t>
        </is>
      </c>
      <c r="O50" s="30" t="inlineStr">
        <is>
          <t>IRAM 3517-2 7.4</t>
        </is>
      </c>
      <c r="P50" s="29" t="n"/>
      <c r="Q50" s="29" t="n"/>
      <c r="R50" s="30" t="n"/>
    </row>
    <row r="51" outlineLevel="1">
      <c r="A51" s="32" t="n">
        <v>2</v>
      </c>
      <c r="B51" s="32" t="inlineStr">
        <is>
          <t>AGUA10-I5</t>
        </is>
      </c>
      <c r="C51" s="17" t="inlineStr">
        <is>
          <t xml:space="preserve">        Soporte de pared (FL_ACC_01)</t>
        </is>
      </c>
      <c r="D51" s="32" t="n">
        <v>1</v>
      </c>
      <c r="E51" s="32" t="inlineStr">
        <is>
          <t>u</t>
        </is>
      </c>
      <c r="F51" s="33" t="n">
        <v>0.327</v>
      </c>
      <c r="G51" s="33">
        <f>D51*F51</f>
        <v/>
      </c>
      <c r="H51" s="32" t="inlineStr">
        <is>
          <t>Chapa acero SAE 1010 e=2 pintada</t>
        </is>
      </c>
      <c r="I51" s="17" t="inlineStr">
        <is>
          <t>placa 60 × 180, ala con ranura Ø cuello + 3</t>
        </is>
      </c>
      <c r="J51" s="32" t="inlineStr">
        <is>
          <t>Compra</t>
        </is>
      </c>
      <c r="K51" s="32" t="inlineStr">
        <is>
          <t>No</t>
        </is>
      </c>
      <c r="L51" s="17" t="n"/>
      <c r="M51" s="17" t="n"/>
      <c r="N51" s="17" t="inlineStr">
        <is>
          <t>23 Embalaje</t>
        </is>
      </c>
      <c r="O51" s="17" t="inlineStr">
        <is>
          <t>IRAM 3517-2 7.4</t>
        </is>
      </c>
      <c r="P51" s="32" t="inlineStr">
        <is>
          <t>P</t>
        </is>
      </c>
      <c r="Q51" s="32" t="inlineStr">
        <is>
          <t>FL_ACC_01</t>
        </is>
      </c>
      <c r="R51" s="17" t="n"/>
    </row>
    <row r="52" outlineLevel="1">
      <c r="A52" s="32" t="n">
        <v>2</v>
      </c>
      <c r="B52" s="32" t="inlineStr">
        <is>
          <t>AGUA10-I6</t>
        </is>
      </c>
      <c r="C52" s="17" t="inlineStr">
        <is>
          <t xml:space="preserve">        Tornillo y tarugo de fijación</t>
        </is>
      </c>
      <c r="D52" s="32" t="n">
        <v>2</v>
      </c>
      <c r="E52" s="32" t="inlineStr">
        <is>
          <t>u</t>
        </is>
      </c>
      <c r="F52" s="33" t="n"/>
      <c r="G52" s="33" t="n"/>
      <c r="H52" s="32" t="inlineStr">
        <is>
          <t>Acero cincado / nylon</t>
        </is>
      </c>
      <c r="I52" s="17" t="inlineStr">
        <is>
          <t>2 agujeros Ø8,5 del plano FL_ACC_01 → tornillo M8 + tarugo</t>
        </is>
      </c>
      <c r="J52" s="32" t="inlineStr">
        <is>
          <t>Compra</t>
        </is>
      </c>
      <c r="K52" s="32" t="inlineStr">
        <is>
          <t>No</t>
        </is>
      </c>
      <c r="L52" s="17" t="n"/>
      <c r="M52" s="17" t="n"/>
      <c r="N52" s="17" t="inlineStr">
        <is>
          <t>23 Embalaje</t>
        </is>
      </c>
      <c r="O52" s="17" t="n"/>
      <c r="P52" s="32" t="inlineStr">
        <is>
          <t>P</t>
        </is>
      </c>
      <c r="Q52" s="32" t="inlineStr">
        <is>
          <t>FL_ACC_01</t>
        </is>
      </c>
      <c r="R52" s="17" t="n"/>
    </row>
    <row r="53">
      <c r="A53" s="29" t="n">
        <v>1</v>
      </c>
      <c r="B53" s="29" t="inlineStr">
        <is>
          <t>AGUA10-S7</t>
        </is>
      </c>
      <c r="C53" s="30" t="inlineStr">
        <is>
          <t xml:space="preserve">    Embalaje</t>
        </is>
      </c>
      <c r="D53" s="29" t="n">
        <v>1</v>
      </c>
      <c r="E53" s="29" t="inlineStr">
        <is>
          <t>u</t>
        </is>
      </c>
      <c r="F53" s="31" t="n"/>
      <c r="G53" s="31">
        <f>G57</f>
        <v/>
      </c>
      <c r="H53" s="29" t="n"/>
      <c r="I53" s="30" t="n"/>
      <c r="J53" s="29" t="inlineStr">
        <is>
          <t>Compra</t>
        </is>
      </c>
      <c r="K53" s="29" t="n"/>
      <c r="L53" s="30" t="n"/>
      <c r="M53" s="30" t="n"/>
      <c r="N53" s="30" t="inlineStr">
        <is>
          <t>23 Embalaje -&gt; 24 envolvedora (T11)</t>
        </is>
      </c>
      <c r="O53" s="30" t="n"/>
      <c r="P53" s="29" t="n"/>
      <c r="Q53" s="29" t="n"/>
      <c r="R53" s="30" t="n"/>
    </row>
    <row r="54" outlineLevel="1">
      <c r="A54" s="32" t="n">
        <v>2</v>
      </c>
      <c r="B54" s="32" t="inlineStr">
        <is>
          <t>AGUA10-E1</t>
        </is>
      </c>
      <c r="C54" s="17" t="inlineStr">
        <is>
          <t xml:space="preserve">        Caja de cartón corrugado doble</t>
        </is>
      </c>
      <c r="D54" s="32" t="n">
        <v>1</v>
      </c>
      <c r="E54" s="32" t="inlineStr">
        <is>
          <t>u</t>
        </is>
      </c>
      <c r="F54" s="33" t="n"/>
      <c r="G54" s="33" t="n"/>
      <c r="H54" s="32" t="inlineStr">
        <is>
          <t>Cartón corrugado</t>
        </is>
      </c>
      <c r="I54" s="17" t="inlineStr">
        <is>
          <t>258 × 224 × 614 interior (envolvente del plano + 15 por lado)</t>
        </is>
      </c>
      <c r="J54" s="32" t="inlineStr">
        <is>
          <t>Compra</t>
        </is>
      </c>
      <c r="K54" s="32" t="inlineStr">
        <is>
          <t>No</t>
        </is>
      </c>
      <c r="L54" s="17" t="n"/>
      <c r="M54" s="17" t="n"/>
      <c r="N54" s="17" t="inlineStr">
        <is>
          <t>23 Embalaje</t>
        </is>
      </c>
      <c r="O54" s="17" t="n"/>
      <c r="P54" s="32" t="inlineStr">
        <is>
          <t>P</t>
        </is>
      </c>
      <c r="Q54" s="32" t="n"/>
      <c r="R54" s="17" t="inlineStr">
        <is>
          <t>Medida del plano</t>
        </is>
      </c>
    </row>
    <row r="55" outlineLevel="1">
      <c r="A55" s="32" t="n">
        <v>2</v>
      </c>
      <c r="B55" s="32" t="inlineStr">
        <is>
          <t>AGUA10-E2</t>
        </is>
      </c>
      <c r="C55" s="17" t="inlineStr">
        <is>
          <t xml:space="preserve">        Instructivo de uso y mantenimiento</t>
        </is>
      </c>
      <c r="D55" s="32" t="n">
        <v>1</v>
      </c>
      <c r="E55" s="32" t="inlineStr">
        <is>
          <t>u</t>
        </is>
      </c>
      <c r="F55" s="33" t="n"/>
      <c r="G55" s="33" t="n"/>
      <c r="H55" s="32" t="inlineStr">
        <is>
          <t>Papel</t>
        </is>
      </c>
      <c r="I55" s="17" t="inlineStr">
        <is>
          <t>A5</t>
        </is>
      </c>
      <c r="J55" s="32" t="inlineStr">
        <is>
          <t>Compra</t>
        </is>
      </c>
      <c r="K55" s="32" t="inlineStr">
        <is>
          <t>No</t>
        </is>
      </c>
      <c r="L55" s="17" t="n"/>
      <c r="M55" s="17" t="n"/>
      <c r="N55" s="17" t="inlineStr">
        <is>
          <t>23 Embalaje</t>
        </is>
      </c>
      <c r="O55" s="17" t="n"/>
      <c r="P55" s="32" t="inlineStr">
        <is>
          <t>I</t>
        </is>
      </c>
      <c r="Q55" s="32" t="n"/>
      <c r="R55" s="17" t="inlineStr">
        <is>
          <t>Decisión comercial de FLAMA (las instrucciones de uso obligatorias van en la etiqueta, IRAM 3534)</t>
        </is>
      </c>
    </row>
    <row r="56" outlineLevel="1">
      <c r="A56" s="32" t="n">
        <v>2</v>
      </c>
      <c r="B56" s="32" t="inlineStr">
        <is>
          <t>AGUA10-E3</t>
        </is>
      </c>
      <c r="C56" s="17" t="inlineStr">
        <is>
          <t xml:space="preserve">        Pallet 1200 × 1000 (fracción)</t>
        </is>
      </c>
      <c r="D56" s="32" t="n">
        <v>0.0312</v>
      </c>
      <c r="E56" s="32" t="inlineStr">
        <is>
          <t>u</t>
        </is>
      </c>
      <c r="F56" s="33" t="n"/>
      <c r="G56" s="33" t="n"/>
      <c r="H56" s="32" t="inlineStr">
        <is>
          <t>Madera</t>
        </is>
      </c>
      <c r="I56" s="17" t="inlineStr">
        <is>
          <t>32 u por pallet</t>
        </is>
      </c>
      <c r="J56" s="32" t="inlineStr">
        <is>
          <t>Compra</t>
        </is>
      </c>
      <c r="K56" s="32" t="inlineStr">
        <is>
          <t>No</t>
        </is>
      </c>
      <c r="L56" s="17" t="n"/>
      <c r="M56" s="17" t="n"/>
      <c r="N56" s="17" t="inlineStr">
        <is>
          <t>23 Embalaje</t>
        </is>
      </c>
      <c r="O56" s="17" t="n"/>
      <c r="P56" s="32" t="inlineStr">
        <is>
          <t>C</t>
        </is>
      </c>
      <c r="Q56" s="32" t="n"/>
      <c r="R56" s="17" t="inlineStr">
        <is>
          <t>u por pallet = acomodo de la caja (plano) en 1200 × 1000 × 1450 de alto</t>
        </is>
      </c>
    </row>
    <row r="57" outlineLevel="1">
      <c r="A57" s="32" t="n">
        <v>2</v>
      </c>
      <c r="B57" s="32" t="inlineStr">
        <is>
          <t>AGUA10-E4</t>
        </is>
      </c>
      <c r="C57" s="17" t="inlineStr">
        <is>
          <t xml:space="preserve">        Film stretch (fracción del pallet)</t>
        </is>
      </c>
      <c r="D57" s="32" t="n">
        <v>0.0037</v>
      </c>
      <c r="E57" s="32" t="inlineStr">
        <is>
          <t>kg</t>
        </is>
      </c>
      <c r="F57" s="33" t="n">
        <v>1</v>
      </c>
      <c r="G57" s="33">
        <f>D57*F57</f>
        <v/>
      </c>
      <c r="H57" s="32" t="inlineStr">
        <is>
          <t>PE lineal 23 µm</t>
        </is>
      </c>
      <c r="I57" s="17" t="inlineStr">
        <is>
          <t>0,12 kg por pallet / 32 u</t>
        </is>
      </c>
      <c r="J57" s="32" t="inlineStr">
        <is>
          <t>Compra</t>
        </is>
      </c>
      <c r="K57" s="32" t="inlineStr">
        <is>
          <t>No</t>
        </is>
      </c>
      <c r="L57" s="17" t="n"/>
      <c r="M57" s="17" t="n"/>
      <c r="N57" s="17" t="inlineStr">
        <is>
          <t>24 Envolvedora (T11)</t>
        </is>
      </c>
      <c r="O57" s="17" t="n"/>
      <c r="P57" s="32" t="inlineStr">
        <is>
          <t>C</t>
        </is>
      </c>
      <c r="Q57" s="32" t="n"/>
      <c r="R57"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8" outlineLevel="1">
      <c r="A58" s="32" t="n">
        <v>2</v>
      </c>
      <c r="B58" s="32" t="inlineStr">
        <is>
          <t>AGUA10-E5</t>
        </is>
      </c>
      <c r="C58" s="17" t="inlineStr">
        <is>
          <t xml:space="preserve">        Etiqueta de pallet (lote y destino, fracción)</t>
        </is>
      </c>
      <c r="D58" s="32" t="n">
        <v>0.0312</v>
      </c>
      <c r="E58" s="32" t="inlineStr">
        <is>
          <t>u</t>
        </is>
      </c>
      <c r="F58" s="33" t="n"/>
      <c r="G58" s="33" t="n"/>
      <c r="H58" s="32" t="inlineStr">
        <is>
          <t>Papel térmico</t>
        </is>
      </c>
      <c r="I58" s="17" t="inlineStr">
        <is>
          <t>100 × 150</t>
        </is>
      </c>
      <c r="J58" s="32" t="inlineStr">
        <is>
          <t>Compra</t>
        </is>
      </c>
      <c r="K58" s="32" t="inlineStr">
        <is>
          <t>No</t>
        </is>
      </c>
      <c r="L58" s="17" t="n"/>
      <c r="M58" s="17" t="n"/>
      <c r="N58" s="17" t="inlineStr">
        <is>
          <t>24 Envolvedora</t>
        </is>
      </c>
      <c r="O58" s="17" t="n"/>
      <c r="P58" s="32" t="inlineStr">
        <is>
          <t>C</t>
        </is>
      </c>
      <c r="Q58" s="32" t="n"/>
      <c r="R58" s="17" t="n"/>
    </row>
    <row r="59" outlineLevel="1">
      <c r="A59" s="32" t="n">
        <v>2</v>
      </c>
      <c r="B59" s="32" t="inlineStr">
        <is>
          <t>AGUA10-E6</t>
        </is>
      </c>
      <c r="C59" s="17" t="inlineStr">
        <is>
          <t xml:space="preserve">        Cinta de embalaje PP 48 mm (cierre de la caja)</t>
        </is>
      </c>
      <c r="D59" s="32" t="n">
        <v>0.797</v>
      </c>
      <c r="E59" s="32" t="inlineStr">
        <is>
          <t>m</t>
        </is>
      </c>
      <c r="F59" s="33" t="n"/>
      <c r="G59" s="33" t="n"/>
      <c r="H59" s="32" t="inlineStr">
        <is>
          <t>Polipropileno con adhesivo acrílico</t>
        </is>
      </c>
      <c r="I59" s="17" t="inlineStr">
        <is>
          <t>cierre en I arriba y abajo: 2 × (258 + 2 × 70 de solapa)</t>
        </is>
      </c>
      <c r="J59" s="32" t="inlineStr">
        <is>
          <t>Compra</t>
        </is>
      </c>
      <c r="K59" s="32" t="inlineStr">
        <is>
          <t>No</t>
        </is>
      </c>
      <c r="L59" s="17" t="n"/>
      <c r="M59" s="17" t="n"/>
      <c r="N59" s="17" t="inlineStr">
        <is>
          <t>23 Embalaje</t>
        </is>
      </c>
      <c r="O59" s="17" t="n"/>
      <c r="P59" s="32" t="inlineStr">
        <is>
          <t>C</t>
        </is>
      </c>
      <c r="Q59" s="32" t="n"/>
      <c r="R59" s="17" t="inlineStr">
        <is>
          <t>Solapa de 70 mm por lado: práctica de cierre de cajas (medir en la línea)</t>
        </is>
      </c>
    </row>
    <row r="60" outlineLevel="1">
      <c r="A60" s="32" t="n">
        <v>2</v>
      </c>
      <c r="B60" s="32" t="inlineStr">
        <is>
          <t>AGUA10-E7</t>
        </is>
      </c>
      <c r="C60" s="17" t="inlineStr">
        <is>
          <t xml:space="preserve">        Esquineros de cartón 50 × 50 × 1200 (fracción del pallet)</t>
        </is>
      </c>
      <c r="D60" s="32" t="n">
        <v>0.125</v>
      </c>
      <c r="E60" s="32" t="inlineStr">
        <is>
          <t>u</t>
        </is>
      </c>
      <c r="F60" s="33" t="n"/>
      <c r="G60" s="33" t="n"/>
      <c r="H60" s="32" t="inlineStr">
        <is>
          <t>Cartón</t>
        </is>
      </c>
      <c r="I60" s="17" t="inlineStr">
        <is>
          <t>4 por pallet / 32 u</t>
        </is>
      </c>
      <c r="J60" s="32" t="inlineStr">
        <is>
          <t>Compra</t>
        </is>
      </c>
      <c r="K60" s="32" t="inlineStr">
        <is>
          <t>No</t>
        </is>
      </c>
      <c r="L60" s="17" t="n"/>
      <c r="M60" s="17" t="n"/>
      <c r="N60" s="17" t="inlineStr">
        <is>
          <t>24 Envolvedora (T11)</t>
        </is>
      </c>
      <c r="O60" s="17" t="n"/>
      <c r="P60" s="32" t="inlineStr">
        <is>
          <t>C</t>
        </is>
      </c>
      <c r="Q60" s="32" t="n"/>
      <c r="R60" s="17" t="inlineStr">
        <is>
          <t>Planilla MP-64</t>
        </is>
      </c>
    </row>
  </sheetData>
  <autoFilter ref="A10:R60"/>
  <pageMargins left="0.75" right="0.75" top="1" bottom="1" header="0.5" footer="0.5"/>
  <pageSetup orientation="landscape" fitToHeight="0" fitToWidth="1"/>
</worksheet>
</file>

<file path=xl/worksheets/sheet21.xml><?xml version="1.0" encoding="utf-8"?>
<worksheet xmlns="http://schemas.openxmlformats.org/spreadsheetml/2006/main">
  <sheetPr>
    <tabColor rgb="00BF8F00"/>
    <outlinePr summaryBelow="0" summaryRight="1"/>
    <pageSetUpPr fitToPage="1"/>
  </sheetPr>
  <dimension ref="A1:R61"/>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FL_MAT_AFFF_10l</t>
        </is>
      </c>
    </row>
    <row r="2">
      <c r="A2" s="58" t="inlineStr">
        <is>
          <t>Extintor AFFF 10 l</t>
        </is>
      </c>
    </row>
    <row r="3">
      <c r="A3" s="2" t="inlineStr">
        <is>
          <t>Plano de origen</t>
        </is>
      </c>
      <c r="C3" t="inlineStr">
        <is>
          <t>FL_MAT_AFFF_10l  (4 láminas)</t>
        </is>
      </c>
      <c r="E3" s="2" t="inlineStr">
        <is>
          <t>Peso vacío S1-S4 (kg)</t>
        </is>
      </c>
      <c r="G3" s="59">
        <f>G13+G18+G34</f>
        <v/>
      </c>
    </row>
    <row r="4">
      <c r="A4" s="2" t="inlineStr">
        <is>
          <t>Plano de despiece</t>
        </is>
      </c>
      <c r="C4" t="inlineStr">
        <is>
          <t>FL_DES_AFFF_10l (salida/despiece/)</t>
        </is>
      </c>
      <c r="E4" s="2" t="inlineStr">
        <is>
          <t>Peso cargado S1-S6 (kg)</t>
        </is>
      </c>
      <c r="G4" s="59">
        <f>G13+G18+G34+G39+G43</f>
        <v/>
      </c>
    </row>
    <row r="5">
      <c r="A5" s="2" t="inlineStr">
        <is>
          <t>Norma del producto</t>
        </is>
      </c>
      <c r="C5" t="inlineStr">
        <is>
          <t>IRAM 3527</t>
        </is>
      </c>
      <c r="E5" s="2" t="inlineStr">
        <is>
          <t>Peso con soporte y embalaje (kg)</t>
        </is>
      </c>
      <c r="G5" s="59">
        <f>G13+G18+G34+G39+G43+G54+G51</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12.6</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FL_MAT_AFFF_10l</t>
        </is>
      </c>
      <c r="C11" s="27" t="inlineStr">
        <is>
          <t>Extintor AFFF 10 l</t>
        </is>
      </c>
      <c r="D11" s="26" t="n">
        <v>1</v>
      </c>
      <c r="E11" s="26" t="inlineStr">
        <is>
          <t>u</t>
        </is>
      </c>
      <c r="F11" s="28" t="n"/>
      <c r="G11" s="28">
        <f>G5</f>
        <v/>
      </c>
      <c r="H11" s="26" t="n"/>
      <c r="I11" s="27" t="n"/>
      <c r="J11" s="26" t="n"/>
      <c r="K11" s="26" t="n"/>
      <c r="L11" s="27" t="n"/>
      <c r="M11" s="27" t="n"/>
      <c r="N11" s="27" t="n"/>
      <c r="O11" s="27" t="inlineStr">
        <is>
          <t>IRAM 3527</t>
        </is>
      </c>
      <c r="P11" s="26" t="inlineStr">
        <is>
          <t>P</t>
        </is>
      </c>
      <c r="Q11" s="26" t="inlineStr">
        <is>
          <t>FL_MAT_AFFF_10l</t>
        </is>
      </c>
      <c r="R11" s="27" t="inlineStr">
        <is>
          <t>Revendido: se compra terminado al fabricante con Sello IRAM; las piezas internas quedan como referencia (no entran en MRP)</t>
        </is>
      </c>
    </row>
    <row r="12">
      <c r="A12" s="29" t="n">
        <v>1</v>
      </c>
      <c r="B12" s="29" t="inlineStr">
        <is>
          <t>AFFF10-S0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Drago (Luis Pasquinelli e Hijos S.A.)</t>
        </is>
      </c>
      <c r="N12" s="30" t="inlineStr">
        <is>
          <t>Recepción y control de ingreso (SP-1)</t>
        </is>
      </c>
      <c r="O12" s="30" t="inlineStr">
        <is>
          <t>IRAM 3527</t>
        </is>
      </c>
      <c r="P12" s="29" t="inlineStr">
        <is>
          <t>I</t>
        </is>
      </c>
      <c r="Q12" s="29" t="inlineStr">
        <is>
          <t>FL_MAT_AFFF_10l</t>
        </is>
      </c>
      <c r="R12" s="30" t="inlineStr">
        <is>
          <t>Única fila de compra del revendido (más la tarjeta AGC si el destino es CABA)</t>
        </is>
      </c>
    </row>
    <row r="13">
      <c r="A13" s="29" t="n">
        <v>1</v>
      </c>
      <c r="B13" s="29" t="inlineStr">
        <is>
          <t>AFFF10-S1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FL_DES_AFFF_10l</t>
        </is>
      </c>
      <c r="R13" s="30" t="n"/>
    </row>
    <row r="14" outlineLevel="1">
      <c r="A14" s="32" t="n">
        <v>2</v>
      </c>
      <c r="B14" s="32" t="inlineStr">
        <is>
          <t>AFFF10-01</t>
        </is>
      </c>
      <c r="C14" s="17" t="inlineStr">
        <is>
          <t xml:space="preserve">        Cuerpo (virola)</t>
        </is>
      </c>
      <c r="D14" s="32" t="n">
        <v>1</v>
      </c>
      <c r="E14" s="32" t="inlineStr">
        <is>
          <t>u</t>
        </is>
      </c>
      <c r="F14" s="33" t="n">
        <v>1.8173</v>
      </c>
      <c r="G14" s="33">
        <f>D14*F14</f>
        <v/>
      </c>
      <c r="H14" s="32" t="inlineStr">
        <is>
          <t>Chapa acero inox. AISI 304 e=0,8</t>
        </is>
      </c>
      <c r="I14" s="17" t="inlineStr">
        <is>
          <t>Ø190 × e0,8 × 482 de alto; desarrollo 594,4 × 482</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FL_DES_AFFF_10l</t>
        </is>
      </c>
      <c r="R14" s="17" t="inlineStr">
        <is>
          <t>costura long. TIG</t>
        </is>
      </c>
    </row>
    <row r="15" outlineLevel="1">
      <c r="A15" s="32" t="n">
        <v>2</v>
      </c>
      <c r="B15" s="32" t="inlineStr">
        <is>
          <t>AFFF10-02</t>
        </is>
      </c>
      <c r="C15" s="17" t="inlineStr">
        <is>
          <t xml:space="preserve">        Cúpula</t>
        </is>
      </c>
      <c r="D15" s="32" t="n">
        <v>1</v>
      </c>
      <c r="E15" s="32" t="inlineStr">
        <is>
          <t>u</t>
        </is>
      </c>
      <c r="F15" s="33" t="n">
        <v>0.2669</v>
      </c>
      <c r="G15" s="33">
        <f>D15*F15</f>
        <v/>
      </c>
      <c r="H15" s="32" t="inlineStr">
        <is>
          <t>Chapa acero inox. AISI 304 e=0,8</t>
        </is>
      </c>
      <c r="I15" s="17" t="inlineStr">
        <is>
          <t>Ø190 × e0,8 × 59,1 de alto; disco Ø238,4</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FL_DES_AFFF_10l</t>
        </is>
      </c>
      <c r="R15" s="17" t="inlineStr">
        <is>
          <t>embutida</t>
        </is>
      </c>
    </row>
    <row r="16" outlineLevel="1">
      <c r="A16" s="32" t="n">
        <v>2</v>
      </c>
      <c r="B16" s="32" t="inlineStr">
        <is>
          <t>AFFF10-03</t>
        </is>
      </c>
      <c r="C16" s="17" t="inlineStr">
        <is>
          <t xml:space="preserve">        Fondo</t>
        </is>
      </c>
      <c r="D16" s="32" t="n">
        <v>1</v>
      </c>
      <c r="E16" s="32" t="inlineStr">
        <is>
          <t>u</t>
        </is>
      </c>
      <c r="F16" s="33" t="n">
        <v>0.2299</v>
      </c>
      <c r="G16" s="33">
        <f>D16*F16</f>
        <v/>
      </c>
      <c r="H16" s="32" t="inlineStr">
        <is>
          <t>Chapa acero inox. AISI 304 e=0,8</t>
        </is>
      </c>
      <c r="I16" s="17" t="inlineStr">
        <is>
          <t>Ø190 × e0,8 × 20 de alto; disco Ø221,3</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FL_DES_AFFF_10l</t>
        </is>
      </c>
      <c r="R16" s="17" t="inlineStr">
        <is>
          <t>embutido</t>
        </is>
      </c>
    </row>
    <row r="17" outlineLevel="1">
      <c r="A17" s="32" t="n">
        <v>2</v>
      </c>
      <c r="B17" s="32" t="inlineStr">
        <is>
          <t>AFFF10-04</t>
        </is>
      </c>
      <c r="C17" s="17" t="inlineStr">
        <is>
          <t xml:space="preserve">        Cuello roscado</t>
        </is>
      </c>
      <c r="D17" s="32" t="n">
        <v>1</v>
      </c>
      <c r="E17" s="32" t="inlineStr">
        <is>
          <t>u</t>
        </is>
      </c>
      <c r="F17" s="33" t="n">
        <v>0.0539</v>
      </c>
      <c r="G17" s="33">
        <f>D17*F17</f>
        <v/>
      </c>
      <c r="H17" s="32" t="inlineStr">
        <is>
          <t>Acero inox. AISI 304</t>
        </is>
      </c>
      <c r="I17" s="17" t="inlineStr">
        <is>
          <t>Ø37 × 14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FL_DES_AFFF_10l</t>
        </is>
      </c>
      <c r="R17" s="17" t="inlineStr">
        <is>
          <t>M30x1,5</t>
        </is>
      </c>
    </row>
    <row r="18">
      <c r="A18" s="29" t="n">
        <v>1</v>
      </c>
      <c r="B18" s="29" t="inlineStr">
        <is>
          <t>AFFF10-S2</t>
        </is>
      </c>
      <c r="C18" s="30" t="inlineStr">
        <is>
          <t xml:space="preserve">    Conjunto de válvula</t>
        </is>
      </c>
      <c r="D18" s="29" t="n">
        <v>1</v>
      </c>
      <c r="E18" s="29" t="inlineStr">
        <is>
          <t>u</t>
        </is>
      </c>
      <c r="F18" s="31" t="n"/>
      <c r="G18" s="31">
        <f>G19+G20+G21+G23+G24+G25+G26+G27+G28+G29+G30+G31</f>
        <v/>
      </c>
      <c r="H18" s="29" t="n"/>
      <c r="I18" s="30" t="n"/>
      <c r="J18" s="29" t="inlineStr">
        <is>
          <t>Compra / armado</t>
        </is>
      </c>
      <c r="K18" s="29" t="n"/>
      <c r="L18" s="30" t="n"/>
      <c r="M18" s="30" t="n"/>
      <c r="N18" s="30" t="n"/>
      <c r="O18" s="30" t="inlineStr">
        <is>
          <t>Manómetro IRAM 3533</t>
        </is>
      </c>
      <c r="P18" s="29" t="inlineStr">
        <is>
          <t>P</t>
        </is>
      </c>
      <c r="Q18" s="29" t="inlineStr">
        <is>
          <t>FL_DES_AFFF_10l</t>
        </is>
      </c>
      <c r="R18" s="30" t="n"/>
    </row>
    <row r="19" outlineLevel="1">
      <c r="A19" s="32" t="n">
        <v>2</v>
      </c>
      <c r="B19" s="32" t="inlineStr">
        <is>
          <t>AFFF10-05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FL_DES_AFFF_10l</t>
        </is>
      </c>
      <c r="R19" s="17" t="n"/>
    </row>
    <row r="20" outlineLevel="1">
      <c r="A20" s="32" t="n">
        <v>2</v>
      </c>
      <c r="B20" s="32" t="inlineStr">
        <is>
          <t>AFFF10-06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FL_DES_AFFF_10l</t>
        </is>
      </c>
      <c r="R20" s="17" t="n"/>
    </row>
    <row r="21" outlineLevel="1">
      <c r="A21" s="32" t="n">
        <v>2</v>
      </c>
      <c r="B21" s="32" t="inlineStr">
        <is>
          <t>AFFF10-07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FL_DES_AFFF_10l</t>
        </is>
      </c>
      <c r="R21" s="17" t="n"/>
    </row>
    <row r="22" outlineLevel="1">
      <c r="A22" s="32" t="n">
        <v>2</v>
      </c>
      <c r="B22" s="32" t="inlineStr">
        <is>
          <t>AFFF10-08</t>
        </is>
      </c>
      <c r="C22" s="17" t="inlineStr">
        <is>
          <t xml:space="preserve">        Manómetro</t>
        </is>
      </c>
      <c r="D22" s="32" t="n">
        <v>1</v>
      </c>
      <c r="E22" s="32" t="inlineStr">
        <is>
          <t>u</t>
        </is>
      </c>
      <c r="F22" s="33" t="n"/>
      <c r="G22" s="33" t="n"/>
      <c r="H22" s="32" t="inlineStr">
        <is>
          <t>Comercial</t>
        </is>
      </c>
      <c r="I22" s="17" t="inlineStr">
        <is>
          <t>Ø36 esfera, rango 0-2 MPa, sector verde en 0,8</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FL_DES_AFFF_10l</t>
        </is>
      </c>
      <c r="R22" s="17" t="inlineStr">
        <is>
          <t>Pieza comercial; sello IRAM 3533; peso: completar con la ficha del proveedor (no afecta el MRP)</t>
        </is>
      </c>
    </row>
    <row r="23" outlineLevel="1">
      <c r="A23" s="32" t="n">
        <v>2</v>
      </c>
      <c r="B23" s="32" t="inlineStr">
        <is>
          <t>AFFF10-09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FL_DES_AFFF_10l</t>
        </is>
      </c>
      <c r="R23" s="17" t="inlineStr">
        <is>
          <t>con junta tórica</t>
        </is>
      </c>
    </row>
    <row r="24" outlineLevel="1">
      <c r="A24" s="32" t="n">
        <v>2</v>
      </c>
      <c r="B24" s="32" t="inlineStr">
        <is>
          <t>AFFF10-10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FL_DES_AFFF_10l</t>
        </is>
      </c>
      <c r="R24" s="17" t="inlineStr">
        <is>
          <t>cierre del vástago</t>
        </is>
      </c>
    </row>
    <row r="25" outlineLevel="1">
      <c r="A25" s="32" t="n">
        <v>2</v>
      </c>
      <c r="B25" s="32" t="inlineStr">
        <is>
          <t>AFFF10-11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FL_DES_AFFF_10l</t>
        </is>
      </c>
      <c r="R25" s="17" t="n"/>
    </row>
    <row r="26" outlineLevel="1">
      <c r="A26" s="32" t="n">
        <v>2</v>
      </c>
      <c r="B26" s="32" t="inlineStr">
        <is>
          <t>AFFF10-12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FL_DES_AFFF_10l</t>
        </is>
      </c>
      <c r="R26" s="17" t="inlineStr">
        <is>
          <t>con precinto</t>
        </is>
      </c>
    </row>
    <row r="27" outlineLevel="1">
      <c r="A27" s="32" t="n">
        <v>2</v>
      </c>
      <c r="B27" s="32" t="inlineStr">
        <is>
          <t>AFFF10-13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FL_DES_AFFF_10l</t>
        </is>
      </c>
      <c r="R27" s="17" t="n"/>
    </row>
    <row r="28" outlineLevel="1">
      <c r="A28" s="32" t="n">
        <v>2</v>
      </c>
      <c r="B28" s="32" t="inlineStr">
        <is>
          <t>AFFF10-14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FL_DES_AFFF_10l</t>
        </is>
      </c>
      <c r="R28" s="17" t="n"/>
    </row>
    <row r="29" outlineLevel="1">
      <c r="A29" s="32" t="n">
        <v>2</v>
      </c>
      <c r="B29" s="32" t="inlineStr">
        <is>
          <t>AFFF10-15</t>
        </is>
      </c>
      <c r="C29" s="17" t="inlineStr">
        <is>
          <t xml:space="preserve">        Caño de pesca (sifón)</t>
        </is>
      </c>
      <c r="D29" s="32" t="n">
        <v>1</v>
      </c>
      <c r="E29" s="32" t="inlineStr">
        <is>
          <t>u</t>
        </is>
      </c>
      <c r="F29" s="33" t="n">
        <v>0.0433</v>
      </c>
      <c r="G29" s="33">
        <f>D29*F29</f>
        <v/>
      </c>
      <c r="H29" s="32" t="inlineStr">
        <is>
          <t>Tubo polipropileno</t>
        </is>
      </c>
      <c r="I29" s="17" t="inlineStr">
        <is>
          <t>Ø21,3 × 515,5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FL_DES_AFFF_10l</t>
        </is>
      </c>
      <c r="R29" s="17" t="n"/>
    </row>
    <row r="30" outlineLevel="1">
      <c r="A30" s="32" t="n">
        <v>2</v>
      </c>
      <c r="B30" s="32" t="inlineStr">
        <is>
          <t>AFFF10-16</t>
        </is>
      </c>
      <c r="C30" s="17" t="inlineStr">
        <is>
          <t xml:space="preserve">        Filtro del tubo de pesca</t>
        </is>
      </c>
      <c r="D30" s="32" t="n">
        <v>1</v>
      </c>
      <c r="E30" s="32" t="inlineStr">
        <is>
          <t>u</t>
        </is>
      </c>
      <c r="F30" s="33" t="n">
        <v>0.0015</v>
      </c>
      <c r="G30" s="33">
        <f>D30*F30</f>
        <v/>
      </c>
      <c r="H30" s="32" t="inlineStr">
        <is>
          <t>Polipropileno perforado</t>
        </is>
      </c>
      <c r="I30" s="17" t="inlineStr">
        <is>
          <t>25 × 24,3 × 24,3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FL_DES_AFFF_10l</t>
        </is>
      </c>
      <c r="R30" s="17" t="inlineStr">
        <is>
          <t>área ≥ 10 × boquilla</t>
        </is>
      </c>
    </row>
    <row r="31" outlineLevel="1">
      <c r="A31" s="32" t="n">
        <v>2</v>
      </c>
      <c r="B31" s="32" t="inlineStr">
        <is>
          <t>AFFF10-26</t>
        </is>
      </c>
      <c r="C31" s="17" t="inlineStr">
        <is>
          <t xml:space="preserve">        Junta tórica de asiento</t>
        </is>
      </c>
      <c r="D31" s="32" t="n">
        <v>1</v>
      </c>
      <c r="E31" s="32" t="inlineStr">
        <is>
          <t>u</t>
        </is>
      </c>
      <c r="F31" s="33" t="n">
        <v>0.001</v>
      </c>
      <c r="G31" s="33">
        <f>D31*F31</f>
        <v/>
      </c>
      <c r="H31" s="32" t="inlineStr">
        <is>
          <t>NBR 70 Shore A</t>
        </is>
      </c>
      <c r="I31" s="17" t="inlineStr">
        <is>
          <t>Ø32,8 ext. × cordón 3</t>
        </is>
      </c>
      <c r="J31" s="32" t="inlineStr">
        <is>
          <t>Compra (en el conjunto)</t>
        </is>
      </c>
      <c r="K31" s="32" t="inlineStr">
        <is>
          <t>No</t>
        </is>
      </c>
      <c r="L31" s="17" t="n"/>
      <c r="M31" s="17" t="n"/>
      <c r="N31" s="17" t="inlineStr">
        <is>
          <t>S4 - se compra terminado (tercerizado con sello IRAM)</t>
        </is>
      </c>
      <c r="O31" s="17" t="n"/>
      <c r="P31" s="32" t="inlineStr">
        <is>
          <t>P</t>
        </is>
      </c>
      <c r="Q31" s="32" t="inlineStr">
        <is>
          <t>FL_DES_AFFF_10l</t>
        </is>
      </c>
      <c r="R31" s="17" t="inlineStr">
        <is>
          <t>cambio c/recarga</t>
        </is>
      </c>
    </row>
    <row r="32" outlineLevel="1">
      <c r="A32" s="32" t="n">
        <v>2</v>
      </c>
      <c r="B32" s="32" t="inlineStr">
        <is>
          <t>AFFF10-V2</t>
        </is>
      </c>
      <c r="C32" s="17" t="inlineStr">
        <is>
          <t xml:space="preserve">        Resorte de retorno del vástago</t>
        </is>
      </c>
      <c r="D32" s="32" t="n">
        <v>1</v>
      </c>
      <c r="E32" s="32" t="inlineStr">
        <is>
          <t>u</t>
        </is>
      </c>
      <c r="F32" s="33" t="n"/>
      <c r="G32" s="33" t="n"/>
      <c r="H32" s="32" t="inlineStr">
        <is>
          <t>Acero para resortes</t>
        </is>
      </c>
      <c r="I32" s="17" t="inlineStr">
        <is>
          <t>incluido en la válvula</t>
        </is>
      </c>
      <c r="J32" s="32" t="inlineStr">
        <is>
          <t>Compra (en el conjunto)</t>
        </is>
      </c>
      <c r="K32" s="32" t="inlineStr">
        <is>
          <t>No</t>
        </is>
      </c>
      <c r="L32" s="17" t="n"/>
      <c r="M32" s="17" t="n"/>
      <c r="N32" s="17" t="inlineStr">
        <is>
          <t>19 Ensamblaje</t>
        </is>
      </c>
      <c r="O32" s="17" t="n"/>
      <c r="P32" s="32" t="inlineStr">
        <is>
          <t>Q</t>
        </is>
      </c>
      <c r="Q32" s="32" t="n"/>
      <c r="R32" s="17" t="inlineStr">
        <is>
          <t>Lista de precios HZ: válvula «c/resorte» (Q-AGENTES)</t>
        </is>
      </c>
    </row>
    <row r="33" outlineLevel="1">
      <c r="A33" s="32" t="n">
        <v>2</v>
      </c>
      <c r="B33" s="32" t="inlineStr">
        <is>
          <t>AFFF10-V3</t>
        </is>
      </c>
      <c r="C33" s="17" t="inlineStr">
        <is>
          <t xml:space="preserve">        Junta tórica del vástago</t>
        </is>
      </c>
      <c r="D33" s="32" t="n">
        <v>1</v>
      </c>
      <c r="E33" s="32" t="inlineStr">
        <is>
          <t>u</t>
        </is>
      </c>
      <c r="F33" s="33" t="n"/>
      <c r="G33" s="33" t="n"/>
      <c r="H33" s="32" t="inlineStr">
        <is>
          <t>NBR 70 Shore A</t>
        </is>
      </c>
      <c r="I33" s="17" t="inlineStr">
        <is>
          <t>incluida en la válvula</t>
        </is>
      </c>
      <c r="J33" s="32" t="inlineStr">
        <is>
          <t>Compra (en el conjunto)</t>
        </is>
      </c>
      <c r="K33" s="32" t="inlineStr">
        <is>
          <t>No</t>
        </is>
      </c>
      <c r="L33" s="17" t="n"/>
      <c r="M33" s="17" t="n"/>
      <c r="N33" s="17" t="inlineStr">
        <is>
          <t>19 Ensamblaje</t>
        </is>
      </c>
      <c r="O33" s="17" t="n"/>
      <c r="P33" s="32" t="inlineStr">
        <is>
          <t>P</t>
        </is>
      </c>
      <c r="Q33" s="32" t="n"/>
      <c r="R33" s="17" t="inlineStr">
        <is>
          <t>Figura en el plano como «vástago con junta tórica»</t>
        </is>
      </c>
    </row>
    <row r="34">
      <c r="A34" s="29" t="n">
        <v>1</v>
      </c>
      <c r="B34" s="29" t="inlineStr">
        <is>
          <t>AFFF10-S3</t>
        </is>
      </c>
      <c r="C34" s="30" t="inlineStr">
        <is>
          <t xml:space="preserve">    Dispositivo de descarga</t>
        </is>
      </c>
      <c r="D34" s="29" t="n">
        <v>1</v>
      </c>
      <c r="E34" s="29" t="inlineStr">
        <is>
          <t>u</t>
        </is>
      </c>
      <c r="F34" s="31" t="n"/>
      <c r="G34" s="31">
        <f>G35+G36+G37+G38</f>
        <v/>
      </c>
      <c r="H34" s="29" t="n"/>
      <c r="I34" s="30" t="n"/>
      <c r="J34" s="29" t="inlineStr">
        <is>
          <t>Compra / armado</t>
        </is>
      </c>
      <c r="K34" s="29" t="n"/>
      <c r="L34" s="30" t="n"/>
      <c r="M34" s="30" t="n"/>
      <c r="N34" s="30" t="n"/>
      <c r="O34" s="30" t="n"/>
      <c r="P34" s="29" t="inlineStr">
        <is>
          <t>P</t>
        </is>
      </c>
      <c r="Q34" s="29" t="inlineStr">
        <is>
          <t>FL_DES_AFFF_10l</t>
        </is>
      </c>
      <c r="R34" s="30" t="n"/>
    </row>
    <row r="35" outlineLevel="1">
      <c r="A35" s="32" t="n">
        <v>2</v>
      </c>
      <c r="B35" s="32" t="inlineStr">
        <is>
          <t>AFFF10-17</t>
        </is>
      </c>
      <c r="C35" s="17" t="inlineStr">
        <is>
          <t xml:space="preserve">        Racor de manguera</t>
        </is>
      </c>
      <c r="D35" s="32" t="n">
        <v>1</v>
      </c>
      <c r="E35" s="32" t="inlineStr">
        <is>
          <t>u</t>
        </is>
      </c>
      <c r="F35" s="33" t="n">
        <v>0.0258</v>
      </c>
      <c r="G35" s="33">
        <f>D35*F35</f>
        <v/>
      </c>
      <c r="H35" s="32" t="inlineStr">
        <is>
          <t>Latón</t>
        </is>
      </c>
      <c r="I35" s="17" t="inlineStr">
        <is>
          <t>18 × 18 × 12</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FL_DES_AFFF_10l</t>
        </is>
      </c>
      <c r="R35" s="17" t="n"/>
    </row>
    <row r="36" outlineLevel="1">
      <c r="A36" s="32" t="n">
        <v>2</v>
      </c>
      <c r="B36" s="32" t="inlineStr">
        <is>
          <t>AFFF10-18</t>
        </is>
      </c>
      <c r="C36" s="17" t="inlineStr">
        <is>
          <t xml:space="preserve">        Manguera</t>
        </is>
      </c>
      <c r="D36" s="32" t="n">
        <v>1</v>
      </c>
      <c r="E36" s="32" t="inlineStr">
        <is>
          <t>u</t>
        </is>
      </c>
      <c r="F36" s="33" t="n">
        <v>0.0549</v>
      </c>
      <c r="G36" s="33">
        <f>D36*F36</f>
        <v/>
      </c>
      <c r="H36" s="32" t="inlineStr">
        <is>
          <t>Caucho sintético</t>
        </is>
      </c>
      <c r="I36" s="17" t="inlineStr">
        <is>
          <t>Ø16 × 355 de largo desarrollado</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FL_DES_AFFF_10l</t>
        </is>
      </c>
      <c r="R36" s="17" t="n"/>
    </row>
    <row r="37" outlineLevel="1">
      <c r="A37" s="32" t="n">
        <v>2</v>
      </c>
      <c r="B37" s="32" t="inlineStr">
        <is>
          <t>AFFF10-19</t>
        </is>
      </c>
      <c r="C37" s="17" t="inlineStr">
        <is>
          <t xml:space="preserve">        Lanza espumígena</t>
        </is>
      </c>
      <c r="D37" s="32" t="n">
        <v>1</v>
      </c>
      <c r="E37" s="32" t="inlineStr">
        <is>
          <t>u</t>
        </is>
      </c>
      <c r="F37" s="33" t="n">
        <v>0.051</v>
      </c>
      <c r="G37" s="33">
        <f>D37*F37</f>
        <v/>
      </c>
      <c r="H37" s="32" t="inlineStr">
        <is>
          <t>Polipropileno</t>
        </is>
      </c>
      <c r="I37" s="17" t="inlineStr">
        <is>
          <t>210 × 32 × 32</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FL_DES_AFFF_10l</t>
        </is>
      </c>
      <c r="R37" s="17" t="n"/>
    </row>
    <row r="38" outlineLevel="1">
      <c r="A38" s="32" t="n">
        <v>2</v>
      </c>
      <c r="B38" s="32" t="inlineStr">
        <is>
          <t>AFFF10-20</t>
        </is>
      </c>
      <c r="C38" s="17" t="inlineStr">
        <is>
          <t xml:space="preserve">        Suncho portatobera</t>
        </is>
      </c>
      <c r="D38" s="32" t="n">
        <v>1</v>
      </c>
      <c r="E38" s="32" t="inlineStr">
        <is>
          <t>u</t>
        </is>
      </c>
      <c r="F38" s="33" t="n">
        <v>0.132</v>
      </c>
      <c r="G38" s="33">
        <f>D38*F38</f>
        <v/>
      </c>
      <c r="H38" s="32" t="inlineStr">
        <is>
          <t>Fleje acero SAE 1010 pintado</t>
        </is>
      </c>
      <c r="I38" s="17" t="inlineStr">
        <is>
          <t>196,8 × 193,6 × 18</t>
        </is>
      </c>
      <c r="J38" s="32" t="inlineStr">
        <is>
          <t>Compra (en el conjunto)</t>
        </is>
      </c>
      <c r="K38" s="32" t="inlineStr">
        <is>
          <t>No</t>
        </is>
      </c>
      <c r="L38" s="17" t="n"/>
      <c r="M38" s="17" t="n"/>
      <c r="N38" s="17" t="inlineStr">
        <is>
          <t>S4 - se compra terminado (tercerizado con sello IRAM)</t>
        </is>
      </c>
      <c r="O38" s="17" t="n"/>
      <c r="P38" s="32" t="inlineStr">
        <is>
          <t>P</t>
        </is>
      </c>
      <c r="Q38" s="32" t="inlineStr">
        <is>
          <t>FL_DES_AFFF_10l</t>
        </is>
      </c>
      <c r="R38" s="17" t="n"/>
    </row>
    <row r="39">
      <c r="A39" s="29" t="n">
        <v>1</v>
      </c>
      <c r="B39" s="29" t="inlineStr">
        <is>
          <t>AFFF10-S5</t>
        </is>
      </c>
      <c r="C39" s="30" t="inlineStr">
        <is>
          <t xml:space="preserve">    Carga: agente extintor y gas impulsor</t>
        </is>
      </c>
      <c r="D39" s="29" t="n">
        <v>1</v>
      </c>
      <c r="E39" s="29" t="inlineStr">
        <is>
          <t>u</t>
        </is>
      </c>
      <c r="F39" s="31" t="n"/>
      <c r="G39" s="31">
        <f>G40+G41+G42</f>
        <v/>
      </c>
      <c r="H39" s="29" t="n"/>
      <c r="I39" s="30" t="n"/>
      <c r="J39" s="29" t="inlineStr">
        <is>
          <t>Compra</t>
        </is>
      </c>
      <c r="K39" s="29" t="n"/>
      <c r="L39" s="30" t="n"/>
      <c r="M39" s="30" t="n"/>
      <c r="N39" s="30" t="n"/>
      <c r="O39" s="30" t="n"/>
      <c r="P39" s="29" t="n"/>
      <c r="Q39" s="29" t="n"/>
      <c r="R39" s="30" t="n"/>
    </row>
    <row r="40" outlineLevel="1">
      <c r="A40" s="32" t="n">
        <v>2</v>
      </c>
      <c r="B40" s="32" t="inlineStr">
        <is>
          <t>AFFF10-A1</t>
        </is>
      </c>
      <c r="C40" s="17" t="inlineStr">
        <is>
          <t xml:space="preserve">        Agua potable (premezcla)</t>
        </is>
      </c>
      <c r="D40" s="32" t="n">
        <v>9.699999999999999</v>
      </c>
      <c r="E40" s="32" t="inlineStr">
        <is>
          <t>L</t>
        </is>
      </c>
      <c r="F40" s="33" t="n">
        <v>1</v>
      </c>
      <c r="G40" s="33">
        <f>D40*F40</f>
        <v/>
      </c>
      <c r="H40" s="32" t="inlineStr">
        <is>
          <t>Agua</t>
        </is>
      </c>
      <c r="I40" s="17" t="inlineStr">
        <is>
          <t>97 % de 10 L; tolerancia ± 3 %</t>
        </is>
      </c>
      <c r="J40" s="32" t="inlineStr">
        <is>
          <t>Red</t>
        </is>
      </c>
      <c r="K40" s="32" t="inlineStr">
        <is>
          <t>No</t>
        </is>
      </c>
      <c r="L40" s="17" t="n"/>
      <c r="M40" s="17" t="n"/>
      <c r="N40" s="17" t="inlineStr">
        <is>
          <t>SP-1 premezcla</t>
        </is>
      </c>
      <c r="O40" s="17" t="inlineStr">
        <is>
          <t>IRAM 3517-2:2020 tabla 3</t>
        </is>
      </c>
      <c r="P40" s="32" t="inlineStr">
        <is>
          <t>N</t>
        </is>
      </c>
      <c r="Q40" s="32" t="n"/>
      <c r="R40" s="17" t="n"/>
    </row>
    <row r="41" outlineLevel="1">
      <c r="A41" s="32" t="n">
        <v>2</v>
      </c>
      <c r="B41" s="32" t="inlineStr">
        <is>
          <t>AFFF10-A1b</t>
        </is>
      </c>
      <c r="C41" s="17" t="inlineStr">
        <is>
          <t xml:space="preserve">        Concentrado espumígeno AFFF 3 % (IRAM 3515)</t>
        </is>
      </c>
      <c r="D41" s="32" t="n">
        <v>0.3</v>
      </c>
      <c r="E41" s="32" t="inlineStr">
        <is>
          <t>L</t>
        </is>
      </c>
      <c r="F41" s="33" t="n">
        <v>1.025</v>
      </c>
      <c r="G41" s="33">
        <f>D41*F41</f>
        <v/>
      </c>
      <c r="H41" s="32" t="inlineStr">
        <is>
          <t>Concentrado espumígeno AFFF 3 % (IRAM 3515)</t>
        </is>
      </c>
      <c r="I41" s="17" t="inlineStr">
        <is>
          <t>nominal 0,3 L; tolerancia ± 3 % (IRAM 3517-2:2020 tabla 3)</t>
        </is>
      </c>
      <c r="J41" s="32" t="inlineStr">
        <is>
          <t>Compra</t>
        </is>
      </c>
      <c r="K41" s="32" t="inlineStr">
        <is>
          <t>No</t>
        </is>
      </c>
      <c r="L41" s="17" t="n"/>
      <c r="M41" s="17" t="n"/>
      <c r="N41" s="17" t="inlineStr">
        <is>
          <t>SP-1 almacén previo a la carga</t>
        </is>
      </c>
      <c r="O41" s="17" t="inlineStr">
        <is>
          <t>IRAM 3515</t>
        </is>
      </c>
      <c r="P41" s="32" t="inlineStr">
        <is>
          <t>N</t>
        </is>
      </c>
      <c r="Q41" s="32" t="n"/>
      <c r="R41" s="17" t="n"/>
    </row>
    <row r="42" outlineLevel="1">
      <c r="A42" s="32" t="n">
        <v>2</v>
      </c>
      <c r="B42" s="32" t="inlineStr">
        <is>
          <t>AFFF10-A2</t>
        </is>
      </c>
      <c r="C42" s="17" t="inlineStr">
        <is>
          <t xml:space="preserve">        Gas impulsor: Aire comprimido</t>
        </is>
      </c>
      <c r="D42" s="32" t="n">
        <v>0.0427</v>
      </c>
      <c r="E42" s="32" t="inlineStr">
        <is>
          <t>kg</t>
        </is>
      </c>
      <c r="F42" s="33" t="n">
        <v>1</v>
      </c>
      <c r="G42" s="33">
        <f>D42*F42</f>
        <v/>
      </c>
      <c r="H42" s="32" t="inlineStr">
        <is>
          <t>Aire comprimido</t>
        </is>
      </c>
      <c r="I42" s="17" t="inlineStr">
        <is>
          <t>33 L normales para 0,8 MPa a 20 °C en 3,98 dm³ libres</t>
        </is>
      </c>
      <c r="J42" s="32" t="inlineStr">
        <is>
          <t>Compra</t>
        </is>
      </c>
      <c r="K42" s="32" t="inlineStr">
        <is>
          <t>No</t>
        </is>
      </c>
      <c r="L42" s="17" t="n"/>
      <c r="M42" s="17" t="n"/>
      <c r="N42" s="17" t="inlineStr">
        <is>
          <t>20 Presurización (T05) / C10</t>
        </is>
      </c>
      <c r="O42" s="17" t="inlineStr">
        <is>
          <t>IRAM 3517-2 9.4.9 (tabla 2) · IRAM 3523 2.3 y 3.10</t>
        </is>
      </c>
      <c r="P42" s="32" t="inlineStr">
        <is>
          <t>C</t>
        </is>
      </c>
      <c r="Q42" s="32" t="n"/>
      <c r="R42" s="17" t="inlineStr">
        <is>
          <t>Batería en SP-1; punto de rocío ≤ -56,7 °C para gases limpios</t>
        </is>
      </c>
    </row>
    <row r="43">
      <c r="A43" s="29" t="n">
        <v>1</v>
      </c>
      <c r="B43" s="29" t="inlineStr">
        <is>
          <t>AFFF10-S6</t>
        </is>
      </c>
      <c r="C43" s="30" t="inlineStr">
        <is>
          <t xml:space="preserve">    Identificación y precinto</t>
        </is>
      </c>
      <c r="D43" s="29" t="n">
        <v>1</v>
      </c>
      <c r="E43" s="29" t="inlineStr">
        <is>
          <t>u</t>
        </is>
      </c>
      <c r="F43" s="31" t="n"/>
      <c r="G43" s="31">
        <f>G44+G45+G46+G47+G48+G49+G50</f>
        <v/>
      </c>
      <c r="H43" s="29" t="n"/>
      <c r="I43" s="30" t="n"/>
      <c r="J43" s="29" t="inlineStr">
        <is>
          <t>Compra</t>
        </is>
      </c>
      <c r="K43" s="29" t="n"/>
      <c r="L43" s="30" t="n"/>
      <c r="M43" s="30" t="n"/>
      <c r="N43" s="30" t="inlineStr">
        <is>
          <t>22 Etiquetado (T07)</t>
        </is>
      </c>
      <c r="O43" s="30" t="n"/>
      <c r="P43" s="29" t="n"/>
      <c r="Q43" s="29" t="n"/>
      <c r="R43" s="30" t="n"/>
    </row>
    <row r="44" outlineLevel="1">
      <c r="A44" s="32" t="n">
        <v>2</v>
      </c>
      <c r="B44" s="32" t="inlineStr">
        <is>
          <t>AFFF10-21</t>
        </is>
      </c>
      <c r="C44" s="17" t="inlineStr">
        <is>
          <t xml:space="preserve">        Etiqueta / placa de características</t>
        </is>
      </c>
      <c r="D44" s="32" t="n">
        <v>1</v>
      </c>
      <c r="E44" s="32" t="inlineStr">
        <is>
          <t>u</t>
        </is>
      </c>
      <c r="F44" s="33" t="n">
        <v>0.0327</v>
      </c>
      <c r="G44" s="33">
        <f>D44*F44</f>
        <v/>
      </c>
      <c r="H44" s="32" t="inlineStr">
        <is>
          <t>Vinilo autoadhesivo laminado</t>
        </is>
      </c>
      <c r="I44" s="17" t="inlineStr">
        <is>
          <t>359 × 217 (desarrollo × alto: panel central 108° + 2 alas laterales), e ≈ 0,3, laminado UV</t>
        </is>
      </c>
      <c r="J44" s="32" t="inlineStr">
        <is>
          <t>Compra</t>
        </is>
      </c>
      <c r="K44" s="32" t="inlineStr">
        <is>
          <t>No</t>
        </is>
      </c>
      <c r="L44" s="17" t="n"/>
      <c r="M44" s="17" t="n"/>
      <c r="N44" s="17" t="inlineStr">
        <is>
          <t>22 Etiquetado (T07)</t>
        </is>
      </c>
      <c r="O44" s="17" t="inlineStr">
        <is>
          <t>IRAM 3534 · IRAM 3527 cap. 5 · relevamiento de mercado</t>
        </is>
      </c>
      <c r="P44" s="32" t="inlineStr">
        <is>
          <t>P</t>
        </is>
      </c>
      <c r="Q44" s="32" t="inlineStr">
        <is>
          <t>FL_DES_AFFF_10l</t>
        </is>
      </c>
      <c r="R44" s="17" t="inlineStr">
        <is>
          <t>IRAM 3534</t>
        </is>
      </c>
    </row>
    <row r="45" outlineLevel="1">
      <c r="A45" s="32" t="n">
        <v>2</v>
      </c>
      <c r="B45" s="32" t="inlineStr">
        <is>
          <t>AFFF10-22</t>
        </is>
      </c>
      <c r="C45" s="17" t="inlineStr">
        <is>
          <t xml:space="preserve">        Oblea de fabricación (PBA)</t>
        </is>
      </c>
      <c r="D45" s="32" t="n">
        <v>1</v>
      </c>
      <c r="E45" s="32" t="inlineStr">
        <is>
          <t>u</t>
        </is>
      </c>
      <c r="F45" s="33" t="n">
        <v>0.0009</v>
      </c>
      <c r="G45" s="33">
        <f>D45*F45</f>
        <v/>
      </c>
      <c r="H45" s="32" t="inlineStr">
        <is>
          <t>Papel de seguridad autodestructible</t>
        </is>
      </c>
      <c r="I45" s="17" t="inlineStr">
        <is>
          <t>Ø46 (Res. OPDS 522/07), numerada, autodestructible</t>
        </is>
      </c>
      <c r="J45" s="32" t="inlineStr">
        <is>
          <t>Compra</t>
        </is>
      </c>
      <c r="K45" s="32" t="inlineStr">
        <is>
          <t>No</t>
        </is>
      </c>
      <c r="L45" s="17" t="n"/>
      <c r="M45" s="17" t="n"/>
      <c r="N45" s="17" t="inlineStr">
        <is>
          <t>22 Etiquetado (T07)</t>
        </is>
      </c>
      <c r="O45" s="17" t="inlineStr">
        <is>
          <t>Res. OPDS 522/07 anexos 1, 2 y 6</t>
        </is>
      </c>
      <c r="P45" s="32" t="inlineStr">
        <is>
          <t>P</t>
        </is>
      </c>
      <c r="Q45" s="32" t="inlineStr">
        <is>
          <t>FL_DES_AFFF_10l</t>
        </is>
      </c>
      <c r="R45" s="17" t="inlineStr">
        <is>
          <t>Res. 522/07</t>
        </is>
      </c>
    </row>
    <row r="46" outlineLevel="1">
      <c r="A46" s="32" t="n">
        <v>2</v>
      </c>
      <c r="B46" s="32" t="inlineStr">
        <is>
          <t>AFFF10-23</t>
        </is>
      </c>
      <c r="C46" s="17" t="inlineStr">
        <is>
          <t xml:space="preserve">        Estampilla IRAM de conformidad</t>
        </is>
      </c>
      <c r="D46" s="32" t="n">
        <v>1</v>
      </c>
      <c r="E46" s="32" t="inlineStr">
        <is>
          <t>u</t>
        </is>
      </c>
      <c r="F46" s="33" t="n">
        <v>0.001</v>
      </c>
      <c r="G46" s="33">
        <f>D46*F46</f>
        <v/>
      </c>
      <c r="H46" s="32" t="inlineStr">
        <is>
          <t>Provista por IRAM (Anexo R)</t>
        </is>
      </c>
      <c r="I46" s="17" t="inlineStr">
        <is>
          <t>60 × 40</t>
        </is>
      </c>
      <c r="J46" s="32" t="inlineStr">
        <is>
          <t>Compra</t>
        </is>
      </c>
      <c r="K46" s="32" t="inlineStr">
        <is>
          <t>No</t>
        </is>
      </c>
      <c r="L46" s="17" t="n"/>
      <c r="M46" s="17" t="n"/>
      <c r="N46" s="17" t="inlineStr">
        <is>
          <t>22 Etiquetado (T07)</t>
        </is>
      </c>
      <c r="O46" s="17" t="inlineStr">
        <is>
          <t>IRAM Anexo R (DC-PG-129)</t>
        </is>
      </c>
      <c r="P46" s="32" t="inlineStr">
        <is>
          <t>P</t>
        </is>
      </c>
      <c r="Q46" s="32" t="inlineStr">
        <is>
          <t>FL_DES_AFFF_10l</t>
        </is>
      </c>
      <c r="R46" s="17" t="inlineStr">
        <is>
          <t>numerada</t>
        </is>
      </c>
    </row>
    <row r="47" outlineLevel="1">
      <c r="A47" s="32" t="n">
        <v>2</v>
      </c>
      <c r="B47" s="32" t="inlineStr">
        <is>
          <t>AFFF10-24</t>
        </is>
      </c>
      <c r="C47" s="17" t="inlineStr">
        <is>
          <t xml:space="preserve">        Tarjeta de identificación AGC (CABA)</t>
        </is>
      </c>
      <c r="D47" s="32" t="n">
        <v>1</v>
      </c>
      <c r="E47" s="32" t="inlineStr">
        <is>
          <t>u</t>
        </is>
      </c>
      <c r="F47" s="33" t="n">
        <v>0.0032</v>
      </c>
      <c r="G47" s="33">
        <f>D47*F47</f>
        <v/>
      </c>
      <c r="H47" s="32" t="inlineStr">
        <is>
          <t>Etiqueta autoadhesiva emitida por la AGC</t>
        </is>
      </c>
      <c r="I47" s="17" t="inlineStr">
        <is>
          <t>140 × 55</t>
        </is>
      </c>
      <c r="J47" s="32" t="inlineStr">
        <is>
          <t>Compra</t>
        </is>
      </c>
      <c r="K47" s="32" t="inlineStr">
        <is>
          <t>Sí</t>
        </is>
      </c>
      <c r="L47" s="17" t="inlineStr">
        <is>
          <t>Agencia Gubernamental de Control (CABA)</t>
        </is>
      </c>
      <c r="M47" s="17" t="inlineStr">
        <is>
          <t>-</t>
        </is>
      </c>
      <c r="N47" s="17" t="inlineStr">
        <is>
          <t>22 Etiquetado (T07)</t>
        </is>
      </c>
      <c r="O47" s="17" t="inlineStr">
        <is>
          <t>Ordenanza 40.473 art. 6 · Res. AGC 32/15</t>
        </is>
      </c>
      <c r="P47" s="32" t="inlineStr">
        <is>
          <t>P</t>
        </is>
      </c>
      <c r="Q47" s="32" t="inlineStr">
        <is>
          <t>FL_DES_AFFF_10l</t>
        </is>
      </c>
      <c r="R47" s="17" t="inlineStr">
        <is>
          <t>sólo destino CABA; sólo destino CABA</t>
        </is>
      </c>
    </row>
    <row r="48" outlineLevel="1">
      <c r="A48" s="32" t="n">
        <v>2</v>
      </c>
      <c r="B48" s="32" t="inlineStr">
        <is>
          <t>AFFF10-25</t>
        </is>
      </c>
      <c r="C48" s="17" t="inlineStr">
        <is>
          <t xml:space="preserve">        Etiqueta de n° de serie GS1</t>
        </is>
      </c>
      <c r="D48" s="32" t="n">
        <v>1</v>
      </c>
      <c r="E48" s="32" t="inlineStr">
        <is>
          <t>u</t>
        </is>
      </c>
      <c r="F48" s="33" t="n">
        <v>0.0005</v>
      </c>
      <c r="G48" s="33">
        <f>D48*F48</f>
        <v/>
      </c>
      <c r="H48" s="32" t="inlineStr">
        <is>
          <t>Poliéster autoadhesivo impreso térmico</t>
        </is>
      </c>
      <c r="I48" s="17" t="inlineStr">
        <is>
          <t>45 × 25</t>
        </is>
      </c>
      <c r="J48" s="32" t="inlineStr">
        <is>
          <t>Compra</t>
        </is>
      </c>
      <c r="K48" s="32" t="inlineStr">
        <is>
          <t>No</t>
        </is>
      </c>
      <c r="L48" s="17" t="n"/>
      <c r="M48" s="17" t="n"/>
      <c r="N48" s="17" t="inlineStr">
        <is>
          <t>22 Etiquetado (T07)</t>
        </is>
      </c>
      <c r="O48" s="17" t="inlineStr">
        <is>
          <t>GS1 Argentina (GTIN 779) · trazabilidad IRAM 3523 5.1</t>
        </is>
      </c>
      <c r="P48" s="32" t="inlineStr">
        <is>
          <t>P</t>
        </is>
      </c>
      <c r="Q48" s="32" t="inlineStr">
        <is>
          <t>FL_DES_AFFF_10l</t>
        </is>
      </c>
      <c r="R48" s="17" t="inlineStr">
        <is>
          <t>QR GTIN + serie</t>
        </is>
      </c>
    </row>
    <row r="49" outlineLevel="1">
      <c r="A49" s="32" t="n">
        <v>2</v>
      </c>
      <c r="B49" s="32" t="inlineStr">
        <is>
          <t>AFFF10-27</t>
        </is>
      </c>
      <c r="C49" s="17" t="inlineStr">
        <is>
          <t xml:space="preserve">        Faja de garantía válvula-cuello</t>
        </is>
      </c>
      <c r="D49" s="32" t="n">
        <v>1</v>
      </c>
      <c r="E49" s="32" t="inlineStr">
        <is>
          <t>u</t>
        </is>
      </c>
      <c r="F49" s="33" t="n">
        <v>0.0001</v>
      </c>
      <c r="G49" s="33">
        <f>D49*F49</f>
        <v/>
      </c>
      <c r="H49" s="32" t="inlineStr">
        <is>
          <t>Vinilo destructible rayado rojo/blanco</t>
        </is>
      </c>
      <c r="I49" s="17" t="inlineStr">
        <is>
          <t>22 × 22 (ancho × largo desarrollado), pegada sobre la unión: cuerpo de la válvula, tuerca y cuello</t>
        </is>
      </c>
      <c r="J49" s="32" t="inlineStr">
        <is>
          <t>Compra</t>
        </is>
      </c>
      <c r="K49" s="32" t="inlineStr">
        <is>
          <t>No</t>
        </is>
      </c>
      <c r="L49" s="17" t="n"/>
      <c r="M49" s="17" t="n"/>
      <c r="N49" s="17" t="inlineStr">
        <is>
          <t>22 Etiquetado (T07)</t>
        </is>
      </c>
      <c r="O49" s="17" t="inlineStr">
        <is>
          <t>Sin norma: práctica de mercado (garantía de fábrica)</t>
        </is>
      </c>
      <c r="P49" s="32" t="inlineStr">
        <is>
          <t>P</t>
        </is>
      </c>
      <c r="Q49" s="32" t="inlineStr">
        <is>
          <t>FL_DES_AFFF_10l</t>
        </is>
      </c>
      <c r="R49" s="17" t="inlineStr">
        <is>
          <t>nuevo sin abrir</t>
        </is>
      </c>
    </row>
    <row r="50" outlineLevel="1">
      <c r="A50" s="32" t="n">
        <v>2</v>
      </c>
      <c r="B50" s="32" t="inlineStr">
        <is>
          <t>AFFF10-28</t>
        </is>
      </c>
      <c r="C50" s="17" t="inlineStr">
        <is>
          <t xml:space="preserve">        Precinto de fábrica</t>
        </is>
      </c>
      <c r="D50" s="32" t="n">
        <v>1</v>
      </c>
      <c r="E50" s="32" t="inlineStr">
        <is>
          <t>u</t>
        </is>
      </c>
      <c r="F50" s="33" t="n">
        <v>0.0002</v>
      </c>
      <c r="G50" s="33">
        <f>D50*F50</f>
        <v/>
      </c>
      <c r="H50" s="32" t="inlineStr">
        <is>
          <t>Polipropileno color</t>
        </is>
      </c>
      <c r="I50" s="17" t="inlineStr">
        <is>
          <t>Ø5 × 10, numerado, rotura 30-50 N</t>
        </is>
      </c>
      <c r="J50" s="32" t="inlineStr">
        <is>
          <t>Compra</t>
        </is>
      </c>
      <c r="K50" s="32" t="inlineStr">
        <is>
          <t>No</t>
        </is>
      </c>
      <c r="L50" s="17" t="n"/>
      <c r="M50" s="17" t="n"/>
      <c r="N50" s="17" t="inlineStr">
        <is>
          <t>20 Presurización (T05)</t>
        </is>
      </c>
      <c r="O50" s="17" t="inlineStr">
        <is>
          <t>IRAM 3523 3.3.2 · IRAM 3517-2:2020 9.4.13</t>
        </is>
      </c>
      <c r="P50" s="32" t="inlineStr">
        <is>
          <t>P</t>
        </is>
      </c>
      <c r="Q50" s="32" t="inlineStr">
        <is>
          <t>FL_DES_AFFF_10l</t>
        </is>
      </c>
      <c r="R50" s="17" t="inlineStr">
        <is>
          <t>id. FLAMA y lote</t>
        </is>
      </c>
    </row>
    <row r="51">
      <c r="A51" s="29" t="n">
        <v>1</v>
      </c>
      <c r="B51" s="29" t="inlineStr">
        <is>
          <t>AFFF10-S8</t>
        </is>
      </c>
      <c r="C51" s="30" t="inlineStr">
        <is>
          <t xml:space="preserve">    Soporte (accesorio de montaje)</t>
        </is>
      </c>
      <c r="D51" s="29" t="n">
        <v>1</v>
      </c>
      <c r="E51" s="29" t="inlineStr">
        <is>
          <t>u</t>
        </is>
      </c>
      <c r="F51" s="31" t="n"/>
      <c r="G51" s="31">
        <f>G52</f>
        <v/>
      </c>
      <c r="H51" s="29" t="n"/>
      <c r="I51" s="30" t="n"/>
      <c r="J51" s="29" t="inlineStr">
        <is>
          <t>Compra</t>
        </is>
      </c>
      <c r="K51" s="29" t="n"/>
      <c r="L51" s="30" t="n"/>
      <c r="M51" s="30" t="n"/>
      <c r="N51" s="30" t="inlineStr">
        <is>
          <t>23 Embalaje (va dentro de la caja)</t>
        </is>
      </c>
      <c r="O51" s="30" t="inlineStr">
        <is>
          <t>IRAM 3517-2 7.4</t>
        </is>
      </c>
      <c r="P51" s="29" t="n"/>
      <c r="Q51" s="29" t="n"/>
      <c r="R51" s="30" t="n"/>
    </row>
    <row r="52" outlineLevel="1">
      <c r="A52" s="32" t="n">
        <v>2</v>
      </c>
      <c r="B52" s="32" t="inlineStr">
        <is>
          <t>AFFF10-I5</t>
        </is>
      </c>
      <c r="C52" s="17" t="inlineStr">
        <is>
          <t xml:space="preserve">        Soporte de pared (FL_ACC_01)</t>
        </is>
      </c>
      <c r="D52" s="32" t="n">
        <v>1</v>
      </c>
      <c r="E52" s="32" t="inlineStr">
        <is>
          <t>u</t>
        </is>
      </c>
      <c r="F52" s="33" t="n">
        <v>0.327</v>
      </c>
      <c r="G52" s="33">
        <f>D52*F52</f>
        <v/>
      </c>
      <c r="H52" s="32" t="inlineStr">
        <is>
          <t>Chapa acero SAE 1010 e=2 pintada</t>
        </is>
      </c>
      <c r="I52" s="17" t="inlineStr">
        <is>
          <t>placa 60 × 180, ala con ranura Ø cuello + 3</t>
        </is>
      </c>
      <c r="J52" s="32" t="inlineStr">
        <is>
          <t>Compra</t>
        </is>
      </c>
      <c r="K52" s="32" t="inlineStr">
        <is>
          <t>No</t>
        </is>
      </c>
      <c r="L52" s="17" t="n"/>
      <c r="M52" s="17" t="n"/>
      <c r="N52" s="17" t="inlineStr">
        <is>
          <t>23 Embalaje</t>
        </is>
      </c>
      <c r="O52" s="17" t="inlineStr">
        <is>
          <t>IRAM 3517-2 7.4</t>
        </is>
      </c>
      <c r="P52" s="32" t="inlineStr">
        <is>
          <t>P</t>
        </is>
      </c>
      <c r="Q52" s="32" t="inlineStr">
        <is>
          <t>FL_ACC_01</t>
        </is>
      </c>
      <c r="R52" s="17" t="n"/>
    </row>
    <row r="53" outlineLevel="1">
      <c r="A53" s="32" t="n">
        <v>2</v>
      </c>
      <c r="B53" s="32" t="inlineStr">
        <is>
          <t>AFFF10-I6</t>
        </is>
      </c>
      <c r="C53" s="17" t="inlineStr">
        <is>
          <t xml:space="preserve">        Tornillo y tarugo de fijación</t>
        </is>
      </c>
      <c r="D53" s="32" t="n">
        <v>2</v>
      </c>
      <c r="E53" s="32" t="inlineStr">
        <is>
          <t>u</t>
        </is>
      </c>
      <c r="F53" s="33" t="n"/>
      <c r="G53" s="33" t="n"/>
      <c r="H53" s="32" t="inlineStr">
        <is>
          <t>Acero cincado / nylon</t>
        </is>
      </c>
      <c r="I53" s="17" t="inlineStr">
        <is>
          <t>2 agujeros Ø8,5 del plano FL_ACC_01 → tornillo M8 + tarugo</t>
        </is>
      </c>
      <c r="J53" s="32" t="inlineStr">
        <is>
          <t>Compra</t>
        </is>
      </c>
      <c r="K53" s="32" t="inlineStr">
        <is>
          <t>No</t>
        </is>
      </c>
      <c r="L53" s="17" t="n"/>
      <c r="M53" s="17" t="n"/>
      <c r="N53" s="17" t="inlineStr">
        <is>
          <t>23 Embalaje</t>
        </is>
      </c>
      <c r="O53" s="17" t="n"/>
      <c r="P53" s="32" t="inlineStr">
        <is>
          <t>P</t>
        </is>
      </c>
      <c r="Q53" s="32" t="inlineStr">
        <is>
          <t>FL_ACC_01</t>
        </is>
      </c>
      <c r="R53" s="17" t="n"/>
    </row>
    <row r="54">
      <c r="A54" s="29" t="n">
        <v>1</v>
      </c>
      <c r="B54" s="29" t="inlineStr">
        <is>
          <t>AFFF10-S7</t>
        </is>
      </c>
      <c r="C54" s="30" t="inlineStr">
        <is>
          <t xml:space="preserve">    Embalaje</t>
        </is>
      </c>
      <c r="D54" s="29" t="n">
        <v>1</v>
      </c>
      <c r="E54" s="29" t="inlineStr">
        <is>
          <t>u</t>
        </is>
      </c>
      <c r="F54" s="31" t="n"/>
      <c r="G54" s="31">
        <f>G58</f>
        <v/>
      </c>
      <c r="H54" s="29" t="n"/>
      <c r="I54" s="30" t="n"/>
      <c r="J54" s="29" t="inlineStr">
        <is>
          <t>Compra</t>
        </is>
      </c>
      <c r="K54" s="29" t="n"/>
      <c r="L54" s="30" t="n"/>
      <c r="M54" s="30" t="n"/>
      <c r="N54" s="30" t="inlineStr">
        <is>
          <t>23 Embalaje -&gt; 24 envolvedora (T11)</t>
        </is>
      </c>
      <c r="O54" s="30" t="n"/>
      <c r="P54" s="29" t="n"/>
      <c r="Q54" s="29" t="n"/>
      <c r="R54" s="30" t="n"/>
    </row>
    <row r="55" outlineLevel="1">
      <c r="A55" s="32" t="n">
        <v>2</v>
      </c>
      <c r="B55" s="32" t="inlineStr">
        <is>
          <t>AFFF10-E1</t>
        </is>
      </c>
      <c r="C55" s="17" t="inlineStr">
        <is>
          <t xml:space="preserve">        Caja de cartón corrugado doble</t>
        </is>
      </c>
      <c r="D55" s="32" t="n">
        <v>1</v>
      </c>
      <c r="E55" s="32" t="inlineStr">
        <is>
          <t>u</t>
        </is>
      </c>
      <c r="F55" s="33" t="n"/>
      <c r="G55" s="33" t="n"/>
      <c r="H55" s="32" t="inlineStr">
        <is>
          <t>Cartón corrugado</t>
        </is>
      </c>
      <c r="I55" s="17" t="inlineStr">
        <is>
          <t>268 × 224 × 614 interior (envolvente del plano + 15 por lado)</t>
        </is>
      </c>
      <c r="J55" s="32" t="inlineStr">
        <is>
          <t>Compra</t>
        </is>
      </c>
      <c r="K55" s="32" t="inlineStr">
        <is>
          <t>No</t>
        </is>
      </c>
      <c r="L55" s="17" t="n"/>
      <c r="M55" s="17" t="n"/>
      <c r="N55" s="17" t="inlineStr">
        <is>
          <t>23 Embalaje</t>
        </is>
      </c>
      <c r="O55" s="17" t="n"/>
      <c r="P55" s="32" t="inlineStr">
        <is>
          <t>P</t>
        </is>
      </c>
      <c r="Q55" s="32" t="n"/>
      <c r="R55" s="17" t="inlineStr">
        <is>
          <t>Medida del plano</t>
        </is>
      </c>
    </row>
    <row r="56" outlineLevel="1">
      <c r="A56" s="32" t="n">
        <v>2</v>
      </c>
      <c r="B56" s="32" t="inlineStr">
        <is>
          <t>AFFF10-E2</t>
        </is>
      </c>
      <c r="C56" s="17" t="inlineStr">
        <is>
          <t xml:space="preserve">        Instructivo de uso y mantenimiento</t>
        </is>
      </c>
      <c r="D56" s="32" t="n">
        <v>1</v>
      </c>
      <c r="E56" s="32" t="inlineStr">
        <is>
          <t>u</t>
        </is>
      </c>
      <c r="F56" s="33" t="n"/>
      <c r="G56" s="33" t="n"/>
      <c r="H56" s="32" t="inlineStr">
        <is>
          <t>Papel</t>
        </is>
      </c>
      <c r="I56" s="17" t="inlineStr">
        <is>
          <t>A5</t>
        </is>
      </c>
      <c r="J56" s="32" t="inlineStr">
        <is>
          <t>Compra</t>
        </is>
      </c>
      <c r="K56" s="32" t="inlineStr">
        <is>
          <t>No</t>
        </is>
      </c>
      <c r="L56" s="17" t="n"/>
      <c r="M56" s="17" t="n"/>
      <c r="N56" s="17" t="inlineStr">
        <is>
          <t>23 Embalaje</t>
        </is>
      </c>
      <c r="O56" s="17" t="n"/>
      <c r="P56" s="32" t="inlineStr">
        <is>
          <t>I</t>
        </is>
      </c>
      <c r="Q56" s="32" t="n"/>
      <c r="R56" s="17" t="inlineStr">
        <is>
          <t>Decisión comercial de FLAMA (las instrucciones de uso obligatorias van en la etiqueta, IRAM 3534)</t>
        </is>
      </c>
    </row>
    <row r="57" outlineLevel="1">
      <c r="A57" s="32" t="n">
        <v>2</v>
      </c>
      <c r="B57" s="32" t="inlineStr">
        <is>
          <t>AFFF10-E3</t>
        </is>
      </c>
      <c r="C57" s="17" t="inlineStr">
        <is>
          <t xml:space="preserve">        Pallet 1200 × 1000 (fracción)</t>
        </is>
      </c>
      <c r="D57" s="32" t="n">
        <v>0.0312</v>
      </c>
      <c r="E57" s="32" t="inlineStr">
        <is>
          <t>u</t>
        </is>
      </c>
      <c r="F57" s="33" t="n"/>
      <c r="G57" s="33" t="n"/>
      <c r="H57" s="32" t="inlineStr">
        <is>
          <t>Madera</t>
        </is>
      </c>
      <c r="I57" s="17" t="inlineStr">
        <is>
          <t>32 u por pallet</t>
        </is>
      </c>
      <c r="J57" s="32" t="inlineStr">
        <is>
          <t>Compra</t>
        </is>
      </c>
      <c r="K57" s="32" t="inlineStr">
        <is>
          <t>No</t>
        </is>
      </c>
      <c r="L57" s="17" t="n"/>
      <c r="M57" s="17" t="n"/>
      <c r="N57" s="17" t="inlineStr">
        <is>
          <t>23 Embalaje</t>
        </is>
      </c>
      <c r="O57" s="17" t="n"/>
      <c r="P57" s="32" t="inlineStr">
        <is>
          <t>C</t>
        </is>
      </c>
      <c r="Q57" s="32" t="n"/>
      <c r="R57" s="17" t="inlineStr">
        <is>
          <t>u por pallet = acomodo de la caja (plano) en 1200 × 1000 × 1450 de alto</t>
        </is>
      </c>
    </row>
    <row r="58" outlineLevel="1">
      <c r="A58" s="32" t="n">
        <v>2</v>
      </c>
      <c r="B58" s="32" t="inlineStr">
        <is>
          <t>AFFF10-E4</t>
        </is>
      </c>
      <c r="C58" s="17" t="inlineStr">
        <is>
          <t xml:space="preserve">        Film stretch (fracción del pallet)</t>
        </is>
      </c>
      <c r="D58" s="32" t="n">
        <v>0.0037</v>
      </c>
      <c r="E58" s="32" t="inlineStr">
        <is>
          <t>kg</t>
        </is>
      </c>
      <c r="F58" s="33" t="n">
        <v>1</v>
      </c>
      <c r="G58" s="33">
        <f>D58*F58</f>
        <v/>
      </c>
      <c r="H58" s="32" t="inlineStr">
        <is>
          <t>PE lineal 23 µm</t>
        </is>
      </c>
      <c r="I58" s="17" t="inlineStr">
        <is>
          <t>0,12 kg por pallet / 32 u</t>
        </is>
      </c>
      <c r="J58" s="32" t="inlineStr">
        <is>
          <t>Compra</t>
        </is>
      </c>
      <c r="K58" s="32" t="inlineStr">
        <is>
          <t>No</t>
        </is>
      </c>
      <c r="L58" s="17" t="n"/>
      <c r="M58" s="17" t="n"/>
      <c r="N58" s="17" t="inlineStr">
        <is>
          <t>24 Envolvedora (T11)</t>
        </is>
      </c>
      <c r="O58" s="17" t="n"/>
      <c r="P58" s="32" t="inlineStr">
        <is>
          <t>C</t>
        </is>
      </c>
      <c r="Q58" s="32" t="n"/>
      <c r="R58"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9" outlineLevel="1">
      <c r="A59" s="32" t="n">
        <v>2</v>
      </c>
      <c r="B59" s="32" t="inlineStr">
        <is>
          <t>AFFF10-E5</t>
        </is>
      </c>
      <c r="C59" s="17" t="inlineStr">
        <is>
          <t xml:space="preserve">        Etiqueta de pallet (lote y destino, fracción)</t>
        </is>
      </c>
      <c r="D59" s="32" t="n">
        <v>0.0312</v>
      </c>
      <c r="E59" s="32" t="inlineStr">
        <is>
          <t>u</t>
        </is>
      </c>
      <c r="F59" s="33" t="n"/>
      <c r="G59" s="33" t="n"/>
      <c r="H59" s="32" t="inlineStr">
        <is>
          <t>Papel térmico</t>
        </is>
      </c>
      <c r="I59" s="17" t="inlineStr">
        <is>
          <t>100 × 150</t>
        </is>
      </c>
      <c r="J59" s="32" t="inlineStr">
        <is>
          <t>Compra</t>
        </is>
      </c>
      <c r="K59" s="32" t="inlineStr">
        <is>
          <t>No</t>
        </is>
      </c>
      <c r="L59" s="17" t="n"/>
      <c r="M59" s="17" t="n"/>
      <c r="N59" s="17" t="inlineStr">
        <is>
          <t>24 Envolvedora</t>
        </is>
      </c>
      <c r="O59" s="17" t="n"/>
      <c r="P59" s="32" t="inlineStr">
        <is>
          <t>C</t>
        </is>
      </c>
      <c r="Q59" s="32" t="n"/>
      <c r="R59" s="17" t="n"/>
    </row>
    <row r="60" outlineLevel="1">
      <c r="A60" s="32" t="n">
        <v>2</v>
      </c>
      <c r="B60" s="32" t="inlineStr">
        <is>
          <t>AFFF10-E6</t>
        </is>
      </c>
      <c r="C60" s="17" t="inlineStr">
        <is>
          <t xml:space="preserve">        Cinta de embalaje PP 48 mm (cierre de la caja)</t>
        </is>
      </c>
      <c r="D60" s="32" t="n">
        <v>0.8169999999999999</v>
      </c>
      <c r="E60" s="32" t="inlineStr">
        <is>
          <t>m</t>
        </is>
      </c>
      <c r="F60" s="33" t="n"/>
      <c r="G60" s="33" t="n"/>
      <c r="H60" s="32" t="inlineStr">
        <is>
          <t>Polipropileno con adhesivo acrílico</t>
        </is>
      </c>
      <c r="I60" s="17" t="inlineStr">
        <is>
          <t>cierre en I arriba y abajo: 2 × (268 + 2 × 70 de solapa)</t>
        </is>
      </c>
      <c r="J60" s="32" t="inlineStr">
        <is>
          <t>Compra</t>
        </is>
      </c>
      <c r="K60" s="32" t="inlineStr">
        <is>
          <t>No</t>
        </is>
      </c>
      <c r="L60" s="17" t="n"/>
      <c r="M60" s="17" t="n"/>
      <c r="N60" s="17" t="inlineStr">
        <is>
          <t>23 Embalaje</t>
        </is>
      </c>
      <c r="O60" s="17" t="n"/>
      <c r="P60" s="32" t="inlineStr">
        <is>
          <t>C</t>
        </is>
      </c>
      <c r="Q60" s="32" t="n"/>
      <c r="R60" s="17" t="inlineStr">
        <is>
          <t>Solapa de 70 mm por lado: práctica de cierre de cajas (medir en la línea)</t>
        </is>
      </c>
    </row>
    <row r="61" outlineLevel="1">
      <c r="A61" s="32" t="n">
        <v>2</v>
      </c>
      <c r="B61" s="32" t="inlineStr">
        <is>
          <t>AFFF10-E7</t>
        </is>
      </c>
      <c r="C61" s="17" t="inlineStr">
        <is>
          <t xml:space="preserve">        Esquineros de cartón 50 × 50 × 1200 (fracción del pallet)</t>
        </is>
      </c>
      <c r="D61" s="32" t="n">
        <v>0.125</v>
      </c>
      <c r="E61" s="32" t="inlineStr">
        <is>
          <t>u</t>
        </is>
      </c>
      <c r="F61" s="33" t="n"/>
      <c r="G61" s="33" t="n"/>
      <c r="H61" s="32" t="inlineStr">
        <is>
          <t>Cartón</t>
        </is>
      </c>
      <c r="I61" s="17" t="inlineStr">
        <is>
          <t>4 por pallet / 32 u</t>
        </is>
      </c>
      <c r="J61" s="32" t="inlineStr">
        <is>
          <t>Compra</t>
        </is>
      </c>
      <c r="K61" s="32" t="inlineStr">
        <is>
          <t>No</t>
        </is>
      </c>
      <c r="L61" s="17" t="n"/>
      <c r="M61" s="17" t="n"/>
      <c r="N61" s="17" t="inlineStr">
        <is>
          <t>24 Envolvedora (T11)</t>
        </is>
      </c>
      <c r="O61" s="17" t="n"/>
      <c r="P61" s="32" t="inlineStr">
        <is>
          <t>C</t>
        </is>
      </c>
      <c r="Q61" s="32" t="n"/>
      <c r="R61" s="17" t="inlineStr">
        <is>
          <t>Planilla MP-64</t>
        </is>
      </c>
    </row>
  </sheetData>
  <autoFilter ref="A10:R61"/>
  <pageMargins left="0.75" right="0.75" top="1" bottom="1" header="0.5" footer="0.5"/>
  <pageSetup orientation="landscape" fitToHeight="0" fitToWidth="1"/>
</worksheet>
</file>

<file path=xl/worksheets/sheet22.xml><?xml version="1.0" encoding="utf-8"?>
<worksheet xmlns="http://schemas.openxmlformats.org/spreadsheetml/2006/main">
  <sheetPr>
    <tabColor rgb="00BF8F00"/>
    <outlinePr summaryBelow="0" summaryRight="1"/>
    <pageSetUpPr fitToPage="1"/>
  </sheetPr>
  <dimension ref="A1:R65"/>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FL_MAT_AFFF_50l</t>
        </is>
      </c>
    </row>
    <row r="2">
      <c r="A2" s="58" t="inlineStr">
        <is>
          <t>Extintor AFFF 50 l sobre ruedas</t>
        </is>
      </c>
    </row>
    <row r="3">
      <c r="A3" s="2" t="inlineStr">
        <is>
          <t>Plano de origen</t>
        </is>
      </c>
      <c r="C3" t="inlineStr">
        <is>
          <t>FL_MAT_AFFF_50l  (4 láminas)</t>
        </is>
      </c>
      <c r="E3" s="2" t="inlineStr">
        <is>
          <t>Peso vacío S1-S4 (kg)</t>
        </is>
      </c>
      <c r="G3" s="59">
        <f>G13+G18+G32+G38</f>
        <v/>
      </c>
    </row>
    <row r="4">
      <c r="A4" s="2" t="inlineStr">
        <is>
          <t>Plano de despiece</t>
        </is>
      </c>
      <c r="C4" t="inlineStr">
        <is>
          <t>FL_DES_AFFF_50l (salida/despiece/)</t>
        </is>
      </c>
      <c r="E4" s="2" t="inlineStr">
        <is>
          <t>Peso cargado S1-S6 (kg)</t>
        </is>
      </c>
      <c r="G4" s="59">
        <f>G13+G18+G32+G38+G49+G53</f>
        <v/>
      </c>
    </row>
    <row r="5">
      <c r="A5" s="2" t="inlineStr">
        <is>
          <t>Norma del producto</t>
        </is>
      </c>
      <c r="C5" t="inlineStr">
        <is>
          <t>IRAM 3541</t>
        </is>
      </c>
      <c r="E5" s="2" t="inlineStr">
        <is>
          <t>Peso con soporte y embalaje (kg)</t>
        </is>
      </c>
      <c r="G5" s="59">
        <f>G13+G18+G32+G38+G49+G53+G61</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100</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FL_MAT_AFFF_50l</t>
        </is>
      </c>
      <c r="C11" s="27" t="inlineStr">
        <is>
          <t>Extintor AFFF 50 l sobre ruedas</t>
        </is>
      </c>
      <c r="D11" s="26" t="n">
        <v>1</v>
      </c>
      <c r="E11" s="26" t="inlineStr">
        <is>
          <t>u</t>
        </is>
      </c>
      <c r="F11" s="28" t="n"/>
      <c r="G11" s="28">
        <f>G5</f>
        <v/>
      </c>
      <c r="H11" s="26" t="n"/>
      <c r="I11" s="27" t="n"/>
      <c r="J11" s="26" t="n"/>
      <c r="K11" s="26" t="n"/>
      <c r="L11" s="27" t="n"/>
      <c r="M11" s="27" t="n"/>
      <c r="N11" s="27" t="n"/>
      <c r="O11" s="27" t="inlineStr">
        <is>
          <t>IRAM 3541</t>
        </is>
      </c>
      <c r="P11" s="26" t="inlineStr">
        <is>
          <t>P</t>
        </is>
      </c>
      <c r="Q11" s="26" t="inlineStr">
        <is>
          <t>FL_MAT_AFFF_50l</t>
        </is>
      </c>
      <c r="R11" s="27" t="inlineStr">
        <is>
          <t>Revendido: se compra terminado al fabricante con Sello IRAM; las piezas internas quedan como referencia (no entran en MRP)</t>
        </is>
      </c>
    </row>
    <row r="12">
      <c r="A12" s="29" t="n">
        <v>1</v>
      </c>
      <c r="B12" s="29" t="inlineStr">
        <is>
          <t>AFFF50-S0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Drago (Luis Pasquinelli e Hijos S.A.)</t>
        </is>
      </c>
      <c r="N12" s="30" t="inlineStr">
        <is>
          <t>Recepción y control de ingreso (SP-1)</t>
        </is>
      </c>
      <c r="O12" s="30" t="inlineStr">
        <is>
          <t>IRAM 3541</t>
        </is>
      </c>
      <c r="P12" s="29" t="inlineStr">
        <is>
          <t>I</t>
        </is>
      </c>
      <c r="Q12" s="29" t="inlineStr">
        <is>
          <t>FL_MAT_AFFF_50l</t>
        </is>
      </c>
      <c r="R12" s="30" t="inlineStr">
        <is>
          <t>Única fila de compra del revendido (más la tarjeta AGC si el destino es CABA)</t>
        </is>
      </c>
    </row>
    <row r="13">
      <c r="A13" s="29" t="n">
        <v>1</v>
      </c>
      <c r="B13" s="29" t="inlineStr">
        <is>
          <t>AFFF50-S1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FL_DES_AFFF_50l</t>
        </is>
      </c>
      <c r="R13" s="30" t="n"/>
    </row>
    <row r="14" outlineLevel="1">
      <c r="A14" s="32" t="n">
        <v>2</v>
      </c>
      <c r="B14" s="32" t="inlineStr">
        <is>
          <t>AFFF50-01</t>
        </is>
      </c>
      <c r="C14" s="17" t="inlineStr">
        <is>
          <t xml:space="preserve">        Cuerpo (virola)</t>
        </is>
      </c>
      <c r="D14" s="32" t="n">
        <v>1</v>
      </c>
      <c r="E14" s="32" t="inlineStr">
        <is>
          <t>u</t>
        </is>
      </c>
      <c r="F14" s="33" t="n">
        <v>16.0005</v>
      </c>
      <c r="G14" s="33">
        <f>D14*F14</f>
        <v/>
      </c>
      <c r="H14" s="32" t="inlineStr">
        <is>
          <t>Chapa LAC IRAM-IAS U 500-04 e=3,2</t>
        </is>
      </c>
      <c r="I14" s="17" t="inlineStr">
        <is>
          <t>Ø320 × e3,2 × 640 de alto; desarrollo 995,3 × 640</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FL_DES_AFFF_50l</t>
        </is>
      </c>
      <c r="R14" s="17" t="inlineStr">
        <is>
          <t>costura long. MAG</t>
        </is>
      </c>
    </row>
    <row r="15" outlineLevel="1">
      <c r="A15" s="32" t="n">
        <v>2</v>
      </c>
      <c r="B15" s="32" t="inlineStr">
        <is>
          <t>AFFF50-02</t>
        </is>
      </c>
      <c r="C15" s="17" t="inlineStr">
        <is>
          <t xml:space="preserve">        Cúpula</t>
        </is>
      </c>
      <c r="D15" s="32" t="n">
        <v>1</v>
      </c>
      <c r="E15" s="32" t="inlineStr">
        <is>
          <t>u</t>
        </is>
      </c>
      <c r="F15" s="33" t="n">
        <v>3.1376</v>
      </c>
      <c r="G15" s="33">
        <f>D15*F15</f>
        <v/>
      </c>
      <c r="H15" s="32" t="inlineStr">
        <is>
          <t>Chapa LAC IRAM-IAS U 500-04 e=3,2</t>
        </is>
      </c>
      <c r="I15" s="17" t="inlineStr">
        <is>
          <t>Ø320 × e3,2 × 109,9 de alto; disco Ø410,8</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FL_DES_AFFF_50l</t>
        </is>
      </c>
      <c r="R15" s="17" t="inlineStr">
        <is>
          <t>embutida</t>
        </is>
      </c>
    </row>
    <row r="16" outlineLevel="1">
      <c r="A16" s="32" t="n">
        <v>2</v>
      </c>
      <c r="B16" s="32" t="inlineStr">
        <is>
          <t>AFFF50-03</t>
        </is>
      </c>
      <c r="C16" s="17" t="inlineStr">
        <is>
          <t xml:space="preserve">        Fondo</t>
        </is>
      </c>
      <c r="D16" s="32" t="n">
        <v>1</v>
      </c>
      <c r="E16" s="32" t="inlineStr">
        <is>
          <t>u</t>
        </is>
      </c>
      <c r="F16" s="33" t="n">
        <v>3.3358</v>
      </c>
      <c r="G16" s="33">
        <f>D16*F16</f>
        <v/>
      </c>
      <c r="H16" s="32" t="inlineStr">
        <is>
          <t>Chapa LAC IRAM-IAS U 500-04 e=3,2</t>
        </is>
      </c>
      <c r="I16" s="17" t="inlineStr">
        <is>
          <t>Ø320 × e3,2 × 113 de alto; disco Ø423,5</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FL_DES_AFFF_50l</t>
        </is>
      </c>
      <c r="R16" s="17" t="inlineStr">
        <is>
          <t>embutido</t>
        </is>
      </c>
    </row>
    <row r="17" outlineLevel="1">
      <c r="A17" s="32" t="n">
        <v>2</v>
      </c>
      <c r="B17" s="32" t="inlineStr">
        <is>
          <t>AFFF50-04</t>
        </is>
      </c>
      <c r="C17" s="17" t="inlineStr">
        <is>
          <t xml:space="preserve">        Cuello roscado</t>
        </is>
      </c>
      <c r="D17" s="32" t="n">
        <v>1</v>
      </c>
      <c r="E17" s="32" t="inlineStr">
        <is>
          <t>u</t>
        </is>
      </c>
      <c r="F17" s="33" t="n">
        <v>0.6084000000000001</v>
      </c>
      <c r="G17" s="33">
        <f>D17*F17</f>
        <v/>
      </c>
      <c r="H17" s="32" t="inlineStr">
        <is>
          <t>Acero SAE 1010</t>
        </is>
      </c>
      <c r="I17" s="17" t="inlineStr">
        <is>
          <t>Ø88 × 37 de alto, rosca RBSP 2 1/2"-11 h, asiento Ø80</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FL_DES_AFFF_50l</t>
        </is>
      </c>
      <c r="R17" s="17" t="inlineStr">
        <is>
          <t>RBSP 2 1/2"-11 h</t>
        </is>
      </c>
    </row>
    <row r="18">
      <c r="A18" s="29" t="n">
        <v>1</v>
      </c>
      <c r="B18" s="29" t="inlineStr">
        <is>
          <t>AFFF50-S2</t>
        </is>
      </c>
      <c r="C18" s="30" t="inlineStr">
        <is>
          <t xml:space="preserve">    Conjunto de válvula</t>
        </is>
      </c>
      <c r="D18" s="29" t="n">
        <v>1</v>
      </c>
      <c r="E18" s="29" t="inlineStr">
        <is>
          <t>u</t>
        </is>
      </c>
      <c r="F18" s="31" t="n"/>
      <c r="G18" s="31">
        <f>G19+G20+G21+G23+G24+G25+G26+G27+G28+G29</f>
        <v/>
      </c>
      <c r="H18" s="29" t="n"/>
      <c r="I18" s="30" t="n"/>
      <c r="J18" s="29" t="inlineStr">
        <is>
          <t>Compra / armado</t>
        </is>
      </c>
      <c r="K18" s="29" t="n"/>
      <c r="L18" s="30" t="n"/>
      <c r="M18" s="30" t="n"/>
      <c r="N18" s="30" t="n"/>
      <c r="O18" s="30" t="inlineStr">
        <is>
          <t>Manómetro IRAM 3533</t>
        </is>
      </c>
      <c r="P18" s="29" t="inlineStr">
        <is>
          <t>P</t>
        </is>
      </c>
      <c r="Q18" s="29" t="inlineStr">
        <is>
          <t>FL_DES_AFFF_50l</t>
        </is>
      </c>
      <c r="R18" s="30" t="n"/>
    </row>
    <row r="19" outlineLevel="1">
      <c r="A19" s="32" t="n">
        <v>2</v>
      </c>
      <c r="B19" s="32" t="inlineStr">
        <is>
          <t>AFFF50-14</t>
        </is>
      </c>
      <c r="C19" s="17" t="inlineStr">
        <is>
          <t xml:space="preserve">        Espiga roscada</t>
        </is>
      </c>
      <c r="D19" s="32" t="n">
        <v>1</v>
      </c>
      <c r="E19" s="32" t="inlineStr">
        <is>
          <t>u</t>
        </is>
      </c>
      <c r="F19" s="33" t="n">
        <v>0.1296</v>
      </c>
      <c r="G19" s="33">
        <f>D19*F19</f>
        <v/>
      </c>
      <c r="H19" s="32" t="inlineStr">
        <is>
          <t>Latón forjado</t>
        </is>
      </c>
      <c r="I19" s="17" t="inlineStr">
        <is>
          <t>75 × 75 × 17,6</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FL_DES_AFFF_50l</t>
        </is>
      </c>
      <c r="R19" s="17" t="n"/>
    </row>
    <row r="20" outlineLevel="1">
      <c r="A20" s="32" t="n">
        <v>2</v>
      </c>
      <c r="B20" s="32" t="inlineStr">
        <is>
          <t>AFFF50-15</t>
        </is>
      </c>
      <c r="C20" s="17" t="inlineStr">
        <is>
          <t xml:space="preserve">        Collarín de válvula</t>
        </is>
      </c>
      <c r="D20" s="32" t="n">
        <v>1</v>
      </c>
      <c r="E20" s="32" t="inlineStr">
        <is>
          <t>u</t>
        </is>
      </c>
      <c r="F20" s="33" t="n">
        <v>0.189</v>
      </c>
      <c r="G20" s="33">
        <f>D20*F20</f>
        <v/>
      </c>
      <c r="H20" s="32" t="inlineStr">
        <is>
          <t>Latón forjado</t>
        </is>
      </c>
      <c r="I20" s="17" t="inlineStr">
        <is>
          <t>83 × 83 × 12</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FL_DES_AFFF_50l</t>
        </is>
      </c>
      <c r="R20" s="17" t="n"/>
    </row>
    <row r="21" outlineLevel="1">
      <c r="A21" s="32" t="n">
        <v>2</v>
      </c>
      <c r="B21" s="32" t="inlineStr">
        <is>
          <t>AFFF50-16</t>
        </is>
      </c>
      <c r="C21" s="17" t="inlineStr">
        <is>
          <t xml:space="preserve">        Cuerpo de válvula</t>
        </is>
      </c>
      <c r="D21" s="32" t="n">
        <v>1</v>
      </c>
      <c r="E21" s="32" t="inlineStr">
        <is>
          <t>u</t>
        </is>
      </c>
      <c r="F21" s="33" t="n">
        <v>0.9186</v>
      </c>
      <c r="G21" s="33">
        <f>D21*F21</f>
        <v/>
      </c>
      <c r="H21" s="32" t="inlineStr">
        <is>
          <t>Latón forjado</t>
        </is>
      </c>
      <c r="I21" s="17" t="inlineStr">
        <is>
          <t>68 × 67 × 44</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FL_DES_AFFF_50l</t>
        </is>
      </c>
      <c r="R21" s="17" t="n"/>
    </row>
    <row r="22" outlineLevel="1">
      <c r="A22" s="32" t="n">
        <v>2</v>
      </c>
      <c r="B22" s="32" t="inlineStr">
        <is>
          <t>AFFF50-17</t>
        </is>
      </c>
      <c r="C22" s="17" t="inlineStr">
        <is>
          <t xml:space="preserve">        Manómetro</t>
        </is>
      </c>
      <c r="D22" s="32" t="n">
        <v>1</v>
      </c>
      <c r="E22" s="32" t="inlineStr">
        <is>
          <t>u</t>
        </is>
      </c>
      <c r="F22" s="33" t="n"/>
      <c r="G22" s="33" t="n"/>
      <c r="H22" s="32" t="inlineStr">
        <is>
          <t>Comercial</t>
        </is>
      </c>
      <c r="I22" s="17" t="inlineStr">
        <is>
          <t>Ø47 esfera, rango 0-2 MPa, sector verde en 0,8</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FL_DES_AFFF_50l</t>
        </is>
      </c>
      <c r="R22" s="17" t="inlineStr">
        <is>
          <t>Pieza comercial; sello IRAM 3533; peso: completar con la ficha del proveedor (no afecta el MRP)</t>
        </is>
      </c>
    </row>
    <row r="23" outlineLevel="1">
      <c r="A23" s="32" t="n">
        <v>2</v>
      </c>
      <c r="B23" s="32" t="inlineStr">
        <is>
          <t>AFFF50-18</t>
        </is>
      </c>
      <c r="C23" s="17" t="inlineStr">
        <is>
          <t xml:space="preserve">        Vástago</t>
        </is>
      </c>
      <c r="D23" s="32" t="n">
        <v>1</v>
      </c>
      <c r="E23" s="32" t="inlineStr">
        <is>
          <t>u</t>
        </is>
      </c>
      <c r="F23" s="33" t="n">
        <v>0.0313</v>
      </c>
      <c r="G23" s="33">
        <f>D23*F23</f>
        <v/>
      </c>
      <c r="H23" s="32" t="inlineStr">
        <is>
          <t>Latón</t>
        </is>
      </c>
      <c r="I23" s="17" t="inlineStr">
        <is>
          <t>38,8 × 20 × 20</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FL_DES_AFFF_50l</t>
        </is>
      </c>
      <c r="R23" s="17" t="inlineStr">
        <is>
          <t>con junta tórica</t>
        </is>
      </c>
    </row>
    <row r="24" outlineLevel="1">
      <c r="A24" s="32" t="n">
        <v>2</v>
      </c>
      <c r="B24" s="32" t="inlineStr">
        <is>
          <t>AFFF50-19</t>
        </is>
      </c>
      <c r="C24" s="17" t="inlineStr">
        <is>
          <t xml:space="preserve">        Resorte de válvula</t>
        </is>
      </c>
      <c r="D24" s="32" t="n">
        <v>1</v>
      </c>
      <c r="E24" s="32" t="inlineStr">
        <is>
          <t>u</t>
        </is>
      </c>
      <c r="F24" s="33" t="n">
        <v>0.0094</v>
      </c>
      <c r="G24" s="33">
        <f>D24*F24</f>
        <v/>
      </c>
      <c r="H24" s="32" t="inlineStr">
        <is>
          <t>Alambre acero inox. AISI 302</t>
        </is>
      </c>
      <c r="I24" s="17" t="inlineStr">
        <is>
          <t>35 × 27 × 27</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FL_DES_AFFF_50l</t>
        </is>
      </c>
      <c r="R24" s="17" t="inlineStr">
        <is>
          <t>cierre del vástago</t>
        </is>
      </c>
    </row>
    <row r="25" outlineLevel="1">
      <c r="A25" s="32" t="n">
        <v>2</v>
      </c>
      <c r="B25" s="32" t="inlineStr">
        <is>
          <t>AFFF50-20</t>
        </is>
      </c>
      <c r="C25" s="17" t="inlineStr">
        <is>
          <t xml:space="preserve">        Palanca de accionamiento</t>
        </is>
      </c>
      <c r="D25" s="32" t="n">
        <v>1</v>
      </c>
      <c r="E25" s="32" t="inlineStr">
        <is>
          <t>u</t>
        </is>
      </c>
      <c r="F25" s="33" t="n">
        <v>0.28</v>
      </c>
      <c r="G25" s="33">
        <f>D25*F25</f>
        <v/>
      </c>
      <c r="H25" s="32" t="inlineStr">
        <is>
          <t>Planchuela acero SAE 1010 10 × 16 pintada</t>
        </is>
      </c>
      <c r="I25" s="17" t="inlineStr">
        <is>
          <t>142,8 × 44 × 37,3</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FL_DES_AFFF_50l</t>
        </is>
      </c>
      <c r="R25" s="17" t="n"/>
    </row>
    <row r="26" outlineLevel="1">
      <c r="A26" s="32" t="n">
        <v>2</v>
      </c>
      <c r="B26" s="32" t="inlineStr">
        <is>
          <t>AFFF50-21</t>
        </is>
      </c>
      <c r="C26" s="17" t="inlineStr">
        <is>
          <t xml:space="preserve">        Eje de palanca</t>
        </is>
      </c>
      <c r="D26" s="32" t="n">
        <v>1</v>
      </c>
      <c r="E26" s="32" t="inlineStr">
        <is>
          <t>u</t>
        </is>
      </c>
      <c r="F26" s="33" t="n">
        <v>0.0187</v>
      </c>
      <c r="G26" s="33">
        <f>D26*F26</f>
        <v/>
      </c>
      <c r="H26" s="32" t="inlineStr">
        <is>
          <t>Acero inox. AISI 304</t>
        </is>
      </c>
      <c r="I26" s="17" t="inlineStr">
        <is>
          <t>47 × 8 × 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FL_DES_AFFF_50l</t>
        </is>
      </c>
      <c r="R26" s="17" t="n"/>
    </row>
    <row r="27" outlineLevel="1">
      <c r="A27" s="32" t="n">
        <v>2</v>
      </c>
      <c r="B27" s="32" t="inlineStr">
        <is>
          <t>AFFF50-22</t>
        </is>
      </c>
      <c r="C27" s="17" t="inlineStr">
        <is>
          <t xml:space="preserve">        Pasador de seguridad</t>
        </is>
      </c>
      <c r="D27" s="32" t="n">
        <v>1</v>
      </c>
      <c r="E27" s="32" t="inlineStr">
        <is>
          <t>u</t>
        </is>
      </c>
      <c r="F27" s="33" t="n">
        <v>0.0061</v>
      </c>
      <c r="G27" s="33">
        <f>D27*F27</f>
        <v/>
      </c>
      <c r="H27" s="32" t="inlineStr">
        <is>
          <t>Alambre acero inox. AISI 304</t>
        </is>
      </c>
      <c r="I27" s="17" t="inlineStr">
        <is>
          <t>54,4 × 21 × 20,8</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FL_DES_AFFF_50l</t>
        </is>
      </c>
      <c r="R27" s="17" t="inlineStr">
        <is>
          <t>con precinto</t>
        </is>
      </c>
    </row>
    <row r="28" outlineLevel="1">
      <c r="A28" s="32" t="n">
        <v>2</v>
      </c>
      <c r="B28" s="32" t="inlineStr">
        <is>
          <t>AFFF50-23</t>
        </is>
      </c>
      <c r="C28" s="17" t="inlineStr">
        <is>
          <t xml:space="preserve">        Caño de pesca (sifón)</t>
        </is>
      </c>
      <c r="D28" s="32" t="n">
        <v>1</v>
      </c>
      <c r="E28" s="32" t="inlineStr">
        <is>
          <t>u</t>
        </is>
      </c>
      <c r="F28" s="33" t="n">
        <v>0.1985</v>
      </c>
      <c r="G28" s="33">
        <f>D28*F28</f>
        <v/>
      </c>
      <c r="H28" s="32" t="inlineStr">
        <is>
          <t>Tubo PVC rígido</t>
        </is>
      </c>
      <c r="I28" s="17" t="inlineStr">
        <is>
          <t>Ø24 × 839,5 de largo</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FL_DES_AFFF_50l</t>
        </is>
      </c>
      <c r="R28" s="17" t="n"/>
    </row>
    <row r="29" outlineLevel="1">
      <c r="A29" s="32" t="n">
        <v>2</v>
      </c>
      <c r="B29" s="32" t="inlineStr">
        <is>
          <t>AFFF50-35</t>
        </is>
      </c>
      <c r="C29" s="17" t="inlineStr">
        <is>
          <t xml:space="preserve">        Junta tórica de asiento</t>
        </is>
      </c>
      <c r="D29" s="32" t="n">
        <v>1</v>
      </c>
      <c r="E29" s="32" t="inlineStr">
        <is>
          <t>u</t>
        </is>
      </c>
      <c r="F29" s="33" t="n">
        <v>0.0025</v>
      </c>
      <c r="G29" s="33">
        <f>D29*F29</f>
        <v/>
      </c>
      <c r="H29" s="32" t="inlineStr">
        <is>
          <t>NBR 70 Shore A</t>
        </is>
      </c>
      <c r="I29" s="17" t="inlineStr">
        <is>
          <t>Ø78 ext. × cordón 3</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FL_DES_AFFF_50l</t>
        </is>
      </c>
      <c r="R29" s="17" t="inlineStr">
        <is>
          <t>cambio c/recarga</t>
        </is>
      </c>
    </row>
    <row r="30" outlineLevel="1">
      <c r="A30" s="32" t="n">
        <v>2</v>
      </c>
      <c r="B30" s="32" t="inlineStr">
        <is>
          <t>AFFF50-V2</t>
        </is>
      </c>
      <c r="C30" s="17" t="inlineStr">
        <is>
          <t xml:space="preserve">        Resorte de retorno del vástago</t>
        </is>
      </c>
      <c r="D30" s="32" t="n">
        <v>1</v>
      </c>
      <c r="E30" s="32" t="inlineStr">
        <is>
          <t>u</t>
        </is>
      </c>
      <c r="F30" s="33" t="n"/>
      <c r="G30" s="33" t="n"/>
      <c r="H30" s="32" t="inlineStr">
        <is>
          <t>Acero para resortes</t>
        </is>
      </c>
      <c r="I30" s="17" t="inlineStr">
        <is>
          <t>incluido en la válvula</t>
        </is>
      </c>
      <c r="J30" s="32" t="inlineStr">
        <is>
          <t>Compra (en el conjunto)</t>
        </is>
      </c>
      <c r="K30" s="32" t="inlineStr">
        <is>
          <t>No</t>
        </is>
      </c>
      <c r="L30" s="17" t="n"/>
      <c r="M30" s="17" t="n"/>
      <c r="N30" s="17" t="inlineStr">
        <is>
          <t>19 Ensamblaje</t>
        </is>
      </c>
      <c r="O30" s="17" t="n"/>
      <c r="P30" s="32" t="inlineStr">
        <is>
          <t>Q</t>
        </is>
      </c>
      <c r="Q30" s="32" t="n"/>
      <c r="R30" s="17" t="inlineStr">
        <is>
          <t>Lista de precios HZ: válvula «c/resorte» (Q-AGENTES)</t>
        </is>
      </c>
    </row>
    <row r="31" outlineLevel="1">
      <c r="A31" s="32" t="n">
        <v>2</v>
      </c>
      <c r="B31" s="32" t="inlineStr">
        <is>
          <t>AFFF50-V3</t>
        </is>
      </c>
      <c r="C31" s="17" t="inlineStr">
        <is>
          <t xml:space="preserve">        Junta tórica del vástago</t>
        </is>
      </c>
      <c r="D31" s="32" t="n">
        <v>1</v>
      </c>
      <c r="E31" s="32" t="inlineStr">
        <is>
          <t>u</t>
        </is>
      </c>
      <c r="F31" s="33" t="n"/>
      <c r="G31" s="33" t="n"/>
      <c r="H31" s="32" t="inlineStr">
        <is>
          <t>NBR 70 Shore A</t>
        </is>
      </c>
      <c r="I31" s="17" t="inlineStr">
        <is>
          <t>incluida en la válvula</t>
        </is>
      </c>
      <c r="J31" s="32" t="inlineStr">
        <is>
          <t>Compra (en el conjunto)</t>
        </is>
      </c>
      <c r="K31" s="32" t="inlineStr">
        <is>
          <t>No</t>
        </is>
      </c>
      <c r="L31" s="17" t="n"/>
      <c r="M31" s="17" t="n"/>
      <c r="N31" s="17" t="inlineStr">
        <is>
          <t>19 Ensamblaje</t>
        </is>
      </c>
      <c r="O31" s="17" t="n"/>
      <c r="P31" s="32" t="inlineStr">
        <is>
          <t>P</t>
        </is>
      </c>
      <c r="Q31" s="32" t="n"/>
      <c r="R31" s="17" t="inlineStr">
        <is>
          <t>Figura en el plano como «vástago con junta tórica»</t>
        </is>
      </c>
    </row>
    <row r="32">
      <c r="A32" s="29" t="n">
        <v>1</v>
      </c>
      <c r="B32" s="29" t="inlineStr">
        <is>
          <t>AFFF50-S3</t>
        </is>
      </c>
      <c r="C32" s="30" t="inlineStr">
        <is>
          <t xml:space="preserve">    Dispositivo de descarga</t>
        </is>
      </c>
      <c r="D32" s="29" t="n">
        <v>1</v>
      </c>
      <c r="E32" s="29" t="inlineStr">
        <is>
          <t>u</t>
        </is>
      </c>
      <c r="F32" s="31" t="n"/>
      <c r="G32" s="31">
        <f>G33+G34+G35+G36+G37</f>
        <v/>
      </c>
      <c r="H32" s="29" t="n"/>
      <c r="I32" s="30" t="n"/>
      <c r="J32" s="29" t="inlineStr">
        <is>
          <t>Compra / armado</t>
        </is>
      </c>
      <c r="K32" s="29" t="n"/>
      <c r="L32" s="30" t="n"/>
      <c r="M32" s="30" t="n"/>
      <c r="N32" s="30" t="n"/>
      <c r="O32" s="30" t="n"/>
      <c r="P32" s="29" t="inlineStr">
        <is>
          <t>P</t>
        </is>
      </c>
      <c r="Q32" s="29" t="inlineStr">
        <is>
          <t>FL_DES_AFFF_50l</t>
        </is>
      </c>
      <c r="R32" s="30" t="n"/>
    </row>
    <row r="33" outlineLevel="1">
      <c r="A33" s="32" t="n">
        <v>2</v>
      </c>
      <c r="B33" s="32" t="inlineStr">
        <is>
          <t>AFFF50-24</t>
        </is>
      </c>
      <c r="C33" s="17" t="inlineStr">
        <is>
          <t xml:space="preserve">        Racor de manguera</t>
        </is>
      </c>
      <c r="D33" s="32" t="n">
        <v>1</v>
      </c>
      <c r="E33" s="32" t="inlineStr">
        <is>
          <t>u</t>
        </is>
      </c>
      <c r="F33" s="33" t="n">
        <v>0.0612</v>
      </c>
      <c r="G33" s="33">
        <f>D33*F33</f>
        <v/>
      </c>
      <c r="H33" s="32" t="inlineStr">
        <is>
          <t>Latón</t>
        </is>
      </c>
      <c r="I33" s="17" t="inlineStr">
        <is>
          <t>24 × 24 × 16</t>
        </is>
      </c>
      <c r="J33" s="32" t="inlineStr">
        <is>
          <t>Compra (en el conjunto)</t>
        </is>
      </c>
      <c r="K33" s="32" t="inlineStr">
        <is>
          <t>No</t>
        </is>
      </c>
      <c r="L33" s="17" t="n"/>
      <c r="M33" s="17" t="n"/>
      <c r="N33" s="17" t="inlineStr">
        <is>
          <t>S4 - se compra terminado (tercerizado con sello IRAM)</t>
        </is>
      </c>
      <c r="O33" s="17" t="n"/>
      <c r="P33" s="32" t="inlineStr">
        <is>
          <t>P</t>
        </is>
      </c>
      <c r="Q33" s="32" t="inlineStr">
        <is>
          <t>FL_DES_AFFF_50l</t>
        </is>
      </c>
      <c r="R33" s="17" t="n"/>
    </row>
    <row r="34" outlineLevel="1">
      <c r="A34" s="32" t="n">
        <v>2</v>
      </c>
      <c r="B34" s="32" t="inlineStr">
        <is>
          <t>AFFF50-25</t>
        </is>
      </c>
      <c r="C34" s="17" t="inlineStr">
        <is>
          <t xml:space="preserve">        Manguera (tramo enrollado)</t>
        </is>
      </c>
      <c r="D34" s="32" t="n">
        <v>1</v>
      </c>
      <c r="E34" s="32" t="inlineStr">
        <is>
          <t>u</t>
        </is>
      </c>
      <c r="F34" s="33" t="n">
        <v>1.8035</v>
      </c>
      <c r="G34" s="33">
        <f>D34*F34</f>
        <v/>
      </c>
      <c r="H34" s="32" t="inlineStr">
        <is>
          <t>Caucho sintético</t>
        </is>
      </c>
      <c r="I34" s="17" t="inlineStr">
        <is>
          <t>Ø23,5 × 5.414 de largo desarrollado: lazo vertical de 3 vueltas alrededor de los flejes, por afuera de las patas y detrás de las orejas</t>
        </is>
      </c>
      <c r="J34" s="32" t="inlineStr">
        <is>
          <t>Compra (en el conjunto)</t>
        </is>
      </c>
      <c r="K34" s="32" t="inlineStr">
        <is>
          <t>No</t>
        </is>
      </c>
      <c r="L34" s="17" t="n"/>
      <c r="M34" s="17" t="n"/>
      <c r="N34" s="17" t="inlineStr">
        <is>
          <t>S4 - se compra terminado (tercerizado con sello IRAM)</t>
        </is>
      </c>
      <c r="O34" s="17" t="n"/>
      <c r="P34" s="32" t="inlineStr">
        <is>
          <t>P</t>
        </is>
      </c>
      <c r="Q34" s="32" t="inlineStr">
        <is>
          <t>FL_DES_AFFF_50l</t>
        </is>
      </c>
      <c r="R34" s="17" t="n"/>
    </row>
    <row r="35" outlineLevel="1">
      <c r="A35" s="32" t="n">
        <v>2</v>
      </c>
      <c r="B35" s="32" t="inlineStr">
        <is>
          <t>AFFF50-26</t>
        </is>
      </c>
      <c r="C35" s="17" t="inlineStr">
        <is>
          <t xml:space="preserve">        Manguera</t>
        </is>
      </c>
      <c r="D35" s="32" t="n">
        <v>1</v>
      </c>
      <c r="E35" s="32" t="inlineStr">
        <is>
          <t>u</t>
        </is>
      </c>
      <c r="F35" s="33" t="n">
        <v>0.1681</v>
      </c>
      <c r="G35" s="33">
        <f>D35*F35</f>
        <v/>
      </c>
      <c r="H35" s="32" t="inlineStr">
        <is>
          <t>Caucho sintético</t>
        </is>
      </c>
      <c r="I35" s="17" t="inlineStr">
        <is>
          <t>Ø23,5 × 505 de largo desarrollado</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FL_DES_AFFF_50l</t>
        </is>
      </c>
      <c r="R35" s="17" t="n"/>
    </row>
    <row r="36" outlineLevel="1">
      <c r="A36" s="32" t="n">
        <v>2</v>
      </c>
      <c r="B36" s="32" t="inlineStr">
        <is>
          <t>AFFF50-28</t>
        </is>
      </c>
      <c r="C36" s="17" t="inlineStr">
        <is>
          <t xml:space="preserve">        Válvula esférica</t>
        </is>
      </c>
      <c r="D36" s="32" t="n">
        <v>1</v>
      </c>
      <c r="E36" s="32" t="inlineStr">
        <is>
          <t>u</t>
        </is>
      </c>
      <c r="F36" s="33" t="n">
        <v>0.3502</v>
      </c>
      <c r="G36" s="33">
        <f>D36*F36</f>
        <v/>
      </c>
      <c r="H36" s="32" t="inlineStr">
        <is>
          <t>Latón cromado</t>
        </is>
      </c>
      <c r="I36" s="17" t="inlineStr">
        <is>
          <t>cuerpo Ø40 × 56 con hexágonos 46, paso total, rosca a la manga y a la tobera; palanca 105 con empuñadura (cerrada: atravesada al caño)</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FL_DES_AFFF_50l</t>
        </is>
      </c>
      <c r="R36" s="17" t="n"/>
    </row>
    <row r="37" outlineLevel="1">
      <c r="A37" s="32" t="n">
        <v>2</v>
      </c>
      <c r="B37" s="32" t="inlineStr">
        <is>
          <t>AFFF50-29</t>
        </is>
      </c>
      <c r="C37" s="17" t="inlineStr">
        <is>
          <t xml:space="preserve">        Lanza espumígena</t>
        </is>
      </c>
      <c r="D37" s="32" t="n">
        <v>1</v>
      </c>
      <c r="E37" s="32" t="inlineStr">
        <is>
          <t>u</t>
        </is>
      </c>
      <c r="F37" s="33" t="n">
        <v>0.1023</v>
      </c>
      <c r="G37" s="33">
        <f>D37*F37</f>
        <v/>
      </c>
      <c r="H37" s="32" t="inlineStr">
        <is>
          <t>Polipropileno</t>
        </is>
      </c>
      <c r="I37" s="17" t="inlineStr">
        <is>
          <t>382,9 × 77 × 74,3</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FL_DES_AFFF_50l</t>
        </is>
      </c>
      <c r="R37" s="17" t="n"/>
    </row>
    <row r="38">
      <c r="A38" s="29" t="n">
        <v>1</v>
      </c>
      <c r="B38" s="29" t="inlineStr">
        <is>
          <t>AFFF50-S4</t>
        </is>
      </c>
      <c r="C38" s="30" t="inlineStr">
        <is>
          <t xml:space="preserve">    Carro (tren rodante soldado y ruedas)</t>
        </is>
      </c>
      <c r="D38" s="29" t="n">
        <v>1</v>
      </c>
      <c r="E38" s="29" t="inlineStr">
        <is>
          <t>u</t>
        </is>
      </c>
      <c r="F38" s="31" t="n"/>
      <c r="G38" s="31">
        <f>G39+G40+G41+G42+G43+G44+G45+G46+G47+G48</f>
        <v/>
      </c>
      <c r="H38" s="29" t="n"/>
      <c r="I38" s="30" t="n"/>
      <c r="J38" s="29" t="inlineStr">
        <is>
          <t>Compra / armado</t>
        </is>
      </c>
      <c r="K38" s="29" t="n"/>
      <c r="L38" s="30" t="n"/>
      <c r="M38" s="30" t="n"/>
      <c r="N38" s="30" t="n"/>
      <c r="O38" s="30" t="inlineStr">
        <is>
          <t>IRAM 3550 3.12 y 4.8 (ruedas ≥ Ø300 × 50)</t>
        </is>
      </c>
      <c r="P38" s="29" t="inlineStr">
        <is>
          <t>P</t>
        </is>
      </c>
      <c r="Q38" s="29" t="inlineStr">
        <is>
          <t>FL_DES_AFFF_50l</t>
        </is>
      </c>
      <c r="R38" s="30" t="n"/>
    </row>
    <row r="39" outlineLevel="1">
      <c r="A39" s="32" t="n">
        <v>2</v>
      </c>
      <c r="B39" s="32" t="inlineStr">
        <is>
          <t>AFFF50-05</t>
        </is>
      </c>
      <c r="C39" s="17" t="inlineStr">
        <is>
          <t xml:space="preserve">        Pata delantera</t>
        </is>
      </c>
      <c r="D39" s="32" t="n">
        <v>1</v>
      </c>
      <c r="E39" s="32" t="inlineStr">
        <is>
          <t>u</t>
        </is>
      </c>
      <c r="F39" s="33" t="n">
        <v>0.1186</v>
      </c>
      <c r="G39" s="33">
        <f>D39*F39</f>
        <v/>
      </c>
      <c r="H39" s="32" t="inlineStr">
        <is>
          <t>Chapa LAC 3,2 (orilla de la hoja de 25 kg)</t>
        </is>
      </c>
      <c r="I39" s="17" t="inlineStr">
        <is>
          <t>planchuela 80 × 60 × e3,2, de canto en el frente del fondo, atravesada; borde de abajo = línea del piso</t>
        </is>
      </c>
      <c r="J39" s="32" t="inlineStr">
        <is>
          <t>Compra (en el conjunto)</t>
        </is>
      </c>
      <c r="K39" s="32" t="inlineStr">
        <is>
          <t>No</t>
        </is>
      </c>
      <c r="L39" s="17" t="n"/>
      <c r="M39" s="17" t="n"/>
      <c r="N39" s="17" t="inlineStr">
        <is>
          <t>S4 - se compra terminado (tercerizado con sello IRAM)</t>
        </is>
      </c>
      <c r="O39" s="17" t="n"/>
      <c r="P39" s="32" t="inlineStr">
        <is>
          <t>P</t>
        </is>
      </c>
      <c r="Q39" s="32" t="inlineStr">
        <is>
          <t>FL_DES_AFFF_50l</t>
        </is>
      </c>
      <c r="R39" s="17" t="inlineStr">
        <is>
          <t>Proceso FLAMA de carros: 80 × 60 (25 y 50 kg) y 100 × 80 (70 y 100 kg), de la orilla de 3,2 de la hoja de 25 kg (sin compra); se suelda con filete de los dos lados en el tramo central</t>
        </is>
      </c>
    </row>
    <row r="40" outlineLevel="1">
      <c r="A40" s="32" t="n">
        <v>2</v>
      </c>
      <c r="B40" s="32" t="inlineStr">
        <is>
          <t>AFFF50-06</t>
        </is>
      </c>
      <c r="C40" s="17" t="inlineStr">
        <is>
          <t xml:space="preserve">        Triángulos con V (2)</t>
        </is>
      </c>
      <c r="D40" s="32" t="n">
        <v>1</v>
      </c>
      <c r="E40" s="32" t="inlineStr">
        <is>
          <t>u</t>
        </is>
      </c>
      <c r="F40" s="33" t="n">
        <v>0.2047</v>
      </c>
      <c r="G40" s="33">
        <f>D40*F40</f>
        <v/>
      </c>
      <c r="H40" s="32" t="inlineStr">
        <is>
          <t>Chapa LAC 4,75 (orilla)</t>
        </is>
      </c>
      <c r="I40" s="17" t="inlineStr">
        <is>
          <t>2 triángulos con V de 90° hacia atrás, chapa e4,75, cateto vertical 80 de canto contra el cuerpo; separados 157 (± 78,5 en recta), borde de abajo a 20 de la costura del fondo; el caño apoya en la V</t>
        </is>
      </c>
      <c r="J40" s="32" t="inlineStr">
        <is>
          <t>Compra (en el conjunto)</t>
        </is>
      </c>
      <c r="K40" s="32" t="inlineStr">
        <is>
          <t>No</t>
        </is>
      </c>
      <c r="L40" s="17" t="n"/>
      <c r="M40" s="17" t="n"/>
      <c r="N40" s="17" t="inlineStr">
        <is>
          <t>S4 - se compra terminado (tercerizado con sello IRAM)</t>
        </is>
      </c>
      <c r="O40" s="17" t="n"/>
      <c r="P40" s="32" t="inlineStr">
        <is>
          <t>P</t>
        </is>
      </c>
      <c r="Q40" s="32" t="inlineStr">
        <is>
          <t>FL_DES_AFFF_50l</t>
        </is>
      </c>
      <c r="R40"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41" outlineLevel="1">
      <c r="A41" s="32" t="n">
        <v>2</v>
      </c>
      <c r="B41" s="32" t="inlineStr">
        <is>
          <t>AFFF50-07</t>
        </is>
      </c>
      <c r="C41" s="17" t="inlineStr">
        <is>
          <t xml:space="preserve">        Caño del eje</t>
        </is>
      </c>
      <c r="D41" s="32" t="n">
        <v>1</v>
      </c>
      <c r="E41" s="32" t="inlineStr">
        <is>
          <t>u</t>
        </is>
      </c>
      <c r="F41" s="33" t="n">
        <v>0.4872</v>
      </c>
      <c r="G41" s="33">
        <f>D41*F41</f>
        <v/>
      </c>
      <c r="H41" s="32" t="inlineStr">
        <is>
          <t>Caño acero SAE 1010 1¼" × 2,0</t>
        </is>
      </c>
      <c r="I41" s="17" t="inlineStr">
        <is>
          <t>caño 1¼" (Ø31,75) × 2 × 332 de largo, con marca de la mitad; apoyado en la V de los triángulos a 20 del cuerpo, no gira; adentro pasa el eje Ø25,4</t>
        </is>
      </c>
      <c r="J41" s="32" t="inlineStr">
        <is>
          <t>Compra (en el conjunto)</t>
        </is>
      </c>
      <c r="K41" s="32" t="inlineStr">
        <is>
          <t>No</t>
        </is>
      </c>
      <c r="L41" s="17" t="n"/>
      <c r="M41" s="17" t="n"/>
      <c r="N41" s="17" t="inlineStr">
        <is>
          <t>S4 - se compra terminado (tercerizado con sello IRAM)</t>
        </is>
      </c>
      <c r="O41" s="17" t="n"/>
      <c r="P41" s="32" t="inlineStr">
        <is>
          <t>P</t>
        </is>
      </c>
      <c r="Q41" s="32" t="inlineStr">
        <is>
          <t>FL_DES_AFFF_50l</t>
        </is>
      </c>
      <c r="R41" s="17" t="inlineStr">
        <is>
          <t>Proceso FLAMA de carros, puesto 8 (kit del 8.1): medidas y posición de la tabla del puesto; se suelda antes de la prueba hidráulica (IRAM 3550 6.1.1)</t>
        </is>
      </c>
    </row>
    <row r="42" outlineLevel="1">
      <c r="A42" s="32" t="n">
        <v>2</v>
      </c>
      <c r="B42" s="32" t="inlineStr">
        <is>
          <t>AFFF50-08</t>
        </is>
      </c>
      <c r="C42" s="17" t="inlineStr">
        <is>
          <t xml:space="preserve">        Neumático macizo</t>
        </is>
      </c>
      <c r="D42" s="32" t="n">
        <v>2</v>
      </c>
      <c r="E42" s="32" t="inlineStr">
        <is>
          <t>u</t>
        </is>
      </c>
      <c r="F42" s="33" t="n">
        <v>3.3361</v>
      </c>
      <c r="G42" s="33">
        <f>D42*F42</f>
        <v/>
      </c>
      <c r="H42" s="32" t="inlineStr">
        <is>
          <t>Caucho</t>
        </is>
      </c>
      <c r="I42" s="17" t="inlineStr">
        <is>
          <t>Ø350 × 60 de ancho</t>
        </is>
      </c>
      <c r="J42" s="32" t="inlineStr">
        <is>
          <t>Compra (en el conjunto)</t>
        </is>
      </c>
      <c r="K42" s="32" t="inlineStr">
        <is>
          <t>No</t>
        </is>
      </c>
      <c r="L42" s="17" t="n"/>
      <c r="M42" s="17" t="n"/>
      <c r="N42" s="17" t="inlineStr">
        <is>
          <t>S4 - se compra terminado (tercerizado con sello IRAM)</t>
        </is>
      </c>
      <c r="O42" s="17" t="n"/>
      <c r="P42" s="32" t="inlineStr">
        <is>
          <t>P</t>
        </is>
      </c>
      <c r="Q42" s="32" t="inlineStr">
        <is>
          <t>FL_DES_AFFF_50l</t>
        </is>
      </c>
      <c r="R42" s="17" t="inlineStr">
        <is>
          <t>llanta de chapa; IRAM 3550 4.8: Ø ≥ 300 y ancho ≥ 50</t>
        </is>
      </c>
    </row>
    <row r="43" outlineLevel="1">
      <c r="A43" s="32" t="n">
        <v>2</v>
      </c>
      <c r="B43" s="32" t="inlineStr">
        <is>
          <t>AFFF50-09</t>
        </is>
      </c>
      <c r="C43" s="17" t="inlineStr">
        <is>
          <t xml:space="preserve">        Llanta con cubo</t>
        </is>
      </c>
      <c r="D43" s="32" t="n">
        <v>2</v>
      </c>
      <c r="E43" s="32" t="inlineStr">
        <is>
          <t>u</t>
        </is>
      </c>
      <c r="F43" s="33" t="n">
        <v>2.6069</v>
      </c>
      <c r="G43" s="33">
        <f>D43*F43</f>
        <v/>
      </c>
      <c r="H43" s="32" t="inlineStr">
        <is>
          <t>Chapa acero SAE 1010</t>
        </is>
      </c>
      <c r="I43" s="17" t="inlineStr">
        <is>
          <t>Ø252 × 60 de ancho</t>
        </is>
      </c>
      <c r="J43" s="32" t="inlineStr">
        <is>
          <t>Compra (en el conjunto)</t>
        </is>
      </c>
      <c r="K43" s="32" t="inlineStr">
        <is>
          <t>No</t>
        </is>
      </c>
      <c r="L43" s="17" t="n"/>
      <c r="M43" s="17" t="n"/>
      <c r="N43" s="17" t="inlineStr">
        <is>
          <t>S4 - se compra terminado (tercerizado con sello IRAM)</t>
        </is>
      </c>
      <c r="O43" s="17" t="n"/>
      <c r="P43" s="32" t="inlineStr">
        <is>
          <t>P</t>
        </is>
      </c>
      <c r="Q43" s="32" t="inlineStr">
        <is>
          <t>FL_DES_AFFF_50l</t>
        </is>
      </c>
      <c r="R43" s="17" t="n"/>
    </row>
    <row r="44" outlineLevel="1">
      <c r="A44" s="32" t="n">
        <v>2</v>
      </c>
      <c r="B44" s="32" t="inlineStr">
        <is>
          <t>AFFF50-10</t>
        </is>
      </c>
      <c r="C44" s="17" t="inlineStr">
        <is>
          <t xml:space="preserve">        Eje de ruedas</t>
        </is>
      </c>
      <c r="D44" s="32" t="n">
        <v>1</v>
      </c>
      <c r="E44" s="32" t="inlineStr">
        <is>
          <t>u</t>
        </is>
      </c>
      <c r="F44" s="33" t="n">
        <v>1.9345</v>
      </c>
      <c r="G44" s="33">
        <f>D44*F44</f>
        <v/>
      </c>
      <c r="H44" s="32" t="inlineStr">
        <is>
          <t>Barra acero SAE 1045 Ø25.4</t>
        </is>
      </c>
      <c r="I44" s="17" t="inlineStr">
        <is>
          <t>barra trefilada 1" (Ø25,4) × 488 de largo, con agujero Ø4,6 en cada punta para el pasador (montaje final)</t>
        </is>
      </c>
      <c r="J44" s="32" t="inlineStr">
        <is>
          <t>Compra (en el conjunto)</t>
        </is>
      </c>
      <c r="K44" s="32" t="inlineStr">
        <is>
          <t>No</t>
        </is>
      </c>
      <c r="L44" s="17" t="n"/>
      <c r="M44" s="17" t="n"/>
      <c r="N44" s="17" t="inlineStr">
        <is>
          <t>S4 - se compra terminado (tercerizado con sello IRAM)</t>
        </is>
      </c>
      <c r="O44" s="17" t="n"/>
      <c r="P44" s="32" t="inlineStr">
        <is>
          <t>P</t>
        </is>
      </c>
      <c r="Q44" s="32" t="inlineStr">
        <is>
          <t>FL_DES_AFFF_50l</t>
        </is>
      </c>
      <c r="R44" s="17" t="inlineStr">
        <is>
          <t>Montaje final, después de la pintura, con las ruedas (proceso de carros, puesto 8)</t>
        </is>
      </c>
    </row>
    <row r="45" outlineLevel="1">
      <c r="A45" s="32" t="n">
        <v>2</v>
      </c>
      <c r="B45" s="32" t="inlineStr">
        <is>
          <t>AFFF50-11</t>
        </is>
      </c>
      <c r="C45" s="17" t="inlineStr">
        <is>
          <t xml:space="preserve">        Arandelas de tope (4)</t>
        </is>
      </c>
      <c r="D45" s="32" t="n">
        <v>1</v>
      </c>
      <c r="E45" s="32" t="inlineStr">
        <is>
          <t>u</t>
        </is>
      </c>
      <c r="F45" s="33" t="n">
        <v>0.0891</v>
      </c>
      <c r="G45" s="33">
        <f>D45*F45</f>
        <v/>
      </c>
      <c r="H45" s="32" t="inlineStr">
        <is>
          <t>Acero SAE 1010 Ø40 × 4</t>
        </is>
      </c>
      <c r="I45" s="17" t="inlineStr">
        <is>
          <t>4 × Ø40 × Ø26,4 × 4 (a cada lado de cada rueda)</t>
        </is>
      </c>
      <c r="J45" s="32" t="inlineStr">
        <is>
          <t>Compra (en el conjunto)</t>
        </is>
      </c>
      <c r="K45" s="32" t="inlineStr">
        <is>
          <t>No</t>
        </is>
      </c>
      <c r="L45" s="17" t="n"/>
      <c r="M45" s="17" t="n"/>
      <c r="N45" s="17" t="inlineStr">
        <is>
          <t>S4 - se compra terminado (tercerizado con sello IRAM)</t>
        </is>
      </c>
      <c r="O45" s="17" t="n"/>
      <c r="P45" s="32" t="inlineStr">
        <is>
          <t>P</t>
        </is>
      </c>
      <c r="Q45" s="32" t="inlineStr">
        <is>
          <t>FL_DES_AFFF_50l</t>
        </is>
      </c>
      <c r="R45" s="17" t="inlineStr">
        <is>
          <t>Montaje final, después de la pintura, con las ruedas (proceso de carros, puesto 8)</t>
        </is>
      </c>
    </row>
    <row r="46" outlineLevel="1">
      <c r="A46" s="32" t="n">
        <v>2</v>
      </c>
      <c r="B46" s="32" t="inlineStr">
        <is>
          <t>AFFF50-12</t>
        </is>
      </c>
      <c r="C46" s="17" t="inlineStr">
        <is>
          <t xml:space="preserve">        Pasadores del eje (2)</t>
        </is>
      </c>
      <c r="D46" s="32" t="n">
        <v>1</v>
      </c>
      <c r="E46" s="32" t="inlineStr">
        <is>
          <t>u</t>
        </is>
      </c>
      <c r="F46" s="33" t="n">
        <v>0.0132</v>
      </c>
      <c r="G46" s="33">
        <f>D46*F46</f>
        <v/>
      </c>
      <c r="H46" s="32" t="inlineStr">
        <is>
          <t>Pasador partido acero Ø4 × 40</t>
        </is>
      </c>
      <c r="I46" s="17" t="inlineStr">
        <is>
          <t>2 pasadores partidos Ø4 × 40, uno en cada punta del eje, por fuera de la arandela</t>
        </is>
      </c>
      <c r="J46" s="32" t="inlineStr">
        <is>
          <t>Compra (en el conjunto)</t>
        </is>
      </c>
      <c r="K46" s="32" t="inlineStr">
        <is>
          <t>No</t>
        </is>
      </c>
      <c r="L46" s="17" t="n"/>
      <c r="M46" s="17" t="n"/>
      <c r="N46" s="17" t="inlineStr">
        <is>
          <t>S4 - se compra terminado (tercerizado con sello IRAM)</t>
        </is>
      </c>
      <c r="O46" s="17" t="n"/>
      <c r="P46" s="32" t="inlineStr">
        <is>
          <t>P</t>
        </is>
      </c>
      <c r="Q46" s="32" t="inlineStr">
        <is>
          <t>FL_DES_AFFF_50l</t>
        </is>
      </c>
      <c r="R46" s="17" t="inlineStr">
        <is>
          <t>Montaje final, después de la pintura, con las ruedas (proceso de carros, puesto 8)</t>
        </is>
      </c>
    </row>
    <row r="47" outlineLevel="1">
      <c r="A47" s="32" t="n">
        <v>2</v>
      </c>
      <c r="B47" s="32" t="inlineStr">
        <is>
          <t>AFFF50-13</t>
        </is>
      </c>
      <c r="C47" s="17" t="inlineStr">
        <is>
          <t xml:space="preserve">        Manija del carro</t>
        </is>
      </c>
      <c r="D47" s="32" t="n">
        <v>1</v>
      </c>
      <c r="E47" s="32" t="inlineStr">
        <is>
          <t>u</t>
        </is>
      </c>
      <c r="F47" s="33" t="n">
        <v>1.685</v>
      </c>
      <c r="G47" s="33">
        <f>D47*F47</f>
        <v/>
      </c>
      <c r="H47" s="32" t="inlineStr">
        <is>
          <t>Caño acero SAE 1010 1" × 2,0</t>
        </is>
      </c>
      <c r="I47" s="17" t="inlineStr">
        <is>
          <t>caño 1" (Ø25,4) × 2,0, corte 1.560 (desarrollado del modelo 1.552); puntas aplastadas en lengüetas 40 × 60 × 4 soldadas a los costados, borde de abajo 200 bajo la costura de la cúpula; 2 curvas de 90° y 2 de 30° (doblez a 1.015 del piso), puño hacia atrás a 1.210</t>
        </is>
      </c>
      <c r="J47" s="32" t="inlineStr">
        <is>
          <t>Compra (en el conjunto)</t>
        </is>
      </c>
      <c r="K47" s="32" t="inlineStr">
        <is>
          <t>No</t>
        </is>
      </c>
      <c r="L47" s="17" t="n"/>
      <c r="M47" s="17" t="n"/>
      <c r="N47" s="17" t="inlineStr">
        <is>
          <t>S4 - se compra terminado (tercerizado con sello IRAM)</t>
        </is>
      </c>
      <c r="O47" s="17" t="n"/>
      <c r="P47" s="32" t="inlineStr">
        <is>
          <t>P</t>
        </is>
      </c>
      <c r="Q47" s="32" t="inlineStr">
        <is>
          <t>FL_DES_AFFF_50l</t>
        </is>
      </c>
      <c r="R47"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48" outlineLevel="1">
      <c r="A48" s="32" t="n">
        <v>2</v>
      </c>
      <c r="B48" s="32" t="inlineStr">
        <is>
          <t>AFFF50-27</t>
        </is>
      </c>
      <c r="C48" s="17" t="inlineStr">
        <is>
          <t xml:space="preserve">        Flejes del soporte de manga (2)</t>
        </is>
      </c>
      <c r="D48" s="32" t="n">
        <v>1</v>
      </c>
      <c r="E48" s="32" t="inlineStr">
        <is>
          <t>u</t>
        </is>
      </c>
      <c r="F48" s="33" t="n">
        <v>0.8231000000000001</v>
      </c>
      <c r="G48" s="33">
        <f>D48*F48</f>
        <v/>
      </c>
      <c r="H48" s="32" t="inlineStr">
        <is>
          <t>Chapa LAC 3,2 × 40 plegada</t>
        </is>
      </c>
      <c r="I48" s="17" t="inlineStr">
        <is>
          <t>2 flejes iguales 40 × 3,2 de 398 de corte, 4 dobleces de 90° (U abierta hacia afuera): base 174 por fuera, soldada al cuerpo por el centro, patas 104 (hasta delante de la última vuelta) y orejas 20 hacia los costados; superior a 40 bajo la costura de la cúpula, inferior a 40 sobre la del fondo; la manga pasa por afuera de las patas y detrás de las orejas</t>
        </is>
      </c>
      <c r="J48" s="32" t="inlineStr">
        <is>
          <t>Compra (en el conjunto)</t>
        </is>
      </c>
      <c r="K48" s="32" t="inlineStr">
        <is>
          <t>No</t>
        </is>
      </c>
      <c r="L48" s="17" t="n"/>
      <c r="M48" s="17" t="n"/>
      <c r="N48" s="17" t="inlineStr">
        <is>
          <t>S4 - se compra terminado (tercerizado con sello IRAM)</t>
        </is>
      </c>
      <c r="O48" s="17" t="n"/>
      <c r="P48" s="32" t="inlineStr">
        <is>
          <t>P</t>
        </is>
      </c>
      <c r="Q48" s="32" t="inlineStr">
        <is>
          <t>FL_DES_AFFF_50l</t>
        </is>
      </c>
      <c r="R48" s="17" t="inlineStr">
        <is>
          <t>Proceso FLAMA de carros, puesto 8 (kit del 8.1): medidas y posición de la tabla del puesto; se suelda antes de la prueba hidráulica (IRAM 3550 6.1.1); chapa de las orillas del corte (sin compra)</t>
        </is>
      </c>
    </row>
    <row r="49">
      <c r="A49" s="29" t="n">
        <v>1</v>
      </c>
      <c r="B49" s="29" t="inlineStr">
        <is>
          <t>AFFF50-S5</t>
        </is>
      </c>
      <c r="C49" s="30" t="inlineStr">
        <is>
          <t xml:space="preserve">    Carga: agente extintor y gas impulsor</t>
        </is>
      </c>
      <c r="D49" s="29" t="n">
        <v>1</v>
      </c>
      <c r="E49" s="29" t="inlineStr">
        <is>
          <t>u</t>
        </is>
      </c>
      <c r="F49" s="31" t="n"/>
      <c r="G49" s="31">
        <f>G50+G51+G52</f>
        <v/>
      </c>
      <c r="H49" s="29" t="n"/>
      <c r="I49" s="30" t="n"/>
      <c r="J49" s="29" t="inlineStr">
        <is>
          <t>Compra</t>
        </is>
      </c>
      <c r="K49" s="29" t="n"/>
      <c r="L49" s="30" t="n"/>
      <c r="M49" s="30" t="n"/>
      <c r="N49" s="30" t="n"/>
      <c r="O49" s="30" t="n"/>
      <c r="P49" s="29" t="n"/>
      <c r="Q49" s="29" t="n"/>
      <c r="R49" s="30" t="n"/>
    </row>
    <row r="50" outlineLevel="1">
      <c r="A50" s="32" t="n">
        <v>2</v>
      </c>
      <c r="B50" s="32" t="inlineStr">
        <is>
          <t>AFFF50-A1</t>
        </is>
      </c>
      <c r="C50" s="17" t="inlineStr">
        <is>
          <t xml:space="preserve">        Agua potable (premezcla)</t>
        </is>
      </c>
      <c r="D50" s="32" t="n">
        <v>48.5</v>
      </c>
      <c r="E50" s="32" t="inlineStr">
        <is>
          <t>L</t>
        </is>
      </c>
      <c r="F50" s="33" t="n">
        <v>1</v>
      </c>
      <c r="G50" s="33">
        <f>D50*F50</f>
        <v/>
      </c>
      <c r="H50" s="32" t="inlineStr">
        <is>
          <t>Agua</t>
        </is>
      </c>
      <c r="I50" s="17" t="inlineStr">
        <is>
          <t>97 % de 50 L; tolerancia ± 3 %</t>
        </is>
      </c>
      <c r="J50" s="32" t="inlineStr">
        <is>
          <t>Red</t>
        </is>
      </c>
      <c r="K50" s="32" t="inlineStr">
        <is>
          <t>No</t>
        </is>
      </c>
      <c r="L50" s="17" t="n"/>
      <c r="M50" s="17" t="n"/>
      <c r="N50" s="17" t="inlineStr">
        <is>
          <t>SP-1 premezcla</t>
        </is>
      </c>
      <c r="O50" s="17" t="inlineStr">
        <is>
          <t>IRAM 3517-2:2020 tabla 3</t>
        </is>
      </c>
      <c r="P50" s="32" t="inlineStr">
        <is>
          <t>N</t>
        </is>
      </c>
      <c r="Q50" s="32" t="n"/>
      <c r="R50" s="17" t="n"/>
    </row>
    <row r="51" outlineLevel="1">
      <c r="A51" s="32" t="n">
        <v>2</v>
      </c>
      <c r="B51" s="32" t="inlineStr">
        <is>
          <t>AFFF50-A1b</t>
        </is>
      </c>
      <c r="C51" s="17" t="inlineStr">
        <is>
          <t xml:space="preserve">        Concentrado espumígeno AFFF 3 % (IRAM 3515)</t>
        </is>
      </c>
      <c r="D51" s="32" t="n">
        <v>1.5</v>
      </c>
      <c r="E51" s="32" t="inlineStr">
        <is>
          <t>L</t>
        </is>
      </c>
      <c r="F51" s="33" t="n">
        <v>1.025</v>
      </c>
      <c r="G51" s="33">
        <f>D51*F51</f>
        <v/>
      </c>
      <c r="H51" s="32" t="inlineStr">
        <is>
          <t>Concentrado espumígeno AFFF 3 % (IRAM 3515)</t>
        </is>
      </c>
      <c r="I51" s="17" t="inlineStr">
        <is>
          <t>nominal 1,5 L; tolerancia ± 3 % (IRAM 3517-2:2020 tabla 3)</t>
        </is>
      </c>
      <c r="J51" s="32" t="inlineStr">
        <is>
          <t>Compra</t>
        </is>
      </c>
      <c r="K51" s="32" t="inlineStr">
        <is>
          <t>No</t>
        </is>
      </c>
      <c r="L51" s="17" t="n"/>
      <c r="M51" s="17" t="n"/>
      <c r="N51" s="17" t="inlineStr">
        <is>
          <t>SP-1 almacén previo a la carga</t>
        </is>
      </c>
      <c r="O51" s="17" t="inlineStr">
        <is>
          <t>IRAM 3515</t>
        </is>
      </c>
      <c r="P51" s="32" t="inlineStr">
        <is>
          <t>N</t>
        </is>
      </c>
      <c r="Q51" s="32" t="n"/>
      <c r="R51" s="17" t="n"/>
    </row>
    <row r="52" outlineLevel="1">
      <c r="A52" s="32" t="n">
        <v>2</v>
      </c>
      <c r="B52" s="32" t="inlineStr">
        <is>
          <t>AFFF50-A2</t>
        </is>
      </c>
      <c r="C52" s="17" t="inlineStr">
        <is>
          <t xml:space="preserve">        Gas impulsor: Aire comprimido</t>
        </is>
      </c>
      <c r="D52" s="32" t="n">
        <v>0.1265</v>
      </c>
      <c r="E52" s="32" t="inlineStr">
        <is>
          <t>kg</t>
        </is>
      </c>
      <c r="F52" s="33" t="n">
        <v>1</v>
      </c>
      <c r="G52" s="33">
        <f>D52*F52</f>
        <v/>
      </c>
      <c r="H52" s="32" t="inlineStr">
        <is>
          <t>Aire comprimido</t>
        </is>
      </c>
      <c r="I52" s="17" t="inlineStr">
        <is>
          <t>97,8 L normales para 0,8 MPa a 20 °C en 11,8 dm³ libres</t>
        </is>
      </c>
      <c r="J52" s="32" t="inlineStr">
        <is>
          <t>Compra</t>
        </is>
      </c>
      <c r="K52" s="32" t="inlineStr">
        <is>
          <t>No</t>
        </is>
      </c>
      <c r="L52" s="17" t="n"/>
      <c r="M52" s="17" t="n"/>
      <c r="N52" s="17" t="inlineStr">
        <is>
          <t>20 Presurización (T05) / C10</t>
        </is>
      </c>
      <c r="O52" s="17" t="inlineStr">
        <is>
          <t>IRAM 3517-2 9.4.9 (tabla 2) · IRAM 3523 2.3 y 3.10</t>
        </is>
      </c>
      <c r="P52" s="32" t="inlineStr">
        <is>
          <t>C</t>
        </is>
      </c>
      <c r="Q52" s="32" t="n"/>
      <c r="R52" s="17" t="inlineStr">
        <is>
          <t>Batería en SP-1; punto de rocío ≤ -56,7 °C para gases limpios</t>
        </is>
      </c>
    </row>
    <row r="53">
      <c r="A53" s="29" t="n">
        <v>1</v>
      </c>
      <c r="B53" s="29" t="inlineStr">
        <is>
          <t>AFFF50-S6</t>
        </is>
      </c>
      <c r="C53" s="30" t="inlineStr">
        <is>
          <t xml:space="preserve">    Identificación y precinto</t>
        </is>
      </c>
      <c r="D53" s="29" t="n">
        <v>1</v>
      </c>
      <c r="E53" s="29" t="inlineStr">
        <is>
          <t>u</t>
        </is>
      </c>
      <c r="F53" s="31" t="n"/>
      <c r="G53" s="31">
        <f>G54+G55+G56+G57+G58+G59+G60</f>
        <v/>
      </c>
      <c r="H53" s="29" t="n"/>
      <c r="I53" s="30" t="n"/>
      <c r="J53" s="29" t="inlineStr">
        <is>
          <t>Compra</t>
        </is>
      </c>
      <c r="K53" s="29" t="n"/>
      <c r="L53" s="30" t="n"/>
      <c r="M53" s="30" t="n"/>
      <c r="N53" s="30" t="inlineStr">
        <is>
          <t>22 Etiquetado (T07)</t>
        </is>
      </c>
      <c r="O53" s="30" t="n"/>
      <c r="P53" s="29" t="n"/>
      <c r="Q53" s="29" t="n"/>
      <c r="R53" s="30" t="n"/>
    </row>
    <row r="54" outlineLevel="1">
      <c r="A54" s="32" t="n">
        <v>2</v>
      </c>
      <c r="B54" s="32" t="inlineStr">
        <is>
          <t>AFFF50-30</t>
        </is>
      </c>
      <c r="C54" s="17" t="inlineStr">
        <is>
          <t xml:space="preserve">        Etiqueta / placa de características</t>
        </is>
      </c>
      <c r="D54" s="32" t="n">
        <v>1</v>
      </c>
      <c r="E54" s="32" t="inlineStr">
        <is>
          <t>u</t>
        </is>
      </c>
      <c r="F54" s="33" t="n">
        <v>0.0549</v>
      </c>
      <c r="G54" s="33">
        <f>D54*F54</f>
        <v/>
      </c>
      <c r="H54" s="32" t="inlineStr">
        <is>
          <t>Vinilo autoadhesivo laminado</t>
        </is>
      </c>
      <c r="I54" s="17" t="inlineStr">
        <is>
          <t>604 × 217 (desarrollo × alto: panel central 108° + 2 alas laterales), e ≈ 0,3, laminado UV</t>
        </is>
      </c>
      <c r="J54" s="32" t="inlineStr">
        <is>
          <t>Compra</t>
        </is>
      </c>
      <c r="K54" s="32" t="inlineStr">
        <is>
          <t>No</t>
        </is>
      </c>
      <c r="L54" s="17" t="n"/>
      <c r="M54" s="17" t="n"/>
      <c r="N54" s="17" t="inlineStr">
        <is>
          <t>22 Etiquetado (T07)</t>
        </is>
      </c>
      <c r="O54" s="17" t="inlineStr">
        <is>
          <t>IRAM 3534 · IRAM 3541 cap. 5 · relevamiento de mercado</t>
        </is>
      </c>
      <c r="P54" s="32" t="inlineStr">
        <is>
          <t>P</t>
        </is>
      </c>
      <c r="Q54" s="32" t="inlineStr">
        <is>
          <t>FL_DES_AFFF_50l</t>
        </is>
      </c>
      <c r="R54" s="17" t="inlineStr">
        <is>
          <t>IRAM 3534</t>
        </is>
      </c>
    </row>
    <row r="55" outlineLevel="1">
      <c r="A55" s="32" t="n">
        <v>2</v>
      </c>
      <c r="B55" s="32" t="inlineStr">
        <is>
          <t>AFFF50-31</t>
        </is>
      </c>
      <c r="C55" s="17" t="inlineStr">
        <is>
          <t xml:space="preserve">        Oblea de fabricación (PBA)</t>
        </is>
      </c>
      <c r="D55" s="32" t="n">
        <v>1</v>
      </c>
      <c r="E55" s="32" t="inlineStr">
        <is>
          <t>u</t>
        </is>
      </c>
      <c r="F55" s="33" t="n">
        <v>0.0009</v>
      </c>
      <c r="G55" s="33">
        <f>D55*F55</f>
        <v/>
      </c>
      <c r="H55" s="32" t="inlineStr">
        <is>
          <t>Papel de seguridad autodestructible</t>
        </is>
      </c>
      <c r="I55" s="17" t="inlineStr">
        <is>
          <t>Ø46 (Res. OPDS 522/07), numerada, autodestructible</t>
        </is>
      </c>
      <c r="J55" s="32" t="inlineStr">
        <is>
          <t>Compra</t>
        </is>
      </c>
      <c r="K55" s="32" t="inlineStr">
        <is>
          <t>No</t>
        </is>
      </c>
      <c r="L55" s="17" t="n"/>
      <c r="M55" s="17" t="n"/>
      <c r="N55" s="17" t="inlineStr">
        <is>
          <t>22 Etiquetado (T07)</t>
        </is>
      </c>
      <c r="O55" s="17" t="inlineStr">
        <is>
          <t>Res. OPDS 522/07 anexos 1, 2 y 6</t>
        </is>
      </c>
      <c r="P55" s="32" t="inlineStr">
        <is>
          <t>P</t>
        </is>
      </c>
      <c r="Q55" s="32" t="inlineStr">
        <is>
          <t>FL_DES_AFFF_50l</t>
        </is>
      </c>
      <c r="R55" s="17" t="inlineStr">
        <is>
          <t>Res. 522/07</t>
        </is>
      </c>
    </row>
    <row r="56" outlineLevel="1">
      <c r="A56" s="32" t="n">
        <v>2</v>
      </c>
      <c r="B56" s="32" t="inlineStr">
        <is>
          <t>AFFF50-32</t>
        </is>
      </c>
      <c r="C56" s="17" t="inlineStr">
        <is>
          <t xml:space="preserve">        Estampilla IRAM de conformidad</t>
        </is>
      </c>
      <c r="D56" s="32" t="n">
        <v>1</v>
      </c>
      <c r="E56" s="32" t="inlineStr">
        <is>
          <t>u</t>
        </is>
      </c>
      <c r="F56" s="33" t="n">
        <v>0.001</v>
      </c>
      <c r="G56" s="33">
        <f>D56*F56</f>
        <v/>
      </c>
      <c r="H56" s="32" t="inlineStr">
        <is>
          <t>Provista por IRAM (Anexo R)</t>
        </is>
      </c>
      <c r="I56" s="17" t="inlineStr">
        <is>
          <t>60 × 40</t>
        </is>
      </c>
      <c r="J56" s="32" t="inlineStr">
        <is>
          <t>Compra</t>
        </is>
      </c>
      <c r="K56" s="32" t="inlineStr">
        <is>
          <t>No</t>
        </is>
      </c>
      <c r="L56" s="17" t="n"/>
      <c r="M56" s="17" t="n"/>
      <c r="N56" s="17" t="inlineStr">
        <is>
          <t>22 Etiquetado (T07)</t>
        </is>
      </c>
      <c r="O56" s="17" t="inlineStr">
        <is>
          <t>IRAM Anexo R (DC-PG-129)</t>
        </is>
      </c>
      <c r="P56" s="32" t="inlineStr">
        <is>
          <t>P</t>
        </is>
      </c>
      <c r="Q56" s="32" t="inlineStr">
        <is>
          <t>FL_DES_AFFF_50l</t>
        </is>
      </c>
      <c r="R56" s="17" t="inlineStr">
        <is>
          <t>numerada</t>
        </is>
      </c>
    </row>
    <row r="57" outlineLevel="1">
      <c r="A57" s="32" t="n">
        <v>2</v>
      </c>
      <c r="B57" s="32" t="inlineStr">
        <is>
          <t>AFFF50-33</t>
        </is>
      </c>
      <c r="C57" s="17" t="inlineStr">
        <is>
          <t xml:space="preserve">        Tarjeta de identificación AGC (CABA)</t>
        </is>
      </c>
      <c r="D57" s="32" t="n">
        <v>1</v>
      </c>
      <c r="E57" s="32" t="inlineStr">
        <is>
          <t>u</t>
        </is>
      </c>
      <c r="F57" s="33" t="n">
        <v>0.0032</v>
      </c>
      <c r="G57" s="33">
        <f>D57*F57</f>
        <v/>
      </c>
      <c r="H57" s="32" t="inlineStr">
        <is>
          <t>Etiqueta autoadhesiva emitida por la AGC</t>
        </is>
      </c>
      <c r="I57" s="17" t="inlineStr">
        <is>
          <t>140 × 55</t>
        </is>
      </c>
      <c r="J57" s="32" t="inlineStr">
        <is>
          <t>Compra</t>
        </is>
      </c>
      <c r="K57" s="32" t="inlineStr">
        <is>
          <t>Sí</t>
        </is>
      </c>
      <c r="L57" s="17" t="inlineStr">
        <is>
          <t>Agencia Gubernamental de Control (CABA)</t>
        </is>
      </c>
      <c r="M57" s="17" t="inlineStr">
        <is>
          <t>-</t>
        </is>
      </c>
      <c r="N57" s="17" t="inlineStr">
        <is>
          <t>22 Etiquetado (T07)</t>
        </is>
      </c>
      <c r="O57" s="17" t="inlineStr">
        <is>
          <t>Ordenanza 40.473 art. 6 · Res. AGC 32/15</t>
        </is>
      </c>
      <c r="P57" s="32" t="inlineStr">
        <is>
          <t>P</t>
        </is>
      </c>
      <c r="Q57" s="32" t="inlineStr">
        <is>
          <t>FL_DES_AFFF_50l</t>
        </is>
      </c>
      <c r="R57" s="17" t="inlineStr">
        <is>
          <t>sólo destino CABA; sólo destino CABA</t>
        </is>
      </c>
    </row>
    <row r="58" outlineLevel="1">
      <c r="A58" s="32" t="n">
        <v>2</v>
      </c>
      <c r="B58" s="32" t="inlineStr">
        <is>
          <t>AFFF50-34</t>
        </is>
      </c>
      <c r="C58" s="17" t="inlineStr">
        <is>
          <t xml:space="preserve">        Etiqueta de n° de serie GS1</t>
        </is>
      </c>
      <c r="D58" s="32" t="n">
        <v>1</v>
      </c>
      <c r="E58" s="32" t="inlineStr">
        <is>
          <t>u</t>
        </is>
      </c>
      <c r="F58" s="33" t="n">
        <v>0.0005</v>
      </c>
      <c r="G58" s="33">
        <f>D58*F58</f>
        <v/>
      </c>
      <c r="H58" s="32" t="inlineStr">
        <is>
          <t>Poliéster autoadhesivo impreso térmico</t>
        </is>
      </c>
      <c r="I58" s="17" t="inlineStr">
        <is>
          <t>45 × 25</t>
        </is>
      </c>
      <c r="J58" s="32" t="inlineStr">
        <is>
          <t>Compra</t>
        </is>
      </c>
      <c r="K58" s="32" t="inlineStr">
        <is>
          <t>No</t>
        </is>
      </c>
      <c r="L58" s="17" t="n"/>
      <c r="M58" s="17" t="n"/>
      <c r="N58" s="17" t="inlineStr">
        <is>
          <t>22 Etiquetado (T07)</t>
        </is>
      </c>
      <c r="O58" s="17" t="inlineStr">
        <is>
          <t>GS1 Argentina (GTIN 779) · trazabilidad IRAM 3523 5.1</t>
        </is>
      </c>
      <c r="P58" s="32" t="inlineStr">
        <is>
          <t>P</t>
        </is>
      </c>
      <c r="Q58" s="32" t="inlineStr">
        <is>
          <t>FL_DES_AFFF_50l</t>
        </is>
      </c>
      <c r="R58" s="17" t="inlineStr">
        <is>
          <t>QR GTIN + serie</t>
        </is>
      </c>
    </row>
    <row r="59" outlineLevel="1">
      <c r="A59" s="32" t="n">
        <v>2</v>
      </c>
      <c r="B59" s="32" t="inlineStr">
        <is>
          <t>AFFF50-36</t>
        </is>
      </c>
      <c r="C59" s="17" t="inlineStr">
        <is>
          <t xml:space="preserve">        Faja de garantía válvula-cuello</t>
        </is>
      </c>
      <c r="D59" s="32" t="n">
        <v>1</v>
      </c>
      <c r="E59" s="32" t="inlineStr">
        <is>
          <t>u</t>
        </is>
      </c>
      <c r="F59" s="33" t="n">
        <v>0.0004</v>
      </c>
      <c r="G59" s="33">
        <f>D59*F59</f>
        <v/>
      </c>
      <c r="H59" s="32" t="inlineStr">
        <is>
          <t>Vinilo destructible rayado rojo/blanco</t>
        </is>
      </c>
      <c r="I59" s="17" t="inlineStr">
        <is>
          <t>30 × 47 (ancho × largo desarrollado), pegada sobre la unión: cuerpo de la válvula, tuerca y cuello</t>
        </is>
      </c>
      <c r="J59" s="32" t="inlineStr">
        <is>
          <t>Compra</t>
        </is>
      </c>
      <c r="K59" s="32" t="inlineStr">
        <is>
          <t>No</t>
        </is>
      </c>
      <c r="L59" s="17" t="n"/>
      <c r="M59" s="17" t="n"/>
      <c r="N59" s="17" t="inlineStr">
        <is>
          <t>22 Etiquetado (T07)</t>
        </is>
      </c>
      <c r="O59" s="17" t="inlineStr">
        <is>
          <t>Sin norma: práctica de mercado (garantía de fábrica)</t>
        </is>
      </c>
      <c r="P59" s="32" t="inlineStr">
        <is>
          <t>P</t>
        </is>
      </c>
      <c r="Q59" s="32" t="inlineStr">
        <is>
          <t>FL_DES_AFFF_50l</t>
        </is>
      </c>
      <c r="R59" s="17" t="inlineStr">
        <is>
          <t>nuevo sin abrir</t>
        </is>
      </c>
    </row>
    <row r="60" outlineLevel="1">
      <c r="A60" s="32" t="n">
        <v>2</v>
      </c>
      <c r="B60" s="32" t="inlineStr">
        <is>
          <t>AFFF50-37</t>
        </is>
      </c>
      <c r="C60" s="17" t="inlineStr">
        <is>
          <t xml:space="preserve">        Precinto de fábrica</t>
        </is>
      </c>
      <c r="D60" s="32" t="n">
        <v>1</v>
      </c>
      <c r="E60" s="32" t="inlineStr">
        <is>
          <t>u</t>
        </is>
      </c>
      <c r="F60" s="33" t="n">
        <v>0.0002</v>
      </c>
      <c r="G60" s="33">
        <f>D60*F60</f>
        <v/>
      </c>
      <c r="H60" s="32" t="inlineStr">
        <is>
          <t>Polipropileno color</t>
        </is>
      </c>
      <c r="I60" s="17" t="inlineStr">
        <is>
          <t>Ø5 × 10, numerado, rotura 30-50 N</t>
        </is>
      </c>
      <c r="J60" s="32" t="inlineStr">
        <is>
          <t>Compra</t>
        </is>
      </c>
      <c r="K60" s="32" t="inlineStr">
        <is>
          <t>No</t>
        </is>
      </c>
      <c r="L60" s="17" t="n"/>
      <c r="M60" s="17" t="n"/>
      <c r="N60" s="17" t="inlineStr">
        <is>
          <t>20 Presurización (T05)</t>
        </is>
      </c>
      <c r="O60" s="17" t="inlineStr">
        <is>
          <t>IRAM 3523 3.3.2 · IRAM 3517-2:2020 9.4.13</t>
        </is>
      </c>
      <c r="P60" s="32" t="inlineStr">
        <is>
          <t>P</t>
        </is>
      </c>
      <c r="Q60" s="32" t="inlineStr">
        <is>
          <t>FL_DES_AFFF_50l</t>
        </is>
      </c>
      <c r="R60" s="17" t="inlineStr">
        <is>
          <t>id. FLAMA y lote</t>
        </is>
      </c>
    </row>
    <row r="61">
      <c r="A61" s="29" t="n">
        <v>1</v>
      </c>
      <c r="B61" s="29" t="inlineStr">
        <is>
          <t>AFFF50-S7</t>
        </is>
      </c>
      <c r="C61" s="30" t="inlineStr">
        <is>
          <t xml:space="preserve">    Embalaje</t>
        </is>
      </c>
      <c r="D61" s="29" t="n">
        <v>1</v>
      </c>
      <c r="E61" s="29" t="inlineStr">
        <is>
          <t>u</t>
        </is>
      </c>
      <c r="F61" s="31" t="n"/>
      <c r="G61" s="31">
        <f>G64</f>
        <v/>
      </c>
      <c r="H61" s="29" t="n"/>
      <c r="I61" s="30" t="n"/>
      <c r="J61" s="29" t="inlineStr">
        <is>
          <t>Compra</t>
        </is>
      </c>
      <c r="K61" s="29" t="n"/>
      <c r="L61" s="30" t="n"/>
      <c r="M61" s="30" t="n"/>
      <c r="N61" s="30" t="inlineStr">
        <is>
          <t>23 Embalaje -&gt; 24 envolvedora (T11)</t>
        </is>
      </c>
      <c r="O61" s="30" t="n"/>
      <c r="P61" s="29" t="n"/>
      <c r="Q61" s="29" t="n"/>
      <c r="R61" s="30" t="n"/>
    </row>
    <row r="62" outlineLevel="1">
      <c r="A62" s="32" t="n">
        <v>2</v>
      </c>
      <c r="B62" s="32" t="inlineStr">
        <is>
          <t>AFFF50-E1</t>
        </is>
      </c>
      <c r="C62" s="17" t="inlineStr">
        <is>
          <t xml:space="preserve">        Esquineros y funda de polietileno</t>
        </is>
      </c>
      <c r="D62" s="32" t="n">
        <v>1</v>
      </c>
      <c r="E62" s="32" t="inlineStr">
        <is>
          <t>jgo</t>
        </is>
      </c>
      <c r="F62" s="33" t="n"/>
      <c r="G62" s="33" t="n"/>
      <c r="H62" s="32" t="inlineStr">
        <is>
          <t>PE / cartón</t>
        </is>
      </c>
      <c r="I62" s="17" t="inlineStr">
        <is>
          <t>a medida de la envolvente del plano</t>
        </is>
      </c>
      <c r="J62" s="32" t="inlineStr">
        <is>
          <t>Compra</t>
        </is>
      </c>
      <c r="K62" s="32" t="inlineStr">
        <is>
          <t>No</t>
        </is>
      </c>
      <c r="L62" s="17" t="n"/>
      <c r="M62" s="17" t="n"/>
      <c r="N62" s="17" t="inlineStr">
        <is>
          <t>23 Embalaje</t>
        </is>
      </c>
      <c r="O62" s="17" t="n"/>
      <c r="P62" s="32" t="inlineStr">
        <is>
          <t>P</t>
        </is>
      </c>
      <c r="Q62" s="32" t="n"/>
      <c r="R62" s="17" t="inlineStr">
        <is>
          <t>Medida del plano</t>
        </is>
      </c>
    </row>
    <row r="63" outlineLevel="1">
      <c r="A63" s="32" t="n">
        <v>2</v>
      </c>
      <c r="B63" s="32" t="inlineStr">
        <is>
          <t>AFFF50-E3</t>
        </is>
      </c>
      <c r="C63" s="17" t="inlineStr">
        <is>
          <t xml:space="preserve">        Pallet 1200 × 1000 (fracción)</t>
        </is>
      </c>
      <c r="D63" s="32" t="n">
        <v>0.5</v>
      </c>
      <c r="E63" s="32" t="inlineStr">
        <is>
          <t>u</t>
        </is>
      </c>
      <c r="F63" s="33" t="n"/>
      <c r="G63" s="33" t="n"/>
      <c r="H63" s="32" t="inlineStr">
        <is>
          <t>Madera</t>
        </is>
      </c>
      <c r="I63" s="17" t="inlineStr">
        <is>
          <t>2 u por pallet</t>
        </is>
      </c>
      <c r="J63" s="32" t="inlineStr">
        <is>
          <t>Compra</t>
        </is>
      </c>
      <c r="K63" s="32" t="inlineStr">
        <is>
          <t>No</t>
        </is>
      </c>
      <c r="L63" s="17" t="n"/>
      <c r="M63" s="17" t="n"/>
      <c r="N63" s="17" t="inlineStr">
        <is>
          <t>23 Embalaje</t>
        </is>
      </c>
      <c r="O63" s="17" t="n"/>
      <c r="P63" s="32" t="inlineStr">
        <is>
          <t>C</t>
        </is>
      </c>
      <c r="Q63" s="32" t="n"/>
      <c r="R63" s="17" t="inlineStr">
        <is>
          <t>u por pallet = acomodo de la caja (plano) en 1200 × 1000 × 1450 de alto</t>
        </is>
      </c>
    </row>
    <row r="64" outlineLevel="1">
      <c r="A64" s="32" t="n">
        <v>2</v>
      </c>
      <c r="B64" s="32" t="inlineStr">
        <is>
          <t>AFFF50-E4</t>
        </is>
      </c>
      <c r="C64" s="17" t="inlineStr">
        <is>
          <t xml:space="preserve">        Film stretch (fracción del pallet)</t>
        </is>
      </c>
      <c r="D64" s="32" t="n">
        <v>0.06</v>
      </c>
      <c r="E64" s="32" t="inlineStr">
        <is>
          <t>kg</t>
        </is>
      </c>
      <c r="F64" s="33" t="n">
        <v>1</v>
      </c>
      <c r="G64" s="33">
        <f>D64*F64</f>
        <v/>
      </c>
      <c r="H64" s="32" t="inlineStr">
        <is>
          <t>PE lineal 23 µm</t>
        </is>
      </c>
      <c r="I64" s="17" t="inlineStr">
        <is>
          <t>0,12 kg por pallet / 2 u</t>
        </is>
      </c>
      <c r="J64" s="32" t="inlineStr">
        <is>
          <t>Compra</t>
        </is>
      </c>
      <c r="K64" s="32" t="inlineStr">
        <is>
          <t>No</t>
        </is>
      </c>
      <c r="L64" s="17" t="n"/>
      <c r="M64" s="17" t="n"/>
      <c r="N64" s="17" t="inlineStr">
        <is>
          <t>24 Envolvedora (T11)</t>
        </is>
      </c>
      <c r="O64" s="17" t="n"/>
      <c r="P64" s="32" t="inlineStr">
        <is>
          <t>C</t>
        </is>
      </c>
      <c r="Q64" s="32" t="n"/>
      <c r="R64"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65" outlineLevel="1">
      <c r="A65" s="32" t="n">
        <v>2</v>
      </c>
      <c r="B65" s="32" t="inlineStr">
        <is>
          <t>AFFF50-E5</t>
        </is>
      </c>
      <c r="C65" s="17" t="inlineStr">
        <is>
          <t xml:space="preserve">        Etiqueta de pallet (lote y destino, fracción)</t>
        </is>
      </c>
      <c r="D65" s="32" t="n">
        <v>0.5</v>
      </c>
      <c r="E65" s="32" t="inlineStr">
        <is>
          <t>u</t>
        </is>
      </c>
      <c r="F65" s="33" t="n"/>
      <c r="G65" s="33" t="n"/>
      <c r="H65" s="32" t="inlineStr">
        <is>
          <t>Papel térmico</t>
        </is>
      </c>
      <c r="I65" s="17" t="inlineStr">
        <is>
          <t>100 × 150</t>
        </is>
      </c>
      <c r="J65" s="32" t="inlineStr">
        <is>
          <t>Compra</t>
        </is>
      </c>
      <c r="K65" s="32" t="inlineStr">
        <is>
          <t>No</t>
        </is>
      </c>
      <c r="L65" s="17" t="n"/>
      <c r="M65" s="17" t="n"/>
      <c r="N65" s="17" t="inlineStr">
        <is>
          <t>24 Envolvedora</t>
        </is>
      </c>
      <c r="O65" s="17" t="n"/>
      <c r="P65" s="32" t="inlineStr">
        <is>
          <t>C</t>
        </is>
      </c>
      <c r="Q65" s="32" t="n"/>
      <c r="R65" s="17" t="n"/>
    </row>
  </sheetData>
  <autoFilter ref="A10:R65"/>
  <pageMargins left="0.75" right="0.75" top="1" bottom="1" header="0.5" footer="0.5"/>
  <pageSetup orientation="landscape" fitToHeight="0" fitToWidth="1"/>
</worksheet>
</file>

<file path=xl/worksheets/sheet23.xml><?xml version="1.0" encoding="utf-8"?>
<worksheet xmlns="http://schemas.openxmlformats.org/spreadsheetml/2006/main">
  <sheetPr>
    <tabColor rgb="00BF8F00"/>
    <outlinePr summaryBelow="0" summaryRight="1"/>
    <pageSetUpPr fitToPage="1"/>
  </sheetPr>
  <dimension ref="A1:R6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FL_MAT_BC_5kg</t>
        </is>
      </c>
    </row>
    <row r="2">
      <c r="A2" s="58" t="inlineStr">
        <is>
          <t>Extintor BC 5 kg</t>
        </is>
      </c>
    </row>
    <row r="3">
      <c r="A3" s="2" t="inlineStr">
        <is>
          <t>Plano de origen</t>
        </is>
      </c>
      <c r="C3" t="inlineStr">
        <is>
          <t>FL_MAT_BC_5kg  (4 láminas)</t>
        </is>
      </c>
      <c r="E3" s="2" t="inlineStr">
        <is>
          <t>Peso vacío S1-S4 (kg)</t>
        </is>
      </c>
      <c r="G3" s="59">
        <f>G13+G18+G33</f>
        <v/>
      </c>
    </row>
    <row r="4">
      <c r="A4" s="2" t="inlineStr">
        <is>
          <t>Plano de despiece</t>
        </is>
      </c>
      <c r="C4" t="inlineStr">
        <is>
          <t>FL_DES_BC_5kg (salida/despiece/)</t>
        </is>
      </c>
      <c r="E4" s="2" t="inlineStr">
        <is>
          <t>Peso cargado S1-S6 (kg)</t>
        </is>
      </c>
      <c r="G4" s="59">
        <f>G13+G18+G33+G38+G41</f>
        <v/>
      </c>
    </row>
    <row r="5">
      <c r="A5" s="2" t="inlineStr">
        <is>
          <t>Norma del producto</t>
        </is>
      </c>
      <c r="C5" t="inlineStr">
        <is>
          <t>IRAM 3523</t>
        </is>
      </c>
      <c r="E5" s="2" t="inlineStr">
        <is>
          <t>Peso con soporte y embalaje (kg)</t>
        </is>
      </c>
      <c r="G5" s="59">
        <f>G13+G18+G33+G38+G41+G53+G49</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8.5</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FL_MAT_BC_5kg</t>
        </is>
      </c>
      <c r="C11" s="27" t="inlineStr">
        <is>
          <t>Extintor BC 5 kg</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FL_MAT_BC_5kg</t>
        </is>
      </c>
      <c r="R11" s="27" t="inlineStr">
        <is>
          <t>Revendido: se compra terminado al fabricante con Sello IRAM; las piezas internas quedan como referencia (no entran en MRP)</t>
        </is>
      </c>
    </row>
    <row r="12">
      <c r="A12" s="29" t="n">
        <v>1</v>
      </c>
      <c r="B12" s="29" t="inlineStr">
        <is>
          <t>BC5-S0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Melisam</t>
        </is>
      </c>
      <c r="N12" s="30" t="inlineStr">
        <is>
          <t>Recepción y control de ingreso (SP-1)</t>
        </is>
      </c>
      <c r="O12" s="30" t="inlineStr">
        <is>
          <t>IRAM 3523</t>
        </is>
      </c>
      <c r="P12" s="29" t="inlineStr">
        <is>
          <t>I</t>
        </is>
      </c>
      <c r="Q12" s="29" t="inlineStr">
        <is>
          <t>FL_MAT_BC_5kg</t>
        </is>
      </c>
      <c r="R12" s="30" t="inlineStr">
        <is>
          <t>Única fila de compra del revendido (más la tarjeta AGC si el destino es CABA)</t>
        </is>
      </c>
    </row>
    <row r="13">
      <c r="A13" s="29" t="n">
        <v>1</v>
      </c>
      <c r="B13" s="29" t="inlineStr">
        <is>
          <t>BC5-S1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FL_DES_BC_5kg</t>
        </is>
      </c>
      <c r="R13" s="30" t="n"/>
    </row>
    <row r="14" outlineLevel="1">
      <c r="A14" s="32" t="n">
        <v>2</v>
      </c>
      <c r="B14" s="32" t="inlineStr">
        <is>
          <t>BC5-01</t>
        </is>
      </c>
      <c r="C14" s="17" t="inlineStr">
        <is>
          <t xml:space="preserve">        Cuerpo (virola)</t>
        </is>
      </c>
      <c r="D14" s="32" t="n">
        <v>1</v>
      </c>
      <c r="E14" s="32" t="inlineStr">
        <is>
          <t>u</t>
        </is>
      </c>
      <c r="F14" s="33" t="n">
        <v>1.9541</v>
      </c>
      <c r="G14" s="33">
        <f>D14*F14</f>
        <v/>
      </c>
      <c r="H14" s="32" t="inlineStr">
        <is>
          <t>Chapa LAF IRAM-IAS U 500-05 e=1,6</t>
        </is>
      </c>
      <c r="I14" s="17" t="inlineStr">
        <is>
          <t>Ø153 × e1,6 × 327,3 de alto; desarrollo 475,6 × 327,3</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FL_DES_BC_5kg</t>
        </is>
      </c>
      <c r="R14" s="17" t="inlineStr">
        <is>
          <t>costura long. MAG</t>
        </is>
      </c>
    </row>
    <row r="15" outlineLevel="1">
      <c r="A15" s="32" t="n">
        <v>2</v>
      </c>
      <c r="B15" s="32" t="inlineStr">
        <is>
          <t>BC5-02</t>
        </is>
      </c>
      <c r="C15" s="17" t="inlineStr">
        <is>
          <t xml:space="preserve">        Cúpula</t>
        </is>
      </c>
      <c r="D15" s="32" t="n">
        <v>1</v>
      </c>
      <c r="E15" s="32" t="inlineStr">
        <is>
          <t>u</t>
        </is>
      </c>
      <c r="F15" s="33" t="n">
        <v>0.3608</v>
      </c>
      <c r="G15" s="33">
        <f>D15*F15</f>
        <v/>
      </c>
      <c r="H15" s="32" t="inlineStr">
        <is>
          <t>Chapa LAF IRAM-IAS U 500-05 e=1,6</t>
        </is>
      </c>
      <c r="I15" s="17" t="inlineStr">
        <is>
          <t>Ø153 × e1,6 × 53,2 de alto; disco Ø221</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FL_DES_BC_5kg</t>
        </is>
      </c>
      <c r="R15" s="17" t="inlineStr">
        <is>
          <t>embutida</t>
        </is>
      </c>
    </row>
    <row r="16" outlineLevel="1">
      <c r="A16" s="32" t="n">
        <v>2</v>
      </c>
      <c r="B16" s="32" t="inlineStr">
        <is>
          <t>BC5-03</t>
        </is>
      </c>
      <c r="C16" s="17" t="inlineStr">
        <is>
          <t xml:space="preserve">        Fondo</t>
        </is>
      </c>
      <c r="D16" s="32" t="n">
        <v>1</v>
      </c>
      <c r="E16" s="32" t="inlineStr">
        <is>
          <t>u</t>
        </is>
      </c>
      <c r="F16" s="33" t="n">
        <v>0.3173</v>
      </c>
      <c r="G16" s="33">
        <f>D16*F16</f>
        <v/>
      </c>
      <c r="H16" s="32" t="inlineStr">
        <is>
          <t>Chapa LAF IRAM-IAS U 500-05 e=1,6</t>
        </is>
      </c>
      <c r="I16" s="17" t="inlineStr">
        <is>
          <t>Ø153 × e1,6 × 26 de alto; disco Ø177</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FL_DES_BC_5kg</t>
        </is>
      </c>
      <c r="R16" s="17" t="inlineStr">
        <is>
          <t>embutido</t>
        </is>
      </c>
    </row>
    <row r="17" outlineLevel="1">
      <c r="A17" s="32" t="n">
        <v>2</v>
      </c>
      <c r="B17" s="32" t="inlineStr">
        <is>
          <t>BC5-04</t>
        </is>
      </c>
      <c r="C17" s="17" t="inlineStr">
        <is>
          <t xml:space="preserve">        Cuello roscado</t>
        </is>
      </c>
      <c r="D17" s="32" t="n">
        <v>1</v>
      </c>
      <c r="E17" s="32" t="inlineStr">
        <is>
          <t>u</t>
        </is>
      </c>
      <c r="F17" s="33" t="n">
        <v>0.0589</v>
      </c>
      <c r="G17" s="33">
        <f>D17*F17</f>
        <v/>
      </c>
      <c r="H17" s="32" t="inlineStr">
        <is>
          <t>Acero SAE 1010</t>
        </is>
      </c>
      <c r="I17" s="17" t="inlineStr">
        <is>
          <t>Ø37 × 15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FL_DES_BC_5kg</t>
        </is>
      </c>
      <c r="R17" s="17" t="inlineStr">
        <is>
          <t>M30x1,5</t>
        </is>
      </c>
    </row>
    <row r="18">
      <c r="A18" s="29" t="n">
        <v>1</v>
      </c>
      <c r="B18" s="29" t="inlineStr">
        <is>
          <t>BC5-S2</t>
        </is>
      </c>
      <c r="C18" s="30" t="inlineStr">
        <is>
          <t xml:space="preserve">    Conjunto de válvula</t>
        </is>
      </c>
      <c r="D18" s="29" t="n">
        <v>1</v>
      </c>
      <c r="E18" s="29" t="inlineStr">
        <is>
          <t>u</t>
        </is>
      </c>
      <c r="F18" s="31" t="n"/>
      <c r="G18" s="31">
        <f>G19+G20+G21+G23+G24+G25+G26+G27+G28+G29+G30</f>
        <v/>
      </c>
      <c r="H18" s="29" t="n"/>
      <c r="I18" s="30" t="n"/>
      <c r="J18" s="29" t="inlineStr">
        <is>
          <t>Compra / armado</t>
        </is>
      </c>
      <c r="K18" s="29" t="n"/>
      <c r="L18" s="30" t="n"/>
      <c r="M18" s="30" t="n"/>
      <c r="N18" s="30" t="n"/>
      <c r="O18" s="30" t="inlineStr">
        <is>
          <t>Manómetro IRAM 3533</t>
        </is>
      </c>
      <c r="P18" s="29" t="inlineStr">
        <is>
          <t>P</t>
        </is>
      </c>
      <c r="Q18" s="29" t="inlineStr">
        <is>
          <t>FL_DES_BC_5kg</t>
        </is>
      </c>
      <c r="R18" s="30" t="n"/>
    </row>
    <row r="19" outlineLevel="1">
      <c r="A19" s="32" t="n">
        <v>2</v>
      </c>
      <c r="B19" s="32" t="inlineStr">
        <is>
          <t>BC5-05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FL_DES_BC_5kg</t>
        </is>
      </c>
      <c r="R19" s="17" t="n"/>
    </row>
    <row r="20" outlineLevel="1">
      <c r="A20" s="32" t="n">
        <v>2</v>
      </c>
      <c r="B20" s="32" t="inlineStr">
        <is>
          <t>BC5-06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FL_DES_BC_5kg</t>
        </is>
      </c>
      <c r="R20" s="17" t="n"/>
    </row>
    <row r="21" outlineLevel="1">
      <c r="A21" s="32" t="n">
        <v>2</v>
      </c>
      <c r="B21" s="32" t="inlineStr">
        <is>
          <t>BC5-07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FL_DES_BC_5kg</t>
        </is>
      </c>
      <c r="R21" s="17" t="n"/>
    </row>
    <row r="22" outlineLevel="1">
      <c r="A22" s="32" t="n">
        <v>2</v>
      </c>
      <c r="B22" s="32" t="inlineStr">
        <is>
          <t>BC5-08</t>
        </is>
      </c>
      <c r="C22" s="17" t="inlineStr">
        <is>
          <t xml:space="preserve">        Manómetro</t>
        </is>
      </c>
      <c r="D22" s="32" t="n">
        <v>1</v>
      </c>
      <c r="E22" s="32" t="inlineStr">
        <is>
          <t>u</t>
        </is>
      </c>
      <c r="F22" s="33" t="n"/>
      <c r="G22" s="33" t="n"/>
      <c r="H22" s="32" t="inlineStr">
        <is>
          <t>Comercial</t>
        </is>
      </c>
      <c r="I22" s="17" t="inlineStr">
        <is>
          <t>Ø36 esfera, rango 0-3,5 MPa, sector verde en 1,4</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FL_DES_BC_5kg</t>
        </is>
      </c>
      <c r="R22" s="17" t="inlineStr">
        <is>
          <t>Pieza comercial; sello IRAM 3533; peso: completar con la ficha del proveedor (no afecta el MRP)</t>
        </is>
      </c>
    </row>
    <row r="23" outlineLevel="1">
      <c r="A23" s="32" t="n">
        <v>2</v>
      </c>
      <c r="B23" s="32" t="inlineStr">
        <is>
          <t>BC5-09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FL_DES_BC_5kg</t>
        </is>
      </c>
      <c r="R23" s="17" t="inlineStr">
        <is>
          <t>con junta tórica</t>
        </is>
      </c>
    </row>
    <row r="24" outlineLevel="1">
      <c r="A24" s="32" t="n">
        <v>2</v>
      </c>
      <c r="B24" s="32" t="inlineStr">
        <is>
          <t>BC5-10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FL_DES_BC_5kg</t>
        </is>
      </c>
      <c r="R24" s="17" t="inlineStr">
        <is>
          <t>cierre del vástago</t>
        </is>
      </c>
    </row>
    <row r="25" outlineLevel="1">
      <c r="A25" s="32" t="n">
        <v>2</v>
      </c>
      <c r="B25" s="32" t="inlineStr">
        <is>
          <t>BC5-11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FL_DES_BC_5kg</t>
        </is>
      </c>
      <c r="R25" s="17" t="n"/>
    </row>
    <row r="26" outlineLevel="1">
      <c r="A26" s="32" t="n">
        <v>2</v>
      </c>
      <c r="B26" s="32" t="inlineStr">
        <is>
          <t>BC5-12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FL_DES_BC_5kg</t>
        </is>
      </c>
      <c r="R26" s="17" t="inlineStr">
        <is>
          <t>con precinto</t>
        </is>
      </c>
    </row>
    <row r="27" outlineLevel="1">
      <c r="A27" s="32" t="n">
        <v>2</v>
      </c>
      <c r="B27" s="32" t="inlineStr">
        <is>
          <t>BC5-13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FL_DES_BC_5kg</t>
        </is>
      </c>
      <c r="R27" s="17" t="n"/>
    </row>
    <row r="28" outlineLevel="1">
      <c r="A28" s="32" t="n">
        <v>2</v>
      </c>
      <c r="B28" s="32" t="inlineStr">
        <is>
          <t>BC5-14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FL_DES_BC_5kg</t>
        </is>
      </c>
      <c r="R28" s="17" t="n"/>
    </row>
    <row r="29" outlineLevel="1">
      <c r="A29" s="32" t="n">
        <v>2</v>
      </c>
      <c r="B29" s="32" t="inlineStr">
        <is>
          <t>BC5-15</t>
        </is>
      </c>
      <c r="C29" s="17" t="inlineStr">
        <is>
          <t xml:space="preserve">        Caño de pesca (sifón)</t>
        </is>
      </c>
      <c r="D29" s="32" t="n">
        <v>1</v>
      </c>
      <c r="E29" s="32" t="inlineStr">
        <is>
          <t>u</t>
        </is>
      </c>
      <c r="F29" s="33" t="n">
        <v>0.0462</v>
      </c>
      <c r="G29" s="33">
        <f>D29*F29</f>
        <v/>
      </c>
      <c r="H29" s="32" t="inlineStr">
        <is>
          <t>Tubo PVC rígido</t>
        </is>
      </c>
      <c r="I29" s="17" t="inlineStr">
        <is>
          <t>Ø21,3 × 353,6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FL_DES_BC_5kg</t>
        </is>
      </c>
      <c r="R29" s="17" t="n"/>
    </row>
    <row r="30" outlineLevel="1">
      <c r="A30" s="32" t="n">
        <v>2</v>
      </c>
      <c r="B30" s="32" t="inlineStr">
        <is>
          <t>BC5-25</t>
        </is>
      </c>
      <c r="C30" s="17" t="inlineStr">
        <is>
          <t xml:space="preserve">        Junta tórica de asiento</t>
        </is>
      </c>
      <c r="D30" s="32" t="n">
        <v>1</v>
      </c>
      <c r="E30" s="32" t="inlineStr">
        <is>
          <t>u</t>
        </is>
      </c>
      <c r="F30" s="33" t="n">
        <v>0.001</v>
      </c>
      <c r="G30" s="33">
        <f>D30*F30</f>
        <v/>
      </c>
      <c r="H30" s="32" t="inlineStr">
        <is>
          <t>NBR 70 Shore A</t>
        </is>
      </c>
      <c r="I30" s="17" t="inlineStr">
        <is>
          <t>Ø32,8 ext. × cordón 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FL_DES_BC_5kg</t>
        </is>
      </c>
      <c r="R30" s="17" t="inlineStr">
        <is>
          <t>cambio c/recarga</t>
        </is>
      </c>
    </row>
    <row r="31" outlineLevel="1">
      <c r="A31" s="32" t="n">
        <v>2</v>
      </c>
      <c r="B31" s="32" t="inlineStr">
        <is>
          <t>BC5-V2</t>
        </is>
      </c>
      <c r="C31" s="17" t="inlineStr">
        <is>
          <t xml:space="preserve">        Resorte de retorno del vástago</t>
        </is>
      </c>
      <c r="D31" s="32" t="n">
        <v>1</v>
      </c>
      <c r="E31" s="32" t="inlineStr">
        <is>
          <t>u</t>
        </is>
      </c>
      <c r="F31" s="33" t="n"/>
      <c r="G31" s="33" t="n"/>
      <c r="H31" s="32" t="inlineStr">
        <is>
          <t>Acero para resortes</t>
        </is>
      </c>
      <c r="I31" s="17" t="inlineStr">
        <is>
          <t>incluido en la válvula</t>
        </is>
      </c>
      <c r="J31" s="32" t="inlineStr">
        <is>
          <t>Compra (en el conjunto)</t>
        </is>
      </c>
      <c r="K31" s="32" t="inlineStr">
        <is>
          <t>No</t>
        </is>
      </c>
      <c r="L31" s="17" t="n"/>
      <c r="M31" s="17" t="n"/>
      <c r="N31" s="17" t="inlineStr">
        <is>
          <t>19 Ensamblaje</t>
        </is>
      </c>
      <c r="O31" s="17" t="n"/>
      <c r="P31" s="32" t="inlineStr">
        <is>
          <t>Q</t>
        </is>
      </c>
      <c r="Q31" s="32" t="n"/>
      <c r="R31" s="17" t="inlineStr">
        <is>
          <t>Lista de precios HZ: válvula «c/resorte» (Q-AGENTES)</t>
        </is>
      </c>
    </row>
    <row r="32" outlineLevel="1">
      <c r="A32" s="32" t="n">
        <v>2</v>
      </c>
      <c r="B32" s="32" t="inlineStr">
        <is>
          <t>BC5-V3</t>
        </is>
      </c>
      <c r="C32" s="17" t="inlineStr">
        <is>
          <t xml:space="preserve">        Junta tórica del vástago</t>
        </is>
      </c>
      <c r="D32" s="32" t="n">
        <v>1</v>
      </c>
      <c r="E32" s="32" t="inlineStr">
        <is>
          <t>u</t>
        </is>
      </c>
      <c r="F32" s="33" t="n"/>
      <c r="G32" s="33" t="n"/>
      <c r="H32" s="32" t="inlineStr">
        <is>
          <t>NBR 70 Shore A</t>
        </is>
      </c>
      <c r="I32" s="17" t="inlineStr">
        <is>
          <t>incluida en la válvula</t>
        </is>
      </c>
      <c r="J32" s="32" t="inlineStr">
        <is>
          <t>Compra (en el conjunto)</t>
        </is>
      </c>
      <c r="K32" s="32" t="inlineStr">
        <is>
          <t>No</t>
        </is>
      </c>
      <c r="L32" s="17" t="n"/>
      <c r="M32" s="17" t="n"/>
      <c r="N32" s="17" t="inlineStr">
        <is>
          <t>19 Ensamblaje</t>
        </is>
      </c>
      <c r="O32" s="17" t="n"/>
      <c r="P32" s="32" t="inlineStr">
        <is>
          <t>P</t>
        </is>
      </c>
      <c r="Q32" s="32" t="n"/>
      <c r="R32" s="17" t="inlineStr">
        <is>
          <t>Figura en el plano como «vástago con junta tórica»</t>
        </is>
      </c>
    </row>
    <row r="33">
      <c r="A33" s="29" t="n">
        <v>1</v>
      </c>
      <c r="B33" s="29" t="inlineStr">
        <is>
          <t>BC5-S3</t>
        </is>
      </c>
      <c r="C33" s="30" t="inlineStr">
        <is>
          <t xml:space="preserve">    Dispositivo de descarga</t>
        </is>
      </c>
      <c r="D33" s="29" t="n">
        <v>1</v>
      </c>
      <c r="E33" s="29" t="inlineStr">
        <is>
          <t>u</t>
        </is>
      </c>
      <c r="F33" s="31" t="n"/>
      <c r="G33" s="31">
        <f>G34+G35+G36+G37</f>
        <v/>
      </c>
      <c r="H33" s="29" t="n"/>
      <c r="I33" s="30" t="n"/>
      <c r="J33" s="29" t="inlineStr">
        <is>
          <t>Compra / armado</t>
        </is>
      </c>
      <c r="K33" s="29" t="n"/>
      <c r="L33" s="30" t="n"/>
      <c r="M33" s="30" t="n"/>
      <c r="N33" s="30" t="n"/>
      <c r="O33" s="30" t="n"/>
      <c r="P33" s="29" t="inlineStr">
        <is>
          <t>P</t>
        </is>
      </c>
      <c r="Q33" s="29" t="inlineStr">
        <is>
          <t>FL_DES_BC_5kg</t>
        </is>
      </c>
      <c r="R33" s="30" t="n"/>
    </row>
    <row r="34" outlineLevel="1">
      <c r="A34" s="32" t="n">
        <v>2</v>
      </c>
      <c r="B34" s="32" t="inlineStr">
        <is>
          <t>BC5-16</t>
        </is>
      </c>
      <c r="C34" s="17" t="inlineStr">
        <is>
          <t xml:space="preserve">        Racor de manguera</t>
        </is>
      </c>
      <c r="D34" s="32" t="n">
        <v>1</v>
      </c>
      <c r="E34" s="32" t="inlineStr">
        <is>
          <t>u</t>
        </is>
      </c>
      <c r="F34" s="33" t="n">
        <v>0.0394</v>
      </c>
      <c r="G34" s="33">
        <f>D34*F34</f>
        <v/>
      </c>
      <c r="H34" s="32" t="inlineStr">
        <is>
          <t>Latón</t>
        </is>
      </c>
      <c r="I34" s="17" t="inlineStr">
        <is>
          <t>19,4 × 18,8 × 18,8</t>
        </is>
      </c>
      <c r="J34" s="32" t="inlineStr">
        <is>
          <t>Compra (en el conjunto)</t>
        </is>
      </c>
      <c r="K34" s="32" t="inlineStr">
        <is>
          <t>No</t>
        </is>
      </c>
      <c r="L34" s="17" t="n"/>
      <c r="M34" s="17" t="n"/>
      <c r="N34" s="17" t="inlineStr">
        <is>
          <t>S4 - se compra terminado (tercerizado con sello IRAM)</t>
        </is>
      </c>
      <c r="O34" s="17" t="n"/>
      <c r="P34" s="32" t="inlineStr">
        <is>
          <t>P</t>
        </is>
      </c>
      <c r="Q34" s="32" t="inlineStr">
        <is>
          <t>FL_DES_BC_5kg</t>
        </is>
      </c>
      <c r="R34" s="17" t="n"/>
    </row>
    <row r="35" outlineLevel="1">
      <c r="A35" s="32" t="n">
        <v>2</v>
      </c>
      <c r="B35" s="32" t="inlineStr">
        <is>
          <t>BC5-17</t>
        </is>
      </c>
      <c r="C35" s="17" t="inlineStr">
        <is>
          <t xml:space="preserve">        Manguera</t>
        </is>
      </c>
      <c r="D35" s="32" t="n">
        <v>1</v>
      </c>
      <c r="E35" s="32" t="inlineStr">
        <is>
          <t>u</t>
        </is>
      </c>
      <c r="F35" s="33" t="n">
        <v>0.0509</v>
      </c>
      <c r="G35" s="33">
        <f>D35*F35</f>
        <v/>
      </c>
      <c r="H35" s="32" t="inlineStr">
        <is>
          <t>Caucho sintético</t>
        </is>
      </c>
      <c r="I35" s="17" t="inlineStr">
        <is>
          <t>Ø16 × 329 de largo desarrollado</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FL_DES_BC_5kg</t>
        </is>
      </c>
      <c r="R35" s="17" t="n"/>
    </row>
    <row r="36" outlineLevel="1">
      <c r="A36" s="32" t="n">
        <v>2</v>
      </c>
      <c r="B36" s="32" t="inlineStr">
        <is>
          <t>BC5-18</t>
        </is>
      </c>
      <c r="C36" s="17" t="inlineStr">
        <is>
          <t xml:space="preserve">        Tobera con portatobera</t>
        </is>
      </c>
      <c r="D36" s="32" t="n">
        <v>1</v>
      </c>
      <c r="E36" s="32" t="inlineStr">
        <is>
          <t>u</t>
        </is>
      </c>
      <c r="F36" s="33" t="n">
        <v>0.0168</v>
      </c>
      <c r="G36" s="33">
        <f>D36*F36</f>
        <v/>
      </c>
      <c r="H36" s="32" t="inlineStr">
        <is>
          <t>Polipropileno</t>
        </is>
      </c>
      <c r="I36" s="17" t="inlineStr">
        <is>
          <t>73,5 × 19,9 × 19,9</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FL_DES_BC_5kg</t>
        </is>
      </c>
      <c r="R36" s="17" t="n"/>
    </row>
    <row r="37" outlineLevel="1">
      <c r="A37" s="32" t="n">
        <v>2</v>
      </c>
      <c r="B37" s="32" t="inlineStr">
        <is>
          <t>BC5-19</t>
        </is>
      </c>
      <c r="C37" s="17" t="inlineStr">
        <is>
          <t xml:space="preserve">        Suncho portatobera</t>
        </is>
      </c>
      <c r="D37" s="32" t="n">
        <v>1</v>
      </c>
      <c r="E37" s="32" t="inlineStr">
        <is>
          <t>u</t>
        </is>
      </c>
      <c r="F37" s="33" t="n">
        <v>0.0945</v>
      </c>
      <c r="G37" s="33">
        <f>D37*F37</f>
        <v/>
      </c>
      <c r="H37" s="32" t="inlineStr">
        <is>
          <t>Fleje acero SAE 1010 pintado</t>
        </is>
      </c>
      <c r="I37" s="17" t="inlineStr">
        <is>
          <t>166,6 × 156,6 × 14,4</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FL_DES_BC_5kg</t>
        </is>
      </c>
      <c r="R37" s="17" t="n"/>
    </row>
    <row r="38">
      <c r="A38" s="29" t="n">
        <v>1</v>
      </c>
      <c r="B38" s="29" t="inlineStr">
        <is>
          <t>BC5-S5</t>
        </is>
      </c>
      <c r="C38" s="30" t="inlineStr">
        <is>
          <t xml:space="preserve">    Carga: agente extintor y gas impulsor</t>
        </is>
      </c>
      <c r="D38" s="29" t="n">
        <v>1</v>
      </c>
      <c r="E38" s="29" t="inlineStr">
        <is>
          <t>u</t>
        </is>
      </c>
      <c r="F38" s="31" t="n"/>
      <c r="G38" s="31">
        <f>G39+G40</f>
        <v/>
      </c>
      <c r="H38" s="29" t="n"/>
      <c r="I38" s="30" t="n"/>
      <c r="J38" s="29" t="inlineStr">
        <is>
          <t>Compra</t>
        </is>
      </c>
      <c r="K38" s="29" t="n"/>
      <c r="L38" s="30" t="n"/>
      <c r="M38" s="30" t="n"/>
      <c r="N38" s="30" t="n"/>
      <c r="O38" s="30" t="n"/>
      <c r="P38" s="29" t="n"/>
      <c r="Q38" s="29" t="n"/>
      <c r="R38" s="30" t="n"/>
    </row>
    <row r="39" outlineLevel="1">
      <c r="A39" s="32" t="n">
        <v>2</v>
      </c>
      <c r="B39" s="32" t="inlineStr">
        <is>
          <t>BC5-A1</t>
        </is>
      </c>
      <c r="C39" s="17" t="inlineStr">
        <is>
          <t xml:space="preserve">        Polvo químico seco BC - BC sódico (NaHCO₃ ≥ 85,5 %)</t>
        </is>
      </c>
      <c r="D39" s="32" t="n">
        <v>5.15</v>
      </c>
      <c r="E39" s="32" t="inlineStr">
        <is>
          <t>kg</t>
        </is>
      </c>
      <c r="F39" s="33" t="n">
        <v>1</v>
      </c>
      <c r="G39" s="33">
        <f>D39*F39</f>
        <v/>
      </c>
      <c r="H39" s="32" t="inlineStr">
        <is>
          <t>Polvo químico seco BC - BC sódico (NaHCO₃ ≥ 85,5 %)</t>
        </is>
      </c>
      <c r="I39" s="17" t="inlineStr">
        <is>
          <t>nominal 5 kg; tolerancia 0 / +300 g (IRAM 3517-2:2020 tabla 3 · IRAM 3523 tabla II)</t>
        </is>
      </c>
      <c r="J39" s="32" t="inlineStr">
        <is>
          <t>Compra</t>
        </is>
      </c>
      <c r="K39" s="32" t="inlineStr">
        <is>
          <t>No</t>
        </is>
      </c>
      <c r="L39" s="17" t="n"/>
      <c r="M39" s="17" t="n"/>
      <c r="N39" s="17" t="inlineStr">
        <is>
          <t>SP-1 almacén previo a la carga</t>
        </is>
      </c>
      <c r="O39" s="17" t="inlineStr">
        <is>
          <t>IRAM 3566</t>
        </is>
      </c>
      <c r="P39" s="32" t="inlineStr">
        <is>
          <t>N</t>
        </is>
      </c>
      <c r="Q39" s="32" t="n"/>
      <c r="R39" s="17" t="inlineStr">
        <is>
          <t>potencial - · alternativa BC Púrpura K (KHCO₃ 92 ± 5 %): 40B · Lote único por extintor; prohibido mezclar ABC con BC (3517-2 9.9.1.6)</t>
        </is>
      </c>
    </row>
    <row r="40" outlineLevel="1">
      <c r="A40" s="32" t="n">
        <v>2</v>
      </c>
      <c r="B40" s="32" t="inlineStr">
        <is>
          <t>BC5-A2</t>
        </is>
      </c>
      <c r="C40" s="17" t="inlineStr">
        <is>
          <t xml:space="preserve">        Gas impulsor: N₂</t>
        </is>
      </c>
      <c r="D40" s="32" t="n">
        <v>0.0077</v>
      </c>
      <c r="E40" s="32" t="inlineStr">
        <is>
          <t>kg</t>
        </is>
      </c>
      <c r="F40" s="33" t="n">
        <v>1</v>
      </c>
      <c r="G40" s="33">
        <f>D40*F40</f>
        <v/>
      </c>
      <c r="H40" s="32" t="inlineStr">
        <is>
          <t>N₂</t>
        </is>
      </c>
      <c r="I40" s="17" t="inlineStr">
        <is>
          <t>6,1 L normales para 1,4 MPa a 20 °C en 0,44 dm³ libres</t>
        </is>
      </c>
      <c r="J40" s="32" t="inlineStr">
        <is>
          <t>Compra</t>
        </is>
      </c>
      <c r="K40" s="32" t="inlineStr">
        <is>
          <t>No</t>
        </is>
      </c>
      <c r="L40" s="17" t="n"/>
      <c r="M40" s="17" t="n"/>
      <c r="N40" s="17" t="inlineStr">
        <is>
          <t>20 Presurización (T05) / C10</t>
        </is>
      </c>
      <c r="O40" s="17" t="inlineStr">
        <is>
          <t>IRAM 3517-2 9.4.9 (tabla 2) · IRAM 3523 2.3 y 3.10</t>
        </is>
      </c>
      <c r="P40" s="32" t="inlineStr">
        <is>
          <t>C</t>
        </is>
      </c>
      <c r="Q40" s="32" t="n"/>
      <c r="R40" s="17" t="inlineStr">
        <is>
          <t>N₂ ≥ 99,8 %, H₂O ≤ 40 ppm (Q-N2, Air Liquide)</t>
        </is>
      </c>
    </row>
    <row r="41">
      <c r="A41" s="29" t="n">
        <v>1</v>
      </c>
      <c r="B41" s="29" t="inlineStr">
        <is>
          <t>BC5-S6</t>
        </is>
      </c>
      <c r="C41" s="30" t="inlineStr">
        <is>
          <t xml:space="preserve">    Identificación y precinto</t>
        </is>
      </c>
      <c r="D41" s="29" t="n">
        <v>1</v>
      </c>
      <c r="E41" s="29" t="inlineStr">
        <is>
          <t>u</t>
        </is>
      </c>
      <c r="F41" s="31" t="n"/>
      <c r="G41" s="31">
        <f>G42+G43+G44+G45+G46+G47+G48</f>
        <v/>
      </c>
      <c r="H41" s="29" t="n"/>
      <c r="I41" s="30" t="n"/>
      <c r="J41" s="29" t="inlineStr">
        <is>
          <t>Compra</t>
        </is>
      </c>
      <c r="K41" s="29" t="n"/>
      <c r="L41" s="30" t="n"/>
      <c r="M41" s="30" t="n"/>
      <c r="N41" s="30" t="inlineStr">
        <is>
          <t>22 Etiquetado (T07)</t>
        </is>
      </c>
      <c r="O41" s="30" t="n"/>
      <c r="P41" s="29" t="n"/>
      <c r="Q41" s="29" t="n"/>
      <c r="R41" s="30" t="n"/>
    </row>
    <row r="42" outlineLevel="1">
      <c r="A42" s="32" t="n">
        <v>2</v>
      </c>
      <c r="B42" s="32" t="inlineStr">
        <is>
          <t>BC5-20</t>
        </is>
      </c>
      <c r="C42" s="17" t="inlineStr">
        <is>
          <t xml:space="preserve">        Etiqueta / placa de características</t>
        </is>
      </c>
      <c r="D42" s="32" t="n">
        <v>1</v>
      </c>
      <c r="E42" s="32" t="inlineStr">
        <is>
          <t>u</t>
        </is>
      </c>
      <c r="F42" s="33" t="n">
        <v>0.0175</v>
      </c>
      <c r="G42" s="33">
        <f>D42*F42</f>
        <v/>
      </c>
      <c r="H42" s="32" t="inlineStr">
        <is>
          <t>Vinilo autoadhesivo laminado</t>
        </is>
      </c>
      <c r="I42" s="17" t="inlineStr">
        <is>
          <t>289 × 144 (desarrollo × alto: panel central 108° + 2 alas laterales), e ≈ 0,3, laminado UV</t>
        </is>
      </c>
      <c r="J42" s="32" t="inlineStr">
        <is>
          <t>Compra</t>
        </is>
      </c>
      <c r="K42" s="32" t="inlineStr">
        <is>
          <t>No</t>
        </is>
      </c>
      <c r="L42" s="17" t="n"/>
      <c r="M42" s="17" t="n"/>
      <c r="N42" s="17" t="inlineStr">
        <is>
          <t>22 Etiquetado (T07)</t>
        </is>
      </c>
      <c r="O42" s="17" t="inlineStr">
        <is>
          <t>IRAM 3534 · IRAM 3523 cap. 5 · relevamiento de mercado</t>
        </is>
      </c>
      <c r="P42" s="32" t="inlineStr">
        <is>
          <t>P</t>
        </is>
      </c>
      <c r="Q42" s="32" t="inlineStr">
        <is>
          <t>FL_DES_BC_5kg</t>
        </is>
      </c>
      <c r="R42" s="17" t="inlineStr">
        <is>
          <t>IRAM 3534</t>
        </is>
      </c>
    </row>
    <row r="43" outlineLevel="1">
      <c r="A43" s="32" t="n">
        <v>2</v>
      </c>
      <c r="B43" s="32" t="inlineStr">
        <is>
          <t>BC5-21</t>
        </is>
      </c>
      <c r="C43" s="17" t="inlineStr">
        <is>
          <t xml:space="preserve">        Oblea de fabricación (PBA)</t>
        </is>
      </c>
      <c r="D43" s="32" t="n">
        <v>1</v>
      </c>
      <c r="E43" s="32" t="inlineStr">
        <is>
          <t>u</t>
        </is>
      </c>
      <c r="F43" s="33" t="n">
        <v>0.0009</v>
      </c>
      <c r="G43" s="33">
        <f>D43*F43</f>
        <v/>
      </c>
      <c r="H43" s="32" t="inlineStr">
        <is>
          <t>Papel de seguridad autodestructible</t>
        </is>
      </c>
      <c r="I43" s="17" t="inlineStr">
        <is>
          <t>Ø46 (Res. OPDS 522/07), numerada, autodestructible</t>
        </is>
      </c>
      <c r="J43" s="32" t="inlineStr">
        <is>
          <t>Compra</t>
        </is>
      </c>
      <c r="K43" s="32" t="inlineStr">
        <is>
          <t>No</t>
        </is>
      </c>
      <c r="L43" s="17" t="n"/>
      <c r="M43" s="17" t="n"/>
      <c r="N43" s="17" t="inlineStr">
        <is>
          <t>22 Etiquetado (T07)</t>
        </is>
      </c>
      <c r="O43" s="17" t="inlineStr">
        <is>
          <t>Res. OPDS 522/07 anexos 1, 2 y 6</t>
        </is>
      </c>
      <c r="P43" s="32" t="inlineStr">
        <is>
          <t>P</t>
        </is>
      </c>
      <c r="Q43" s="32" t="inlineStr">
        <is>
          <t>FL_DES_BC_5kg</t>
        </is>
      </c>
      <c r="R43" s="17" t="inlineStr">
        <is>
          <t>Res. 522/07</t>
        </is>
      </c>
    </row>
    <row r="44" outlineLevel="1">
      <c r="A44" s="32" t="n">
        <v>2</v>
      </c>
      <c r="B44" s="32" t="inlineStr">
        <is>
          <t>BC5-22</t>
        </is>
      </c>
      <c r="C44" s="17" t="inlineStr">
        <is>
          <t xml:space="preserve">        Estampilla IRAM de conformidad</t>
        </is>
      </c>
      <c r="D44" s="32" t="n">
        <v>1</v>
      </c>
      <c r="E44" s="32" t="inlineStr">
        <is>
          <t>u</t>
        </is>
      </c>
      <c r="F44" s="33" t="n">
        <v>0.001</v>
      </c>
      <c r="G44" s="33">
        <f>D44*F44</f>
        <v/>
      </c>
      <c r="H44" s="32" t="inlineStr">
        <is>
          <t>Provista por IRAM (Anexo R)</t>
        </is>
      </c>
      <c r="I44" s="17" t="inlineStr">
        <is>
          <t>60 × 40</t>
        </is>
      </c>
      <c r="J44" s="32" t="inlineStr">
        <is>
          <t>Compra</t>
        </is>
      </c>
      <c r="K44" s="32" t="inlineStr">
        <is>
          <t>No</t>
        </is>
      </c>
      <c r="L44" s="17" t="n"/>
      <c r="M44" s="17" t="n"/>
      <c r="N44" s="17" t="inlineStr">
        <is>
          <t>22 Etiquetado (T07)</t>
        </is>
      </c>
      <c r="O44" s="17" t="inlineStr">
        <is>
          <t>IRAM Anexo R (DC-PG-129)</t>
        </is>
      </c>
      <c r="P44" s="32" t="inlineStr">
        <is>
          <t>P</t>
        </is>
      </c>
      <c r="Q44" s="32" t="inlineStr">
        <is>
          <t>FL_DES_BC_5kg</t>
        </is>
      </c>
      <c r="R44" s="17" t="inlineStr">
        <is>
          <t>numerada</t>
        </is>
      </c>
    </row>
    <row r="45" outlineLevel="1">
      <c r="A45" s="32" t="n">
        <v>2</v>
      </c>
      <c r="B45" s="32" t="inlineStr">
        <is>
          <t>BC5-23</t>
        </is>
      </c>
      <c r="C45" s="17" t="inlineStr">
        <is>
          <t xml:space="preserve">        Tarjeta de identificación AGC (CABA)</t>
        </is>
      </c>
      <c r="D45" s="32" t="n">
        <v>1</v>
      </c>
      <c r="E45" s="32" t="inlineStr">
        <is>
          <t>u</t>
        </is>
      </c>
      <c r="F45" s="33" t="n">
        <v>0.0032</v>
      </c>
      <c r="G45" s="33">
        <f>D45*F45</f>
        <v/>
      </c>
      <c r="H45" s="32" t="inlineStr">
        <is>
          <t>Etiqueta autoadhesiva emitida por la AGC</t>
        </is>
      </c>
      <c r="I45" s="17" t="inlineStr">
        <is>
          <t>140 × 55</t>
        </is>
      </c>
      <c r="J45" s="32" t="inlineStr">
        <is>
          <t>Compra</t>
        </is>
      </c>
      <c r="K45" s="32" t="inlineStr">
        <is>
          <t>Sí</t>
        </is>
      </c>
      <c r="L45" s="17" t="inlineStr">
        <is>
          <t>Agencia Gubernamental de Control (CABA)</t>
        </is>
      </c>
      <c r="M45" s="17" t="inlineStr">
        <is>
          <t>-</t>
        </is>
      </c>
      <c r="N45" s="17" t="inlineStr">
        <is>
          <t>22 Etiquetado (T07)</t>
        </is>
      </c>
      <c r="O45" s="17" t="inlineStr">
        <is>
          <t>Ordenanza 40.473 art. 6 · Res. AGC 32/15</t>
        </is>
      </c>
      <c r="P45" s="32" t="inlineStr">
        <is>
          <t>P</t>
        </is>
      </c>
      <c r="Q45" s="32" t="inlineStr">
        <is>
          <t>FL_DES_BC_5kg</t>
        </is>
      </c>
      <c r="R45" s="17" t="inlineStr">
        <is>
          <t>sólo destino CABA; sólo destino CABA</t>
        </is>
      </c>
    </row>
    <row r="46" outlineLevel="1">
      <c r="A46" s="32" t="n">
        <v>2</v>
      </c>
      <c r="B46" s="32" t="inlineStr">
        <is>
          <t>BC5-24</t>
        </is>
      </c>
      <c r="C46" s="17" t="inlineStr">
        <is>
          <t xml:space="preserve">        Etiqueta de n° de serie GS1</t>
        </is>
      </c>
      <c r="D46" s="32" t="n">
        <v>1</v>
      </c>
      <c r="E46" s="32" t="inlineStr">
        <is>
          <t>u</t>
        </is>
      </c>
      <c r="F46" s="33" t="n">
        <v>0.0005</v>
      </c>
      <c r="G46" s="33">
        <f>D46*F46</f>
        <v/>
      </c>
      <c r="H46" s="32" t="inlineStr">
        <is>
          <t>Poliéster autoadhesivo impreso térmico</t>
        </is>
      </c>
      <c r="I46" s="17" t="inlineStr">
        <is>
          <t>45 × 25</t>
        </is>
      </c>
      <c r="J46" s="32" t="inlineStr">
        <is>
          <t>Compra</t>
        </is>
      </c>
      <c r="K46" s="32" t="inlineStr">
        <is>
          <t>No</t>
        </is>
      </c>
      <c r="L46" s="17" t="n"/>
      <c r="M46" s="17" t="n"/>
      <c r="N46" s="17" t="inlineStr">
        <is>
          <t>22 Etiquetado (T07)</t>
        </is>
      </c>
      <c r="O46" s="17" t="inlineStr">
        <is>
          <t>GS1 Argentina (GTIN 779) · trazabilidad IRAM 3523 5.1</t>
        </is>
      </c>
      <c r="P46" s="32" t="inlineStr">
        <is>
          <t>P</t>
        </is>
      </c>
      <c r="Q46" s="32" t="inlineStr">
        <is>
          <t>FL_DES_BC_5kg</t>
        </is>
      </c>
      <c r="R46" s="17" t="inlineStr">
        <is>
          <t>QR GTIN + serie</t>
        </is>
      </c>
    </row>
    <row r="47" outlineLevel="1">
      <c r="A47" s="32" t="n">
        <v>2</v>
      </c>
      <c r="B47" s="32" t="inlineStr">
        <is>
          <t>BC5-26</t>
        </is>
      </c>
      <c r="C47" s="17" t="inlineStr">
        <is>
          <t xml:space="preserve">        Faja de garantía válvula-cuello</t>
        </is>
      </c>
      <c r="D47" s="32" t="n">
        <v>1</v>
      </c>
      <c r="E47" s="32" t="inlineStr">
        <is>
          <t>u</t>
        </is>
      </c>
      <c r="F47" s="33" t="n">
        <v>0.0001</v>
      </c>
      <c r="G47" s="33">
        <f>D47*F47</f>
        <v/>
      </c>
      <c r="H47" s="32" t="inlineStr">
        <is>
          <t>Vinilo destructible rayado rojo/blanco</t>
        </is>
      </c>
      <c r="I47" s="17" t="inlineStr">
        <is>
          <t>22 × 23 (ancho × largo desarrollado), pegada sobre la unión: cuerpo de la válvula, tuerca y cuello</t>
        </is>
      </c>
      <c r="J47" s="32" t="inlineStr">
        <is>
          <t>Compra</t>
        </is>
      </c>
      <c r="K47" s="32" t="inlineStr">
        <is>
          <t>No</t>
        </is>
      </c>
      <c r="L47" s="17" t="n"/>
      <c r="M47" s="17" t="n"/>
      <c r="N47" s="17" t="inlineStr">
        <is>
          <t>22 Etiquetado (T07)</t>
        </is>
      </c>
      <c r="O47" s="17" t="inlineStr">
        <is>
          <t>Sin norma: práctica de mercado (garantía de fábrica)</t>
        </is>
      </c>
      <c r="P47" s="32" t="inlineStr">
        <is>
          <t>P</t>
        </is>
      </c>
      <c r="Q47" s="32" t="inlineStr">
        <is>
          <t>FL_DES_BC_5kg</t>
        </is>
      </c>
      <c r="R47" s="17" t="inlineStr">
        <is>
          <t>nuevo sin abrir</t>
        </is>
      </c>
    </row>
    <row r="48" outlineLevel="1">
      <c r="A48" s="32" t="n">
        <v>2</v>
      </c>
      <c r="B48" s="32" t="inlineStr">
        <is>
          <t>BC5-27</t>
        </is>
      </c>
      <c r="C48" s="17" t="inlineStr">
        <is>
          <t xml:space="preserve">        Precinto de fábrica</t>
        </is>
      </c>
      <c r="D48" s="32" t="n">
        <v>1</v>
      </c>
      <c r="E48" s="32" t="inlineStr">
        <is>
          <t>u</t>
        </is>
      </c>
      <c r="F48" s="33" t="n">
        <v>0.0002</v>
      </c>
      <c r="G48" s="33">
        <f>D48*F48</f>
        <v/>
      </c>
      <c r="H48" s="32" t="inlineStr">
        <is>
          <t>Polipropileno color</t>
        </is>
      </c>
      <c r="I48" s="17" t="inlineStr">
        <is>
          <t>Ø5 × 10, numerado, rotura 30-50 N</t>
        </is>
      </c>
      <c r="J48" s="32" t="inlineStr">
        <is>
          <t>Compra</t>
        </is>
      </c>
      <c r="K48" s="32" t="inlineStr">
        <is>
          <t>No</t>
        </is>
      </c>
      <c r="L48" s="17" t="n"/>
      <c r="M48" s="17" t="n"/>
      <c r="N48" s="17" t="inlineStr">
        <is>
          <t>20 Presurización (T05)</t>
        </is>
      </c>
      <c r="O48" s="17" t="inlineStr">
        <is>
          <t>IRAM 3523 3.3.2 · IRAM 3517-2:2020 9.4.13</t>
        </is>
      </c>
      <c r="P48" s="32" t="inlineStr">
        <is>
          <t>P</t>
        </is>
      </c>
      <c r="Q48" s="32" t="inlineStr">
        <is>
          <t>FL_DES_BC_5kg</t>
        </is>
      </c>
      <c r="R48" s="17" t="inlineStr">
        <is>
          <t>id. FLAMA y lote</t>
        </is>
      </c>
    </row>
    <row r="49">
      <c r="A49" s="29" t="n">
        <v>1</v>
      </c>
      <c r="B49" s="29" t="inlineStr">
        <is>
          <t>BC5-S8</t>
        </is>
      </c>
      <c r="C49" s="30" t="inlineStr">
        <is>
          <t xml:space="preserve">    Soporte (accesorio de montaje)</t>
        </is>
      </c>
      <c r="D49" s="29" t="n">
        <v>1</v>
      </c>
      <c r="E49" s="29" t="inlineStr">
        <is>
          <t>u</t>
        </is>
      </c>
      <c r="F49" s="31" t="n"/>
      <c r="G49" s="31">
        <f>G50</f>
        <v/>
      </c>
      <c r="H49" s="29" t="n"/>
      <c r="I49" s="30" t="n"/>
      <c r="J49" s="29" t="inlineStr">
        <is>
          <t>Compra</t>
        </is>
      </c>
      <c r="K49" s="29" t="n"/>
      <c r="L49" s="30" t="n"/>
      <c r="M49" s="30" t="n"/>
      <c r="N49" s="30" t="inlineStr">
        <is>
          <t>23 Embalaje (va dentro de la caja)</t>
        </is>
      </c>
      <c r="O49" s="30" t="inlineStr">
        <is>
          <t>IRAM 3517-2 7.4</t>
        </is>
      </c>
      <c r="P49" s="29" t="n"/>
      <c r="Q49" s="29" t="n"/>
      <c r="R49" s="30" t="n"/>
    </row>
    <row r="50" outlineLevel="1">
      <c r="A50" s="32" t="n">
        <v>2</v>
      </c>
      <c r="B50" s="32" t="inlineStr">
        <is>
          <t>BC5-I5</t>
        </is>
      </c>
      <c r="C50" s="17" t="inlineStr">
        <is>
          <t xml:space="preserve">        Soporte de pared (FL_ACC_01)</t>
        </is>
      </c>
      <c r="D50" s="32" t="n">
        <v>1</v>
      </c>
      <c r="E50" s="32" t="inlineStr">
        <is>
          <t>u</t>
        </is>
      </c>
      <c r="F50" s="33" t="n">
        <v>0.29</v>
      </c>
      <c r="G50" s="33">
        <f>D50*F50</f>
        <v/>
      </c>
      <c r="H50" s="32" t="inlineStr">
        <is>
          <t>Chapa acero SAE 1010 e=2 pintada</t>
        </is>
      </c>
      <c r="I50" s="17" t="inlineStr">
        <is>
          <t>placa 60 × 180, ala con ranura Ø cuello + 3</t>
        </is>
      </c>
      <c r="J50" s="32" t="inlineStr">
        <is>
          <t>Compra</t>
        </is>
      </c>
      <c r="K50" s="32" t="inlineStr">
        <is>
          <t>No</t>
        </is>
      </c>
      <c r="L50" s="17" t="n"/>
      <c r="M50" s="17" t="n"/>
      <c r="N50" s="17" t="inlineStr">
        <is>
          <t>23 Embalaje</t>
        </is>
      </c>
      <c r="O50" s="17" t="inlineStr">
        <is>
          <t>IRAM 3517-2 7.4</t>
        </is>
      </c>
      <c r="P50" s="32" t="inlineStr">
        <is>
          <t>P</t>
        </is>
      </c>
      <c r="Q50" s="32" t="inlineStr">
        <is>
          <t>FL_ACC_01</t>
        </is>
      </c>
      <c r="R50" s="17" t="n"/>
    </row>
    <row r="51" outlineLevel="1">
      <c r="A51" s="32" t="n">
        <v>2</v>
      </c>
      <c r="B51" s="32" t="inlineStr">
        <is>
          <t>BC5-I6</t>
        </is>
      </c>
      <c r="C51" s="17" t="inlineStr">
        <is>
          <t xml:space="preserve">        Tornillo y tarugo de fijación</t>
        </is>
      </c>
      <c r="D51" s="32" t="n">
        <v>2</v>
      </c>
      <c r="E51" s="32" t="inlineStr">
        <is>
          <t>u</t>
        </is>
      </c>
      <c r="F51" s="33" t="n"/>
      <c r="G51" s="33" t="n"/>
      <c r="H51" s="32" t="inlineStr">
        <is>
          <t>Acero cincado / nylon</t>
        </is>
      </c>
      <c r="I51" s="17" t="inlineStr">
        <is>
          <t>2 agujeros Ø8,5 del plano FL_ACC_01 → tornillo M8 + tarugo</t>
        </is>
      </c>
      <c r="J51" s="32" t="inlineStr">
        <is>
          <t>Compra</t>
        </is>
      </c>
      <c r="K51" s="32" t="inlineStr">
        <is>
          <t>No</t>
        </is>
      </c>
      <c r="L51" s="17" t="n"/>
      <c r="M51" s="17" t="n"/>
      <c r="N51" s="17" t="inlineStr">
        <is>
          <t>23 Embalaje</t>
        </is>
      </c>
      <c r="O51" s="17" t="n"/>
      <c r="P51" s="32" t="inlineStr">
        <is>
          <t>P</t>
        </is>
      </c>
      <c r="Q51" s="32" t="inlineStr">
        <is>
          <t>FL_ACC_01</t>
        </is>
      </c>
      <c r="R51" s="17" t="n"/>
    </row>
    <row r="52" outlineLevel="1">
      <c r="A52" s="32" t="n">
        <v>2</v>
      </c>
      <c r="B52" s="32" t="inlineStr">
        <is>
          <t>BC5-I8</t>
        </is>
      </c>
      <c r="C52" s="17" t="inlineStr">
        <is>
          <t xml:space="preserve">        Soporte opcional (pared o vehicular, según pedido)</t>
        </is>
      </c>
      <c r="D52" s="32" t="n">
        <v>0</v>
      </c>
      <c r="E52" s="32" t="inlineStr">
        <is>
          <t>u</t>
        </is>
      </c>
      <c r="F52" s="33" t="n"/>
      <c r="G52" s="33" t="n"/>
      <c r="H52" s="32" t="inlineStr">
        <is>
          <t>-</t>
        </is>
      </c>
      <c r="I52" s="17" t="inlineStr">
        <is>
          <t>-</t>
        </is>
      </c>
      <c r="J52" s="32" t="inlineStr">
        <is>
          <t>Compra</t>
        </is>
      </c>
      <c r="K52" s="32" t="inlineStr">
        <is>
          <t>No</t>
        </is>
      </c>
      <c r="L52" s="17" t="n"/>
      <c r="M52" s="17" t="n"/>
      <c r="N52" s="17" t="n"/>
      <c r="O52" s="17" t="inlineStr">
        <is>
          <t>IRAM 3517-2 7.4</t>
        </is>
      </c>
      <c r="P52" s="32" t="inlineStr">
        <is>
          <t>N</t>
        </is>
      </c>
      <c r="Q52" s="32" t="n"/>
      <c r="R52" s="17" t="inlineStr">
        <is>
          <t>Sólo si el pedido lo incluye</t>
        </is>
      </c>
    </row>
    <row r="53">
      <c r="A53" s="29" t="n">
        <v>1</v>
      </c>
      <c r="B53" s="29" t="inlineStr">
        <is>
          <t>BC5-S7</t>
        </is>
      </c>
      <c r="C53" s="30" t="inlineStr">
        <is>
          <t xml:space="preserve">    Embalaje</t>
        </is>
      </c>
      <c r="D53" s="29" t="n">
        <v>1</v>
      </c>
      <c r="E53" s="29" t="inlineStr">
        <is>
          <t>u</t>
        </is>
      </c>
      <c r="F53" s="31" t="n"/>
      <c r="G53" s="31">
        <f>G57</f>
        <v/>
      </c>
      <c r="H53" s="29" t="n"/>
      <c r="I53" s="30" t="n"/>
      <c r="J53" s="29" t="inlineStr">
        <is>
          <t>Compra</t>
        </is>
      </c>
      <c r="K53" s="29" t="n"/>
      <c r="L53" s="30" t="n"/>
      <c r="M53" s="30" t="n"/>
      <c r="N53" s="30" t="inlineStr">
        <is>
          <t>23 Embalaje -&gt; 24 envolvedora (T11)</t>
        </is>
      </c>
      <c r="O53" s="30" t="n"/>
      <c r="P53" s="29" t="n"/>
      <c r="Q53" s="29" t="n"/>
      <c r="R53" s="30" t="n"/>
    </row>
    <row r="54" outlineLevel="1">
      <c r="A54" s="32" t="n">
        <v>2</v>
      </c>
      <c r="B54" s="32" t="inlineStr">
        <is>
          <t>BC5-E1</t>
        </is>
      </c>
      <c r="C54" s="17" t="inlineStr">
        <is>
          <t xml:space="preserve">        Caja de cartón corrugado simple</t>
        </is>
      </c>
      <c r="D54" s="32" t="n">
        <v>1</v>
      </c>
      <c r="E54" s="32" t="inlineStr">
        <is>
          <t>u</t>
        </is>
      </c>
      <c r="F54" s="33" t="n"/>
      <c r="G54" s="33" t="n"/>
      <c r="H54" s="32" t="inlineStr">
        <is>
          <t>Cartón corrugado</t>
        </is>
      </c>
      <c r="I54" s="17" t="inlineStr">
        <is>
          <t>244 × 187 × 455 interior (envolvente del plano + 15 por lado)</t>
        </is>
      </c>
      <c r="J54" s="32" t="inlineStr">
        <is>
          <t>Compra</t>
        </is>
      </c>
      <c r="K54" s="32" t="inlineStr">
        <is>
          <t>No</t>
        </is>
      </c>
      <c r="L54" s="17" t="n"/>
      <c r="M54" s="17" t="n"/>
      <c r="N54" s="17" t="inlineStr">
        <is>
          <t>23 Embalaje</t>
        </is>
      </c>
      <c r="O54" s="17" t="n"/>
      <c r="P54" s="32" t="inlineStr">
        <is>
          <t>P</t>
        </is>
      </c>
      <c r="Q54" s="32" t="n"/>
      <c r="R54" s="17" t="inlineStr">
        <is>
          <t>Medida del plano</t>
        </is>
      </c>
    </row>
    <row r="55" outlineLevel="1">
      <c r="A55" s="32" t="n">
        <v>2</v>
      </c>
      <c r="B55" s="32" t="inlineStr">
        <is>
          <t>BC5-E2</t>
        </is>
      </c>
      <c r="C55" s="17" t="inlineStr">
        <is>
          <t xml:space="preserve">        Instructivo de uso y mantenimiento</t>
        </is>
      </c>
      <c r="D55" s="32" t="n">
        <v>1</v>
      </c>
      <c r="E55" s="32" t="inlineStr">
        <is>
          <t>u</t>
        </is>
      </c>
      <c r="F55" s="33" t="n"/>
      <c r="G55" s="33" t="n"/>
      <c r="H55" s="32" t="inlineStr">
        <is>
          <t>Papel</t>
        </is>
      </c>
      <c r="I55" s="17" t="inlineStr">
        <is>
          <t>A5</t>
        </is>
      </c>
      <c r="J55" s="32" t="inlineStr">
        <is>
          <t>Compra</t>
        </is>
      </c>
      <c r="K55" s="32" t="inlineStr">
        <is>
          <t>No</t>
        </is>
      </c>
      <c r="L55" s="17" t="n"/>
      <c r="M55" s="17" t="n"/>
      <c r="N55" s="17" t="inlineStr">
        <is>
          <t>23 Embalaje</t>
        </is>
      </c>
      <c r="O55" s="17" t="n"/>
      <c r="P55" s="32" t="inlineStr">
        <is>
          <t>I</t>
        </is>
      </c>
      <c r="Q55" s="32" t="n"/>
      <c r="R55" s="17" t="inlineStr">
        <is>
          <t>Decisión comercial de FLAMA (las instrucciones de uso obligatorias van en la etiqueta, IRAM 3534)</t>
        </is>
      </c>
    </row>
    <row r="56" outlineLevel="1">
      <c r="A56" s="32" t="n">
        <v>2</v>
      </c>
      <c r="B56" s="32" t="inlineStr">
        <is>
          <t>BC5-E3</t>
        </is>
      </c>
      <c r="C56" s="17" t="inlineStr">
        <is>
          <t xml:space="preserve">        Pallet 1200 × 1000 (fracción)</t>
        </is>
      </c>
      <c r="D56" s="32" t="n">
        <v>0.0139</v>
      </c>
      <c r="E56" s="32" t="inlineStr">
        <is>
          <t>u</t>
        </is>
      </c>
      <c r="F56" s="33" t="n"/>
      <c r="G56" s="33" t="n"/>
      <c r="H56" s="32" t="inlineStr">
        <is>
          <t>Madera</t>
        </is>
      </c>
      <c r="I56" s="17" t="inlineStr">
        <is>
          <t>72 u por pallet</t>
        </is>
      </c>
      <c r="J56" s="32" t="inlineStr">
        <is>
          <t>Compra</t>
        </is>
      </c>
      <c r="K56" s="32" t="inlineStr">
        <is>
          <t>No</t>
        </is>
      </c>
      <c r="L56" s="17" t="n"/>
      <c r="M56" s="17" t="n"/>
      <c r="N56" s="17" t="inlineStr">
        <is>
          <t>23 Embalaje</t>
        </is>
      </c>
      <c r="O56" s="17" t="n"/>
      <c r="P56" s="32" t="inlineStr">
        <is>
          <t>C</t>
        </is>
      </c>
      <c r="Q56" s="32" t="n"/>
      <c r="R56" s="17" t="inlineStr">
        <is>
          <t>u por pallet = acomodo de la caja (plano) en 1200 × 1000 × 1450 de alto</t>
        </is>
      </c>
    </row>
    <row r="57" outlineLevel="1">
      <c r="A57" s="32" t="n">
        <v>2</v>
      </c>
      <c r="B57" s="32" t="inlineStr">
        <is>
          <t>BC5-E4</t>
        </is>
      </c>
      <c r="C57" s="17" t="inlineStr">
        <is>
          <t xml:space="preserve">        Film stretch (fracción del pallet)</t>
        </is>
      </c>
      <c r="D57" s="32" t="n">
        <v>0.0017</v>
      </c>
      <c r="E57" s="32" t="inlineStr">
        <is>
          <t>kg</t>
        </is>
      </c>
      <c r="F57" s="33" t="n">
        <v>1</v>
      </c>
      <c r="G57" s="33">
        <f>D57*F57</f>
        <v/>
      </c>
      <c r="H57" s="32" t="inlineStr">
        <is>
          <t>PE lineal 23 µm</t>
        </is>
      </c>
      <c r="I57" s="17" t="inlineStr">
        <is>
          <t>0,12 kg por pallet / 72 u</t>
        </is>
      </c>
      <c r="J57" s="32" t="inlineStr">
        <is>
          <t>Compra</t>
        </is>
      </c>
      <c r="K57" s="32" t="inlineStr">
        <is>
          <t>No</t>
        </is>
      </c>
      <c r="L57" s="17" t="n"/>
      <c r="M57" s="17" t="n"/>
      <c r="N57" s="17" t="inlineStr">
        <is>
          <t>24 Envolvedora (T11)</t>
        </is>
      </c>
      <c r="O57" s="17" t="n"/>
      <c r="P57" s="32" t="inlineStr">
        <is>
          <t>C</t>
        </is>
      </c>
      <c r="Q57" s="32" t="n"/>
      <c r="R57"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8" outlineLevel="1">
      <c r="A58" s="32" t="n">
        <v>2</v>
      </c>
      <c r="B58" s="32" t="inlineStr">
        <is>
          <t>BC5-E5</t>
        </is>
      </c>
      <c r="C58" s="17" t="inlineStr">
        <is>
          <t xml:space="preserve">        Etiqueta de pallet (lote y destino, fracción)</t>
        </is>
      </c>
      <c r="D58" s="32" t="n">
        <v>0.0139</v>
      </c>
      <c r="E58" s="32" t="inlineStr">
        <is>
          <t>u</t>
        </is>
      </c>
      <c r="F58" s="33" t="n"/>
      <c r="G58" s="33" t="n"/>
      <c r="H58" s="32" t="inlineStr">
        <is>
          <t>Papel térmico</t>
        </is>
      </c>
      <c r="I58" s="17" t="inlineStr">
        <is>
          <t>100 × 150</t>
        </is>
      </c>
      <c r="J58" s="32" t="inlineStr">
        <is>
          <t>Compra</t>
        </is>
      </c>
      <c r="K58" s="32" t="inlineStr">
        <is>
          <t>No</t>
        </is>
      </c>
      <c r="L58" s="17" t="n"/>
      <c r="M58" s="17" t="n"/>
      <c r="N58" s="17" t="inlineStr">
        <is>
          <t>24 Envolvedora</t>
        </is>
      </c>
      <c r="O58" s="17" t="n"/>
      <c r="P58" s="32" t="inlineStr">
        <is>
          <t>C</t>
        </is>
      </c>
      <c r="Q58" s="32" t="n"/>
      <c r="R58" s="17" t="n"/>
    </row>
    <row r="59" outlineLevel="1">
      <c r="A59" s="32" t="n">
        <v>2</v>
      </c>
      <c r="B59" s="32" t="inlineStr">
        <is>
          <t>BC5-E6</t>
        </is>
      </c>
      <c r="C59" s="17" t="inlineStr">
        <is>
          <t xml:space="preserve">        Cinta de embalaje PP 48 mm (cierre de la caja)</t>
        </is>
      </c>
      <c r="D59" s="32" t="n">
        <v>0.767</v>
      </c>
      <c r="E59" s="32" t="inlineStr">
        <is>
          <t>m</t>
        </is>
      </c>
      <c r="F59" s="33" t="n"/>
      <c r="G59" s="33" t="n"/>
      <c r="H59" s="32" t="inlineStr">
        <is>
          <t>Polipropileno con adhesivo acrílico</t>
        </is>
      </c>
      <c r="I59" s="17" t="inlineStr">
        <is>
          <t>cierre en I arriba y abajo: 2 × (244 + 2 × 70 de solapa)</t>
        </is>
      </c>
      <c r="J59" s="32" t="inlineStr">
        <is>
          <t>Compra</t>
        </is>
      </c>
      <c r="K59" s="32" t="inlineStr">
        <is>
          <t>No</t>
        </is>
      </c>
      <c r="L59" s="17" t="n"/>
      <c r="M59" s="17" t="n"/>
      <c r="N59" s="17" t="inlineStr">
        <is>
          <t>23 Embalaje</t>
        </is>
      </c>
      <c r="O59" s="17" t="n"/>
      <c r="P59" s="32" t="inlineStr">
        <is>
          <t>C</t>
        </is>
      </c>
      <c r="Q59" s="32" t="n"/>
      <c r="R59" s="17" t="inlineStr">
        <is>
          <t>Solapa de 70 mm por lado: práctica de cierre de cajas (medir en la línea)</t>
        </is>
      </c>
    </row>
    <row r="60" outlineLevel="1">
      <c r="A60" s="32" t="n">
        <v>2</v>
      </c>
      <c r="B60" s="32" t="inlineStr">
        <is>
          <t>BC5-E7</t>
        </is>
      </c>
      <c r="C60" s="17" t="inlineStr">
        <is>
          <t xml:space="preserve">        Esquineros de cartón 50 × 50 × 1200 (fracción del pallet)</t>
        </is>
      </c>
      <c r="D60" s="32" t="n">
        <v>0.0556</v>
      </c>
      <c r="E60" s="32" t="inlineStr">
        <is>
          <t>u</t>
        </is>
      </c>
      <c r="F60" s="33" t="n"/>
      <c r="G60" s="33" t="n"/>
      <c r="H60" s="32" t="inlineStr">
        <is>
          <t>Cartón</t>
        </is>
      </c>
      <c r="I60" s="17" t="inlineStr">
        <is>
          <t>4 por pallet / 72 u</t>
        </is>
      </c>
      <c r="J60" s="32" t="inlineStr">
        <is>
          <t>Compra</t>
        </is>
      </c>
      <c r="K60" s="32" t="inlineStr">
        <is>
          <t>No</t>
        </is>
      </c>
      <c r="L60" s="17" t="n"/>
      <c r="M60" s="17" t="n"/>
      <c r="N60" s="17" t="inlineStr">
        <is>
          <t>24 Envolvedora (T11)</t>
        </is>
      </c>
      <c r="O60" s="17" t="n"/>
      <c r="P60" s="32" t="inlineStr">
        <is>
          <t>C</t>
        </is>
      </c>
      <c r="Q60" s="32" t="n"/>
      <c r="R60" s="17" t="inlineStr">
        <is>
          <t>Planilla MP-64</t>
        </is>
      </c>
    </row>
  </sheetData>
  <autoFilter ref="A10:R60"/>
  <pageMargins left="0.75" right="0.75" top="1" bottom="1" header="0.5" footer="0.5"/>
  <pageSetup orientation="landscape" fitToHeight="0" fitToWidth="1"/>
</worksheet>
</file>

<file path=xl/worksheets/sheet24.xml><?xml version="1.0" encoding="utf-8"?>
<worksheet xmlns="http://schemas.openxmlformats.org/spreadsheetml/2006/main">
  <sheetPr>
    <tabColor rgb="00BF8F00"/>
    <outlinePr summaryBelow="0" summaryRight="1"/>
    <pageSetUpPr fitToPage="1"/>
  </sheetPr>
  <dimension ref="A1:R6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FL_MAT_SALESK_6l</t>
        </is>
      </c>
    </row>
    <row r="2">
      <c r="A2" s="58" t="inlineStr">
        <is>
          <t>Extintor Sales K 6 l</t>
        </is>
      </c>
    </row>
    <row r="3">
      <c r="A3" s="2" t="inlineStr">
        <is>
          <t>Plano de origen</t>
        </is>
      </c>
      <c r="C3" t="inlineStr">
        <is>
          <t>FL_MAT_SALESK_6l  (4 láminas)</t>
        </is>
      </c>
      <c r="E3" s="2" t="inlineStr">
        <is>
          <t>Peso vacío S1-S4 (kg)</t>
        </is>
      </c>
      <c r="G3" s="59">
        <f>G13+G18+G34</f>
        <v/>
      </c>
    </row>
    <row r="4">
      <c r="A4" s="2" t="inlineStr">
        <is>
          <t>Plano de despiece</t>
        </is>
      </c>
      <c r="C4" t="inlineStr">
        <is>
          <t>FL_DES_SALESK_6l (salida/despiece/)</t>
        </is>
      </c>
      <c r="E4" s="2" t="inlineStr">
        <is>
          <t>Peso cargado S1-S6 (kg)</t>
        </is>
      </c>
      <c r="G4" s="59">
        <f>G13+G18+G34+G39+G42</f>
        <v/>
      </c>
    </row>
    <row r="5">
      <c r="A5" s="2" t="inlineStr">
        <is>
          <t>Norma del producto</t>
        </is>
      </c>
      <c r="C5" t="inlineStr">
        <is>
          <t>IRAM 3694</t>
        </is>
      </c>
      <c r="E5" s="2" t="inlineStr">
        <is>
          <t>Peso con soporte y embalaje (kg)</t>
        </is>
      </c>
      <c r="G5" s="59">
        <f>G13+G18+G34+G39+G42+G53+G50</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9.5</v>
      </c>
      <c r="E7" s="60" t="inlineStr">
        <is>
          <t>Referencia: Ficha técnica Melisam acetato 6 L</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FL_MAT_SALESK_6l</t>
        </is>
      </c>
      <c r="C11" s="27" t="inlineStr">
        <is>
          <t>Extintor Sales K 6 l</t>
        </is>
      </c>
      <c r="D11" s="26" t="n">
        <v>1</v>
      </c>
      <c r="E11" s="26" t="inlineStr">
        <is>
          <t>u</t>
        </is>
      </c>
      <c r="F11" s="28" t="n"/>
      <c r="G11" s="28">
        <f>G5</f>
        <v/>
      </c>
      <c r="H11" s="26" t="n"/>
      <c r="I11" s="27" t="n"/>
      <c r="J11" s="26" t="n"/>
      <c r="K11" s="26" t="n"/>
      <c r="L11" s="27" t="n"/>
      <c r="M11" s="27" t="n"/>
      <c r="N11" s="27" t="n"/>
      <c r="O11" s="27" t="inlineStr">
        <is>
          <t>IRAM 3694</t>
        </is>
      </c>
      <c r="P11" s="26" t="inlineStr">
        <is>
          <t>P</t>
        </is>
      </c>
      <c r="Q11" s="26" t="inlineStr">
        <is>
          <t>FL_MAT_SALESK_6l</t>
        </is>
      </c>
      <c r="R11" s="27" t="inlineStr">
        <is>
          <t>Revendido: se compra terminado al fabricante con Sello IRAM; las piezas internas quedan como referencia (no entran en MRP)</t>
        </is>
      </c>
    </row>
    <row r="12">
      <c r="A12" s="29" t="n">
        <v>1</v>
      </c>
      <c r="B12" s="29" t="inlineStr">
        <is>
          <t>SALESK6-S0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Drago (Luis Pasquinelli e Hijos S.A.)</t>
        </is>
      </c>
      <c r="N12" s="30" t="inlineStr">
        <is>
          <t>Recepción y control de ingreso (SP-1)</t>
        </is>
      </c>
      <c r="O12" s="30" t="inlineStr">
        <is>
          <t>IRAM 3694</t>
        </is>
      </c>
      <c r="P12" s="29" t="inlineStr">
        <is>
          <t>I</t>
        </is>
      </c>
      <c r="Q12" s="29" t="inlineStr">
        <is>
          <t>FL_MAT_SALESK_6l</t>
        </is>
      </c>
      <c r="R12" s="30" t="inlineStr">
        <is>
          <t>Única fila de compra del revendido (más la tarjeta AGC si el destino es CABA)</t>
        </is>
      </c>
    </row>
    <row r="13">
      <c r="A13" s="29" t="n">
        <v>1</v>
      </c>
      <c r="B13" s="29" t="inlineStr">
        <is>
          <t>SALESK6-S1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FL_DES_SALESK_6l</t>
        </is>
      </c>
      <c r="R13" s="30" t="n"/>
    </row>
    <row r="14" outlineLevel="1">
      <c r="A14" s="32" t="n">
        <v>2</v>
      </c>
      <c r="B14" s="32" t="inlineStr">
        <is>
          <t>SALESK6-01</t>
        </is>
      </c>
      <c r="C14" s="17" t="inlineStr">
        <is>
          <t xml:space="preserve">        Cuerpo (virola)</t>
        </is>
      </c>
      <c r="D14" s="32" t="n">
        <v>1</v>
      </c>
      <c r="E14" s="32" t="inlineStr">
        <is>
          <t>u</t>
        </is>
      </c>
      <c r="F14" s="33" t="n">
        <v>1.1385</v>
      </c>
      <c r="G14" s="33">
        <f>D14*F14</f>
        <v/>
      </c>
      <c r="H14" s="32" t="inlineStr">
        <is>
          <t>Chapa acero inox. AISI 304 e=0,8</t>
        </is>
      </c>
      <c r="I14" s="17" t="inlineStr">
        <is>
          <t>Ø190 × e0,8 × 302 de alto; desarrollo 594,4 × 302</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FL_DES_SALESK_6l</t>
        </is>
      </c>
      <c r="R14" s="17" t="inlineStr">
        <is>
          <t>costura long. TIG</t>
        </is>
      </c>
    </row>
    <row r="15" outlineLevel="1">
      <c r="A15" s="32" t="n">
        <v>2</v>
      </c>
      <c r="B15" s="32" t="inlineStr">
        <is>
          <t>SALESK6-02</t>
        </is>
      </c>
      <c r="C15" s="17" t="inlineStr">
        <is>
          <t xml:space="preserve">        Cúpula</t>
        </is>
      </c>
      <c r="D15" s="32" t="n">
        <v>1</v>
      </c>
      <c r="E15" s="32" t="inlineStr">
        <is>
          <t>u</t>
        </is>
      </c>
      <c r="F15" s="33" t="n">
        <v>0.2669</v>
      </c>
      <c r="G15" s="33">
        <f>D15*F15</f>
        <v/>
      </c>
      <c r="H15" s="32" t="inlineStr">
        <is>
          <t>Chapa acero inox. AISI 304 e=0,8</t>
        </is>
      </c>
      <c r="I15" s="17" t="inlineStr">
        <is>
          <t>Ø190 × e0,8 × 59,1 de alto; disco Ø238,4</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FL_DES_SALESK_6l</t>
        </is>
      </c>
      <c r="R15" s="17" t="inlineStr">
        <is>
          <t>embutida</t>
        </is>
      </c>
    </row>
    <row r="16" outlineLevel="1">
      <c r="A16" s="32" t="n">
        <v>2</v>
      </c>
      <c r="B16" s="32" t="inlineStr">
        <is>
          <t>SALESK6-03</t>
        </is>
      </c>
      <c r="C16" s="17" t="inlineStr">
        <is>
          <t xml:space="preserve">        Fondo</t>
        </is>
      </c>
      <c r="D16" s="32" t="n">
        <v>1</v>
      </c>
      <c r="E16" s="32" t="inlineStr">
        <is>
          <t>u</t>
        </is>
      </c>
      <c r="F16" s="33" t="n">
        <v>0.2299</v>
      </c>
      <c r="G16" s="33">
        <f>D16*F16</f>
        <v/>
      </c>
      <c r="H16" s="32" t="inlineStr">
        <is>
          <t>Chapa acero inox. AISI 304 e=0,8</t>
        </is>
      </c>
      <c r="I16" s="17" t="inlineStr">
        <is>
          <t>Ø190 × e0,8 × 20 de alto; disco Ø221,3</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FL_DES_SALESK_6l</t>
        </is>
      </c>
      <c r="R16" s="17" t="inlineStr">
        <is>
          <t>embutido</t>
        </is>
      </c>
    </row>
    <row r="17" outlineLevel="1">
      <c r="A17" s="32" t="n">
        <v>2</v>
      </c>
      <c r="B17" s="32" t="inlineStr">
        <is>
          <t>SALESK6-04</t>
        </is>
      </c>
      <c r="C17" s="17" t="inlineStr">
        <is>
          <t xml:space="preserve">        Cuello roscado</t>
        </is>
      </c>
      <c r="D17" s="32" t="n">
        <v>1</v>
      </c>
      <c r="E17" s="32" t="inlineStr">
        <is>
          <t>u</t>
        </is>
      </c>
      <c r="F17" s="33" t="n">
        <v>0.0539</v>
      </c>
      <c r="G17" s="33">
        <f>D17*F17</f>
        <v/>
      </c>
      <c r="H17" s="32" t="inlineStr">
        <is>
          <t>Acero inox. AISI 304</t>
        </is>
      </c>
      <c r="I17" s="17" t="inlineStr">
        <is>
          <t>Ø37 × 14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FL_DES_SALESK_6l</t>
        </is>
      </c>
      <c r="R17" s="17" t="inlineStr">
        <is>
          <t>M30x1,5</t>
        </is>
      </c>
    </row>
    <row r="18">
      <c r="A18" s="29" t="n">
        <v>1</v>
      </c>
      <c r="B18" s="29" t="inlineStr">
        <is>
          <t>SALESK6-S2</t>
        </is>
      </c>
      <c r="C18" s="30" t="inlineStr">
        <is>
          <t xml:space="preserve">    Conjunto de válvula</t>
        </is>
      </c>
      <c r="D18" s="29" t="n">
        <v>1</v>
      </c>
      <c r="E18" s="29" t="inlineStr">
        <is>
          <t>u</t>
        </is>
      </c>
      <c r="F18" s="31" t="n"/>
      <c r="G18" s="31">
        <f>G19+G20+G21+G23+G24+G25+G26+G27+G28+G29+G30+G31</f>
        <v/>
      </c>
      <c r="H18" s="29" t="n"/>
      <c r="I18" s="30" t="n"/>
      <c r="J18" s="29" t="inlineStr">
        <is>
          <t>Compra / armado</t>
        </is>
      </c>
      <c r="K18" s="29" t="n"/>
      <c r="L18" s="30" t="n"/>
      <c r="M18" s="30" t="n"/>
      <c r="N18" s="30" t="n"/>
      <c r="O18" s="30" t="inlineStr">
        <is>
          <t>Manómetro IRAM 3533</t>
        </is>
      </c>
      <c r="P18" s="29" t="inlineStr">
        <is>
          <t>P</t>
        </is>
      </c>
      <c r="Q18" s="29" t="inlineStr">
        <is>
          <t>FL_DES_SALESK_6l</t>
        </is>
      </c>
      <c r="R18" s="30" t="n"/>
    </row>
    <row r="19" outlineLevel="1">
      <c r="A19" s="32" t="n">
        <v>2</v>
      </c>
      <c r="B19" s="32" t="inlineStr">
        <is>
          <t>SALESK6-05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FL_DES_SALESK_6l</t>
        </is>
      </c>
      <c r="R19" s="17" t="n"/>
    </row>
    <row r="20" outlineLevel="1">
      <c r="A20" s="32" t="n">
        <v>2</v>
      </c>
      <c r="B20" s="32" t="inlineStr">
        <is>
          <t>SALESK6-06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FL_DES_SALESK_6l</t>
        </is>
      </c>
      <c r="R20" s="17" t="n"/>
    </row>
    <row r="21" outlineLevel="1">
      <c r="A21" s="32" t="n">
        <v>2</v>
      </c>
      <c r="B21" s="32" t="inlineStr">
        <is>
          <t>SALESK6-07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FL_DES_SALESK_6l</t>
        </is>
      </c>
      <c r="R21" s="17" t="n"/>
    </row>
    <row r="22" outlineLevel="1">
      <c r="A22" s="32" t="n">
        <v>2</v>
      </c>
      <c r="B22" s="32" t="inlineStr">
        <is>
          <t>SALESK6-08</t>
        </is>
      </c>
      <c r="C22" s="17" t="inlineStr">
        <is>
          <t xml:space="preserve">        Manómetro</t>
        </is>
      </c>
      <c r="D22" s="32" t="n">
        <v>1</v>
      </c>
      <c r="E22" s="32" t="inlineStr">
        <is>
          <t>u</t>
        </is>
      </c>
      <c r="F22" s="33" t="n"/>
      <c r="G22" s="33" t="n"/>
      <c r="H22" s="32" t="inlineStr">
        <is>
          <t>Comercial</t>
        </is>
      </c>
      <c r="I22" s="17" t="inlineStr">
        <is>
          <t>Ø36 esfera, rango 0-2 MPa, sector verde en 0,8</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FL_DES_SALESK_6l</t>
        </is>
      </c>
      <c r="R22" s="17" t="inlineStr">
        <is>
          <t>Pieza comercial; sello IRAM 3533; peso: completar con la ficha del proveedor (no afecta el MRP)</t>
        </is>
      </c>
    </row>
    <row r="23" outlineLevel="1">
      <c r="A23" s="32" t="n">
        <v>2</v>
      </c>
      <c r="B23" s="32" t="inlineStr">
        <is>
          <t>SALESK6-09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FL_DES_SALESK_6l</t>
        </is>
      </c>
      <c r="R23" s="17" t="inlineStr">
        <is>
          <t>con junta tórica</t>
        </is>
      </c>
    </row>
    <row r="24" outlineLevel="1">
      <c r="A24" s="32" t="n">
        <v>2</v>
      </c>
      <c r="B24" s="32" t="inlineStr">
        <is>
          <t>SALESK6-10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FL_DES_SALESK_6l</t>
        </is>
      </c>
      <c r="R24" s="17" t="inlineStr">
        <is>
          <t>cierre del vástago</t>
        </is>
      </c>
    </row>
    <row r="25" outlineLevel="1">
      <c r="A25" s="32" t="n">
        <v>2</v>
      </c>
      <c r="B25" s="32" t="inlineStr">
        <is>
          <t>SALESK6-11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FL_DES_SALESK_6l</t>
        </is>
      </c>
      <c r="R25" s="17" t="n"/>
    </row>
    <row r="26" outlineLevel="1">
      <c r="A26" s="32" t="n">
        <v>2</v>
      </c>
      <c r="B26" s="32" t="inlineStr">
        <is>
          <t>SALESK6-12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FL_DES_SALESK_6l</t>
        </is>
      </c>
      <c r="R26" s="17" t="inlineStr">
        <is>
          <t>con precinto</t>
        </is>
      </c>
    </row>
    <row r="27" outlineLevel="1">
      <c r="A27" s="32" t="n">
        <v>2</v>
      </c>
      <c r="B27" s="32" t="inlineStr">
        <is>
          <t>SALESK6-13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FL_DES_SALESK_6l</t>
        </is>
      </c>
      <c r="R27" s="17" t="n"/>
    </row>
    <row r="28" outlineLevel="1">
      <c r="A28" s="32" t="n">
        <v>2</v>
      </c>
      <c r="B28" s="32" t="inlineStr">
        <is>
          <t>SALESK6-14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FL_DES_SALESK_6l</t>
        </is>
      </c>
      <c r="R28" s="17" t="n"/>
    </row>
    <row r="29" outlineLevel="1">
      <c r="A29" s="32" t="n">
        <v>2</v>
      </c>
      <c r="B29" s="32" t="inlineStr">
        <is>
          <t>SALESK6-15</t>
        </is>
      </c>
      <c r="C29" s="17" t="inlineStr">
        <is>
          <t xml:space="preserve">        Caño de pesca (sifón)</t>
        </is>
      </c>
      <c r="D29" s="32" t="n">
        <v>1</v>
      </c>
      <c r="E29" s="32" t="inlineStr">
        <is>
          <t>u</t>
        </is>
      </c>
      <c r="F29" s="33" t="n">
        <v>0.0282</v>
      </c>
      <c r="G29" s="33">
        <f>D29*F29</f>
        <v/>
      </c>
      <c r="H29" s="32" t="inlineStr">
        <is>
          <t>Tubo polipropileno</t>
        </is>
      </c>
      <c r="I29" s="17" t="inlineStr">
        <is>
          <t>Ø21,3 × 335,5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FL_DES_SALESK_6l</t>
        </is>
      </c>
      <c r="R29" s="17" t="n"/>
    </row>
    <row r="30" outlineLevel="1">
      <c r="A30" s="32" t="n">
        <v>2</v>
      </c>
      <c r="B30" s="32" t="inlineStr">
        <is>
          <t>SALESK6-16</t>
        </is>
      </c>
      <c r="C30" s="17" t="inlineStr">
        <is>
          <t xml:space="preserve">        Filtro del tubo de pesca</t>
        </is>
      </c>
      <c r="D30" s="32" t="n">
        <v>1</v>
      </c>
      <c r="E30" s="32" t="inlineStr">
        <is>
          <t>u</t>
        </is>
      </c>
      <c r="F30" s="33" t="n">
        <v>0.0015</v>
      </c>
      <c r="G30" s="33">
        <f>D30*F30</f>
        <v/>
      </c>
      <c r="H30" s="32" t="inlineStr">
        <is>
          <t>Polipropileno perforado</t>
        </is>
      </c>
      <c r="I30" s="17" t="inlineStr">
        <is>
          <t>25 × 24,3 × 24,3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FL_DES_SALESK_6l</t>
        </is>
      </c>
      <c r="R30" s="17" t="inlineStr">
        <is>
          <t>área ≥ 10 × boquilla</t>
        </is>
      </c>
    </row>
    <row r="31" outlineLevel="1">
      <c r="A31" s="32" t="n">
        <v>2</v>
      </c>
      <c r="B31" s="32" t="inlineStr">
        <is>
          <t>SALESK6-26</t>
        </is>
      </c>
      <c r="C31" s="17" t="inlineStr">
        <is>
          <t xml:space="preserve">        Junta tórica de asiento</t>
        </is>
      </c>
      <c r="D31" s="32" t="n">
        <v>1</v>
      </c>
      <c r="E31" s="32" t="inlineStr">
        <is>
          <t>u</t>
        </is>
      </c>
      <c r="F31" s="33" t="n">
        <v>0.001</v>
      </c>
      <c r="G31" s="33">
        <f>D31*F31</f>
        <v/>
      </c>
      <c r="H31" s="32" t="inlineStr">
        <is>
          <t>NBR 70 Shore A</t>
        </is>
      </c>
      <c r="I31" s="17" t="inlineStr">
        <is>
          <t>Ø32,8 ext. × cordón 3</t>
        </is>
      </c>
      <c r="J31" s="32" t="inlineStr">
        <is>
          <t>Compra (en el conjunto)</t>
        </is>
      </c>
      <c r="K31" s="32" t="inlineStr">
        <is>
          <t>No</t>
        </is>
      </c>
      <c r="L31" s="17" t="n"/>
      <c r="M31" s="17" t="n"/>
      <c r="N31" s="17" t="inlineStr">
        <is>
          <t>S4 - se compra terminado (tercerizado con sello IRAM)</t>
        </is>
      </c>
      <c r="O31" s="17" t="n"/>
      <c r="P31" s="32" t="inlineStr">
        <is>
          <t>P</t>
        </is>
      </c>
      <c r="Q31" s="32" t="inlineStr">
        <is>
          <t>FL_DES_SALESK_6l</t>
        </is>
      </c>
      <c r="R31" s="17" t="inlineStr">
        <is>
          <t>cambio c/recarga</t>
        </is>
      </c>
    </row>
    <row r="32" outlineLevel="1">
      <c r="A32" s="32" t="n">
        <v>2</v>
      </c>
      <c r="B32" s="32" t="inlineStr">
        <is>
          <t>SALESK6-V2</t>
        </is>
      </c>
      <c r="C32" s="17" t="inlineStr">
        <is>
          <t xml:space="preserve">        Resorte de retorno del vástago</t>
        </is>
      </c>
      <c r="D32" s="32" t="n">
        <v>1</v>
      </c>
      <c r="E32" s="32" t="inlineStr">
        <is>
          <t>u</t>
        </is>
      </c>
      <c r="F32" s="33" t="n"/>
      <c r="G32" s="33" t="n"/>
      <c r="H32" s="32" t="inlineStr">
        <is>
          <t>Acero para resortes</t>
        </is>
      </c>
      <c r="I32" s="17" t="inlineStr">
        <is>
          <t>incluido en la válvula</t>
        </is>
      </c>
      <c r="J32" s="32" t="inlineStr">
        <is>
          <t>Compra (en el conjunto)</t>
        </is>
      </c>
      <c r="K32" s="32" t="inlineStr">
        <is>
          <t>No</t>
        </is>
      </c>
      <c r="L32" s="17" t="n"/>
      <c r="M32" s="17" t="n"/>
      <c r="N32" s="17" t="inlineStr">
        <is>
          <t>19 Ensamblaje</t>
        </is>
      </c>
      <c r="O32" s="17" t="n"/>
      <c r="P32" s="32" t="inlineStr">
        <is>
          <t>Q</t>
        </is>
      </c>
      <c r="Q32" s="32" t="n"/>
      <c r="R32" s="17" t="inlineStr">
        <is>
          <t>Lista de precios HZ: válvula «c/resorte» (Q-AGENTES)</t>
        </is>
      </c>
    </row>
    <row r="33" outlineLevel="1">
      <c r="A33" s="32" t="n">
        <v>2</v>
      </c>
      <c r="B33" s="32" t="inlineStr">
        <is>
          <t>SALESK6-V3</t>
        </is>
      </c>
      <c r="C33" s="17" t="inlineStr">
        <is>
          <t xml:space="preserve">        Junta tórica del vástago</t>
        </is>
      </c>
      <c r="D33" s="32" t="n">
        <v>1</v>
      </c>
      <c r="E33" s="32" t="inlineStr">
        <is>
          <t>u</t>
        </is>
      </c>
      <c r="F33" s="33" t="n"/>
      <c r="G33" s="33" t="n"/>
      <c r="H33" s="32" t="inlineStr">
        <is>
          <t>NBR 70 Shore A</t>
        </is>
      </c>
      <c r="I33" s="17" t="inlineStr">
        <is>
          <t>incluida en la válvula</t>
        </is>
      </c>
      <c r="J33" s="32" t="inlineStr">
        <is>
          <t>Compra (en el conjunto)</t>
        </is>
      </c>
      <c r="K33" s="32" t="inlineStr">
        <is>
          <t>No</t>
        </is>
      </c>
      <c r="L33" s="17" t="n"/>
      <c r="M33" s="17" t="n"/>
      <c r="N33" s="17" t="inlineStr">
        <is>
          <t>19 Ensamblaje</t>
        </is>
      </c>
      <c r="O33" s="17" t="n"/>
      <c r="P33" s="32" t="inlineStr">
        <is>
          <t>P</t>
        </is>
      </c>
      <c r="Q33" s="32" t="n"/>
      <c r="R33" s="17" t="inlineStr">
        <is>
          <t>Figura en el plano como «vástago con junta tórica»</t>
        </is>
      </c>
    </row>
    <row r="34">
      <c r="A34" s="29" t="n">
        <v>1</v>
      </c>
      <c r="B34" s="29" t="inlineStr">
        <is>
          <t>SALESK6-S3</t>
        </is>
      </c>
      <c r="C34" s="30" t="inlineStr">
        <is>
          <t xml:space="preserve">    Dispositivo de descarga</t>
        </is>
      </c>
      <c r="D34" s="29" t="n">
        <v>1</v>
      </c>
      <c r="E34" s="29" t="inlineStr">
        <is>
          <t>u</t>
        </is>
      </c>
      <c r="F34" s="31" t="n"/>
      <c r="G34" s="31">
        <f>G35+G36+G37+G38</f>
        <v/>
      </c>
      <c r="H34" s="29" t="n"/>
      <c r="I34" s="30" t="n"/>
      <c r="J34" s="29" t="inlineStr">
        <is>
          <t>Compra / armado</t>
        </is>
      </c>
      <c r="K34" s="29" t="n"/>
      <c r="L34" s="30" t="n"/>
      <c r="M34" s="30" t="n"/>
      <c r="N34" s="30" t="n"/>
      <c r="O34" s="30" t="n"/>
      <c r="P34" s="29" t="inlineStr">
        <is>
          <t>P</t>
        </is>
      </c>
      <c r="Q34" s="29" t="inlineStr">
        <is>
          <t>FL_DES_SALESK_6l</t>
        </is>
      </c>
      <c r="R34" s="30" t="n"/>
    </row>
    <row r="35" outlineLevel="1">
      <c r="A35" s="32" t="n">
        <v>2</v>
      </c>
      <c r="B35" s="32" t="inlineStr">
        <is>
          <t>SALESK6-17</t>
        </is>
      </c>
      <c r="C35" s="17" t="inlineStr">
        <is>
          <t xml:space="preserve">        Racor de manguera</t>
        </is>
      </c>
      <c r="D35" s="32" t="n">
        <v>1</v>
      </c>
      <c r="E35" s="32" t="inlineStr">
        <is>
          <t>u</t>
        </is>
      </c>
      <c r="F35" s="33" t="n">
        <v>0.0258</v>
      </c>
      <c r="G35" s="33">
        <f>D35*F35</f>
        <v/>
      </c>
      <c r="H35" s="32" t="inlineStr">
        <is>
          <t>Latón</t>
        </is>
      </c>
      <c r="I35" s="17" t="inlineStr">
        <is>
          <t>18 × 18 × 12</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FL_DES_SALESK_6l</t>
        </is>
      </c>
      <c r="R35" s="17" t="n"/>
    </row>
    <row r="36" outlineLevel="1">
      <c r="A36" s="32" t="n">
        <v>2</v>
      </c>
      <c r="B36" s="32" t="inlineStr">
        <is>
          <t>SALESK6-18</t>
        </is>
      </c>
      <c r="C36" s="17" t="inlineStr">
        <is>
          <t xml:space="preserve">        Manguera</t>
        </is>
      </c>
      <c r="D36" s="32" t="n">
        <v>1</v>
      </c>
      <c r="E36" s="32" t="inlineStr">
        <is>
          <t>u</t>
        </is>
      </c>
      <c r="F36" s="33" t="n">
        <v>0.0208</v>
      </c>
      <c r="G36" s="33">
        <f>D36*F36</f>
        <v/>
      </c>
      <c r="H36" s="32" t="inlineStr">
        <is>
          <t>Caucho sintético</t>
        </is>
      </c>
      <c r="I36" s="17" t="inlineStr">
        <is>
          <t>Ø16 × 135 de largo desarrollado</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FL_DES_SALESK_6l</t>
        </is>
      </c>
      <c r="R36" s="17" t="n"/>
    </row>
    <row r="37" outlineLevel="1">
      <c r="A37" s="32" t="n">
        <v>2</v>
      </c>
      <c r="B37" s="32" t="inlineStr">
        <is>
          <t>SALESK6-19</t>
        </is>
      </c>
      <c r="C37" s="17" t="inlineStr">
        <is>
          <t xml:space="preserve">        Lanza aplicadora clase K</t>
        </is>
      </c>
      <c r="D37" s="32" t="n">
        <v>1</v>
      </c>
      <c r="E37" s="32" t="inlineStr">
        <is>
          <t>u</t>
        </is>
      </c>
      <c r="F37" s="33" t="n">
        <v>0.2688</v>
      </c>
      <c r="G37" s="33">
        <f>D37*F37</f>
        <v/>
      </c>
      <c r="H37" s="32" t="inlineStr">
        <is>
          <t>Acero inox. AISI 304</t>
        </is>
      </c>
      <c r="I37" s="17" t="inlineStr">
        <is>
          <t>294,4 × 26 × 26</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FL_DES_SALESK_6l</t>
        </is>
      </c>
      <c r="R37" s="17" t="n"/>
    </row>
    <row r="38" outlineLevel="1">
      <c r="A38" s="32" t="n">
        <v>2</v>
      </c>
      <c r="B38" s="32" t="inlineStr">
        <is>
          <t>SALESK6-20</t>
        </is>
      </c>
      <c r="C38" s="17" t="inlineStr">
        <is>
          <t xml:space="preserve">        Suncho portatobera</t>
        </is>
      </c>
      <c r="D38" s="32" t="n">
        <v>1</v>
      </c>
      <c r="E38" s="32" t="inlineStr">
        <is>
          <t>u</t>
        </is>
      </c>
      <c r="F38" s="33" t="n">
        <v>0.1362</v>
      </c>
      <c r="G38" s="33">
        <f>D38*F38</f>
        <v/>
      </c>
      <c r="H38" s="32" t="inlineStr">
        <is>
          <t>Fleje acero SAE 1010 pintado</t>
        </is>
      </c>
      <c r="I38" s="17" t="inlineStr">
        <is>
          <t>200,2 × 193,6 × 18</t>
        </is>
      </c>
      <c r="J38" s="32" t="inlineStr">
        <is>
          <t>Compra (en el conjunto)</t>
        </is>
      </c>
      <c r="K38" s="32" t="inlineStr">
        <is>
          <t>No</t>
        </is>
      </c>
      <c r="L38" s="17" t="n"/>
      <c r="M38" s="17" t="n"/>
      <c r="N38" s="17" t="inlineStr">
        <is>
          <t>S4 - se compra terminado (tercerizado con sello IRAM)</t>
        </is>
      </c>
      <c r="O38" s="17" t="n"/>
      <c r="P38" s="32" t="inlineStr">
        <is>
          <t>P</t>
        </is>
      </c>
      <c r="Q38" s="32" t="inlineStr">
        <is>
          <t>FL_DES_SALESK_6l</t>
        </is>
      </c>
      <c r="R38" s="17" t="n"/>
    </row>
    <row r="39">
      <c r="A39" s="29" t="n">
        <v>1</v>
      </c>
      <c r="B39" s="29" t="inlineStr">
        <is>
          <t>SALESK6-S5</t>
        </is>
      </c>
      <c r="C39" s="30" t="inlineStr">
        <is>
          <t xml:space="preserve">    Carga: agente extintor y gas impulsor</t>
        </is>
      </c>
      <c r="D39" s="29" t="n">
        <v>1</v>
      </c>
      <c r="E39" s="29" t="inlineStr">
        <is>
          <t>u</t>
        </is>
      </c>
      <c r="F39" s="31" t="n"/>
      <c r="G39" s="31">
        <f>G40+G41</f>
        <v/>
      </c>
      <c r="H39" s="29" t="n"/>
      <c r="I39" s="30" t="n"/>
      <c r="J39" s="29" t="inlineStr">
        <is>
          <t>Compra</t>
        </is>
      </c>
      <c r="K39" s="29" t="n"/>
      <c r="L39" s="30" t="n"/>
      <c r="M39" s="30" t="n"/>
      <c r="N39" s="30" t="n"/>
      <c r="O39" s="30" t="n"/>
      <c r="P39" s="29" t="n"/>
      <c r="Q39" s="29" t="n"/>
      <c r="R39" s="30" t="n"/>
    </row>
    <row r="40" outlineLevel="1">
      <c r="A40" s="32" t="n">
        <v>2</v>
      </c>
      <c r="B40" s="32" t="inlineStr">
        <is>
          <t>SALESK6-A1</t>
        </is>
      </c>
      <c r="C40" s="17" t="inlineStr">
        <is>
          <t xml:space="preserve">        Acetato de potasio - DEMSA Kitchen - Acetato de potasio (DEMSA Kitchen, 1,300 g/ml, pH 8,5)</t>
        </is>
      </c>
      <c r="D40" s="32" t="n">
        <v>6.09</v>
      </c>
      <c r="E40" s="32" t="inlineStr">
        <is>
          <t>L</t>
        </is>
      </c>
      <c r="F40" s="33" t="n">
        <v>1.3</v>
      </c>
      <c r="G40" s="33">
        <f>D40*F40</f>
        <v/>
      </c>
      <c r="H40" s="32" t="inlineStr">
        <is>
          <t>Acetato de potasio - DEMSA Kitchen - Acetato de potasio (DEMSA Kitchen, 1,300 g/ml, pH 8,5)</t>
        </is>
      </c>
      <c r="I40" s="17" t="inlineStr">
        <is>
          <t>nominal 6 L; tolerancia 0 / +3 % (IRAM 3517-2:2020 tabla 3)</t>
        </is>
      </c>
      <c r="J40" s="32" t="inlineStr">
        <is>
          <t>Compra</t>
        </is>
      </c>
      <c r="K40" s="32" t="inlineStr">
        <is>
          <t>No</t>
        </is>
      </c>
      <c r="L40" s="17" t="n"/>
      <c r="M40" s="17" t="n"/>
      <c r="N40" s="17" t="inlineStr">
        <is>
          <t>SP-1 almacén previo a la carga</t>
        </is>
      </c>
      <c r="O40" s="17" t="inlineStr">
        <is>
          <t>IRAM 3697</t>
        </is>
      </c>
      <c r="P40" s="32" t="inlineStr">
        <is>
          <t>N</t>
        </is>
      </c>
      <c r="Q40" s="32" t="n"/>
      <c r="R40" s="17" t="inlineStr">
        <is>
          <t>potencial 1A-K</t>
        </is>
      </c>
    </row>
    <row r="41" outlineLevel="1">
      <c r="A41" s="32" t="n">
        <v>2</v>
      </c>
      <c r="B41" s="32" t="inlineStr">
        <is>
          <t>SALESK6-A2</t>
        </is>
      </c>
      <c r="C41" s="17" t="inlineStr">
        <is>
          <t xml:space="preserve">        Gas impulsor: N₂</t>
        </is>
      </c>
      <c r="D41" s="32" t="n">
        <v>0.0306</v>
      </c>
      <c r="E41" s="32" t="inlineStr">
        <is>
          <t>kg</t>
        </is>
      </c>
      <c r="F41" s="33" t="n">
        <v>1</v>
      </c>
      <c r="G41" s="33">
        <f>D41*F41</f>
        <v/>
      </c>
      <c r="H41" s="32" t="inlineStr">
        <is>
          <t>N₂</t>
        </is>
      </c>
      <c r="I41" s="17" t="inlineStr">
        <is>
          <t>24,5 L normales para 0,8 MPa a 20 °C en 2,96 dm³ libres</t>
        </is>
      </c>
      <c r="J41" s="32" t="inlineStr">
        <is>
          <t>Compra</t>
        </is>
      </c>
      <c r="K41" s="32" t="inlineStr">
        <is>
          <t>No</t>
        </is>
      </c>
      <c r="L41" s="17" t="n"/>
      <c r="M41" s="17" t="n"/>
      <c r="N41" s="17" t="inlineStr">
        <is>
          <t>20 Presurización (T05) / C10</t>
        </is>
      </c>
      <c r="O41" s="17" t="inlineStr">
        <is>
          <t>IRAM 3517-2 9.4.9 (tabla 2) · IRAM 3523 2.3 y 3.10</t>
        </is>
      </c>
      <c r="P41" s="32" t="inlineStr">
        <is>
          <t>C</t>
        </is>
      </c>
      <c r="Q41" s="32" t="n"/>
      <c r="R41" s="17" t="inlineStr">
        <is>
          <t>N₂ ≥ 99,8 %, H₂O ≤ 40 ppm (Q-N2, Air Liquide)</t>
        </is>
      </c>
    </row>
    <row r="42">
      <c r="A42" s="29" t="n">
        <v>1</v>
      </c>
      <c r="B42" s="29" t="inlineStr">
        <is>
          <t>SALESK6-S6</t>
        </is>
      </c>
      <c r="C42" s="30" t="inlineStr">
        <is>
          <t xml:space="preserve">    Identificación y precinto</t>
        </is>
      </c>
      <c r="D42" s="29" t="n">
        <v>1</v>
      </c>
      <c r="E42" s="29" t="inlineStr">
        <is>
          <t>u</t>
        </is>
      </c>
      <c r="F42" s="31" t="n"/>
      <c r="G42" s="31">
        <f>G43+G44+G45+G46+G47+G48+G49</f>
        <v/>
      </c>
      <c r="H42" s="29" t="n"/>
      <c r="I42" s="30" t="n"/>
      <c r="J42" s="29" t="inlineStr">
        <is>
          <t>Compra</t>
        </is>
      </c>
      <c r="K42" s="29" t="n"/>
      <c r="L42" s="30" t="n"/>
      <c r="M42" s="30" t="n"/>
      <c r="N42" s="30" t="inlineStr">
        <is>
          <t>22 Etiquetado (T07)</t>
        </is>
      </c>
      <c r="O42" s="30" t="n"/>
      <c r="P42" s="29" t="n"/>
      <c r="Q42" s="29" t="n"/>
      <c r="R42" s="30" t="n"/>
    </row>
    <row r="43" outlineLevel="1">
      <c r="A43" s="32" t="n">
        <v>2</v>
      </c>
      <c r="B43" s="32" t="inlineStr">
        <is>
          <t>SALESK6-21</t>
        </is>
      </c>
      <c r="C43" s="17" t="inlineStr">
        <is>
          <t xml:space="preserve">        Etiqueta / placa de características</t>
        </is>
      </c>
      <c r="D43" s="32" t="n">
        <v>1</v>
      </c>
      <c r="E43" s="32" t="inlineStr">
        <is>
          <t>u</t>
        </is>
      </c>
      <c r="F43" s="33" t="n">
        <v>0.0212</v>
      </c>
      <c r="G43" s="33">
        <f>D43*F43</f>
        <v/>
      </c>
      <c r="H43" s="32" t="inlineStr">
        <is>
          <t>Vinilo autoadhesivo laminado</t>
        </is>
      </c>
      <c r="I43" s="17" t="inlineStr">
        <is>
          <t>359 × 141 (desarrollo × alto: panel central 108° + 2 alas laterales), e ≈ 0,3, laminado UV</t>
        </is>
      </c>
      <c r="J43" s="32" t="inlineStr">
        <is>
          <t>Compra</t>
        </is>
      </c>
      <c r="K43" s="32" t="inlineStr">
        <is>
          <t>No</t>
        </is>
      </c>
      <c r="L43" s="17" t="n"/>
      <c r="M43" s="17" t="n"/>
      <c r="N43" s="17" t="inlineStr">
        <is>
          <t>22 Etiquetado (T07)</t>
        </is>
      </c>
      <c r="O43" s="17" t="inlineStr">
        <is>
          <t>IRAM 3534 · IRAM 3694 cap. 5 · relevamiento de mercado</t>
        </is>
      </c>
      <c r="P43" s="32" t="inlineStr">
        <is>
          <t>P</t>
        </is>
      </c>
      <c r="Q43" s="32" t="inlineStr">
        <is>
          <t>FL_DES_SALESK_6l</t>
        </is>
      </c>
      <c r="R43" s="17" t="inlineStr">
        <is>
          <t>IRAM 3534</t>
        </is>
      </c>
    </row>
    <row r="44" outlineLevel="1">
      <c r="A44" s="32" t="n">
        <v>2</v>
      </c>
      <c r="B44" s="32" t="inlineStr">
        <is>
          <t>SALESK6-22</t>
        </is>
      </c>
      <c r="C44" s="17" t="inlineStr">
        <is>
          <t xml:space="preserve">        Oblea de fabricación (PBA)</t>
        </is>
      </c>
      <c r="D44" s="32" t="n">
        <v>1</v>
      </c>
      <c r="E44" s="32" t="inlineStr">
        <is>
          <t>u</t>
        </is>
      </c>
      <c r="F44" s="33" t="n">
        <v>0.0009</v>
      </c>
      <c r="G44" s="33">
        <f>D44*F44</f>
        <v/>
      </c>
      <c r="H44" s="32" t="inlineStr">
        <is>
          <t>Papel de seguridad autodestructible</t>
        </is>
      </c>
      <c r="I44" s="17" t="inlineStr">
        <is>
          <t>Ø46 (Res. OPDS 522/07), numerada, autodestructible</t>
        </is>
      </c>
      <c r="J44" s="32" t="inlineStr">
        <is>
          <t>Compra</t>
        </is>
      </c>
      <c r="K44" s="32" t="inlineStr">
        <is>
          <t>No</t>
        </is>
      </c>
      <c r="L44" s="17" t="n"/>
      <c r="M44" s="17" t="n"/>
      <c r="N44" s="17" t="inlineStr">
        <is>
          <t>22 Etiquetado (T07)</t>
        </is>
      </c>
      <c r="O44" s="17" t="inlineStr">
        <is>
          <t>Res. OPDS 522/07 anexos 1, 2 y 6</t>
        </is>
      </c>
      <c r="P44" s="32" t="inlineStr">
        <is>
          <t>P</t>
        </is>
      </c>
      <c r="Q44" s="32" t="inlineStr">
        <is>
          <t>FL_DES_SALESK_6l</t>
        </is>
      </c>
      <c r="R44" s="17" t="inlineStr">
        <is>
          <t>Res. 522/07</t>
        </is>
      </c>
    </row>
    <row r="45" outlineLevel="1">
      <c r="A45" s="32" t="n">
        <v>2</v>
      </c>
      <c r="B45" s="32" t="inlineStr">
        <is>
          <t>SALESK6-23</t>
        </is>
      </c>
      <c r="C45" s="17" t="inlineStr">
        <is>
          <t xml:space="preserve">        Estampilla IRAM de conformidad</t>
        </is>
      </c>
      <c r="D45" s="32" t="n">
        <v>1</v>
      </c>
      <c r="E45" s="32" t="inlineStr">
        <is>
          <t>u</t>
        </is>
      </c>
      <c r="F45" s="33" t="n">
        <v>0.001</v>
      </c>
      <c r="G45" s="33">
        <f>D45*F45</f>
        <v/>
      </c>
      <c r="H45" s="32" t="inlineStr">
        <is>
          <t>Provista por IRAM (Anexo R)</t>
        </is>
      </c>
      <c r="I45" s="17" t="inlineStr">
        <is>
          <t>60 × 40</t>
        </is>
      </c>
      <c r="J45" s="32" t="inlineStr">
        <is>
          <t>Compra</t>
        </is>
      </c>
      <c r="K45" s="32" t="inlineStr">
        <is>
          <t>No</t>
        </is>
      </c>
      <c r="L45" s="17" t="n"/>
      <c r="M45" s="17" t="n"/>
      <c r="N45" s="17" t="inlineStr">
        <is>
          <t>22 Etiquetado (T07)</t>
        </is>
      </c>
      <c r="O45" s="17" t="inlineStr">
        <is>
          <t>IRAM Anexo R (DC-PG-129)</t>
        </is>
      </c>
      <c r="P45" s="32" t="inlineStr">
        <is>
          <t>P</t>
        </is>
      </c>
      <c r="Q45" s="32" t="inlineStr">
        <is>
          <t>FL_DES_SALESK_6l</t>
        </is>
      </c>
      <c r="R45" s="17" t="inlineStr">
        <is>
          <t>numerada</t>
        </is>
      </c>
    </row>
    <row r="46" outlineLevel="1">
      <c r="A46" s="32" t="n">
        <v>2</v>
      </c>
      <c r="B46" s="32" t="inlineStr">
        <is>
          <t>SALESK6-24</t>
        </is>
      </c>
      <c r="C46" s="17" t="inlineStr">
        <is>
          <t xml:space="preserve">        Tarjeta de identificación AGC (CABA)</t>
        </is>
      </c>
      <c r="D46" s="32" t="n">
        <v>1</v>
      </c>
      <c r="E46" s="32" t="inlineStr">
        <is>
          <t>u</t>
        </is>
      </c>
      <c r="F46" s="33" t="n">
        <v>0.0032</v>
      </c>
      <c r="G46" s="33">
        <f>D46*F46</f>
        <v/>
      </c>
      <c r="H46" s="32" t="inlineStr">
        <is>
          <t>Etiqueta autoadhesiva emitida por la AGC</t>
        </is>
      </c>
      <c r="I46" s="17" t="inlineStr">
        <is>
          <t>140 × 55</t>
        </is>
      </c>
      <c r="J46" s="32" t="inlineStr">
        <is>
          <t>Compra</t>
        </is>
      </c>
      <c r="K46" s="32" t="inlineStr">
        <is>
          <t>Sí</t>
        </is>
      </c>
      <c r="L46" s="17" t="inlineStr">
        <is>
          <t>Agencia Gubernamental de Control (CABA)</t>
        </is>
      </c>
      <c r="M46" s="17" t="inlineStr">
        <is>
          <t>-</t>
        </is>
      </c>
      <c r="N46" s="17" t="inlineStr">
        <is>
          <t>22 Etiquetado (T07)</t>
        </is>
      </c>
      <c r="O46" s="17" t="inlineStr">
        <is>
          <t>Ordenanza 40.473 art. 6 · Res. AGC 32/15</t>
        </is>
      </c>
      <c r="P46" s="32" t="inlineStr">
        <is>
          <t>P</t>
        </is>
      </c>
      <c r="Q46" s="32" t="inlineStr">
        <is>
          <t>FL_DES_SALESK_6l</t>
        </is>
      </c>
      <c r="R46" s="17" t="inlineStr">
        <is>
          <t>sólo destino CABA; sólo destino CABA</t>
        </is>
      </c>
    </row>
    <row r="47" outlineLevel="1">
      <c r="A47" s="32" t="n">
        <v>2</v>
      </c>
      <c r="B47" s="32" t="inlineStr">
        <is>
          <t>SALESK6-25</t>
        </is>
      </c>
      <c r="C47" s="17" t="inlineStr">
        <is>
          <t xml:space="preserve">        Etiqueta de n° de serie GS1</t>
        </is>
      </c>
      <c r="D47" s="32" t="n">
        <v>1</v>
      </c>
      <c r="E47" s="32" t="inlineStr">
        <is>
          <t>u</t>
        </is>
      </c>
      <c r="F47" s="33" t="n">
        <v>0.0005</v>
      </c>
      <c r="G47" s="33">
        <f>D47*F47</f>
        <v/>
      </c>
      <c r="H47" s="32" t="inlineStr">
        <is>
          <t>Poliéster autoadhesivo impreso térmico</t>
        </is>
      </c>
      <c r="I47" s="17" t="inlineStr">
        <is>
          <t>45 × 25</t>
        </is>
      </c>
      <c r="J47" s="32" t="inlineStr">
        <is>
          <t>Compra</t>
        </is>
      </c>
      <c r="K47" s="32" t="inlineStr">
        <is>
          <t>No</t>
        </is>
      </c>
      <c r="L47" s="17" t="n"/>
      <c r="M47" s="17" t="n"/>
      <c r="N47" s="17" t="inlineStr">
        <is>
          <t>22 Etiquetado (T07)</t>
        </is>
      </c>
      <c r="O47" s="17" t="inlineStr">
        <is>
          <t>GS1 Argentina (GTIN 779) · trazabilidad IRAM 3523 5.1</t>
        </is>
      </c>
      <c r="P47" s="32" t="inlineStr">
        <is>
          <t>P</t>
        </is>
      </c>
      <c r="Q47" s="32" t="inlineStr">
        <is>
          <t>FL_DES_SALESK_6l</t>
        </is>
      </c>
      <c r="R47" s="17" t="inlineStr">
        <is>
          <t>QR GTIN + serie</t>
        </is>
      </c>
    </row>
    <row r="48" outlineLevel="1">
      <c r="A48" s="32" t="n">
        <v>2</v>
      </c>
      <c r="B48" s="32" t="inlineStr">
        <is>
          <t>SALESK6-27</t>
        </is>
      </c>
      <c r="C48" s="17" t="inlineStr">
        <is>
          <t xml:space="preserve">        Faja de garantía válvula-cuello</t>
        </is>
      </c>
      <c r="D48" s="32" t="n">
        <v>1</v>
      </c>
      <c r="E48" s="32" t="inlineStr">
        <is>
          <t>u</t>
        </is>
      </c>
      <c r="F48" s="33" t="n">
        <v>0.0001</v>
      </c>
      <c r="G48" s="33">
        <f>D48*F48</f>
        <v/>
      </c>
      <c r="H48" s="32" t="inlineStr">
        <is>
          <t>Vinilo destructible rayado rojo/blanco</t>
        </is>
      </c>
      <c r="I48" s="17" t="inlineStr">
        <is>
          <t>22 × 22 (ancho × largo desarrollado), pegada sobre la unión: cuerpo de la válvula, tuerca y cuello</t>
        </is>
      </c>
      <c r="J48" s="32" t="inlineStr">
        <is>
          <t>Compra</t>
        </is>
      </c>
      <c r="K48" s="32" t="inlineStr">
        <is>
          <t>No</t>
        </is>
      </c>
      <c r="L48" s="17" t="n"/>
      <c r="M48" s="17" t="n"/>
      <c r="N48" s="17" t="inlineStr">
        <is>
          <t>22 Etiquetado (T07)</t>
        </is>
      </c>
      <c r="O48" s="17" t="inlineStr">
        <is>
          <t>Sin norma: práctica de mercado (garantía de fábrica)</t>
        </is>
      </c>
      <c r="P48" s="32" t="inlineStr">
        <is>
          <t>P</t>
        </is>
      </c>
      <c r="Q48" s="32" t="inlineStr">
        <is>
          <t>FL_DES_SALESK_6l</t>
        </is>
      </c>
      <c r="R48" s="17" t="inlineStr">
        <is>
          <t>nuevo sin abrir</t>
        </is>
      </c>
    </row>
    <row r="49" outlineLevel="1">
      <c r="A49" s="32" t="n">
        <v>2</v>
      </c>
      <c r="B49" s="32" t="inlineStr">
        <is>
          <t>SALESK6-28</t>
        </is>
      </c>
      <c r="C49" s="17" t="inlineStr">
        <is>
          <t xml:space="preserve">        Precinto de fábrica</t>
        </is>
      </c>
      <c r="D49" s="32" t="n">
        <v>1</v>
      </c>
      <c r="E49" s="32" t="inlineStr">
        <is>
          <t>u</t>
        </is>
      </c>
      <c r="F49" s="33" t="n">
        <v>0.0002</v>
      </c>
      <c r="G49" s="33">
        <f>D49*F49</f>
        <v/>
      </c>
      <c r="H49" s="32" t="inlineStr">
        <is>
          <t>Polipropileno color</t>
        </is>
      </c>
      <c r="I49" s="17" t="inlineStr">
        <is>
          <t>Ø5 × 10, numerado, rotura 30-50 N</t>
        </is>
      </c>
      <c r="J49" s="32" t="inlineStr">
        <is>
          <t>Compra</t>
        </is>
      </c>
      <c r="K49" s="32" t="inlineStr">
        <is>
          <t>No</t>
        </is>
      </c>
      <c r="L49" s="17" t="n"/>
      <c r="M49" s="17" t="n"/>
      <c r="N49" s="17" t="inlineStr">
        <is>
          <t>20 Presurización (T05)</t>
        </is>
      </c>
      <c r="O49" s="17" t="inlineStr">
        <is>
          <t>IRAM 3523 3.3.2 · IRAM 3517-2:2020 9.4.13</t>
        </is>
      </c>
      <c r="P49" s="32" t="inlineStr">
        <is>
          <t>P</t>
        </is>
      </c>
      <c r="Q49" s="32" t="inlineStr">
        <is>
          <t>FL_DES_SALESK_6l</t>
        </is>
      </c>
      <c r="R49" s="17" t="inlineStr">
        <is>
          <t>id. FLAMA y lote</t>
        </is>
      </c>
    </row>
    <row r="50">
      <c r="A50" s="29" t="n">
        <v>1</v>
      </c>
      <c r="B50" s="29" t="inlineStr">
        <is>
          <t>SALESK6-S8</t>
        </is>
      </c>
      <c r="C50" s="30" t="inlineStr">
        <is>
          <t xml:space="preserve">    Soporte (accesorio de montaje)</t>
        </is>
      </c>
      <c r="D50" s="29" t="n">
        <v>1</v>
      </c>
      <c r="E50" s="29" t="inlineStr">
        <is>
          <t>u</t>
        </is>
      </c>
      <c r="F50" s="31" t="n"/>
      <c r="G50" s="31">
        <f>G51</f>
        <v/>
      </c>
      <c r="H50" s="29" t="n"/>
      <c r="I50" s="30" t="n"/>
      <c r="J50" s="29" t="inlineStr">
        <is>
          <t>Compra</t>
        </is>
      </c>
      <c r="K50" s="29" t="n"/>
      <c r="L50" s="30" t="n"/>
      <c r="M50" s="30" t="n"/>
      <c r="N50" s="30" t="inlineStr">
        <is>
          <t>23 Embalaje (va dentro de la caja)</t>
        </is>
      </c>
      <c r="O50" s="30" t="inlineStr">
        <is>
          <t>IRAM 3517-2 7.4</t>
        </is>
      </c>
      <c r="P50" s="29" t="n"/>
      <c r="Q50" s="29" t="n"/>
      <c r="R50" s="30" t="n"/>
    </row>
    <row r="51" outlineLevel="1">
      <c r="A51" s="32" t="n">
        <v>2</v>
      </c>
      <c r="B51" s="32" t="inlineStr">
        <is>
          <t>SALESK6-I5</t>
        </is>
      </c>
      <c r="C51" s="17" t="inlineStr">
        <is>
          <t xml:space="preserve">        Soporte de pared (FL_ACC_01)</t>
        </is>
      </c>
      <c r="D51" s="32" t="n">
        <v>1</v>
      </c>
      <c r="E51" s="32" t="inlineStr">
        <is>
          <t>u</t>
        </is>
      </c>
      <c r="F51" s="33" t="n">
        <v>0.327</v>
      </c>
      <c r="G51" s="33">
        <f>D51*F51</f>
        <v/>
      </c>
      <c r="H51" s="32" t="inlineStr">
        <is>
          <t>Chapa acero SAE 1010 e=2 pintada</t>
        </is>
      </c>
      <c r="I51" s="17" t="inlineStr">
        <is>
          <t>placa 60 × 180, ala con ranura Ø cuello + 3</t>
        </is>
      </c>
      <c r="J51" s="32" t="inlineStr">
        <is>
          <t>Compra</t>
        </is>
      </c>
      <c r="K51" s="32" t="inlineStr">
        <is>
          <t>No</t>
        </is>
      </c>
      <c r="L51" s="17" t="n"/>
      <c r="M51" s="17" t="n"/>
      <c r="N51" s="17" t="inlineStr">
        <is>
          <t>23 Embalaje</t>
        </is>
      </c>
      <c r="O51" s="17" t="inlineStr">
        <is>
          <t>IRAM 3517-2 7.4</t>
        </is>
      </c>
      <c r="P51" s="32" t="inlineStr">
        <is>
          <t>P</t>
        </is>
      </c>
      <c r="Q51" s="32" t="inlineStr">
        <is>
          <t>FL_ACC_01</t>
        </is>
      </c>
      <c r="R51" s="17" t="n"/>
    </row>
    <row r="52" outlineLevel="1">
      <c r="A52" s="32" t="n">
        <v>2</v>
      </c>
      <c r="B52" s="32" t="inlineStr">
        <is>
          <t>SALESK6-I6</t>
        </is>
      </c>
      <c r="C52" s="17" t="inlineStr">
        <is>
          <t xml:space="preserve">        Tornillo y tarugo de fijación</t>
        </is>
      </c>
      <c r="D52" s="32" t="n">
        <v>2</v>
      </c>
      <c r="E52" s="32" t="inlineStr">
        <is>
          <t>u</t>
        </is>
      </c>
      <c r="F52" s="33" t="n"/>
      <c r="G52" s="33" t="n"/>
      <c r="H52" s="32" t="inlineStr">
        <is>
          <t>Acero cincado / nylon</t>
        </is>
      </c>
      <c r="I52" s="17" t="inlineStr">
        <is>
          <t>2 agujeros Ø8,5 del plano FL_ACC_01 → tornillo M8 + tarugo</t>
        </is>
      </c>
      <c r="J52" s="32" t="inlineStr">
        <is>
          <t>Compra</t>
        </is>
      </c>
      <c r="K52" s="32" t="inlineStr">
        <is>
          <t>No</t>
        </is>
      </c>
      <c r="L52" s="17" t="n"/>
      <c r="M52" s="17" t="n"/>
      <c r="N52" s="17" t="inlineStr">
        <is>
          <t>23 Embalaje</t>
        </is>
      </c>
      <c r="O52" s="17" t="n"/>
      <c r="P52" s="32" t="inlineStr">
        <is>
          <t>P</t>
        </is>
      </c>
      <c r="Q52" s="32" t="inlineStr">
        <is>
          <t>FL_ACC_01</t>
        </is>
      </c>
      <c r="R52" s="17" t="n"/>
    </row>
    <row r="53">
      <c r="A53" s="29" t="n">
        <v>1</v>
      </c>
      <c r="B53" s="29" t="inlineStr">
        <is>
          <t>SALESK6-S7</t>
        </is>
      </c>
      <c r="C53" s="30" t="inlineStr">
        <is>
          <t xml:space="preserve">    Embalaje</t>
        </is>
      </c>
      <c r="D53" s="29" t="n">
        <v>1</v>
      </c>
      <c r="E53" s="29" t="inlineStr">
        <is>
          <t>u</t>
        </is>
      </c>
      <c r="F53" s="31" t="n"/>
      <c r="G53" s="31">
        <f>G57</f>
        <v/>
      </c>
      <c r="H53" s="29" t="n"/>
      <c r="I53" s="30" t="n"/>
      <c r="J53" s="29" t="inlineStr">
        <is>
          <t>Compra</t>
        </is>
      </c>
      <c r="K53" s="29" t="n"/>
      <c r="L53" s="30" t="n"/>
      <c r="M53" s="30" t="n"/>
      <c r="N53" s="30" t="inlineStr">
        <is>
          <t>23 Embalaje -&gt; 24 envolvedora (T11)</t>
        </is>
      </c>
      <c r="O53" s="30" t="n"/>
      <c r="P53" s="29" t="n"/>
      <c r="Q53" s="29" t="n"/>
      <c r="R53" s="30" t="n"/>
    </row>
    <row r="54" outlineLevel="1">
      <c r="A54" s="32" t="n">
        <v>2</v>
      </c>
      <c r="B54" s="32" t="inlineStr">
        <is>
          <t>SALESK6-E1</t>
        </is>
      </c>
      <c r="C54" s="17" t="inlineStr">
        <is>
          <t xml:space="preserve">        Caja de cartón corrugado doble</t>
        </is>
      </c>
      <c r="D54" s="32" t="n">
        <v>1</v>
      </c>
      <c r="E54" s="32" t="inlineStr">
        <is>
          <t>u</t>
        </is>
      </c>
      <c r="F54" s="33" t="n"/>
      <c r="G54" s="33" t="n"/>
      <c r="H54" s="32" t="inlineStr">
        <is>
          <t>Cartón corrugado</t>
        </is>
      </c>
      <c r="I54" s="17" t="inlineStr">
        <is>
          <t>259 × 224 × 434 interior (envolvente del plano + 15 por lado)</t>
        </is>
      </c>
      <c r="J54" s="32" t="inlineStr">
        <is>
          <t>Compra</t>
        </is>
      </c>
      <c r="K54" s="32" t="inlineStr">
        <is>
          <t>No</t>
        </is>
      </c>
      <c r="L54" s="17" t="n"/>
      <c r="M54" s="17" t="n"/>
      <c r="N54" s="17" t="inlineStr">
        <is>
          <t>23 Embalaje</t>
        </is>
      </c>
      <c r="O54" s="17" t="n"/>
      <c r="P54" s="32" t="inlineStr">
        <is>
          <t>P</t>
        </is>
      </c>
      <c r="Q54" s="32" t="n"/>
      <c r="R54" s="17" t="inlineStr">
        <is>
          <t>Medida del plano</t>
        </is>
      </c>
    </row>
    <row r="55" outlineLevel="1">
      <c r="A55" s="32" t="n">
        <v>2</v>
      </c>
      <c r="B55" s="32" t="inlineStr">
        <is>
          <t>SALESK6-E2</t>
        </is>
      </c>
      <c r="C55" s="17" t="inlineStr">
        <is>
          <t xml:space="preserve">        Instructivo de uso y mantenimiento</t>
        </is>
      </c>
      <c r="D55" s="32" t="n">
        <v>1</v>
      </c>
      <c r="E55" s="32" t="inlineStr">
        <is>
          <t>u</t>
        </is>
      </c>
      <c r="F55" s="33" t="n"/>
      <c r="G55" s="33" t="n"/>
      <c r="H55" s="32" t="inlineStr">
        <is>
          <t>Papel</t>
        </is>
      </c>
      <c r="I55" s="17" t="inlineStr">
        <is>
          <t>A5</t>
        </is>
      </c>
      <c r="J55" s="32" t="inlineStr">
        <is>
          <t>Compra</t>
        </is>
      </c>
      <c r="K55" s="32" t="inlineStr">
        <is>
          <t>No</t>
        </is>
      </c>
      <c r="L55" s="17" t="n"/>
      <c r="M55" s="17" t="n"/>
      <c r="N55" s="17" t="inlineStr">
        <is>
          <t>23 Embalaje</t>
        </is>
      </c>
      <c r="O55" s="17" t="n"/>
      <c r="P55" s="32" t="inlineStr">
        <is>
          <t>I</t>
        </is>
      </c>
      <c r="Q55" s="32" t="n"/>
      <c r="R55" s="17" t="inlineStr">
        <is>
          <t>Decisión comercial de FLAMA (las instrucciones de uso obligatorias van en la etiqueta, IRAM 3534)</t>
        </is>
      </c>
    </row>
    <row r="56" outlineLevel="1">
      <c r="A56" s="32" t="n">
        <v>2</v>
      </c>
      <c r="B56" s="32" t="inlineStr">
        <is>
          <t>SALESK6-E3</t>
        </is>
      </c>
      <c r="C56" s="17" t="inlineStr">
        <is>
          <t xml:space="preserve">        Pallet 1200 × 1000 (fracción)</t>
        </is>
      </c>
      <c r="D56" s="32" t="n">
        <v>0.0208</v>
      </c>
      <c r="E56" s="32" t="inlineStr">
        <is>
          <t>u</t>
        </is>
      </c>
      <c r="F56" s="33" t="n"/>
      <c r="G56" s="33" t="n"/>
      <c r="H56" s="32" t="inlineStr">
        <is>
          <t>Madera</t>
        </is>
      </c>
      <c r="I56" s="17" t="inlineStr">
        <is>
          <t>48 u por pallet</t>
        </is>
      </c>
      <c r="J56" s="32" t="inlineStr">
        <is>
          <t>Compra</t>
        </is>
      </c>
      <c r="K56" s="32" t="inlineStr">
        <is>
          <t>No</t>
        </is>
      </c>
      <c r="L56" s="17" t="n"/>
      <c r="M56" s="17" t="n"/>
      <c r="N56" s="17" t="inlineStr">
        <is>
          <t>23 Embalaje</t>
        </is>
      </c>
      <c r="O56" s="17" t="n"/>
      <c r="P56" s="32" t="inlineStr">
        <is>
          <t>C</t>
        </is>
      </c>
      <c r="Q56" s="32" t="n"/>
      <c r="R56" s="17" t="inlineStr">
        <is>
          <t>u por pallet = acomodo de la caja (plano) en 1200 × 1000 × 1450 de alto</t>
        </is>
      </c>
    </row>
    <row r="57" outlineLevel="1">
      <c r="A57" s="32" t="n">
        <v>2</v>
      </c>
      <c r="B57" s="32" t="inlineStr">
        <is>
          <t>SALESK6-E4</t>
        </is>
      </c>
      <c r="C57" s="17" t="inlineStr">
        <is>
          <t xml:space="preserve">        Film stretch (fracción del pallet)</t>
        </is>
      </c>
      <c r="D57" s="32" t="n">
        <v>0.0025</v>
      </c>
      <c r="E57" s="32" t="inlineStr">
        <is>
          <t>kg</t>
        </is>
      </c>
      <c r="F57" s="33" t="n">
        <v>1</v>
      </c>
      <c r="G57" s="33">
        <f>D57*F57</f>
        <v/>
      </c>
      <c r="H57" s="32" t="inlineStr">
        <is>
          <t>PE lineal 23 µm</t>
        </is>
      </c>
      <c r="I57" s="17" t="inlineStr">
        <is>
          <t>0,12 kg por pallet / 48 u</t>
        </is>
      </c>
      <c r="J57" s="32" t="inlineStr">
        <is>
          <t>Compra</t>
        </is>
      </c>
      <c r="K57" s="32" t="inlineStr">
        <is>
          <t>No</t>
        </is>
      </c>
      <c r="L57" s="17" t="n"/>
      <c r="M57" s="17" t="n"/>
      <c r="N57" s="17" t="inlineStr">
        <is>
          <t>24 Envolvedora (T11)</t>
        </is>
      </c>
      <c r="O57" s="17" t="n"/>
      <c r="P57" s="32" t="inlineStr">
        <is>
          <t>C</t>
        </is>
      </c>
      <c r="Q57" s="32" t="n"/>
      <c r="R57"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8" outlineLevel="1">
      <c r="A58" s="32" t="n">
        <v>2</v>
      </c>
      <c r="B58" s="32" t="inlineStr">
        <is>
          <t>SALESK6-E5</t>
        </is>
      </c>
      <c r="C58" s="17" t="inlineStr">
        <is>
          <t xml:space="preserve">        Etiqueta de pallet (lote y destino, fracción)</t>
        </is>
      </c>
      <c r="D58" s="32" t="n">
        <v>0.0208</v>
      </c>
      <c r="E58" s="32" t="inlineStr">
        <is>
          <t>u</t>
        </is>
      </c>
      <c r="F58" s="33" t="n"/>
      <c r="G58" s="33" t="n"/>
      <c r="H58" s="32" t="inlineStr">
        <is>
          <t>Papel térmico</t>
        </is>
      </c>
      <c r="I58" s="17" t="inlineStr">
        <is>
          <t>100 × 150</t>
        </is>
      </c>
      <c r="J58" s="32" t="inlineStr">
        <is>
          <t>Compra</t>
        </is>
      </c>
      <c r="K58" s="32" t="inlineStr">
        <is>
          <t>No</t>
        </is>
      </c>
      <c r="L58" s="17" t="n"/>
      <c r="M58" s="17" t="n"/>
      <c r="N58" s="17" t="inlineStr">
        <is>
          <t>24 Envolvedora</t>
        </is>
      </c>
      <c r="O58" s="17" t="n"/>
      <c r="P58" s="32" t="inlineStr">
        <is>
          <t>C</t>
        </is>
      </c>
      <c r="Q58" s="32" t="n"/>
      <c r="R58" s="17" t="n"/>
    </row>
    <row r="59" outlineLevel="1">
      <c r="A59" s="32" t="n">
        <v>2</v>
      </c>
      <c r="B59" s="32" t="inlineStr">
        <is>
          <t>SALESK6-E6</t>
        </is>
      </c>
      <c r="C59" s="17" t="inlineStr">
        <is>
          <t xml:space="preserve">        Cinta de embalaje PP 48 mm (cierre de la caja)</t>
        </is>
      </c>
      <c r="D59" s="32" t="n">
        <v>0.799</v>
      </c>
      <c r="E59" s="32" t="inlineStr">
        <is>
          <t>m</t>
        </is>
      </c>
      <c r="F59" s="33" t="n"/>
      <c r="G59" s="33" t="n"/>
      <c r="H59" s="32" t="inlineStr">
        <is>
          <t>Polipropileno con adhesivo acrílico</t>
        </is>
      </c>
      <c r="I59" s="17" t="inlineStr">
        <is>
          <t>cierre en I arriba y abajo: 2 × (259 + 2 × 70 de solapa)</t>
        </is>
      </c>
      <c r="J59" s="32" t="inlineStr">
        <is>
          <t>Compra</t>
        </is>
      </c>
      <c r="K59" s="32" t="inlineStr">
        <is>
          <t>No</t>
        </is>
      </c>
      <c r="L59" s="17" t="n"/>
      <c r="M59" s="17" t="n"/>
      <c r="N59" s="17" t="inlineStr">
        <is>
          <t>23 Embalaje</t>
        </is>
      </c>
      <c r="O59" s="17" t="n"/>
      <c r="P59" s="32" t="inlineStr">
        <is>
          <t>C</t>
        </is>
      </c>
      <c r="Q59" s="32" t="n"/>
      <c r="R59" s="17" t="inlineStr">
        <is>
          <t>Solapa de 70 mm por lado: práctica de cierre de cajas (medir en la línea)</t>
        </is>
      </c>
    </row>
    <row r="60" outlineLevel="1">
      <c r="A60" s="32" t="n">
        <v>2</v>
      </c>
      <c r="B60" s="32" t="inlineStr">
        <is>
          <t>SALESK6-E7</t>
        </is>
      </c>
      <c r="C60" s="17" t="inlineStr">
        <is>
          <t xml:space="preserve">        Esquineros de cartón 50 × 50 × 1200 (fracción del pallet)</t>
        </is>
      </c>
      <c r="D60" s="32" t="n">
        <v>0.0833</v>
      </c>
      <c r="E60" s="32" t="inlineStr">
        <is>
          <t>u</t>
        </is>
      </c>
      <c r="F60" s="33" t="n"/>
      <c r="G60" s="33" t="n"/>
      <c r="H60" s="32" t="inlineStr">
        <is>
          <t>Cartón</t>
        </is>
      </c>
      <c r="I60" s="17" t="inlineStr">
        <is>
          <t>4 por pallet / 48 u</t>
        </is>
      </c>
      <c r="J60" s="32" t="inlineStr">
        <is>
          <t>Compra</t>
        </is>
      </c>
      <c r="K60" s="32" t="inlineStr">
        <is>
          <t>No</t>
        </is>
      </c>
      <c r="L60" s="17" t="n"/>
      <c r="M60" s="17" t="n"/>
      <c r="N60" s="17" t="inlineStr">
        <is>
          <t>24 Envolvedora (T11)</t>
        </is>
      </c>
      <c r="O60" s="17" t="n"/>
      <c r="P60" s="32" t="inlineStr">
        <is>
          <t>C</t>
        </is>
      </c>
      <c r="Q60" s="32" t="n"/>
      <c r="R60" s="17" t="inlineStr">
        <is>
          <t>Planilla MP-64</t>
        </is>
      </c>
    </row>
  </sheetData>
  <autoFilter ref="A10:R60"/>
  <pageMargins left="0.75" right="0.75" top="1" bottom="1" header="0.5" footer="0.5"/>
  <pageSetup orientation="landscape" fitToHeight="0" fitToWidth="1"/>
</worksheet>
</file>

<file path=xl/worksheets/sheet25.xml><?xml version="1.0" encoding="utf-8"?>
<worksheet xmlns="http://schemas.openxmlformats.org/spreadsheetml/2006/main">
  <sheetPr>
    <tabColor rgb="00BF8F00"/>
    <outlinePr summaryBelow="0" summaryRight="1"/>
    <pageSetUpPr fitToPage="1"/>
  </sheetPr>
  <dimension ref="A1:R54"/>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FL_MAT_CO2_2kg</t>
        </is>
      </c>
    </row>
    <row r="2">
      <c r="A2" s="58" t="inlineStr">
        <is>
          <t>Extintor CO₂ 2 kg</t>
        </is>
      </c>
    </row>
    <row r="3">
      <c r="A3" s="2" t="inlineStr">
        <is>
          <t>Plano de origen</t>
        </is>
      </c>
      <c r="C3" t="inlineStr">
        <is>
          <t>FL_MAT_CO2_2kg  (4 láminas)</t>
        </is>
      </c>
      <c r="E3" s="2" t="inlineStr">
        <is>
          <t>Peso vacío S1-S4 (kg)</t>
        </is>
      </c>
      <c r="G3" s="59">
        <f>G13+G16+G30</f>
        <v/>
      </c>
    </row>
    <row r="4">
      <c r="A4" s="2" t="inlineStr">
        <is>
          <t>Plano de despiece</t>
        </is>
      </c>
      <c r="C4" t="inlineStr">
        <is>
          <t>FL_DES_CO2_2kg (salida/despiece/)</t>
        </is>
      </c>
      <c r="E4" s="2" t="inlineStr">
        <is>
          <t>Peso cargado S1-S6 (kg)</t>
        </is>
      </c>
      <c r="G4" s="59">
        <f>G13+G16+G30+G34+G36</f>
        <v/>
      </c>
    </row>
    <row r="5">
      <c r="A5" s="2" t="inlineStr">
        <is>
          <t>Norma del producto</t>
        </is>
      </c>
      <c r="C5" t="inlineStr">
        <is>
          <t>IRAM 3509</t>
        </is>
      </c>
      <c r="E5" s="2" t="inlineStr">
        <is>
          <t>Peso con soporte y embalaje (kg)</t>
        </is>
      </c>
      <c r="G5" s="59">
        <f>G13+G16+G30+G34+G36+G47+G44</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9</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FL_MAT_CO2_2kg</t>
        </is>
      </c>
      <c r="C11" s="27" t="inlineStr">
        <is>
          <t>Extintor CO₂ 2 kg</t>
        </is>
      </c>
      <c r="D11" s="26" t="n">
        <v>1</v>
      </c>
      <c r="E11" s="26" t="inlineStr">
        <is>
          <t>u</t>
        </is>
      </c>
      <c r="F11" s="28" t="n"/>
      <c r="G11" s="28">
        <f>G5</f>
        <v/>
      </c>
      <c r="H11" s="26" t="n"/>
      <c r="I11" s="27" t="n"/>
      <c r="J11" s="26" t="n"/>
      <c r="K11" s="26" t="n"/>
      <c r="L11" s="27" t="n"/>
      <c r="M11" s="27" t="n"/>
      <c r="N11" s="27" t="n"/>
      <c r="O11" s="27" t="inlineStr">
        <is>
          <t>IRAM 3509</t>
        </is>
      </c>
      <c r="P11" s="26" t="inlineStr">
        <is>
          <t>P</t>
        </is>
      </c>
      <c r="Q11" s="26" t="inlineStr">
        <is>
          <t>FL_MAT_CO2_2kg</t>
        </is>
      </c>
      <c r="R11" s="27" t="inlineStr">
        <is>
          <t>Revendido: se compra terminado al fabricante con Sello IRAM; las piezas internas quedan como referencia (no entran en MRP)</t>
        </is>
      </c>
    </row>
    <row r="12">
      <c r="A12" s="29" t="n">
        <v>1</v>
      </c>
      <c r="B12" s="29" t="inlineStr">
        <is>
          <t>CO22-S0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Mozart S.R.L.</t>
        </is>
      </c>
      <c r="M12" s="30" t="inlineStr">
        <is>
          <t>Matafuegos Georgia - venta mayorista</t>
        </is>
      </c>
      <c r="N12" s="30" t="inlineStr">
        <is>
          <t>Recepción y control de ingreso (SP-1)</t>
        </is>
      </c>
      <c r="O12" s="30" t="inlineStr">
        <is>
          <t>IRAM 3509</t>
        </is>
      </c>
      <c r="P12" s="29" t="inlineStr">
        <is>
          <t>I</t>
        </is>
      </c>
      <c r="Q12" s="29" t="inlineStr">
        <is>
          <t>FL_MAT_CO2_2kg</t>
        </is>
      </c>
      <c r="R12" s="30" t="inlineStr">
        <is>
          <t>Única fila de compra del revendido (más la tarjeta AGC si el destino es CABA)</t>
        </is>
      </c>
    </row>
    <row r="13">
      <c r="A13" s="29" t="n">
        <v>1</v>
      </c>
      <c r="B13" s="29" t="inlineStr">
        <is>
          <t>CO22-S1</t>
        </is>
      </c>
      <c r="C13" s="30" t="inlineStr">
        <is>
          <t xml:space="preserve">    Recipiente (cilindro)</t>
        </is>
      </c>
      <c r="D13" s="29" t="n">
        <v>1</v>
      </c>
      <c r="E13" s="29" t="inlineStr">
        <is>
          <t>u</t>
        </is>
      </c>
      <c r="F13" s="31" t="n"/>
      <c r="G13" s="31">
        <f>G14+G15</f>
        <v/>
      </c>
      <c r="H13" s="29" t="n"/>
      <c r="I13" s="30" t="n"/>
      <c r="J13" s="29" t="inlineStr">
        <is>
          <t>Compra / armado</t>
        </is>
      </c>
      <c r="K13" s="29" t="n"/>
      <c r="L13" s="30" t="n"/>
      <c r="M13" s="30" t="n"/>
      <c r="N13" s="30" t="n"/>
      <c r="O13" s="30" t="inlineStr">
        <is>
          <t>IRAM 3523 / 3550 (recipiente)</t>
        </is>
      </c>
      <c r="P13" s="29" t="inlineStr">
        <is>
          <t>P</t>
        </is>
      </c>
      <c r="Q13" s="29" t="inlineStr">
        <is>
          <t>FL_DES_CO2_2kg</t>
        </is>
      </c>
      <c r="R13" s="30" t="n"/>
    </row>
    <row r="14" outlineLevel="1">
      <c r="A14" s="32" t="n">
        <v>2</v>
      </c>
      <c r="B14" s="32" t="inlineStr">
        <is>
          <t>CO22-01</t>
        </is>
      </c>
      <c r="C14" s="17" t="inlineStr">
        <is>
          <t xml:space="preserve">        Cilindro sin costura</t>
        </is>
      </c>
      <c r="D14" s="32" t="n">
        <v>1</v>
      </c>
      <c r="E14" s="32" t="inlineStr">
        <is>
          <t>u</t>
        </is>
      </c>
      <c r="F14" s="33" t="n">
        <v>5.7663</v>
      </c>
      <c r="G14" s="33">
        <f>D14*F14</f>
        <v/>
      </c>
      <c r="H14" s="32" t="inlineStr">
        <is>
          <t>Tubo acero 34CrMo4 sin costura e=5,4</t>
        </is>
      </c>
      <c r="I14" s="17" t="inlineStr">
        <is>
          <t>Cilindro sin costura Ø114 × e5,4 × 411,2 de alto (cuello integral)</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FL_DES_CO2_2kg</t>
        </is>
      </c>
      <c r="R14" s="17" t="inlineStr">
        <is>
          <t>cuello integral</t>
        </is>
      </c>
    </row>
    <row r="15" outlineLevel="1">
      <c r="A15" s="32" t="n">
        <v>2</v>
      </c>
      <c r="B15" s="32" t="inlineStr">
        <is>
          <t>CO22-13</t>
        </is>
      </c>
      <c r="C15" s="17" t="inlineStr">
        <is>
          <t xml:space="preserve">        Pie de apoyo</t>
        </is>
      </c>
      <c r="D15" s="32" t="n">
        <v>1</v>
      </c>
      <c r="E15" s="32" t="inlineStr">
        <is>
          <t>u</t>
        </is>
      </c>
      <c r="F15" s="33" t="n">
        <v>0.066</v>
      </c>
      <c r="G15" s="33">
        <f>D15*F15</f>
        <v/>
      </c>
      <c r="H15" s="32" t="inlineStr">
        <is>
          <t>Polietileno AD</t>
        </is>
      </c>
      <c r="I15" s="17" t="inlineStr">
        <is>
          <t>114 × 114 × 31,4</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FL_DES_CO2_2kg</t>
        </is>
      </c>
      <c r="R15" s="17" t="n"/>
    </row>
    <row r="16">
      <c r="A16" s="29" t="n">
        <v>1</v>
      </c>
      <c r="B16" s="29" t="inlineStr">
        <is>
          <t>CO22-S2</t>
        </is>
      </c>
      <c r="C16" s="30" t="inlineStr">
        <is>
          <t xml:space="preserve">    Conjunto de válvula</t>
        </is>
      </c>
      <c r="D16" s="29" t="n">
        <v>1</v>
      </c>
      <c r="E16" s="29" t="inlineStr">
        <is>
          <t>u</t>
        </is>
      </c>
      <c r="F16" s="31" t="n"/>
      <c r="G16" s="31">
        <f>G17+G18+G19+G20+G21+G22+G23+G24+G25+G26+G27+G28</f>
        <v/>
      </c>
      <c r="H16" s="29" t="n"/>
      <c r="I16" s="30" t="n"/>
      <c r="J16" s="29" t="inlineStr">
        <is>
          <t>Compra / armado</t>
        </is>
      </c>
      <c r="K16" s="29" t="n"/>
      <c r="L16" s="30" t="n"/>
      <c r="M16" s="30" t="n"/>
      <c r="N16" s="30" t="n"/>
      <c r="O16" s="30" t="inlineStr">
        <is>
          <t>Manómetro IRAM 3533</t>
        </is>
      </c>
      <c r="P16" s="29" t="inlineStr">
        <is>
          <t>P</t>
        </is>
      </c>
      <c r="Q16" s="29" t="inlineStr">
        <is>
          <t>FL_DES_CO2_2kg</t>
        </is>
      </c>
      <c r="R16" s="30" t="n"/>
    </row>
    <row r="17" outlineLevel="1">
      <c r="A17" s="32" t="n">
        <v>2</v>
      </c>
      <c r="B17" s="32" t="inlineStr">
        <is>
          <t>CO22-02</t>
        </is>
      </c>
      <c r="C17" s="17" t="inlineStr">
        <is>
          <t xml:space="preserve">        Espiga roscada</t>
        </is>
      </c>
      <c r="D17" s="32" t="n">
        <v>1</v>
      </c>
      <c r="E17" s="32" t="inlineStr">
        <is>
          <t>u</t>
        </is>
      </c>
      <c r="F17" s="33" t="n">
        <v>0.0296</v>
      </c>
      <c r="G17" s="33">
        <f>D17*F17</f>
        <v/>
      </c>
      <c r="H17" s="32" t="inlineStr">
        <is>
          <t>Latón forjado</t>
        </is>
      </c>
      <c r="I17" s="17" t="inlineStr">
        <is>
          <t>29,8 × 29,8 × 10,8</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FL_DES_CO2_2kg</t>
        </is>
      </c>
      <c r="R17" s="17" t="n"/>
    </row>
    <row r="18" outlineLevel="1">
      <c r="A18" s="32" t="n">
        <v>2</v>
      </c>
      <c r="B18" s="32" t="inlineStr">
        <is>
          <t>CO22-03</t>
        </is>
      </c>
      <c r="C18" s="17" t="inlineStr">
        <is>
          <t xml:space="preserve">        Collarín de válvula</t>
        </is>
      </c>
      <c r="D18" s="32" t="n">
        <v>1</v>
      </c>
      <c r="E18" s="32" t="inlineStr">
        <is>
          <t>u</t>
        </is>
      </c>
      <c r="F18" s="33" t="n">
        <v>0.0072</v>
      </c>
      <c r="G18" s="33">
        <f>D18*F18</f>
        <v/>
      </c>
      <c r="H18" s="32" t="inlineStr">
        <is>
          <t>Latón forjado</t>
        </is>
      </c>
      <c r="I18" s="17" t="inlineStr">
        <is>
          <t>27,2 × 27,2 × 4,1</t>
        </is>
      </c>
      <c r="J18" s="32" t="inlineStr">
        <is>
          <t>Compra (en el conjunto)</t>
        </is>
      </c>
      <c r="K18" s="32" t="inlineStr">
        <is>
          <t>No</t>
        </is>
      </c>
      <c r="L18" s="17" t="n"/>
      <c r="M18" s="17" t="n"/>
      <c r="N18" s="17" t="inlineStr">
        <is>
          <t>S4 - se compra terminado (tercerizado con sello IRAM)</t>
        </is>
      </c>
      <c r="O18" s="17" t="n"/>
      <c r="P18" s="32" t="inlineStr">
        <is>
          <t>P</t>
        </is>
      </c>
      <c r="Q18" s="32" t="inlineStr">
        <is>
          <t>FL_DES_CO2_2kg</t>
        </is>
      </c>
      <c r="R18" s="17" t="n"/>
    </row>
    <row r="19" outlineLevel="1">
      <c r="A19" s="32" t="n">
        <v>2</v>
      </c>
      <c r="B19" s="32" t="inlineStr">
        <is>
          <t>CO22-04</t>
        </is>
      </c>
      <c r="C19" s="17" t="inlineStr">
        <is>
          <t xml:space="preserve">        Cuerpo de válvula</t>
        </is>
      </c>
      <c r="D19" s="32" t="n">
        <v>1</v>
      </c>
      <c r="E19" s="32" t="inlineStr">
        <is>
          <t>u</t>
        </is>
      </c>
      <c r="F19" s="33" t="n">
        <v>0.134</v>
      </c>
      <c r="G19" s="33">
        <f>D19*F19</f>
        <v/>
      </c>
      <c r="H19" s="32" t="inlineStr">
        <is>
          <t>Latón forjado</t>
        </is>
      </c>
      <c r="I19" s="17" t="inlineStr">
        <is>
          <t>43,9 × 32 × 24,5</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FL_DES_CO2_2kg</t>
        </is>
      </c>
      <c r="R19" s="17" t="n"/>
    </row>
    <row r="20" outlineLevel="1">
      <c r="A20" s="32" t="n">
        <v>2</v>
      </c>
      <c r="B20" s="32" t="inlineStr">
        <is>
          <t>CO22-05</t>
        </is>
      </c>
      <c r="C20" s="17" t="inlineStr">
        <is>
          <t xml:space="preserve">        Disco de seguridad</t>
        </is>
      </c>
      <c r="D20" s="32" t="n">
        <v>1</v>
      </c>
      <c r="E20" s="32" t="inlineStr">
        <is>
          <t>u</t>
        </is>
      </c>
      <c r="F20" s="33" t="n">
        <v>0.0097</v>
      </c>
      <c r="G20" s="33">
        <f>D20*F20</f>
        <v/>
      </c>
      <c r="H20" s="32" t="inlineStr">
        <is>
          <t>Latón / disco de cobre</t>
        </is>
      </c>
      <c r="I20" s="17" t="inlineStr">
        <is>
          <t>14 × 12,1 × 9</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FL_DES_CO2_2kg</t>
        </is>
      </c>
      <c r="R20" s="17" t="inlineStr">
        <is>
          <t>rotura 18 a 21 MPa</t>
        </is>
      </c>
    </row>
    <row r="21" outlineLevel="1">
      <c r="A21" s="32" t="n">
        <v>2</v>
      </c>
      <c r="B21" s="32" t="inlineStr">
        <is>
          <t>CO22-06</t>
        </is>
      </c>
      <c r="C21" s="17" t="inlineStr">
        <is>
          <t xml:space="preserve">        Vástago</t>
        </is>
      </c>
      <c r="D21" s="32" t="n">
        <v>1</v>
      </c>
      <c r="E21" s="32" t="inlineStr">
        <is>
          <t>u</t>
        </is>
      </c>
      <c r="F21" s="33" t="n">
        <v>0.0137</v>
      </c>
      <c r="G21" s="33">
        <f>D21*F21</f>
        <v/>
      </c>
      <c r="H21" s="32" t="inlineStr">
        <is>
          <t>Latón</t>
        </is>
      </c>
      <c r="I21" s="17" t="inlineStr">
        <is>
          <t>35,6 × 14 × 14</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FL_DES_CO2_2kg</t>
        </is>
      </c>
      <c r="R21" s="17" t="inlineStr">
        <is>
          <t>con junta tórica</t>
        </is>
      </c>
    </row>
    <row r="22" outlineLevel="1">
      <c r="A22" s="32" t="n">
        <v>2</v>
      </c>
      <c r="B22" s="32" t="inlineStr">
        <is>
          <t>CO22-07</t>
        </is>
      </c>
      <c r="C22" s="17" t="inlineStr">
        <is>
          <t xml:space="preserve">        Resorte de válvula</t>
        </is>
      </c>
      <c r="D22" s="32" t="n">
        <v>1</v>
      </c>
      <c r="E22" s="32" t="inlineStr">
        <is>
          <t>u</t>
        </is>
      </c>
      <c r="F22" s="33" t="n">
        <v>0.0049</v>
      </c>
      <c r="G22" s="33">
        <f>D22*F22</f>
        <v/>
      </c>
      <c r="H22" s="32" t="inlineStr">
        <is>
          <t>Alambre acero inox. AISI 302</t>
        </is>
      </c>
      <c r="I22" s="17" t="inlineStr">
        <is>
          <t>28,8 × 17,3 × 17,3</t>
        </is>
      </c>
      <c r="J22" s="32" t="inlineStr">
        <is>
          <t>Compra (en el conjunto)</t>
        </is>
      </c>
      <c r="K22" s="32" t="inlineStr">
        <is>
          <t>No</t>
        </is>
      </c>
      <c r="L22" s="17" t="n"/>
      <c r="M22" s="17" t="n"/>
      <c r="N22" s="17" t="inlineStr">
        <is>
          <t>S4 - se compra terminado (tercerizado con sello IRAM)</t>
        </is>
      </c>
      <c r="O22" s="17" t="n"/>
      <c r="P22" s="32" t="inlineStr">
        <is>
          <t>P</t>
        </is>
      </c>
      <c r="Q22" s="32" t="inlineStr">
        <is>
          <t>FL_DES_CO2_2kg</t>
        </is>
      </c>
      <c r="R22" s="17" t="inlineStr">
        <is>
          <t>cierre del vástago</t>
        </is>
      </c>
    </row>
    <row r="23" outlineLevel="1">
      <c r="A23" s="32" t="n">
        <v>2</v>
      </c>
      <c r="B23" s="32" t="inlineStr">
        <is>
          <t>CO22-08</t>
        </is>
      </c>
      <c r="C23" s="17" t="inlineStr">
        <is>
          <t xml:space="preserve">        Eje de palanca</t>
        </is>
      </c>
      <c r="D23" s="32" t="n">
        <v>1</v>
      </c>
      <c r="E23" s="32" t="inlineStr">
        <is>
          <t>u</t>
        </is>
      </c>
      <c r="F23" s="33" t="n">
        <v>0.0033</v>
      </c>
      <c r="G23" s="33">
        <f>D23*F23</f>
        <v/>
      </c>
      <c r="H23" s="32" t="inlineStr">
        <is>
          <t>Acero inox. AISI 304</t>
        </is>
      </c>
      <c r="I23" s="17" t="inlineStr">
        <is>
          <t>33 × 4 × 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FL_DES_CO2_2kg</t>
        </is>
      </c>
      <c r="R23" s="17" t="n"/>
    </row>
    <row r="24" outlineLevel="1">
      <c r="A24" s="32" t="n">
        <v>2</v>
      </c>
      <c r="B24" s="32" t="inlineStr">
        <is>
          <t>CO22-09</t>
        </is>
      </c>
      <c r="C24" s="17" t="inlineStr">
        <is>
          <t xml:space="preserve">        Pasador de seguridad</t>
        </is>
      </c>
      <c r="D24" s="32" t="n">
        <v>1</v>
      </c>
      <c r="E24" s="32" t="inlineStr">
        <is>
          <t>u</t>
        </is>
      </c>
      <c r="F24" s="33" t="n">
        <v>0.0055</v>
      </c>
      <c r="G24" s="33">
        <f>D24*F24</f>
        <v/>
      </c>
      <c r="H24" s="32" t="inlineStr">
        <is>
          <t>Alambre acero inox. AISI 304</t>
        </is>
      </c>
      <c r="I24" s="17" t="inlineStr">
        <is>
          <t>45,9 × 21 × 20,8</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FL_DES_CO2_2kg</t>
        </is>
      </c>
      <c r="R24" s="17" t="inlineStr">
        <is>
          <t>con precinto</t>
        </is>
      </c>
    </row>
    <row r="25" outlineLevel="1">
      <c r="A25" s="32" t="n">
        <v>2</v>
      </c>
      <c r="B25" s="32" t="inlineStr">
        <is>
          <t>CO22-10</t>
        </is>
      </c>
      <c r="C25" s="17" t="inlineStr">
        <is>
          <t xml:space="preserve">        Manija de accionamiento</t>
        </is>
      </c>
      <c r="D25" s="32" t="n">
        <v>1</v>
      </c>
      <c r="E25" s="32" t="inlineStr">
        <is>
          <t>u</t>
        </is>
      </c>
      <c r="F25" s="33" t="n">
        <v>0.0959</v>
      </c>
      <c r="G25" s="33">
        <f>D25*F25</f>
        <v/>
      </c>
      <c r="H25" s="32" t="inlineStr">
        <is>
          <t>Chapa acero SAE 1010 pintada</t>
        </is>
      </c>
      <c r="I25" s="17" t="inlineStr">
        <is>
          <t>124,6 × 31 × 29,3</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FL_DES_CO2_2kg</t>
        </is>
      </c>
      <c r="R25" s="17" t="n"/>
    </row>
    <row r="26" outlineLevel="1">
      <c r="A26" s="32" t="n">
        <v>2</v>
      </c>
      <c r="B26" s="32" t="inlineStr">
        <is>
          <t>CO22-11</t>
        </is>
      </c>
      <c r="C26" s="17" t="inlineStr">
        <is>
          <t xml:space="preserve">        Manija de transporte</t>
        </is>
      </c>
      <c r="D26" s="32" t="n">
        <v>1</v>
      </c>
      <c r="E26" s="32" t="inlineStr">
        <is>
          <t>u</t>
        </is>
      </c>
      <c r="F26" s="33" t="n">
        <v>0.0757</v>
      </c>
      <c r="G26" s="33">
        <f>D26*F26</f>
        <v/>
      </c>
      <c r="H26" s="32" t="inlineStr">
        <is>
          <t>Chapa acero SAE 1010 pintada</t>
        </is>
      </c>
      <c r="I26" s="17" t="inlineStr">
        <is>
          <t>102,6 × 35 × 25,4</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FL_DES_CO2_2kg</t>
        </is>
      </c>
      <c r="R26" s="17" t="n"/>
    </row>
    <row r="27" outlineLevel="1">
      <c r="A27" s="32" t="n">
        <v>2</v>
      </c>
      <c r="B27" s="32" t="inlineStr">
        <is>
          <t>CO22-12</t>
        </is>
      </c>
      <c r="C27" s="17" t="inlineStr">
        <is>
          <t xml:space="preserve">        Caño de pesca (sifón)</t>
        </is>
      </c>
      <c r="D27" s="32" t="n">
        <v>1</v>
      </c>
      <c r="E27" s="32" t="inlineStr">
        <is>
          <t>u</t>
        </is>
      </c>
      <c r="F27" s="33" t="n">
        <v>0.0408</v>
      </c>
      <c r="G27" s="33">
        <f>D27*F27</f>
        <v/>
      </c>
      <c r="H27" s="32" t="inlineStr">
        <is>
          <t>Tubo aluminio</t>
        </is>
      </c>
      <c r="I27" s="17" t="inlineStr">
        <is>
          <t>Ø10 × 377 de largo</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FL_DES_CO2_2kg</t>
        </is>
      </c>
      <c r="R27" s="17" t="n"/>
    </row>
    <row r="28" outlineLevel="1">
      <c r="A28" s="32" t="n">
        <v>2</v>
      </c>
      <c r="B28" s="32" t="inlineStr">
        <is>
          <t>CO22-22</t>
        </is>
      </c>
      <c r="C28" s="17" t="inlineStr">
        <is>
          <t xml:space="preserve">        Junta tórica de asiento</t>
        </is>
      </c>
      <c r="D28" s="32" t="n">
        <v>1</v>
      </c>
      <c r="E28" s="32" t="inlineStr">
        <is>
          <t>u</t>
        </is>
      </c>
      <c r="F28" s="33" t="n">
        <v>0.001</v>
      </c>
      <c r="G28" s="33">
        <f>D28*F28</f>
        <v/>
      </c>
      <c r="H28" s="32" t="inlineStr">
        <is>
          <t>NBR 70 Shore A</t>
        </is>
      </c>
      <c r="I28" s="17" t="inlineStr">
        <is>
          <t>Ø32,8 ext. × cordón 3</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FL_DES_CO2_2kg</t>
        </is>
      </c>
      <c r="R28" s="17" t="inlineStr">
        <is>
          <t>cambio c/recarga</t>
        </is>
      </c>
    </row>
    <row r="29" outlineLevel="1">
      <c r="A29" s="32" t="n">
        <v>2</v>
      </c>
      <c r="B29" s="32" t="inlineStr">
        <is>
          <t>CO22-V3</t>
        </is>
      </c>
      <c r="C29" s="17" t="inlineStr">
        <is>
          <t xml:space="preserve">        Junta tórica del vástago</t>
        </is>
      </c>
      <c r="D29" s="32" t="n">
        <v>1</v>
      </c>
      <c r="E29" s="32" t="inlineStr">
        <is>
          <t>u</t>
        </is>
      </c>
      <c r="F29" s="33" t="n"/>
      <c r="G29" s="33" t="n"/>
      <c r="H29" s="32" t="inlineStr">
        <is>
          <t>NBR 70 Shore A</t>
        </is>
      </c>
      <c r="I29" s="17" t="inlineStr">
        <is>
          <t>incluida en la válvula</t>
        </is>
      </c>
      <c r="J29" s="32" t="inlineStr">
        <is>
          <t>Compra (en el conjunto)</t>
        </is>
      </c>
      <c r="K29" s="32" t="inlineStr">
        <is>
          <t>No</t>
        </is>
      </c>
      <c r="L29" s="17" t="n"/>
      <c r="M29" s="17" t="n"/>
      <c r="N29" s="17" t="inlineStr">
        <is>
          <t>19 Ensamblaje</t>
        </is>
      </c>
      <c r="O29" s="17" t="n"/>
      <c r="P29" s="32" t="inlineStr">
        <is>
          <t>P</t>
        </is>
      </c>
      <c r="Q29" s="32" t="n"/>
      <c r="R29" s="17" t="inlineStr">
        <is>
          <t>Figura en el plano como «vástago con junta tórica»</t>
        </is>
      </c>
    </row>
    <row r="30">
      <c r="A30" s="29" t="n">
        <v>1</v>
      </c>
      <c r="B30" s="29" t="inlineStr">
        <is>
          <t>CO22-S3</t>
        </is>
      </c>
      <c r="C30" s="30" t="inlineStr">
        <is>
          <t xml:space="preserve">    Dispositivo de descarga</t>
        </is>
      </c>
      <c r="D30" s="29" t="n">
        <v>1</v>
      </c>
      <c r="E30" s="29" t="inlineStr">
        <is>
          <t>u</t>
        </is>
      </c>
      <c r="F30" s="31" t="n"/>
      <c r="G30" s="31">
        <f>G31+G32+G33</f>
        <v/>
      </c>
      <c r="H30" s="29" t="n"/>
      <c r="I30" s="30" t="n"/>
      <c r="J30" s="29" t="inlineStr">
        <is>
          <t>Compra / armado</t>
        </is>
      </c>
      <c r="K30" s="29" t="n"/>
      <c r="L30" s="30" t="n"/>
      <c r="M30" s="30" t="n"/>
      <c r="N30" s="30" t="n"/>
      <c r="O30" s="30" t="n"/>
      <c r="P30" s="29" t="inlineStr">
        <is>
          <t>P</t>
        </is>
      </c>
      <c r="Q30" s="29" t="inlineStr">
        <is>
          <t>FL_DES_CO2_2kg</t>
        </is>
      </c>
      <c r="R30" s="30" t="n"/>
    </row>
    <row r="31" outlineLevel="1">
      <c r="A31" s="32" t="n">
        <v>2</v>
      </c>
      <c r="B31" s="32" t="inlineStr">
        <is>
          <t>CO22-14</t>
        </is>
      </c>
      <c r="C31" s="17" t="inlineStr">
        <is>
          <t xml:space="preserve">        Brazo giratorio</t>
        </is>
      </c>
      <c r="D31" s="32" t="n">
        <v>1</v>
      </c>
      <c r="E31" s="32" t="inlineStr">
        <is>
          <t>u</t>
        </is>
      </c>
      <c r="F31" s="33" t="n">
        <v>0.0479</v>
      </c>
      <c r="G31" s="33">
        <f>D31*F31</f>
        <v/>
      </c>
      <c r="H31" s="32" t="inlineStr">
        <is>
          <t>Tubo acero SAE 1010</t>
        </is>
      </c>
      <c r="I31" s="17" t="inlineStr">
        <is>
          <t>tubo Ø12 × 120 de largo desarrollado</t>
        </is>
      </c>
      <c r="J31" s="32" t="inlineStr">
        <is>
          <t>Compra (en el conjunto)</t>
        </is>
      </c>
      <c r="K31" s="32" t="inlineStr">
        <is>
          <t>No</t>
        </is>
      </c>
      <c r="L31" s="17" t="n"/>
      <c r="M31" s="17" t="n"/>
      <c r="N31" s="17" t="inlineStr">
        <is>
          <t>S4 - se compra terminado (tercerizado con sello IRAM)</t>
        </is>
      </c>
      <c r="O31" s="17" t="n"/>
      <c r="P31" s="32" t="inlineStr">
        <is>
          <t>P</t>
        </is>
      </c>
      <c r="Q31" s="32" t="inlineStr">
        <is>
          <t>FL_DES_CO2_2kg</t>
        </is>
      </c>
      <c r="R31" s="17" t="n"/>
    </row>
    <row r="32" outlineLevel="1">
      <c r="A32" s="32" t="n">
        <v>2</v>
      </c>
      <c r="B32" s="32" t="inlineStr">
        <is>
          <t>CO22-15</t>
        </is>
      </c>
      <c r="C32" s="17" t="inlineStr">
        <is>
          <t xml:space="preserve">        Difusor (bocina)</t>
        </is>
      </c>
      <c r="D32" s="32" t="n">
        <v>1</v>
      </c>
      <c r="E32" s="32" t="inlineStr">
        <is>
          <t>u</t>
        </is>
      </c>
      <c r="F32" s="33" t="n">
        <v>0.0564</v>
      </c>
      <c r="G32" s="33">
        <f>D32*F32</f>
        <v/>
      </c>
      <c r="H32" s="32" t="inlineStr">
        <is>
          <t>Polietileno AD</t>
        </is>
      </c>
      <c r="I32" s="17" t="inlineStr">
        <is>
          <t>170 × 70 × 70</t>
        </is>
      </c>
      <c r="J32" s="32" t="inlineStr">
        <is>
          <t>Compra (en el conjunto)</t>
        </is>
      </c>
      <c r="K32" s="32" t="inlineStr">
        <is>
          <t>No</t>
        </is>
      </c>
      <c r="L32" s="17" t="n"/>
      <c r="M32" s="17" t="n"/>
      <c r="N32" s="17" t="inlineStr">
        <is>
          <t>S4 - se compra terminado (tercerizado con sello IRAM)</t>
        </is>
      </c>
      <c r="O32" s="17" t="n"/>
      <c r="P32" s="32" t="inlineStr">
        <is>
          <t>P</t>
        </is>
      </c>
      <c r="Q32" s="32" t="inlineStr">
        <is>
          <t>FL_DES_CO2_2kg</t>
        </is>
      </c>
      <c r="R32" s="17" t="inlineStr">
        <is>
          <t>aislante térmico y eléctrico</t>
        </is>
      </c>
    </row>
    <row r="33" outlineLevel="1">
      <c r="A33" s="32" t="n">
        <v>2</v>
      </c>
      <c r="B33" s="32" t="inlineStr">
        <is>
          <t>CO22-16</t>
        </is>
      </c>
      <c r="C33" s="17" t="inlineStr">
        <is>
          <t xml:space="preserve">        Empuñadura</t>
        </is>
      </c>
      <c r="D33" s="32" t="n">
        <v>1</v>
      </c>
      <c r="E33" s="32" t="inlineStr">
        <is>
          <t>u</t>
        </is>
      </c>
      <c r="F33" s="33" t="n">
        <v>0.0144</v>
      </c>
      <c r="G33" s="33">
        <f>D33*F33</f>
        <v/>
      </c>
      <c r="H33" s="32" t="inlineStr">
        <is>
          <t>Polipropileno</t>
        </is>
      </c>
      <c r="I33" s="17" t="inlineStr">
        <is>
          <t>43,1 × 43,1 × 30</t>
        </is>
      </c>
      <c r="J33" s="32" t="inlineStr">
        <is>
          <t>Compra (en el conjunto)</t>
        </is>
      </c>
      <c r="K33" s="32" t="inlineStr">
        <is>
          <t>No</t>
        </is>
      </c>
      <c r="L33" s="17" t="n"/>
      <c r="M33" s="17" t="n"/>
      <c r="N33" s="17" t="inlineStr">
        <is>
          <t>S4 - se compra terminado (tercerizado con sello IRAM)</t>
        </is>
      </c>
      <c r="O33" s="17" t="n"/>
      <c r="P33" s="32" t="inlineStr">
        <is>
          <t>P</t>
        </is>
      </c>
      <c r="Q33" s="32" t="inlineStr">
        <is>
          <t>FL_DES_CO2_2kg</t>
        </is>
      </c>
      <c r="R33" s="17" t="n"/>
    </row>
    <row r="34">
      <c r="A34" s="29" t="n">
        <v>1</v>
      </c>
      <c r="B34" s="29" t="inlineStr">
        <is>
          <t>CO22-S5</t>
        </is>
      </c>
      <c r="C34" s="30" t="inlineStr">
        <is>
          <t xml:space="preserve">    Carga: agente extintor y gas impulsor</t>
        </is>
      </c>
      <c r="D34" s="29" t="n">
        <v>1</v>
      </c>
      <c r="E34" s="29" t="inlineStr">
        <is>
          <t>u</t>
        </is>
      </c>
      <c r="F34" s="31" t="n"/>
      <c r="G34" s="31">
        <f>G35</f>
        <v/>
      </c>
      <c r="H34" s="29" t="n"/>
      <c r="I34" s="30" t="n"/>
      <c r="J34" s="29" t="inlineStr">
        <is>
          <t>Compra</t>
        </is>
      </c>
      <c r="K34" s="29" t="n"/>
      <c r="L34" s="30" t="n"/>
      <c r="M34" s="30" t="n"/>
      <c r="N34" s="30" t="n"/>
      <c r="O34" s="30" t="n"/>
      <c r="P34" s="29" t="n"/>
      <c r="Q34" s="29" t="n"/>
      <c r="R34" s="30" t="n"/>
    </row>
    <row r="35" outlineLevel="1">
      <c r="A35" s="32" t="n">
        <v>2</v>
      </c>
      <c r="B35" s="32" t="inlineStr">
        <is>
          <t>CO22-A1</t>
        </is>
      </c>
      <c r="C35" s="17" t="inlineStr">
        <is>
          <t xml:space="preserve">        Dióxido de carbono (IRAM 41170)</t>
        </is>
      </c>
      <c r="D35" s="32" t="n">
        <v>2</v>
      </c>
      <c r="E35" s="32" t="inlineStr">
        <is>
          <t>kg</t>
        </is>
      </c>
      <c r="F35" s="33" t="n">
        <v>1</v>
      </c>
      <c r="G35" s="33">
        <f>D35*F35</f>
        <v/>
      </c>
      <c r="H35" s="32" t="inlineStr">
        <is>
          <t>Dióxido de carbono (IRAM 41170)</t>
        </is>
      </c>
      <c r="I35" s="17" t="inlineStr">
        <is>
          <t>nominal 2 kg; tolerancia 0 / -5 % (IRAM 3517-2:2020 tabla 3)</t>
        </is>
      </c>
      <c r="J35" s="32" t="inlineStr">
        <is>
          <t>Compra</t>
        </is>
      </c>
      <c r="K35" s="32" t="inlineStr">
        <is>
          <t>No</t>
        </is>
      </c>
      <c r="L35" s="17" t="n"/>
      <c r="M35" s="17" t="n"/>
      <c r="N35" s="17" t="inlineStr">
        <is>
          <t>SP-1 almacén previo a la carga</t>
        </is>
      </c>
      <c r="O35" s="17" t="inlineStr">
        <is>
          <t>IRAM 41170</t>
        </is>
      </c>
      <c r="P35" s="32" t="inlineStr">
        <is>
          <t>N</t>
        </is>
      </c>
      <c r="Q35" s="32" t="n"/>
      <c r="R35" s="17" t="n"/>
    </row>
    <row r="36">
      <c r="A36" s="29" t="n">
        <v>1</v>
      </c>
      <c r="B36" s="29" t="inlineStr">
        <is>
          <t>CO22-S6</t>
        </is>
      </c>
      <c r="C36" s="30" t="inlineStr">
        <is>
          <t xml:space="preserve">    Identificación y precinto</t>
        </is>
      </c>
      <c r="D36" s="29" t="n">
        <v>1</v>
      </c>
      <c r="E36" s="29" t="inlineStr">
        <is>
          <t>u</t>
        </is>
      </c>
      <c r="F36" s="31" t="n"/>
      <c r="G36" s="31">
        <f>G37+G38+G39+G40+G41+G42+G43</f>
        <v/>
      </c>
      <c r="H36" s="29" t="n"/>
      <c r="I36" s="30" t="n"/>
      <c r="J36" s="29" t="inlineStr">
        <is>
          <t>Compra</t>
        </is>
      </c>
      <c r="K36" s="29" t="n"/>
      <c r="L36" s="30" t="n"/>
      <c r="M36" s="30" t="n"/>
      <c r="N36" s="30" t="inlineStr">
        <is>
          <t>22 Etiquetado (T07)</t>
        </is>
      </c>
      <c r="O36" s="30" t="n"/>
      <c r="P36" s="29" t="n"/>
      <c r="Q36" s="29" t="n"/>
      <c r="R36" s="30" t="n"/>
    </row>
    <row r="37" outlineLevel="1">
      <c r="A37" s="32" t="n">
        <v>2</v>
      </c>
      <c r="B37" s="32" t="inlineStr">
        <is>
          <t>CO22-17</t>
        </is>
      </c>
      <c r="C37" s="17" t="inlineStr">
        <is>
          <t xml:space="preserve">        Etiqueta / placa de características</t>
        </is>
      </c>
      <c r="D37" s="32" t="n">
        <v>1</v>
      </c>
      <c r="E37" s="32" t="inlineStr">
        <is>
          <t>u</t>
        </is>
      </c>
      <c r="F37" s="33" t="n">
        <v>0.0262</v>
      </c>
      <c r="G37" s="33">
        <f>D37*F37</f>
        <v/>
      </c>
      <c r="H37" s="32" t="inlineStr">
        <is>
          <t>Vinilo autoadhesivo laminado</t>
        </is>
      </c>
      <c r="I37" s="17" t="inlineStr">
        <is>
          <t>215 × 290 (desarrollo × alto: panel central 108° + 2 alas laterales), e ≈ 0,3, laminado UV</t>
        </is>
      </c>
      <c r="J37" s="32" t="inlineStr">
        <is>
          <t>Compra</t>
        </is>
      </c>
      <c r="K37" s="32" t="inlineStr">
        <is>
          <t>No</t>
        </is>
      </c>
      <c r="L37" s="17" t="n"/>
      <c r="M37" s="17" t="n"/>
      <c r="N37" s="17" t="inlineStr">
        <is>
          <t>22 Etiquetado (T07)</t>
        </is>
      </c>
      <c r="O37" s="17" t="inlineStr">
        <is>
          <t>IRAM 3534 · IRAM 3509 cap. 5 · relevamiento de mercado</t>
        </is>
      </c>
      <c r="P37" s="32" t="inlineStr">
        <is>
          <t>P</t>
        </is>
      </c>
      <c r="Q37" s="32" t="inlineStr">
        <is>
          <t>FL_DES_CO2_2kg</t>
        </is>
      </c>
      <c r="R37" s="17" t="inlineStr">
        <is>
          <t>IRAM 3534</t>
        </is>
      </c>
    </row>
    <row r="38" outlineLevel="1">
      <c r="A38" s="32" t="n">
        <v>2</v>
      </c>
      <c r="B38" s="32" t="inlineStr">
        <is>
          <t>CO22-18</t>
        </is>
      </c>
      <c r="C38" s="17" t="inlineStr">
        <is>
          <t xml:space="preserve">        Oblea de fabricación (PBA)</t>
        </is>
      </c>
      <c r="D38" s="32" t="n">
        <v>1</v>
      </c>
      <c r="E38" s="32" t="inlineStr">
        <is>
          <t>u</t>
        </is>
      </c>
      <c r="F38" s="33" t="n">
        <v>0.0009</v>
      </c>
      <c r="G38" s="33">
        <f>D38*F38</f>
        <v/>
      </c>
      <c r="H38" s="32" t="inlineStr">
        <is>
          <t>Papel de seguridad autodestructible</t>
        </is>
      </c>
      <c r="I38" s="17" t="inlineStr">
        <is>
          <t>Ø46 (Res. OPDS 522/07), numerada, autodestructible</t>
        </is>
      </c>
      <c r="J38" s="32" t="inlineStr">
        <is>
          <t>Compra</t>
        </is>
      </c>
      <c r="K38" s="32" t="inlineStr">
        <is>
          <t>No</t>
        </is>
      </c>
      <c r="L38" s="17" t="n"/>
      <c r="M38" s="17" t="n"/>
      <c r="N38" s="17" t="inlineStr">
        <is>
          <t>22 Etiquetado (T07)</t>
        </is>
      </c>
      <c r="O38" s="17" t="inlineStr">
        <is>
          <t>Res. OPDS 522/07 anexos 1, 2 y 6</t>
        </is>
      </c>
      <c r="P38" s="32" t="inlineStr">
        <is>
          <t>P</t>
        </is>
      </c>
      <c r="Q38" s="32" t="inlineStr">
        <is>
          <t>FL_DES_CO2_2kg</t>
        </is>
      </c>
      <c r="R38" s="17" t="inlineStr">
        <is>
          <t>Res. 522/07</t>
        </is>
      </c>
    </row>
    <row r="39" outlineLevel="1">
      <c r="A39" s="32" t="n">
        <v>2</v>
      </c>
      <c r="B39" s="32" t="inlineStr">
        <is>
          <t>CO22-19</t>
        </is>
      </c>
      <c r="C39" s="17" t="inlineStr">
        <is>
          <t xml:space="preserve">        Estampilla IRAM de conformidad</t>
        </is>
      </c>
      <c r="D39" s="32" t="n">
        <v>1</v>
      </c>
      <c r="E39" s="32" t="inlineStr">
        <is>
          <t>u</t>
        </is>
      </c>
      <c r="F39" s="33" t="n">
        <v>0.001</v>
      </c>
      <c r="G39" s="33">
        <f>D39*F39</f>
        <v/>
      </c>
      <c r="H39" s="32" t="inlineStr">
        <is>
          <t>Provista por IRAM (Anexo R)</t>
        </is>
      </c>
      <c r="I39" s="17" t="inlineStr">
        <is>
          <t>60 × 40</t>
        </is>
      </c>
      <c r="J39" s="32" t="inlineStr">
        <is>
          <t>Compra</t>
        </is>
      </c>
      <c r="K39" s="32" t="inlineStr">
        <is>
          <t>No</t>
        </is>
      </c>
      <c r="L39" s="17" t="n"/>
      <c r="M39" s="17" t="n"/>
      <c r="N39" s="17" t="inlineStr">
        <is>
          <t>22 Etiquetado (T07)</t>
        </is>
      </c>
      <c r="O39" s="17" t="inlineStr">
        <is>
          <t>IRAM Anexo R (DC-PG-129)</t>
        </is>
      </c>
      <c r="P39" s="32" t="inlineStr">
        <is>
          <t>P</t>
        </is>
      </c>
      <c r="Q39" s="32" t="inlineStr">
        <is>
          <t>FL_DES_CO2_2kg</t>
        </is>
      </c>
      <c r="R39" s="17" t="inlineStr">
        <is>
          <t>numerada</t>
        </is>
      </c>
    </row>
    <row r="40" outlineLevel="1">
      <c r="A40" s="32" t="n">
        <v>2</v>
      </c>
      <c r="B40" s="32" t="inlineStr">
        <is>
          <t>CO22-20</t>
        </is>
      </c>
      <c r="C40" s="17" t="inlineStr">
        <is>
          <t xml:space="preserve">        Tarjeta de identificación AGC (CABA)</t>
        </is>
      </c>
      <c r="D40" s="32" t="n">
        <v>1</v>
      </c>
      <c r="E40" s="32" t="inlineStr">
        <is>
          <t>u</t>
        </is>
      </c>
      <c r="F40" s="33" t="n">
        <v>0.0032</v>
      </c>
      <c r="G40" s="33">
        <f>D40*F40</f>
        <v/>
      </c>
      <c r="H40" s="32" t="inlineStr">
        <is>
          <t>Etiqueta autoadhesiva emitida por la AGC</t>
        </is>
      </c>
      <c r="I40" s="17" t="inlineStr">
        <is>
          <t>140 × 55</t>
        </is>
      </c>
      <c r="J40" s="32" t="inlineStr">
        <is>
          <t>Compra</t>
        </is>
      </c>
      <c r="K40" s="32" t="inlineStr">
        <is>
          <t>Sí</t>
        </is>
      </c>
      <c r="L40" s="17" t="inlineStr">
        <is>
          <t>Agencia Gubernamental de Control (CABA)</t>
        </is>
      </c>
      <c r="M40" s="17" t="inlineStr">
        <is>
          <t>-</t>
        </is>
      </c>
      <c r="N40" s="17" t="inlineStr">
        <is>
          <t>22 Etiquetado (T07)</t>
        </is>
      </c>
      <c r="O40" s="17" t="inlineStr">
        <is>
          <t>Ordenanza 40.473 art. 6 · Res. AGC 32/15</t>
        </is>
      </c>
      <c r="P40" s="32" t="inlineStr">
        <is>
          <t>P</t>
        </is>
      </c>
      <c r="Q40" s="32" t="inlineStr">
        <is>
          <t>FL_DES_CO2_2kg</t>
        </is>
      </c>
      <c r="R40" s="17" t="inlineStr">
        <is>
          <t>sólo destino CABA; sólo destino CABA</t>
        </is>
      </c>
    </row>
    <row r="41" outlineLevel="1">
      <c r="A41" s="32" t="n">
        <v>2</v>
      </c>
      <c r="B41" s="32" t="inlineStr">
        <is>
          <t>CO22-21</t>
        </is>
      </c>
      <c r="C41" s="17" t="inlineStr">
        <is>
          <t xml:space="preserve">        Etiqueta de n° de serie GS1</t>
        </is>
      </c>
      <c r="D41" s="32" t="n">
        <v>1</v>
      </c>
      <c r="E41" s="32" t="inlineStr">
        <is>
          <t>u</t>
        </is>
      </c>
      <c r="F41" s="33" t="n">
        <v>0.0005</v>
      </c>
      <c r="G41" s="33">
        <f>D41*F41</f>
        <v/>
      </c>
      <c r="H41" s="32" t="inlineStr">
        <is>
          <t>Poliéster autoadhesivo impreso térmico</t>
        </is>
      </c>
      <c r="I41" s="17" t="inlineStr">
        <is>
          <t>45 × 25</t>
        </is>
      </c>
      <c r="J41" s="32" t="inlineStr">
        <is>
          <t>Compra</t>
        </is>
      </c>
      <c r="K41" s="32" t="inlineStr">
        <is>
          <t>No</t>
        </is>
      </c>
      <c r="L41" s="17" t="n"/>
      <c r="M41" s="17" t="n"/>
      <c r="N41" s="17" t="inlineStr">
        <is>
          <t>22 Etiquetado (T07)</t>
        </is>
      </c>
      <c r="O41" s="17" t="inlineStr">
        <is>
          <t>GS1 Argentina (GTIN 779) · trazabilidad IRAM 3523 5.1</t>
        </is>
      </c>
      <c r="P41" s="32" t="inlineStr">
        <is>
          <t>P</t>
        </is>
      </c>
      <c r="Q41" s="32" t="inlineStr">
        <is>
          <t>FL_DES_CO2_2kg</t>
        </is>
      </c>
      <c r="R41" s="17" t="inlineStr">
        <is>
          <t>QR GTIN + serie</t>
        </is>
      </c>
    </row>
    <row r="42" outlineLevel="1">
      <c r="A42" s="32" t="n">
        <v>2</v>
      </c>
      <c r="B42" s="32" t="inlineStr">
        <is>
          <t>CO22-23</t>
        </is>
      </c>
      <c r="C42" s="17" t="inlineStr">
        <is>
          <t xml:space="preserve">        Faja de garantía válvula-cuello</t>
        </is>
      </c>
      <c r="D42" s="32" t="n">
        <v>1</v>
      </c>
      <c r="E42" s="32" t="inlineStr">
        <is>
          <t>u</t>
        </is>
      </c>
      <c r="F42" s="33" t="n">
        <v>0.0003</v>
      </c>
      <c r="G42" s="33">
        <f>D42*F42</f>
        <v/>
      </c>
      <c r="H42" s="32" t="inlineStr">
        <is>
          <t>Vinilo destructible rayado rojo/blanco</t>
        </is>
      </c>
      <c r="I42" s="17" t="inlineStr">
        <is>
          <t>30 × 32 (ancho × largo desarrollado), pegada sobre la unión: cuerpo de la válvula, tuerca y cuello</t>
        </is>
      </c>
      <c r="J42" s="32" t="inlineStr">
        <is>
          <t>Compra</t>
        </is>
      </c>
      <c r="K42" s="32" t="inlineStr">
        <is>
          <t>No</t>
        </is>
      </c>
      <c r="L42" s="17" t="n"/>
      <c r="M42" s="17" t="n"/>
      <c r="N42" s="17" t="inlineStr">
        <is>
          <t>22 Etiquetado (T07)</t>
        </is>
      </c>
      <c r="O42" s="17" t="inlineStr">
        <is>
          <t>Sin norma: práctica de mercado (garantía de fábrica)</t>
        </is>
      </c>
      <c r="P42" s="32" t="inlineStr">
        <is>
          <t>P</t>
        </is>
      </c>
      <c r="Q42" s="32" t="inlineStr">
        <is>
          <t>FL_DES_CO2_2kg</t>
        </is>
      </c>
      <c r="R42" s="17" t="inlineStr">
        <is>
          <t>nuevo sin abrir</t>
        </is>
      </c>
    </row>
    <row r="43" outlineLevel="1">
      <c r="A43" s="32" t="n">
        <v>2</v>
      </c>
      <c r="B43" s="32" t="inlineStr">
        <is>
          <t>CO22-24</t>
        </is>
      </c>
      <c r="C43" s="17" t="inlineStr">
        <is>
          <t xml:space="preserve">        Precinto de fábrica</t>
        </is>
      </c>
      <c r="D43" s="32" t="n">
        <v>1</v>
      </c>
      <c r="E43" s="32" t="inlineStr">
        <is>
          <t>u</t>
        </is>
      </c>
      <c r="F43" s="33" t="n">
        <v>0.0002</v>
      </c>
      <c r="G43" s="33">
        <f>D43*F43</f>
        <v/>
      </c>
      <c r="H43" s="32" t="inlineStr">
        <is>
          <t>Polipropileno color</t>
        </is>
      </c>
      <c r="I43" s="17" t="inlineStr">
        <is>
          <t>Ø5 × 10, numerado, rotura 30-50 N</t>
        </is>
      </c>
      <c r="J43" s="32" t="inlineStr">
        <is>
          <t>Compra</t>
        </is>
      </c>
      <c r="K43" s="32" t="inlineStr">
        <is>
          <t>No</t>
        </is>
      </c>
      <c r="L43" s="17" t="n"/>
      <c r="M43" s="17" t="n"/>
      <c r="N43" s="17" t="inlineStr">
        <is>
          <t>20 Presurización (T05)</t>
        </is>
      </c>
      <c r="O43" s="17" t="inlineStr">
        <is>
          <t>IRAM 3523 3.3.2 · IRAM 3517-2:2020 9.4.13</t>
        </is>
      </c>
      <c r="P43" s="32" t="inlineStr">
        <is>
          <t>P</t>
        </is>
      </c>
      <c r="Q43" s="32" t="inlineStr">
        <is>
          <t>FL_DES_CO2_2kg</t>
        </is>
      </c>
      <c r="R43" s="17" t="inlineStr">
        <is>
          <t>id. FLAMA y lote</t>
        </is>
      </c>
    </row>
    <row r="44">
      <c r="A44" s="29" t="n">
        <v>1</v>
      </c>
      <c r="B44" s="29" t="inlineStr">
        <is>
          <t>CO22-S8</t>
        </is>
      </c>
      <c r="C44" s="30" t="inlineStr">
        <is>
          <t xml:space="preserve">    Soporte (accesorio de montaje)</t>
        </is>
      </c>
      <c r="D44" s="29" t="n">
        <v>1</v>
      </c>
      <c r="E44" s="29" t="inlineStr">
        <is>
          <t>u</t>
        </is>
      </c>
      <c r="F44" s="31" t="n"/>
      <c r="G44" s="31">
        <f>G45</f>
        <v/>
      </c>
      <c r="H44" s="29" t="n"/>
      <c r="I44" s="30" t="n"/>
      <c r="J44" s="29" t="inlineStr">
        <is>
          <t>Compra</t>
        </is>
      </c>
      <c r="K44" s="29" t="n"/>
      <c r="L44" s="30" t="n"/>
      <c r="M44" s="30" t="n"/>
      <c r="N44" s="30" t="inlineStr">
        <is>
          <t>23 Embalaje (va dentro de la caja)</t>
        </is>
      </c>
      <c r="O44" s="30" t="inlineStr">
        <is>
          <t>IRAM 3517-2 7.4</t>
        </is>
      </c>
      <c r="P44" s="29" t="n"/>
      <c r="Q44" s="29" t="n"/>
      <c r="R44" s="30" t="n"/>
    </row>
    <row r="45" outlineLevel="1">
      <c r="A45" s="32" t="n">
        <v>2</v>
      </c>
      <c r="B45" s="32" t="inlineStr">
        <is>
          <t>CO22-I5</t>
        </is>
      </c>
      <c r="C45" s="17" t="inlineStr">
        <is>
          <t xml:space="preserve">        Soporte de pared (FL_ACC_01)</t>
        </is>
      </c>
      <c r="D45" s="32" t="n">
        <v>1</v>
      </c>
      <c r="E45" s="32" t="inlineStr">
        <is>
          <t>u</t>
        </is>
      </c>
      <c r="F45" s="33" t="n">
        <v>0.26</v>
      </c>
      <c r="G45" s="33">
        <f>D45*F45</f>
        <v/>
      </c>
      <c r="H45" s="32" t="inlineStr">
        <is>
          <t>Chapa acero SAE 1010 e=2 pintada</t>
        </is>
      </c>
      <c r="I45" s="17" t="inlineStr">
        <is>
          <t>placa 60 × 180, ala con ranura Ø cuello + 3</t>
        </is>
      </c>
      <c r="J45" s="32" t="inlineStr">
        <is>
          <t>Compra</t>
        </is>
      </c>
      <c r="K45" s="32" t="inlineStr">
        <is>
          <t>No</t>
        </is>
      </c>
      <c r="L45" s="17" t="n"/>
      <c r="M45" s="17" t="n"/>
      <c r="N45" s="17" t="inlineStr">
        <is>
          <t>23 Embalaje</t>
        </is>
      </c>
      <c r="O45" s="17" t="inlineStr">
        <is>
          <t>IRAM 3517-2 7.4</t>
        </is>
      </c>
      <c r="P45" s="32" t="inlineStr">
        <is>
          <t>P</t>
        </is>
      </c>
      <c r="Q45" s="32" t="inlineStr">
        <is>
          <t>FL_ACC_01</t>
        </is>
      </c>
      <c r="R45" s="17" t="n"/>
    </row>
    <row r="46" outlineLevel="1">
      <c r="A46" s="32" t="n">
        <v>2</v>
      </c>
      <c r="B46" s="32" t="inlineStr">
        <is>
          <t>CO22-I6</t>
        </is>
      </c>
      <c r="C46" s="17" t="inlineStr">
        <is>
          <t xml:space="preserve">        Tornillo y tarugo de fijación</t>
        </is>
      </c>
      <c r="D46" s="32" t="n">
        <v>2</v>
      </c>
      <c r="E46" s="32" t="inlineStr">
        <is>
          <t>u</t>
        </is>
      </c>
      <c r="F46" s="33" t="n"/>
      <c r="G46" s="33" t="n"/>
      <c r="H46" s="32" t="inlineStr">
        <is>
          <t>Acero cincado / nylon</t>
        </is>
      </c>
      <c r="I46" s="17" t="inlineStr">
        <is>
          <t>2 agujeros Ø8,5 del plano FL_ACC_01 → tornillo M8 + tarugo</t>
        </is>
      </c>
      <c r="J46" s="32" t="inlineStr">
        <is>
          <t>Compra</t>
        </is>
      </c>
      <c r="K46" s="32" t="inlineStr">
        <is>
          <t>No</t>
        </is>
      </c>
      <c r="L46" s="17" t="n"/>
      <c r="M46" s="17" t="n"/>
      <c r="N46" s="17" t="inlineStr">
        <is>
          <t>23 Embalaje</t>
        </is>
      </c>
      <c r="O46" s="17" t="n"/>
      <c r="P46" s="32" t="inlineStr">
        <is>
          <t>P</t>
        </is>
      </c>
      <c r="Q46" s="32" t="inlineStr">
        <is>
          <t>FL_ACC_01</t>
        </is>
      </c>
      <c r="R46" s="17" t="n"/>
    </row>
    <row r="47">
      <c r="A47" s="29" t="n">
        <v>1</v>
      </c>
      <c r="B47" s="29" t="inlineStr">
        <is>
          <t>CO22-S7</t>
        </is>
      </c>
      <c r="C47" s="30" t="inlineStr">
        <is>
          <t xml:space="preserve">    Embalaje</t>
        </is>
      </c>
      <c r="D47" s="29" t="n">
        <v>1</v>
      </c>
      <c r="E47" s="29" t="inlineStr">
        <is>
          <t>u</t>
        </is>
      </c>
      <c r="F47" s="31" t="n"/>
      <c r="G47" s="31">
        <f>G51</f>
        <v/>
      </c>
      <c r="H47" s="29" t="n"/>
      <c r="I47" s="30" t="n"/>
      <c r="J47" s="29" t="inlineStr">
        <is>
          <t>Compra</t>
        </is>
      </c>
      <c r="K47" s="29" t="n"/>
      <c r="L47" s="30" t="n"/>
      <c r="M47" s="30" t="n"/>
      <c r="N47" s="30" t="inlineStr">
        <is>
          <t>23 Embalaje -&gt; 24 envolvedora (T11)</t>
        </is>
      </c>
      <c r="O47" s="30" t="n"/>
      <c r="P47" s="29" t="n"/>
      <c r="Q47" s="29" t="n"/>
      <c r="R47" s="30" t="n"/>
    </row>
    <row r="48" outlineLevel="1">
      <c r="A48" s="32" t="n">
        <v>2</v>
      </c>
      <c r="B48" s="32" t="inlineStr">
        <is>
          <t>CO22-E1</t>
        </is>
      </c>
      <c r="C48" s="17" t="inlineStr">
        <is>
          <t xml:space="preserve">        Caja de cartón corrugado doble</t>
        </is>
      </c>
      <c r="D48" s="32" t="n">
        <v>1</v>
      </c>
      <c r="E48" s="32" t="inlineStr">
        <is>
          <t>u</t>
        </is>
      </c>
      <c r="F48" s="33" t="n"/>
      <c r="G48" s="33" t="n"/>
      <c r="H48" s="32" t="inlineStr">
        <is>
          <t>Cartón corrugado</t>
        </is>
      </c>
      <c r="I48" s="17" t="inlineStr">
        <is>
          <t>268 × 145 × 484 interior (envolvente del plano + 15 por lado)</t>
        </is>
      </c>
      <c r="J48" s="32" t="inlineStr">
        <is>
          <t>Compra</t>
        </is>
      </c>
      <c r="K48" s="32" t="inlineStr">
        <is>
          <t>No</t>
        </is>
      </c>
      <c r="L48" s="17" t="n"/>
      <c r="M48" s="17" t="n"/>
      <c r="N48" s="17" t="inlineStr">
        <is>
          <t>23 Embalaje</t>
        </is>
      </c>
      <c r="O48" s="17" t="n"/>
      <c r="P48" s="32" t="inlineStr">
        <is>
          <t>P</t>
        </is>
      </c>
      <c r="Q48" s="32" t="n"/>
      <c r="R48" s="17" t="inlineStr">
        <is>
          <t>Medida del plano</t>
        </is>
      </c>
    </row>
    <row r="49" outlineLevel="1">
      <c r="A49" s="32" t="n">
        <v>2</v>
      </c>
      <c r="B49" s="32" t="inlineStr">
        <is>
          <t>CO22-E2</t>
        </is>
      </c>
      <c r="C49" s="17" t="inlineStr">
        <is>
          <t xml:space="preserve">        Instructivo de uso y mantenimiento</t>
        </is>
      </c>
      <c r="D49" s="32" t="n">
        <v>1</v>
      </c>
      <c r="E49" s="32" t="inlineStr">
        <is>
          <t>u</t>
        </is>
      </c>
      <c r="F49" s="33" t="n"/>
      <c r="G49" s="33" t="n"/>
      <c r="H49" s="32" t="inlineStr">
        <is>
          <t>Papel</t>
        </is>
      </c>
      <c r="I49" s="17" t="inlineStr">
        <is>
          <t>A5</t>
        </is>
      </c>
      <c r="J49" s="32" t="inlineStr">
        <is>
          <t>Compra</t>
        </is>
      </c>
      <c r="K49" s="32" t="inlineStr">
        <is>
          <t>No</t>
        </is>
      </c>
      <c r="L49" s="17" t="n"/>
      <c r="M49" s="17" t="n"/>
      <c r="N49" s="17" t="inlineStr">
        <is>
          <t>23 Embalaje</t>
        </is>
      </c>
      <c r="O49" s="17" t="n"/>
      <c r="P49" s="32" t="inlineStr">
        <is>
          <t>I</t>
        </is>
      </c>
      <c r="Q49" s="32" t="n"/>
      <c r="R49" s="17" t="inlineStr">
        <is>
          <t>Decisión comercial de FLAMA (las instrucciones de uso obligatorias van en la etiqueta, IRAM 3534)</t>
        </is>
      </c>
    </row>
    <row r="50" outlineLevel="1">
      <c r="A50" s="32" t="n">
        <v>2</v>
      </c>
      <c r="B50" s="32" t="inlineStr">
        <is>
          <t>CO22-E3</t>
        </is>
      </c>
      <c r="C50" s="17" t="inlineStr">
        <is>
          <t xml:space="preserve">        Pallet 1200 × 1000 (fracción)</t>
        </is>
      </c>
      <c r="D50" s="32" t="n">
        <v>0.0208</v>
      </c>
      <c r="E50" s="32" t="inlineStr">
        <is>
          <t>u</t>
        </is>
      </c>
      <c r="F50" s="33" t="n"/>
      <c r="G50" s="33" t="n"/>
      <c r="H50" s="32" t="inlineStr">
        <is>
          <t>Madera</t>
        </is>
      </c>
      <c r="I50" s="17" t="inlineStr">
        <is>
          <t>48 u por pallet</t>
        </is>
      </c>
      <c r="J50" s="32" t="inlineStr">
        <is>
          <t>Compra</t>
        </is>
      </c>
      <c r="K50" s="32" t="inlineStr">
        <is>
          <t>No</t>
        </is>
      </c>
      <c r="L50" s="17" t="n"/>
      <c r="M50" s="17" t="n"/>
      <c r="N50" s="17" t="inlineStr">
        <is>
          <t>23 Embalaje</t>
        </is>
      </c>
      <c r="O50" s="17" t="n"/>
      <c r="P50" s="32" t="inlineStr">
        <is>
          <t>C</t>
        </is>
      </c>
      <c r="Q50" s="32" t="n"/>
      <c r="R50" s="17" t="inlineStr">
        <is>
          <t>u por pallet = acomodo de la caja (plano) en 1200 × 1000 × 1450 de alto</t>
        </is>
      </c>
    </row>
    <row r="51" outlineLevel="1">
      <c r="A51" s="32" t="n">
        <v>2</v>
      </c>
      <c r="B51" s="32" t="inlineStr">
        <is>
          <t>CO22-E4</t>
        </is>
      </c>
      <c r="C51" s="17" t="inlineStr">
        <is>
          <t xml:space="preserve">        Film stretch (fracción del pallet)</t>
        </is>
      </c>
      <c r="D51" s="32" t="n">
        <v>0.0025</v>
      </c>
      <c r="E51" s="32" t="inlineStr">
        <is>
          <t>kg</t>
        </is>
      </c>
      <c r="F51" s="33" t="n">
        <v>1</v>
      </c>
      <c r="G51" s="33">
        <f>D51*F51</f>
        <v/>
      </c>
      <c r="H51" s="32" t="inlineStr">
        <is>
          <t>PE lineal 23 µm</t>
        </is>
      </c>
      <c r="I51" s="17" t="inlineStr">
        <is>
          <t>0,12 kg por pallet / 48 u</t>
        </is>
      </c>
      <c r="J51" s="32" t="inlineStr">
        <is>
          <t>Compra</t>
        </is>
      </c>
      <c r="K51" s="32" t="inlineStr">
        <is>
          <t>No</t>
        </is>
      </c>
      <c r="L51" s="17" t="n"/>
      <c r="M51" s="17" t="n"/>
      <c r="N51" s="17" t="inlineStr">
        <is>
          <t>24 Envolvedora (T11)</t>
        </is>
      </c>
      <c r="O51" s="17" t="n"/>
      <c r="P51" s="32" t="inlineStr">
        <is>
          <t>C</t>
        </is>
      </c>
      <c r="Q51" s="32" t="n"/>
      <c r="R51"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2" outlineLevel="1">
      <c r="A52" s="32" t="n">
        <v>2</v>
      </c>
      <c r="B52" s="32" t="inlineStr">
        <is>
          <t>CO22-E5</t>
        </is>
      </c>
      <c r="C52" s="17" t="inlineStr">
        <is>
          <t xml:space="preserve">        Etiqueta de pallet (lote y destino, fracción)</t>
        </is>
      </c>
      <c r="D52" s="32" t="n">
        <v>0.0208</v>
      </c>
      <c r="E52" s="32" t="inlineStr">
        <is>
          <t>u</t>
        </is>
      </c>
      <c r="F52" s="33" t="n"/>
      <c r="G52" s="33" t="n"/>
      <c r="H52" s="32" t="inlineStr">
        <is>
          <t>Papel térmico</t>
        </is>
      </c>
      <c r="I52" s="17" t="inlineStr">
        <is>
          <t>100 × 150</t>
        </is>
      </c>
      <c r="J52" s="32" t="inlineStr">
        <is>
          <t>Compra</t>
        </is>
      </c>
      <c r="K52" s="32" t="inlineStr">
        <is>
          <t>No</t>
        </is>
      </c>
      <c r="L52" s="17" t="n"/>
      <c r="M52" s="17" t="n"/>
      <c r="N52" s="17" t="inlineStr">
        <is>
          <t>24 Envolvedora</t>
        </is>
      </c>
      <c r="O52" s="17" t="n"/>
      <c r="P52" s="32" t="inlineStr">
        <is>
          <t>C</t>
        </is>
      </c>
      <c r="Q52" s="32" t="n"/>
      <c r="R52" s="17" t="n"/>
    </row>
    <row r="53" outlineLevel="1">
      <c r="A53" s="32" t="n">
        <v>2</v>
      </c>
      <c r="B53" s="32" t="inlineStr">
        <is>
          <t>CO22-E6</t>
        </is>
      </c>
      <c r="C53" s="17" t="inlineStr">
        <is>
          <t xml:space="preserve">        Cinta de embalaje PP 48 mm (cierre de la caja)</t>
        </is>
      </c>
      <c r="D53" s="32" t="n">
        <v>0.8169999999999999</v>
      </c>
      <c r="E53" s="32" t="inlineStr">
        <is>
          <t>m</t>
        </is>
      </c>
      <c r="F53" s="33" t="n"/>
      <c r="G53" s="33" t="n"/>
      <c r="H53" s="32" t="inlineStr">
        <is>
          <t>Polipropileno con adhesivo acrílico</t>
        </is>
      </c>
      <c r="I53" s="17" t="inlineStr">
        <is>
          <t>cierre en I arriba y abajo: 2 × (268 + 2 × 70 de solapa)</t>
        </is>
      </c>
      <c r="J53" s="32" t="inlineStr">
        <is>
          <t>Compra</t>
        </is>
      </c>
      <c r="K53" s="32" t="inlineStr">
        <is>
          <t>No</t>
        </is>
      </c>
      <c r="L53" s="17" t="n"/>
      <c r="M53" s="17" t="n"/>
      <c r="N53" s="17" t="inlineStr">
        <is>
          <t>23 Embalaje</t>
        </is>
      </c>
      <c r="O53" s="17" t="n"/>
      <c r="P53" s="32" t="inlineStr">
        <is>
          <t>C</t>
        </is>
      </c>
      <c r="Q53" s="32" t="n"/>
      <c r="R53" s="17" t="inlineStr">
        <is>
          <t>Solapa de 70 mm por lado: práctica de cierre de cajas (medir en la línea)</t>
        </is>
      </c>
    </row>
    <row r="54" outlineLevel="1">
      <c r="A54" s="32" t="n">
        <v>2</v>
      </c>
      <c r="B54" s="32" t="inlineStr">
        <is>
          <t>CO22-E7</t>
        </is>
      </c>
      <c r="C54" s="17" t="inlineStr">
        <is>
          <t xml:space="preserve">        Esquineros de cartón 50 × 50 × 1200 (fracción del pallet)</t>
        </is>
      </c>
      <c r="D54" s="32" t="n">
        <v>0.0833</v>
      </c>
      <c r="E54" s="32" t="inlineStr">
        <is>
          <t>u</t>
        </is>
      </c>
      <c r="F54" s="33" t="n"/>
      <c r="G54" s="33" t="n"/>
      <c r="H54" s="32" t="inlineStr">
        <is>
          <t>Cartón</t>
        </is>
      </c>
      <c r="I54" s="17" t="inlineStr">
        <is>
          <t>4 por pallet / 48 u</t>
        </is>
      </c>
      <c r="J54" s="32" t="inlineStr">
        <is>
          <t>Compra</t>
        </is>
      </c>
      <c r="K54" s="32" t="inlineStr">
        <is>
          <t>No</t>
        </is>
      </c>
      <c r="L54" s="17" t="n"/>
      <c r="M54" s="17" t="n"/>
      <c r="N54" s="17" t="inlineStr">
        <is>
          <t>24 Envolvedora (T11)</t>
        </is>
      </c>
      <c r="O54" s="17" t="n"/>
      <c r="P54" s="32" t="inlineStr">
        <is>
          <t>C</t>
        </is>
      </c>
      <c r="Q54" s="32" t="n"/>
      <c r="R54" s="17" t="inlineStr">
        <is>
          <t>Planilla MP-64</t>
        </is>
      </c>
    </row>
  </sheetData>
  <autoFilter ref="A10:R54"/>
  <pageMargins left="0.75" right="0.75" top="1" bottom="1" header="0.5" footer="0.5"/>
  <pageSetup orientation="landscape" fitToHeight="0" fitToWidth="1"/>
</worksheet>
</file>

<file path=xl/worksheets/sheet26.xml><?xml version="1.0" encoding="utf-8"?>
<worksheet xmlns="http://schemas.openxmlformats.org/spreadsheetml/2006/main">
  <sheetPr>
    <tabColor rgb="00BF8F00"/>
    <outlinePr summaryBelow="0" summaryRight="1"/>
    <pageSetUpPr fitToPage="1"/>
  </sheetPr>
  <dimension ref="A1:R56"/>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FL_MAT_CO2_5kg</t>
        </is>
      </c>
    </row>
    <row r="2">
      <c r="A2" s="58" t="inlineStr">
        <is>
          <t>Extintor CO₂ 5 kg</t>
        </is>
      </c>
    </row>
    <row r="3">
      <c r="A3" s="2" t="inlineStr">
        <is>
          <t>Plano de origen</t>
        </is>
      </c>
      <c r="C3" t="inlineStr">
        <is>
          <t>FL_MAT_CO2_5kg  (4 láminas)</t>
        </is>
      </c>
      <c r="E3" s="2" t="inlineStr">
        <is>
          <t>Peso vacío S1-S4 (kg)</t>
        </is>
      </c>
      <c r="G3" s="59">
        <f>G13+G16+G30</f>
        <v/>
      </c>
    </row>
    <row r="4">
      <c r="A4" s="2" t="inlineStr">
        <is>
          <t>Plano de despiece</t>
        </is>
      </c>
      <c r="C4" t="inlineStr">
        <is>
          <t>FL_DES_CO2_5kg (salida/despiece/)</t>
        </is>
      </c>
      <c r="E4" s="2" t="inlineStr">
        <is>
          <t>Peso cargado S1-S6 (kg)</t>
        </is>
      </c>
      <c r="G4" s="59">
        <f>G13+G16+G30+G36+G38</f>
        <v/>
      </c>
    </row>
    <row r="5">
      <c r="A5" s="2" t="inlineStr">
        <is>
          <t>Norma del producto</t>
        </is>
      </c>
      <c r="C5" t="inlineStr">
        <is>
          <t>IRAM 3509</t>
        </is>
      </c>
      <c r="E5" s="2" t="inlineStr">
        <is>
          <t>Peso con soporte y embalaje (kg)</t>
        </is>
      </c>
      <c r="G5" s="59">
        <f>G13+G16+G30+G36+G38+G49+G46</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20</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FL_MAT_CO2_5kg</t>
        </is>
      </c>
      <c r="C11" s="27" t="inlineStr">
        <is>
          <t>Extintor CO₂ 5 kg</t>
        </is>
      </c>
      <c r="D11" s="26" t="n">
        <v>1</v>
      </c>
      <c r="E11" s="26" t="inlineStr">
        <is>
          <t>u</t>
        </is>
      </c>
      <c r="F11" s="28" t="n"/>
      <c r="G11" s="28">
        <f>G5</f>
        <v/>
      </c>
      <c r="H11" s="26" t="n"/>
      <c r="I11" s="27" t="n"/>
      <c r="J11" s="26" t="n"/>
      <c r="K11" s="26" t="n"/>
      <c r="L11" s="27" t="n"/>
      <c r="M11" s="27" t="n"/>
      <c r="N11" s="27" t="n"/>
      <c r="O11" s="27" t="inlineStr">
        <is>
          <t>IRAM 3509</t>
        </is>
      </c>
      <c r="P11" s="26" t="inlineStr">
        <is>
          <t>P</t>
        </is>
      </c>
      <c r="Q11" s="26" t="inlineStr">
        <is>
          <t>FL_MAT_CO2_5kg</t>
        </is>
      </c>
      <c r="R11" s="27" t="inlineStr">
        <is>
          <t>Revendido: se compra terminado al fabricante con Sello IRAM; las piezas internas quedan como referencia (no entran en MRP)</t>
        </is>
      </c>
    </row>
    <row r="12">
      <c r="A12" s="29" t="n">
        <v>1</v>
      </c>
      <c r="B12" s="29" t="inlineStr">
        <is>
          <t>CO25-S0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Mozart S.R.L.</t>
        </is>
      </c>
      <c r="M12" s="30" t="inlineStr">
        <is>
          <t>Matafuegos Georgia - venta mayorista</t>
        </is>
      </c>
      <c r="N12" s="30" t="inlineStr">
        <is>
          <t>Recepción y control de ingreso (SP-1)</t>
        </is>
      </c>
      <c r="O12" s="30" t="inlineStr">
        <is>
          <t>IRAM 3509</t>
        </is>
      </c>
      <c r="P12" s="29" t="inlineStr">
        <is>
          <t>I</t>
        </is>
      </c>
      <c r="Q12" s="29" t="inlineStr">
        <is>
          <t>FL_MAT_CO2_5kg</t>
        </is>
      </c>
      <c r="R12" s="30" t="inlineStr">
        <is>
          <t>Única fila de compra del revendido (más la tarjeta AGC si el destino es CABA)</t>
        </is>
      </c>
    </row>
    <row r="13">
      <c r="A13" s="29" t="n">
        <v>1</v>
      </c>
      <c r="B13" s="29" t="inlineStr">
        <is>
          <t>CO25-S1</t>
        </is>
      </c>
      <c r="C13" s="30" t="inlineStr">
        <is>
          <t xml:space="preserve">    Recipiente (cilindro)</t>
        </is>
      </c>
      <c r="D13" s="29" t="n">
        <v>1</v>
      </c>
      <c r="E13" s="29" t="inlineStr">
        <is>
          <t>u</t>
        </is>
      </c>
      <c r="F13" s="31" t="n"/>
      <c r="G13" s="31">
        <f>G14+G15</f>
        <v/>
      </c>
      <c r="H13" s="29" t="n"/>
      <c r="I13" s="30" t="n"/>
      <c r="J13" s="29" t="inlineStr">
        <is>
          <t>Compra / armado</t>
        </is>
      </c>
      <c r="K13" s="29" t="n"/>
      <c r="L13" s="30" t="n"/>
      <c r="M13" s="30" t="n"/>
      <c r="N13" s="30" t="n"/>
      <c r="O13" s="30" t="inlineStr">
        <is>
          <t>IRAM 3523 / 3550 (recipiente)</t>
        </is>
      </c>
      <c r="P13" s="29" t="inlineStr">
        <is>
          <t>P</t>
        </is>
      </c>
      <c r="Q13" s="29" t="inlineStr">
        <is>
          <t>FL_DES_CO2_5kg</t>
        </is>
      </c>
      <c r="R13" s="30" t="n"/>
    </row>
    <row r="14" outlineLevel="1">
      <c r="A14" s="32" t="n">
        <v>2</v>
      </c>
      <c r="B14" s="32" t="inlineStr">
        <is>
          <t>CO25-01</t>
        </is>
      </c>
      <c r="C14" s="17" t="inlineStr">
        <is>
          <t xml:space="preserve">        Cilindro sin costura</t>
        </is>
      </c>
      <c r="D14" s="32" t="n">
        <v>1</v>
      </c>
      <c r="E14" s="32" t="inlineStr">
        <is>
          <t>u</t>
        </is>
      </c>
      <c r="F14" s="33" t="n">
        <v>13.2591</v>
      </c>
      <c r="G14" s="33">
        <f>D14*F14</f>
        <v/>
      </c>
      <c r="H14" s="32" t="inlineStr">
        <is>
          <t>Tubo acero 34CrMo4 sin costura e=6</t>
        </is>
      </c>
      <c r="I14" s="17" t="inlineStr">
        <is>
          <t>Cilindro sin costura Ø140 × e6 × 681,4 de alto (cuello integral)</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FL_DES_CO2_5kg</t>
        </is>
      </c>
      <c r="R14" s="17" t="inlineStr">
        <is>
          <t>cuello integral</t>
        </is>
      </c>
    </row>
    <row r="15" outlineLevel="1">
      <c r="A15" s="32" t="n">
        <v>2</v>
      </c>
      <c r="B15" s="32" t="inlineStr">
        <is>
          <t>CO25-13</t>
        </is>
      </c>
      <c r="C15" s="17" t="inlineStr">
        <is>
          <t xml:space="preserve">        Pie de apoyo</t>
        </is>
      </c>
      <c r="D15" s="32" t="n">
        <v>1</v>
      </c>
      <c r="E15" s="32" t="inlineStr">
        <is>
          <t>u</t>
        </is>
      </c>
      <c r="F15" s="33" t="n">
        <v>0.1008</v>
      </c>
      <c r="G15" s="33">
        <f>D15*F15</f>
        <v/>
      </c>
      <c r="H15" s="32" t="inlineStr">
        <is>
          <t>Polietileno AD</t>
        </is>
      </c>
      <c r="I15" s="17" t="inlineStr">
        <is>
          <t>140 × 140 × 38,5</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FL_DES_CO2_5kg</t>
        </is>
      </c>
      <c r="R15" s="17" t="n"/>
    </row>
    <row r="16">
      <c r="A16" s="29" t="n">
        <v>1</v>
      </c>
      <c r="B16" s="29" t="inlineStr">
        <is>
          <t>CO25-S2</t>
        </is>
      </c>
      <c r="C16" s="30" t="inlineStr">
        <is>
          <t xml:space="preserve">    Conjunto de válvula</t>
        </is>
      </c>
      <c r="D16" s="29" t="n">
        <v>1</v>
      </c>
      <c r="E16" s="29" t="inlineStr">
        <is>
          <t>u</t>
        </is>
      </c>
      <c r="F16" s="31" t="n"/>
      <c r="G16" s="31">
        <f>G17+G18+G19+G20+G21+G22+G23+G24+G25+G26+G27+G28</f>
        <v/>
      </c>
      <c r="H16" s="29" t="n"/>
      <c r="I16" s="30" t="n"/>
      <c r="J16" s="29" t="inlineStr">
        <is>
          <t>Compra / armado</t>
        </is>
      </c>
      <c r="K16" s="29" t="n"/>
      <c r="L16" s="30" t="n"/>
      <c r="M16" s="30" t="n"/>
      <c r="N16" s="30" t="n"/>
      <c r="O16" s="30" t="inlineStr">
        <is>
          <t>Manómetro IRAM 3533</t>
        </is>
      </c>
      <c r="P16" s="29" t="inlineStr">
        <is>
          <t>P</t>
        </is>
      </c>
      <c r="Q16" s="29" t="inlineStr">
        <is>
          <t>FL_DES_CO2_5kg</t>
        </is>
      </c>
      <c r="R16" s="30" t="n"/>
    </row>
    <row r="17" outlineLevel="1">
      <c r="A17" s="32" t="n">
        <v>2</v>
      </c>
      <c r="B17" s="32" t="inlineStr">
        <is>
          <t>CO25-02</t>
        </is>
      </c>
      <c r="C17" s="17" t="inlineStr">
        <is>
          <t xml:space="preserve">        Espiga roscada</t>
        </is>
      </c>
      <c r="D17" s="32" t="n">
        <v>1</v>
      </c>
      <c r="E17" s="32" t="inlineStr">
        <is>
          <t>u</t>
        </is>
      </c>
      <c r="F17" s="33" t="n">
        <v>0.0296</v>
      </c>
      <c r="G17" s="33">
        <f>D17*F17</f>
        <v/>
      </c>
      <c r="H17" s="32" t="inlineStr">
        <is>
          <t>Latón forjado</t>
        </is>
      </c>
      <c r="I17" s="17" t="inlineStr">
        <is>
          <t>29,8 × 29,8 × 10,8</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FL_DES_CO2_5kg</t>
        </is>
      </c>
      <c r="R17" s="17" t="n"/>
    </row>
    <row r="18" outlineLevel="1">
      <c r="A18" s="32" t="n">
        <v>2</v>
      </c>
      <c r="B18" s="32" t="inlineStr">
        <is>
          <t>CO25-03</t>
        </is>
      </c>
      <c r="C18" s="17" t="inlineStr">
        <is>
          <t xml:space="preserve">        Collarín de válvula</t>
        </is>
      </c>
      <c r="D18" s="32" t="n">
        <v>1</v>
      </c>
      <c r="E18" s="32" t="inlineStr">
        <is>
          <t>u</t>
        </is>
      </c>
      <c r="F18" s="33" t="n">
        <v>0.0072</v>
      </c>
      <c r="G18" s="33">
        <f>D18*F18</f>
        <v/>
      </c>
      <c r="H18" s="32" t="inlineStr">
        <is>
          <t>Latón forjado</t>
        </is>
      </c>
      <c r="I18" s="17" t="inlineStr">
        <is>
          <t>27,2 × 27,2 × 4,1</t>
        </is>
      </c>
      <c r="J18" s="32" t="inlineStr">
        <is>
          <t>Compra (en el conjunto)</t>
        </is>
      </c>
      <c r="K18" s="32" t="inlineStr">
        <is>
          <t>No</t>
        </is>
      </c>
      <c r="L18" s="17" t="n"/>
      <c r="M18" s="17" t="n"/>
      <c r="N18" s="17" t="inlineStr">
        <is>
          <t>S4 - se compra terminado (tercerizado con sello IRAM)</t>
        </is>
      </c>
      <c r="O18" s="17" t="n"/>
      <c r="P18" s="32" t="inlineStr">
        <is>
          <t>P</t>
        </is>
      </c>
      <c r="Q18" s="32" t="inlineStr">
        <is>
          <t>FL_DES_CO2_5kg</t>
        </is>
      </c>
      <c r="R18" s="17" t="n"/>
    </row>
    <row r="19" outlineLevel="1">
      <c r="A19" s="32" t="n">
        <v>2</v>
      </c>
      <c r="B19" s="32" t="inlineStr">
        <is>
          <t>CO25-04</t>
        </is>
      </c>
      <c r="C19" s="17" t="inlineStr">
        <is>
          <t xml:space="preserve">        Cuerpo de válvula</t>
        </is>
      </c>
      <c r="D19" s="32" t="n">
        <v>1</v>
      </c>
      <c r="E19" s="32" t="inlineStr">
        <is>
          <t>u</t>
        </is>
      </c>
      <c r="F19" s="33" t="n">
        <v>0.134</v>
      </c>
      <c r="G19" s="33">
        <f>D19*F19</f>
        <v/>
      </c>
      <c r="H19" s="32" t="inlineStr">
        <is>
          <t>Latón forjado</t>
        </is>
      </c>
      <c r="I19" s="17" t="inlineStr">
        <is>
          <t>43,9 × 32 × 24,5</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FL_DES_CO2_5kg</t>
        </is>
      </c>
      <c r="R19" s="17" t="n"/>
    </row>
    <row r="20" outlineLevel="1">
      <c r="A20" s="32" t="n">
        <v>2</v>
      </c>
      <c r="B20" s="32" t="inlineStr">
        <is>
          <t>CO25-05</t>
        </is>
      </c>
      <c r="C20" s="17" t="inlineStr">
        <is>
          <t xml:space="preserve">        Disco de seguridad</t>
        </is>
      </c>
      <c r="D20" s="32" t="n">
        <v>1</v>
      </c>
      <c r="E20" s="32" t="inlineStr">
        <is>
          <t>u</t>
        </is>
      </c>
      <c r="F20" s="33" t="n">
        <v>0.0097</v>
      </c>
      <c r="G20" s="33">
        <f>D20*F20</f>
        <v/>
      </c>
      <c r="H20" s="32" t="inlineStr">
        <is>
          <t>Latón / disco de cobre</t>
        </is>
      </c>
      <c r="I20" s="17" t="inlineStr">
        <is>
          <t>14 × 12,1 × 9</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FL_DES_CO2_5kg</t>
        </is>
      </c>
      <c r="R20" s="17" t="inlineStr">
        <is>
          <t>rotura 18 a 21 MPa</t>
        </is>
      </c>
    </row>
    <row r="21" outlineLevel="1">
      <c r="A21" s="32" t="n">
        <v>2</v>
      </c>
      <c r="B21" s="32" t="inlineStr">
        <is>
          <t>CO25-06</t>
        </is>
      </c>
      <c r="C21" s="17" t="inlineStr">
        <is>
          <t xml:space="preserve">        Vástago</t>
        </is>
      </c>
      <c r="D21" s="32" t="n">
        <v>1</v>
      </c>
      <c r="E21" s="32" t="inlineStr">
        <is>
          <t>u</t>
        </is>
      </c>
      <c r="F21" s="33" t="n">
        <v>0.0137</v>
      </c>
      <c r="G21" s="33">
        <f>D21*F21</f>
        <v/>
      </c>
      <c r="H21" s="32" t="inlineStr">
        <is>
          <t>Latón</t>
        </is>
      </c>
      <c r="I21" s="17" t="inlineStr">
        <is>
          <t>35,6 × 14 × 14</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FL_DES_CO2_5kg</t>
        </is>
      </c>
      <c r="R21" s="17" t="inlineStr">
        <is>
          <t>con junta tórica</t>
        </is>
      </c>
    </row>
    <row r="22" outlineLevel="1">
      <c r="A22" s="32" t="n">
        <v>2</v>
      </c>
      <c r="B22" s="32" t="inlineStr">
        <is>
          <t>CO25-07</t>
        </is>
      </c>
      <c r="C22" s="17" t="inlineStr">
        <is>
          <t xml:space="preserve">        Resorte de válvula</t>
        </is>
      </c>
      <c r="D22" s="32" t="n">
        <v>1</v>
      </c>
      <c r="E22" s="32" t="inlineStr">
        <is>
          <t>u</t>
        </is>
      </c>
      <c r="F22" s="33" t="n">
        <v>0.0049</v>
      </c>
      <c r="G22" s="33">
        <f>D22*F22</f>
        <v/>
      </c>
      <c r="H22" s="32" t="inlineStr">
        <is>
          <t>Alambre acero inox. AISI 302</t>
        </is>
      </c>
      <c r="I22" s="17" t="inlineStr">
        <is>
          <t>28,8 × 17,3 × 17,3</t>
        </is>
      </c>
      <c r="J22" s="32" t="inlineStr">
        <is>
          <t>Compra (en el conjunto)</t>
        </is>
      </c>
      <c r="K22" s="32" t="inlineStr">
        <is>
          <t>No</t>
        </is>
      </c>
      <c r="L22" s="17" t="n"/>
      <c r="M22" s="17" t="n"/>
      <c r="N22" s="17" t="inlineStr">
        <is>
          <t>S4 - se compra terminado (tercerizado con sello IRAM)</t>
        </is>
      </c>
      <c r="O22" s="17" t="n"/>
      <c r="P22" s="32" t="inlineStr">
        <is>
          <t>P</t>
        </is>
      </c>
      <c r="Q22" s="32" t="inlineStr">
        <is>
          <t>FL_DES_CO2_5kg</t>
        </is>
      </c>
      <c r="R22" s="17" t="inlineStr">
        <is>
          <t>cierre del vástago</t>
        </is>
      </c>
    </row>
    <row r="23" outlineLevel="1">
      <c r="A23" s="32" t="n">
        <v>2</v>
      </c>
      <c r="B23" s="32" t="inlineStr">
        <is>
          <t>CO25-08</t>
        </is>
      </c>
      <c r="C23" s="17" t="inlineStr">
        <is>
          <t xml:space="preserve">        Eje de palanca</t>
        </is>
      </c>
      <c r="D23" s="32" t="n">
        <v>1</v>
      </c>
      <c r="E23" s="32" t="inlineStr">
        <is>
          <t>u</t>
        </is>
      </c>
      <c r="F23" s="33" t="n">
        <v>0.0033</v>
      </c>
      <c r="G23" s="33">
        <f>D23*F23</f>
        <v/>
      </c>
      <c r="H23" s="32" t="inlineStr">
        <is>
          <t>Acero inox. AISI 304</t>
        </is>
      </c>
      <c r="I23" s="17" t="inlineStr">
        <is>
          <t>33 × 4 × 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FL_DES_CO2_5kg</t>
        </is>
      </c>
      <c r="R23" s="17" t="n"/>
    </row>
    <row r="24" outlineLevel="1">
      <c r="A24" s="32" t="n">
        <v>2</v>
      </c>
      <c r="B24" s="32" t="inlineStr">
        <is>
          <t>CO25-09</t>
        </is>
      </c>
      <c r="C24" s="17" t="inlineStr">
        <is>
          <t xml:space="preserve">        Pasador de seguridad</t>
        </is>
      </c>
      <c r="D24" s="32" t="n">
        <v>1</v>
      </c>
      <c r="E24" s="32" t="inlineStr">
        <is>
          <t>u</t>
        </is>
      </c>
      <c r="F24" s="33" t="n">
        <v>0.0055</v>
      </c>
      <c r="G24" s="33">
        <f>D24*F24</f>
        <v/>
      </c>
      <c r="H24" s="32" t="inlineStr">
        <is>
          <t>Alambre acero inox. AISI 304</t>
        </is>
      </c>
      <c r="I24" s="17" t="inlineStr">
        <is>
          <t>45,9 × 21 × 20,8</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FL_DES_CO2_5kg</t>
        </is>
      </c>
      <c r="R24" s="17" t="inlineStr">
        <is>
          <t>con precinto</t>
        </is>
      </c>
    </row>
    <row r="25" outlineLevel="1">
      <c r="A25" s="32" t="n">
        <v>2</v>
      </c>
      <c r="B25" s="32" t="inlineStr">
        <is>
          <t>CO25-10</t>
        </is>
      </c>
      <c r="C25" s="17" t="inlineStr">
        <is>
          <t xml:space="preserve">        Manija de accionamiento</t>
        </is>
      </c>
      <c r="D25" s="32" t="n">
        <v>1</v>
      </c>
      <c r="E25" s="32" t="inlineStr">
        <is>
          <t>u</t>
        </is>
      </c>
      <c r="F25" s="33" t="n">
        <v>0.0959</v>
      </c>
      <c r="G25" s="33">
        <f>D25*F25</f>
        <v/>
      </c>
      <c r="H25" s="32" t="inlineStr">
        <is>
          <t>Chapa acero SAE 1010 pintada</t>
        </is>
      </c>
      <c r="I25" s="17" t="inlineStr">
        <is>
          <t>124,6 × 31 × 29,3</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FL_DES_CO2_5kg</t>
        </is>
      </c>
      <c r="R25" s="17" t="n"/>
    </row>
    <row r="26" outlineLevel="1">
      <c r="A26" s="32" t="n">
        <v>2</v>
      </c>
      <c r="B26" s="32" t="inlineStr">
        <is>
          <t>CO25-11</t>
        </is>
      </c>
      <c r="C26" s="17" t="inlineStr">
        <is>
          <t xml:space="preserve">        Manija de transporte</t>
        </is>
      </c>
      <c r="D26" s="32" t="n">
        <v>1</v>
      </c>
      <c r="E26" s="32" t="inlineStr">
        <is>
          <t>u</t>
        </is>
      </c>
      <c r="F26" s="33" t="n">
        <v>0.0757</v>
      </c>
      <c r="G26" s="33">
        <f>D26*F26</f>
        <v/>
      </c>
      <c r="H26" s="32" t="inlineStr">
        <is>
          <t>Chapa acero SAE 1010 pintada</t>
        </is>
      </c>
      <c r="I26" s="17" t="inlineStr">
        <is>
          <t>102,6 × 35 × 25,4</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FL_DES_CO2_5kg</t>
        </is>
      </c>
      <c r="R26" s="17" t="n"/>
    </row>
    <row r="27" outlineLevel="1">
      <c r="A27" s="32" t="n">
        <v>2</v>
      </c>
      <c r="B27" s="32" t="inlineStr">
        <is>
          <t>CO25-12</t>
        </is>
      </c>
      <c r="C27" s="17" t="inlineStr">
        <is>
          <t xml:space="preserve">        Caño de pesca (sifón)</t>
        </is>
      </c>
      <c r="D27" s="32" t="n">
        <v>1</v>
      </c>
      <c r="E27" s="32" t="inlineStr">
        <is>
          <t>u</t>
        </is>
      </c>
      <c r="F27" s="33" t="n">
        <v>0.0699</v>
      </c>
      <c r="G27" s="33">
        <f>D27*F27</f>
        <v/>
      </c>
      <c r="H27" s="32" t="inlineStr">
        <is>
          <t>Tubo aluminio</t>
        </is>
      </c>
      <c r="I27" s="17" t="inlineStr">
        <is>
          <t>Ø10 × 646,6 de largo</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FL_DES_CO2_5kg</t>
        </is>
      </c>
      <c r="R27" s="17" t="n"/>
    </row>
    <row r="28" outlineLevel="1">
      <c r="A28" s="32" t="n">
        <v>2</v>
      </c>
      <c r="B28" s="32" t="inlineStr">
        <is>
          <t>CO25-24</t>
        </is>
      </c>
      <c r="C28" s="17" t="inlineStr">
        <is>
          <t xml:space="preserve">        Junta tórica de asiento</t>
        </is>
      </c>
      <c r="D28" s="32" t="n">
        <v>1</v>
      </c>
      <c r="E28" s="32" t="inlineStr">
        <is>
          <t>u</t>
        </is>
      </c>
      <c r="F28" s="33" t="n">
        <v>0.001</v>
      </c>
      <c r="G28" s="33">
        <f>D28*F28</f>
        <v/>
      </c>
      <c r="H28" s="32" t="inlineStr">
        <is>
          <t>NBR 70 Shore A</t>
        </is>
      </c>
      <c r="I28" s="17" t="inlineStr">
        <is>
          <t>Ø32,8 ext. × cordón 3</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FL_DES_CO2_5kg</t>
        </is>
      </c>
      <c r="R28" s="17" t="inlineStr">
        <is>
          <t>cambio c/recarga</t>
        </is>
      </c>
    </row>
    <row r="29" outlineLevel="1">
      <c r="A29" s="32" t="n">
        <v>2</v>
      </c>
      <c r="B29" s="32" t="inlineStr">
        <is>
          <t>CO25-V3</t>
        </is>
      </c>
      <c r="C29" s="17" t="inlineStr">
        <is>
          <t xml:space="preserve">        Junta tórica del vástago</t>
        </is>
      </c>
      <c r="D29" s="32" t="n">
        <v>1</v>
      </c>
      <c r="E29" s="32" t="inlineStr">
        <is>
          <t>u</t>
        </is>
      </c>
      <c r="F29" s="33" t="n"/>
      <c r="G29" s="33" t="n"/>
      <c r="H29" s="32" t="inlineStr">
        <is>
          <t>NBR 70 Shore A</t>
        </is>
      </c>
      <c r="I29" s="17" t="inlineStr">
        <is>
          <t>incluida en la válvula</t>
        </is>
      </c>
      <c r="J29" s="32" t="inlineStr">
        <is>
          <t>Compra (en el conjunto)</t>
        </is>
      </c>
      <c r="K29" s="32" t="inlineStr">
        <is>
          <t>No</t>
        </is>
      </c>
      <c r="L29" s="17" t="n"/>
      <c r="M29" s="17" t="n"/>
      <c r="N29" s="17" t="inlineStr">
        <is>
          <t>19 Ensamblaje</t>
        </is>
      </c>
      <c r="O29" s="17" t="n"/>
      <c r="P29" s="32" t="inlineStr">
        <is>
          <t>P</t>
        </is>
      </c>
      <c r="Q29" s="32" t="n"/>
      <c r="R29" s="17" t="inlineStr">
        <is>
          <t>Figura en el plano como «vástago con junta tórica»</t>
        </is>
      </c>
    </row>
    <row r="30">
      <c r="A30" s="29" t="n">
        <v>1</v>
      </c>
      <c r="B30" s="29" t="inlineStr">
        <is>
          <t>CO25-S3</t>
        </is>
      </c>
      <c r="C30" s="30" t="inlineStr">
        <is>
          <t xml:space="preserve">    Dispositivo de descarga</t>
        </is>
      </c>
      <c r="D30" s="29" t="n">
        <v>1</v>
      </c>
      <c r="E30" s="29" t="inlineStr">
        <is>
          <t>u</t>
        </is>
      </c>
      <c r="F30" s="31" t="n"/>
      <c r="G30" s="31">
        <f>G31+G32+G33+G34+G35</f>
        <v/>
      </c>
      <c r="H30" s="29" t="n"/>
      <c r="I30" s="30" t="n"/>
      <c r="J30" s="29" t="inlineStr">
        <is>
          <t>Compra / armado</t>
        </is>
      </c>
      <c r="K30" s="29" t="n"/>
      <c r="L30" s="30" t="n"/>
      <c r="M30" s="30" t="n"/>
      <c r="N30" s="30" t="n"/>
      <c r="O30" s="30" t="n"/>
      <c r="P30" s="29" t="inlineStr">
        <is>
          <t>P</t>
        </is>
      </c>
      <c r="Q30" s="29" t="inlineStr">
        <is>
          <t>FL_DES_CO2_5kg</t>
        </is>
      </c>
      <c r="R30" s="30" t="n"/>
    </row>
    <row r="31" outlineLevel="1">
      <c r="A31" s="32" t="n">
        <v>2</v>
      </c>
      <c r="B31" s="32" t="inlineStr">
        <is>
          <t>CO25-14</t>
        </is>
      </c>
      <c r="C31" s="17" t="inlineStr">
        <is>
          <t xml:space="preserve">        Racor de manguera</t>
        </is>
      </c>
      <c r="D31" s="32" t="n">
        <v>1</v>
      </c>
      <c r="E31" s="32" t="inlineStr">
        <is>
          <t>u</t>
        </is>
      </c>
      <c r="F31" s="33" t="n">
        <v>0.0258</v>
      </c>
      <c r="G31" s="33">
        <f>D31*F31</f>
        <v/>
      </c>
      <c r="H31" s="32" t="inlineStr">
        <is>
          <t>Latón</t>
        </is>
      </c>
      <c r="I31" s="17" t="inlineStr">
        <is>
          <t>18 × 18 × 12</t>
        </is>
      </c>
      <c r="J31" s="32" t="inlineStr">
        <is>
          <t>Compra (en el conjunto)</t>
        </is>
      </c>
      <c r="K31" s="32" t="inlineStr">
        <is>
          <t>No</t>
        </is>
      </c>
      <c r="L31" s="17" t="n"/>
      <c r="M31" s="17" t="n"/>
      <c r="N31" s="17" t="inlineStr">
        <is>
          <t>S4 - se compra terminado (tercerizado con sello IRAM)</t>
        </is>
      </c>
      <c r="O31" s="17" t="n"/>
      <c r="P31" s="32" t="inlineStr">
        <is>
          <t>P</t>
        </is>
      </c>
      <c r="Q31" s="32" t="inlineStr">
        <is>
          <t>FL_DES_CO2_5kg</t>
        </is>
      </c>
      <c r="R31" s="17" t="n"/>
    </row>
    <row r="32" outlineLevel="1">
      <c r="A32" s="32" t="n">
        <v>2</v>
      </c>
      <c r="B32" s="32" t="inlineStr">
        <is>
          <t>CO25-15</t>
        </is>
      </c>
      <c r="C32" s="17" t="inlineStr">
        <is>
          <t xml:space="preserve">        Manguera</t>
        </is>
      </c>
      <c r="D32" s="32" t="n">
        <v>1</v>
      </c>
      <c r="E32" s="32" t="inlineStr">
        <is>
          <t>u</t>
        </is>
      </c>
      <c r="F32" s="33" t="n">
        <v>0.044</v>
      </c>
      <c r="G32" s="33">
        <f>D32*F32</f>
        <v/>
      </c>
      <c r="H32" s="32" t="inlineStr">
        <is>
          <t>Manga alta presión c/malla acero</t>
        </is>
      </c>
      <c r="I32" s="17" t="inlineStr">
        <is>
          <t>Ø16 × 285 de largo desarrollado</t>
        </is>
      </c>
      <c r="J32" s="32" t="inlineStr">
        <is>
          <t>Compra (en el conjunto)</t>
        </is>
      </c>
      <c r="K32" s="32" t="inlineStr">
        <is>
          <t>No</t>
        </is>
      </c>
      <c r="L32" s="17" t="n"/>
      <c r="M32" s="17" t="n"/>
      <c r="N32" s="17" t="inlineStr">
        <is>
          <t>S4 - se compra terminado (tercerizado con sello IRAM)</t>
        </is>
      </c>
      <c r="O32" s="17" t="n"/>
      <c r="P32" s="32" t="inlineStr">
        <is>
          <t>P</t>
        </is>
      </c>
      <c r="Q32" s="32" t="inlineStr">
        <is>
          <t>FL_DES_CO2_5kg</t>
        </is>
      </c>
      <c r="R32" s="17" t="n"/>
    </row>
    <row r="33" outlineLevel="1">
      <c r="A33" s="32" t="n">
        <v>2</v>
      </c>
      <c r="B33" s="32" t="inlineStr">
        <is>
          <t>CO25-16</t>
        </is>
      </c>
      <c r="C33" s="17" t="inlineStr">
        <is>
          <t xml:space="preserve">        Difusor (bocina)</t>
        </is>
      </c>
      <c r="D33" s="32" t="n">
        <v>1</v>
      </c>
      <c r="E33" s="32" t="inlineStr">
        <is>
          <t>u</t>
        </is>
      </c>
      <c r="F33" s="33" t="n">
        <v>0.09429999999999999</v>
      </c>
      <c r="G33" s="33">
        <f>D33*F33</f>
        <v/>
      </c>
      <c r="H33" s="32" t="inlineStr">
        <is>
          <t>Polietileno AD</t>
        </is>
      </c>
      <c r="I33" s="17" t="inlineStr">
        <is>
          <t>260 × 90 × 90</t>
        </is>
      </c>
      <c r="J33" s="32" t="inlineStr">
        <is>
          <t>Compra (en el conjunto)</t>
        </is>
      </c>
      <c r="K33" s="32" t="inlineStr">
        <is>
          <t>No</t>
        </is>
      </c>
      <c r="L33" s="17" t="n"/>
      <c r="M33" s="17" t="n"/>
      <c r="N33" s="17" t="inlineStr">
        <is>
          <t>S4 - se compra terminado (tercerizado con sello IRAM)</t>
        </is>
      </c>
      <c r="O33" s="17" t="n"/>
      <c r="P33" s="32" t="inlineStr">
        <is>
          <t>P</t>
        </is>
      </c>
      <c r="Q33" s="32" t="inlineStr">
        <is>
          <t>FL_DES_CO2_5kg</t>
        </is>
      </c>
      <c r="R33" s="17" t="inlineStr">
        <is>
          <t>aislante térmico y eléctrico</t>
        </is>
      </c>
    </row>
    <row r="34" outlineLevel="1">
      <c r="A34" s="32" t="n">
        <v>2</v>
      </c>
      <c r="B34" s="32" t="inlineStr">
        <is>
          <t>CO25-17</t>
        </is>
      </c>
      <c r="C34" s="17" t="inlineStr">
        <is>
          <t xml:space="preserve">        Empuñadura</t>
        </is>
      </c>
      <c r="D34" s="32" t="n">
        <v>1</v>
      </c>
      <c r="E34" s="32" t="inlineStr">
        <is>
          <t>u</t>
        </is>
      </c>
      <c r="F34" s="33" t="n">
        <v>0.0201</v>
      </c>
      <c r="G34" s="33">
        <f>D34*F34</f>
        <v/>
      </c>
      <c r="H34" s="32" t="inlineStr">
        <is>
          <t>Polipropileno</t>
        </is>
      </c>
      <c r="I34" s="17" t="inlineStr">
        <is>
          <t>40 × 36 × 36</t>
        </is>
      </c>
      <c r="J34" s="32" t="inlineStr">
        <is>
          <t>Compra (en el conjunto)</t>
        </is>
      </c>
      <c r="K34" s="32" t="inlineStr">
        <is>
          <t>No</t>
        </is>
      </c>
      <c r="L34" s="17" t="n"/>
      <c r="M34" s="17" t="n"/>
      <c r="N34" s="17" t="inlineStr">
        <is>
          <t>S4 - se compra terminado (tercerizado con sello IRAM)</t>
        </is>
      </c>
      <c r="O34" s="17" t="n"/>
      <c r="P34" s="32" t="inlineStr">
        <is>
          <t>P</t>
        </is>
      </c>
      <c r="Q34" s="32" t="inlineStr">
        <is>
          <t>FL_DES_CO2_5kg</t>
        </is>
      </c>
      <c r="R34" s="17" t="n"/>
    </row>
    <row r="35" outlineLevel="1">
      <c r="A35" s="32" t="n">
        <v>2</v>
      </c>
      <c r="B35" s="32" t="inlineStr">
        <is>
          <t>CO25-18</t>
        </is>
      </c>
      <c r="C35" s="17" t="inlineStr">
        <is>
          <t xml:space="preserve">        Suncho soporte de difusor</t>
        </is>
      </c>
      <c r="D35" s="32" t="n">
        <v>1</v>
      </c>
      <c r="E35" s="32" t="inlineStr">
        <is>
          <t>u</t>
        </is>
      </c>
      <c r="F35" s="33" t="n">
        <v>0.1231</v>
      </c>
      <c r="G35" s="33">
        <f>D35*F35</f>
        <v/>
      </c>
      <c r="H35" s="32" t="inlineStr">
        <is>
          <t>Fleje acero SAE 1010 pintado</t>
        </is>
      </c>
      <c r="I35" s="17" t="inlineStr">
        <is>
          <t>160,7 × 143,6 × 18</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FL_DES_CO2_5kg</t>
        </is>
      </c>
      <c r="R35" s="17" t="n"/>
    </row>
    <row r="36">
      <c r="A36" s="29" t="n">
        <v>1</v>
      </c>
      <c r="B36" s="29" t="inlineStr">
        <is>
          <t>CO25-S5</t>
        </is>
      </c>
      <c r="C36" s="30" t="inlineStr">
        <is>
          <t xml:space="preserve">    Carga: agente extintor y gas impulsor</t>
        </is>
      </c>
      <c r="D36" s="29" t="n">
        <v>1</v>
      </c>
      <c r="E36" s="29" t="inlineStr">
        <is>
          <t>u</t>
        </is>
      </c>
      <c r="F36" s="31" t="n"/>
      <c r="G36" s="31">
        <f>G37</f>
        <v/>
      </c>
      <c r="H36" s="29" t="n"/>
      <c r="I36" s="30" t="n"/>
      <c r="J36" s="29" t="inlineStr">
        <is>
          <t>Compra</t>
        </is>
      </c>
      <c r="K36" s="29" t="n"/>
      <c r="L36" s="30" t="n"/>
      <c r="M36" s="30" t="n"/>
      <c r="N36" s="30" t="n"/>
      <c r="O36" s="30" t="n"/>
      <c r="P36" s="29" t="n"/>
      <c r="Q36" s="29" t="n"/>
      <c r="R36" s="30" t="n"/>
    </row>
    <row r="37" outlineLevel="1">
      <c r="A37" s="32" t="n">
        <v>2</v>
      </c>
      <c r="B37" s="32" t="inlineStr">
        <is>
          <t>CO25-A1</t>
        </is>
      </c>
      <c r="C37" s="17" t="inlineStr">
        <is>
          <t xml:space="preserve">        Dióxido de carbono (IRAM 41170)</t>
        </is>
      </c>
      <c r="D37" s="32" t="n">
        <v>5</v>
      </c>
      <c r="E37" s="32" t="inlineStr">
        <is>
          <t>kg</t>
        </is>
      </c>
      <c r="F37" s="33" t="n">
        <v>1</v>
      </c>
      <c r="G37" s="33">
        <f>D37*F37</f>
        <v/>
      </c>
      <c r="H37" s="32" t="inlineStr">
        <is>
          <t>Dióxido de carbono (IRAM 41170)</t>
        </is>
      </c>
      <c r="I37" s="17" t="inlineStr">
        <is>
          <t>nominal 5 kg; tolerancia 0 / -5 % (IRAM 3517-2:2020 tabla 3)</t>
        </is>
      </c>
      <c r="J37" s="32" t="inlineStr">
        <is>
          <t>Compra</t>
        </is>
      </c>
      <c r="K37" s="32" t="inlineStr">
        <is>
          <t>No</t>
        </is>
      </c>
      <c r="L37" s="17" t="n"/>
      <c r="M37" s="17" t="n"/>
      <c r="N37" s="17" t="inlineStr">
        <is>
          <t>SP-1 almacén previo a la carga</t>
        </is>
      </c>
      <c r="O37" s="17" t="inlineStr">
        <is>
          <t>IRAM 41170</t>
        </is>
      </c>
      <c r="P37" s="32" t="inlineStr">
        <is>
          <t>N</t>
        </is>
      </c>
      <c r="Q37" s="32" t="n"/>
      <c r="R37" s="17" t="n"/>
    </row>
    <row r="38">
      <c r="A38" s="29" t="n">
        <v>1</v>
      </c>
      <c r="B38" s="29" t="inlineStr">
        <is>
          <t>CO25-S6</t>
        </is>
      </c>
      <c r="C38" s="30" t="inlineStr">
        <is>
          <t xml:space="preserve">    Identificación y precinto</t>
        </is>
      </c>
      <c r="D38" s="29" t="n">
        <v>1</v>
      </c>
      <c r="E38" s="29" t="inlineStr">
        <is>
          <t>u</t>
        </is>
      </c>
      <c r="F38" s="31" t="n"/>
      <c r="G38" s="31">
        <f>G39+G40+G41+G42+G43+G44+G45</f>
        <v/>
      </c>
      <c r="H38" s="29" t="n"/>
      <c r="I38" s="30" t="n"/>
      <c r="J38" s="29" t="inlineStr">
        <is>
          <t>Compra</t>
        </is>
      </c>
      <c r="K38" s="29" t="n"/>
      <c r="L38" s="30" t="n"/>
      <c r="M38" s="30" t="n"/>
      <c r="N38" s="30" t="inlineStr">
        <is>
          <t>22 Etiquetado (T07)</t>
        </is>
      </c>
      <c r="O38" s="30" t="n"/>
      <c r="P38" s="29" t="n"/>
      <c r="Q38" s="29" t="n"/>
      <c r="R38" s="30" t="n"/>
    </row>
    <row r="39" outlineLevel="1">
      <c r="A39" s="32" t="n">
        <v>2</v>
      </c>
      <c r="B39" s="32" t="inlineStr">
        <is>
          <t>CO25-19</t>
        </is>
      </c>
      <c r="C39" s="17" t="inlineStr">
        <is>
          <t xml:space="preserve">        Etiqueta / placa de características</t>
        </is>
      </c>
      <c r="D39" s="32" t="n">
        <v>1</v>
      </c>
      <c r="E39" s="32" t="inlineStr">
        <is>
          <t>u</t>
        </is>
      </c>
      <c r="F39" s="33" t="n">
        <v>0.026</v>
      </c>
      <c r="G39" s="33">
        <f>D39*F39</f>
        <v/>
      </c>
      <c r="H39" s="32" t="inlineStr">
        <is>
          <t>Vinilo autoadhesivo laminado</t>
        </is>
      </c>
      <c r="I39" s="17" t="inlineStr">
        <is>
          <t>264 × 234 (desarrollo × alto: panel central 108° + 2 alas laterales), e ≈ 0,3, laminado UV</t>
        </is>
      </c>
      <c r="J39" s="32" t="inlineStr">
        <is>
          <t>Compra</t>
        </is>
      </c>
      <c r="K39" s="32" t="inlineStr">
        <is>
          <t>No</t>
        </is>
      </c>
      <c r="L39" s="17" t="n"/>
      <c r="M39" s="17" t="n"/>
      <c r="N39" s="17" t="inlineStr">
        <is>
          <t>22 Etiquetado (T07)</t>
        </is>
      </c>
      <c r="O39" s="17" t="inlineStr">
        <is>
          <t>IRAM 3534 · IRAM 3509 cap. 5 · relevamiento de mercado</t>
        </is>
      </c>
      <c r="P39" s="32" t="inlineStr">
        <is>
          <t>P</t>
        </is>
      </c>
      <c r="Q39" s="32" t="inlineStr">
        <is>
          <t>FL_DES_CO2_5kg</t>
        </is>
      </c>
      <c r="R39" s="17" t="inlineStr">
        <is>
          <t>IRAM 3534</t>
        </is>
      </c>
    </row>
    <row r="40" outlineLevel="1">
      <c r="A40" s="32" t="n">
        <v>2</v>
      </c>
      <c r="B40" s="32" t="inlineStr">
        <is>
          <t>CO25-20</t>
        </is>
      </c>
      <c r="C40" s="17" t="inlineStr">
        <is>
          <t xml:space="preserve">        Oblea de fabricación (PBA)</t>
        </is>
      </c>
      <c r="D40" s="32" t="n">
        <v>1</v>
      </c>
      <c r="E40" s="32" t="inlineStr">
        <is>
          <t>u</t>
        </is>
      </c>
      <c r="F40" s="33" t="n">
        <v>0.0009</v>
      </c>
      <c r="G40" s="33">
        <f>D40*F40</f>
        <v/>
      </c>
      <c r="H40" s="32" t="inlineStr">
        <is>
          <t>Papel de seguridad autodestructible</t>
        </is>
      </c>
      <c r="I40" s="17" t="inlineStr">
        <is>
          <t>Ø46 (Res. OPDS 522/07), numerada, autodestructible</t>
        </is>
      </c>
      <c r="J40" s="32" t="inlineStr">
        <is>
          <t>Compra</t>
        </is>
      </c>
      <c r="K40" s="32" t="inlineStr">
        <is>
          <t>No</t>
        </is>
      </c>
      <c r="L40" s="17" t="n"/>
      <c r="M40" s="17" t="n"/>
      <c r="N40" s="17" t="inlineStr">
        <is>
          <t>22 Etiquetado (T07)</t>
        </is>
      </c>
      <c r="O40" s="17" t="inlineStr">
        <is>
          <t>Res. OPDS 522/07 anexos 1, 2 y 6</t>
        </is>
      </c>
      <c r="P40" s="32" t="inlineStr">
        <is>
          <t>P</t>
        </is>
      </c>
      <c r="Q40" s="32" t="inlineStr">
        <is>
          <t>FL_DES_CO2_5kg</t>
        </is>
      </c>
      <c r="R40" s="17" t="inlineStr">
        <is>
          <t>Res. 522/07</t>
        </is>
      </c>
    </row>
    <row r="41" outlineLevel="1">
      <c r="A41" s="32" t="n">
        <v>2</v>
      </c>
      <c r="B41" s="32" t="inlineStr">
        <is>
          <t>CO25-21</t>
        </is>
      </c>
      <c r="C41" s="17" t="inlineStr">
        <is>
          <t xml:space="preserve">        Estampilla IRAM de conformidad</t>
        </is>
      </c>
      <c r="D41" s="32" t="n">
        <v>1</v>
      </c>
      <c r="E41" s="32" t="inlineStr">
        <is>
          <t>u</t>
        </is>
      </c>
      <c r="F41" s="33" t="n">
        <v>0.001</v>
      </c>
      <c r="G41" s="33">
        <f>D41*F41</f>
        <v/>
      </c>
      <c r="H41" s="32" t="inlineStr">
        <is>
          <t>Provista por IRAM (Anexo R)</t>
        </is>
      </c>
      <c r="I41" s="17" t="inlineStr">
        <is>
          <t>60 × 40</t>
        </is>
      </c>
      <c r="J41" s="32" t="inlineStr">
        <is>
          <t>Compra</t>
        </is>
      </c>
      <c r="K41" s="32" t="inlineStr">
        <is>
          <t>No</t>
        </is>
      </c>
      <c r="L41" s="17" t="n"/>
      <c r="M41" s="17" t="n"/>
      <c r="N41" s="17" t="inlineStr">
        <is>
          <t>22 Etiquetado (T07)</t>
        </is>
      </c>
      <c r="O41" s="17" t="inlineStr">
        <is>
          <t>IRAM Anexo R (DC-PG-129)</t>
        </is>
      </c>
      <c r="P41" s="32" t="inlineStr">
        <is>
          <t>P</t>
        </is>
      </c>
      <c r="Q41" s="32" t="inlineStr">
        <is>
          <t>FL_DES_CO2_5kg</t>
        </is>
      </c>
      <c r="R41" s="17" t="inlineStr">
        <is>
          <t>numerada</t>
        </is>
      </c>
    </row>
    <row r="42" outlineLevel="1">
      <c r="A42" s="32" t="n">
        <v>2</v>
      </c>
      <c r="B42" s="32" t="inlineStr">
        <is>
          <t>CO25-22</t>
        </is>
      </c>
      <c r="C42" s="17" t="inlineStr">
        <is>
          <t xml:space="preserve">        Tarjeta de identificación AGC (CABA)</t>
        </is>
      </c>
      <c r="D42" s="32" t="n">
        <v>1</v>
      </c>
      <c r="E42" s="32" t="inlineStr">
        <is>
          <t>u</t>
        </is>
      </c>
      <c r="F42" s="33" t="n">
        <v>0.0032</v>
      </c>
      <c r="G42" s="33">
        <f>D42*F42</f>
        <v/>
      </c>
      <c r="H42" s="32" t="inlineStr">
        <is>
          <t>Etiqueta autoadhesiva emitida por la AGC</t>
        </is>
      </c>
      <c r="I42" s="17" t="inlineStr">
        <is>
          <t>140 × 55</t>
        </is>
      </c>
      <c r="J42" s="32" t="inlineStr">
        <is>
          <t>Compra</t>
        </is>
      </c>
      <c r="K42" s="32" t="inlineStr">
        <is>
          <t>Sí</t>
        </is>
      </c>
      <c r="L42" s="17" t="inlineStr">
        <is>
          <t>Agencia Gubernamental de Control (CABA)</t>
        </is>
      </c>
      <c r="M42" s="17" t="inlineStr">
        <is>
          <t>-</t>
        </is>
      </c>
      <c r="N42" s="17" t="inlineStr">
        <is>
          <t>22 Etiquetado (T07)</t>
        </is>
      </c>
      <c r="O42" s="17" t="inlineStr">
        <is>
          <t>Ordenanza 40.473 art. 6 · Res. AGC 32/15</t>
        </is>
      </c>
      <c r="P42" s="32" t="inlineStr">
        <is>
          <t>P</t>
        </is>
      </c>
      <c r="Q42" s="32" t="inlineStr">
        <is>
          <t>FL_DES_CO2_5kg</t>
        </is>
      </c>
      <c r="R42" s="17" t="inlineStr">
        <is>
          <t>sólo destino CABA; sólo destino CABA</t>
        </is>
      </c>
    </row>
    <row r="43" outlineLevel="1">
      <c r="A43" s="32" t="n">
        <v>2</v>
      </c>
      <c r="B43" s="32" t="inlineStr">
        <is>
          <t>CO25-23</t>
        </is>
      </c>
      <c r="C43" s="17" t="inlineStr">
        <is>
          <t xml:space="preserve">        Etiqueta de n° de serie GS1</t>
        </is>
      </c>
      <c r="D43" s="32" t="n">
        <v>1</v>
      </c>
      <c r="E43" s="32" t="inlineStr">
        <is>
          <t>u</t>
        </is>
      </c>
      <c r="F43" s="33" t="n">
        <v>0.0005</v>
      </c>
      <c r="G43" s="33">
        <f>D43*F43</f>
        <v/>
      </c>
      <c r="H43" s="32" t="inlineStr">
        <is>
          <t>Poliéster autoadhesivo impreso térmico</t>
        </is>
      </c>
      <c r="I43" s="17" t="inlineStr">
        <is>
          <t>45 × 25</t>
        </is>
      </c>
      <c r="J43" s="32" t="inlineStr">
        <is>
          <t>Compra</t>
        </is>
      </c>
      <c r="K43" s="32" t="inlineStr">
        <is>
          <t>No</t>
        </is>
      </c>
      <c r="L43" s="17" t="n"/>
      <c r="M43" s="17" t="n"/>
      <c r="N43" s="17" t="inlineStr">
        <is>
          <t>22 Etiquetado (T07)</t>
        </is>
      </c>
      <c r="O43" s="17" t="inlineStr">
        <is>
          <t>GS1 Argentina (GTIN 779) · trazabilidad IRAM 3523 5.1</t>
        </is>
      </c>
      <c r="P43" s="32" t="inlineStr">
        <is>
          <t>P</t>
        </is>
      </c>
      <c r="Q43" s="32" t="inlineStr">
        <is>
          <t>FL_DES_CO2_5kg</t>
        </is>
      </c>
      <c r="R43" s="17" t="inlineStr">
        <is>
          <t>QR GTIN + serie</t>
        </is>
      </c>
    </row>
    <row r="44" outlineLevel="1">
      <c r="A44" s="32" t="n">
        <v>2</v>
      </c>
      <c r="B44" s="32" t="inlineStr">
        <is>
          <t>CO25-25</t>
        </is>
      </c>
      <c r="C44" s="17" t="inlineStr">
        <is>
          <t xml:space="preserve">        Faja de garantía válvula-cuello</t>
        </is>
      </c>
      <c r="D44" s="32" t="n">
        <v>1</v>
      </c>
      <c r="E44" s="32" t="inlineStr">
        <is>
          <t>u</t>
        </is>
      </c>
      <c r="F44" s="33" t="n">
        <v>0.0003</v>
      </c>
      <c r="G44" s="33">
        <f>D44*F44</f>
        <v/>
      </c>
      <c r="H44" s="32" t="inlineStr">
        <is>
          <t>Vinilo destructible rayado rojo/blanco</t>
        </is>
      </c>
      <c r="I44" s="17" t="inlineStr">
        <is>
          <t>30 × 32 (ancho × largo desarrollado), pegada sobre la unión: cuerpo de la válvula, tuerca y cuello</t>
        </is>
      </c>
      <c r="J44" s="32" t="inlineStr">
        <is>
          <t>Compra</t>
        </is>
      </c>
      <c r="K44" s="32" t="inlineStr">
        <is>
          <t>No</t>
        </is>
      </c>
      <c r="L44" s="17" t="n"/>
      <c r="M44" s="17" t="n"/>
      <c r="N44" s="17" t="inlineStr">
        <is>
          <t>22 Etiquetado (T07)</t>
        </is>
      </c>
      <c r="O44" s="17" t="inlineStr">
        <is>
          <t>Sin norma: práctica de mercado (garantía de fábrica)</t>
        </is>
      </c>
      <c r="P44" s="32" t="inlineStr">
        <is>
          <t>P</t>
        </is>
      </c>
      <c r="Q44" s="32" t="inlineStr">
        <is>
          <t>FL_DES_CO2_5kg</t>
        </is>
      </c>
      <c r="R44" s="17" t="inlineStr">
        <is>
          <t>nuevo sin abrir</t>
        </is>
      </c>
    </row>
    <row r="45" outlineLevel="1">
      <c r="A45" s="32" t="n">
        <v>2</v>
      </c>
      <c r="B45" s="32" t="inlineStr">
        <is>
          <t>CO25-26</t>
        </is>
      </c>
      <c r="C45" s="17" t="inlineStr">
        <is>
          <t xml:space="preserve">        Precinto de fábrica</t>
        </is>
      </c>
      <c r="D45" s="32" t="n">
        <v>1</v>
      </c>
      <c r="E45" s="32" t="inlineStr">
        <is>
          <t>u</t>
        </is>
      </c>
      <c r="F45" s="33" t="n">
        <v>0.0002</v>
      </c>
      <c r="G45" s="33">
        <f>D45*F45</f>
        <v/>
      </c>
      <c r="H45" s="32" t="inlineStr">
        <is>
          <t>Polipropileno color</t>
        </is>
      </c>
      <c r="I45" s="17" t="inlineStr">
        <is>
          <t>Ø5 × 10, numerado, rotura 30-50 N</t>
        </is>
      </c>
      <c r="J45" s="32" t="inlineStr">
        <is>
          <t>Compra</t>
        </is>
      </c>
      <c r="K45" s="32" t="inlineStr">
        <is>
          <t>No</t>
        </is>
      </c>
      <c r="L45" s="17" t="n"/>
      <c r="M45" s="17" t="n"/>
      <c r="N45" s="17" t="inlineStr">
        <is>
          <t>20 Presurización (T05)</t>
        </is>
      </c>
      <c r="O45" s="17" t="inlineStr">
        <is>
          <t>IRAM 3523 3.3.2 · IRAM 3517-2:2020 9.4.13</t>
        </is>
      </c>
      <c r="P45" s="32" t="inlineStr">
        <is>
          <t>P</t>
        </is>
      </c>
      <c r="Q45" s="32" t="inlineStr">
        <is>
          <t>FL_DES_CO2_5kg</t>
        </is>
      </c>
      <c r="R45" s="17" t="inlineStr">
        <is>
          <t>id. FLAMA y lote</t>
        </is>
      </c>
    </row>
    <row r="46">
      <c r="A46" s="29" t="n">
        <v>1</v>
      </c>
      <c r="B46" s="29" t="inlineStr">
        <is>
          <t>CO25-S8</t>
        </is>
      </c>
      <c r="C46" s="30" t="inlineStr">
        <is>
          <t xml:space="preserve">    Soporte (accesorio de montaje)</t>
        </is>
      </c>
      <c r="D46" s="29" t="n">
        <v>1</v>
      </c>
      <c r="E46" s="29" t="inlineStr">
        <is>
          <t>u</t>
        </is>
      </c>
      <c r="F46" s="31" t="n"/>
      <c r="G46" s="31">
        <f>G47</f>
        <v/>
      </c>
      <c r="H46" s="29" t="n"/>
      <c r="I46" s="30" t="n"/>
      <c r="J46" s="29" t="inlineStr">
        <is>
          <t>Compra</t>
        </is>
      </c>
      <c r="K46" s="29" t="n"/>
      <c r="L46" s="30" t="n"/>
      <c r="M46" s="30" t="n"/>
      <c r="N46" s="30" t="inlineStr">
        <is>
          <t>23 Embalaje (va dentro de la caja)</t>
        </is>
      </c>
      <c r="O46" s="30" t="inlineStr">
        <is>
          <t>IRAM 3517-2 7.4</t>
        </is>
      </c>
      <c r="P46" s="29" t="n"/>
      <c r="Q46" s="29" t="n"/>
      <c r="R46" s="30" t="n"/>
    </row>
    <row r="47" outlineLevel="1">
      <c r="A47" s="32" t="n">
        <v>2</v>
      </c>
      <c r="B47" s="32" t="inlineStr">
        <is>
          <t>CO25-I5</t>
        </is>
      </c>
      <c r="C47" s="17" t="inlineStr">
        <is>
          <t xml:space="preserve">        Soporte de pared (FL_ACC_01)</t>
        </is>
      </c>
      <c r="D47" s="32" t="n">
        <v>1</v>
      </c>
      <c r="E47" s="32" t="inlineStr">
        <is>
          <t>u</t>
        </is>
      </c>
      <c r="F47" s="33" t="n">
        <v>0.283</v>
      </c>
      <c r="G47" s="33">
        <f>D47*F47</f>
        <v/>
      </c>
      <c r="H47" s="32" t="inlineStr">
        <is>
          <t>Chapa acero SAE 1010 e=2 pintada</t>
        </is>
      </c>
      <c r="I47" s="17" t="inlineStr">
        <is>
          <t>placa 60 × 180, ala con ranura Ø cuello + 3</t>
        </is>
      </c>
      <c r="J47" s="32" t="inlineStr">
        <is>
          <t>Compra</t>
        </is>
      </c>
      <c r="K47" s="32" t="inlineStr">
        <is>
          <t>No</t>
        </is>
      </c>
      <c r="L47" s="17" t="n"/>
      <c r="M47" s="17" t="n"/>
      <c r="N47" s="17" t="inlineStr">
        <is>
          <t>23 Embalaje</t>
        </is>
      </c>
      <c r="O47" s="17" t="inlineStr">
        <is>
          <t>IRAM 3517-2 7.4</t>
        </is>
      </c>
      <c r="P47" s="32" t="inlineStr">
        <is>
          <t>P</t>
        </is>
      </c>
      <c r="Q47" s="32" t="inlineStr">
        <is>
          <t>FL_ACC_01</t>
        </is>
      </c>
      <c r="R47" s="17" t="n"/>
    </row>
    <row r="48" outlineLevel="1">
      <c r="A48" s="32" t="n">
        <v>2</v>
      </c>
      <c r="B48" s="32" t="inlineStr">
        <is>
          <t>CO25-I6</t>
        </is>
      </c>
      <c r="C48" s="17" t="inlineStr">
        <is>
          <t xml:space="preserve">        Tornillo y tarugo de fijación</t>
        </is>
      </c>
      <c r="D48" s="32" t="n">
        <v>2</v>
      </c>
      <c r="E48" s="32" t="inlineStr">
        <is>
          <t>u</t>
        </is>
      </c>
      <c r="F48" s="33" t="n"/>
      <c r="G48" s="33" t="n"/>
      <c r="H48" s="32" t="inlineStr">
        <is>
          <t>Acero cincado / nylon</t>
        </is>
      </c>
      <c r="I48" s="17" t="inlineStr">
        <is>
          <t>2 agujeros Ø8,5 del plano FL_ACC_01 → tornillo M8 + tarugo</t>
        </is>
      </c>
      <c r="J48" s="32" t="inlineStr">
        <is>
          <t>Compra</t>
        </is>
      </c>
      <c r="K48" s="32" t="inlineStr">
        <is>
          <t>No</t>
        </is>
      </c>
      <c r="L48" s="17" t="n"/>
      <c r="M48" s="17" t="n"/>
      <c r="N48" s="17" t="inlineStr">
        <is>
          <t>23 Embalaje</t>
        </is>
      </c>
      <c r="O48" s="17" t="n"/>
      <c r="P48" s="32" t="inlineStr">
        <is>
          <t>P</t>
        </is>
      </c>
      <c r="Q48" s="32" t="inlineStr">
        <is>
          <t>FL_ACC_01</t>
        </is>
      </c>
      <c r="R48" s="17" t="n"/>
    </row>
    <row r="49">
      <c r="A49" s="29" t="n">
        <v>1</v>
      </c>
      <c r="B49" s="29" t="inlineStr">
        <is>
          <t>CO25-S7</t>
        </is>
      </c>
      <c r="C49" s="30" t="inlineStr">
        <is>
          <t xml:space="preserve">    Embalaje</t>
        </is>
      </c>
      <c r="D49" s="29" t="n">
        <v>1</v>
      </c>
      <c r="E49" s="29" t="inlineStr">
        <is>
          <t>u</t>
        </is>
      </c>
      <c r="F49" s="31" t="n"/>
      <c r="G49" s="31">
        <f>G53</f>
        <v/>
      </c>
      <c r="H49" s="29" t="n"/>
      <c r="I49" s="30" t="n"/>
      <c r="J49" s="29" t="inlineStr">
        <is>
          <t>Compra</t>
        </is>
      </c>
      <c r="K49" s="29" t="n"/>
      <c r="L49" s="30" t="n"/>
      <c r="M49" s="30" t="n"/>
      <c r="N49" s="30" t="inlineStr">
        <is>
          <t>23 Embalaje -&gt; 24 envolvedora (T11)</t>
        </is>
      </c>
      <c r="O49" s="30" t="n"/>
      <c r="P49" s="29" t="n"/>
      <c r="Q49" s="29" t="n"/>
      <c r="R49" s="30" t="n"/>
    </row>
    <row r="50" outlineLevel="1">
      <c r="A50" s="32" t="n">
        <v>2</v>
      </c>
      <c r="B50" s="32" t="inlineStr">
        <is>
          <t>CO25-E1</t>
        </is>
      </c>
      <c r="C50" s="17" t="inlineStr">
        <is>
          <t xml:space="preserve">        Caja de cartón corrugado doble</t>
        </is>
      </c>
      <c r="D50" s="32" t="n">
        <v>1</v>
      </c>
      <c r="E50" s="32" t="inlineStr">
        <is>
          <t>u</t>
        </is>
      </c>
      <c r="F50" s="33" t="n"/>
      <c r="G50" s="33" t="n"/>
      <c r="H50" s="32" t="inlineStr">
        <is>
          <t>Cartón corrugado</t>
        </is>
      </c>
      <c r="I50" s="17" t="inlineStr">
        <is>
          <t>301 × 174 × 755 interior (envolvente del plano + 15 por lado)</t>
        </is>
      </c>
      <c r="J50" s="32" t="inlineStr">
        <is>
          <t>Compra</t>
        </is>
      </c>
      <c r="K50" s="32" t="inlineStr">
        <is>
          <t>No</t>
        </is>
      </c>
      <c r="L50" s="17" t="n"/>
      <c r="M50" s="17" t="n"/>
      <c r="N50" s="17" t="inlineStr">
        <is>
          <t>23 Embalaje</t>
        </is>
      </c>
      <c r="O50" s="17" t="n"/>
      <c r="P50" s="32" t="inlineStr">
        <is>
          <t>P</t>
        </is>
      </c>
      <c r="Q50" s="32" t="n"/>
      <c r="R50" s="17" t="inlineStr">
        <is>
          <t>Medida del plano</t>
        </is>
      </c>
    </row>
    <row r="51" outlineLevel="1">
      <c r="A51" s="32" t="n">
        <v>2</v>
      </c>
      <c r="B51" s="32" t="inlineStr">
        <is>
          <t>CO25-E2</t>
        </is>
      </c>
      <c r="C51" s="17" t="inlineStr">
        <is>
          <t xml:space="preserve">        Instructivo de uso y mantenimiento</t>
        </is>
      </c>
      <c r="D51" s="32" t="n">
        <v>1</v>
      </c>
      <c r="E51" s="32" t="inlineStr">
        <is>
          <t>u</t>
        </is>
      </c>
      <c r="F51" s="33" t="n"/>
      <c r="G51" s="33" t="n"/>
      <c r="H51" s="32" t="inlineStr">
        <is>
          <t>Papel</t>
        </is>
      </c>
      <c r="I51" s="17" t="inlineStr">
        <is>
          <t>A5</t>
        </is>
      </c>
      <c r="J51" s="32" t="inlineStr">
        <is>
          <t>Compra</t>
        </is>
      </c>
      <c r="K51" s="32" t="inlineStr">
        <is>
          <t>No</t>
        </is>
      </c>
      <c r="L51" s="17" t="n"/>
      <c r="M51" s="17" t="n"/>
      <c r="N51" s="17" t="inlineStr">
        <is>
          <t>23 Embalaje</t>
        </is>
      </c>
      <c r="O51" s="17" t="n"/>
      <c r="P51" s="32" t="inlineStr">
        <is>
          <t>I</t>
        </is>
      </c>
      <c r="Q51" s="32" t="n"/>
      <c r="R51" s="17" t="inlineStr">
        <is>
          <t>Decisión comercial de FLAMA (las instrucciones de uso obligatorias van en la etiqueta, IRAM 3534)</t>
        </is>
      </c>
    </row>
    <row r="52" outlineLevel="1">
      <c r="A52" s="32" t="n">
        <v>2</v>
      </c>
      <c r="B52" s="32" t="inlineStr">
        <is>
          <t>CO25-E3</t>
        </is>
      </c>
      <c r="C52" s="17" t="inlineStr">
        <is>
          <t xml:space="preserve">        Pallet 1200 × 1000 (fracción)</t>
        </is>
      </c>
      <c r="D52" s="32" t="n">
        <v>0.0556</v>
      </c>
      <c r="E52" s="32" t="inlineStr">
        <is>
          <t>u</t>
        </is>
      </c>
      <c r="F52" s="33" t="n"/>
      <c r="G52" s="33" t="n"/>
      <c r="H52" s="32" t="inlineStr">
        <is>
          <t>Madera</t>
        </is>
      </c>
      <c r="I52" s="17" t="inlineStr">
        <is>
          <t>18 u por pallet</t>
        </is>
      </c>
      <c r="J52" s="32" t="inlineStr">
        <is>
          <t>Compra</t>
        </is>
      </c>
      <c r="K52" s="32" t="inlineStr">
        <is>
          <t>No</t>
        </is>
      </c>
      <c r="L52" s="17" t="n"/>
      <c r="M52" s="17" t="n"/>
      <c r="N52" s="17" t="inlineStr">
        <is>
          <t>23 Embalaje</t>
        </is>
      </c>
      <c r="O52" s="17" t="n"/>
      <c r="P52" s="32" t="inlineStr">
        <is>
          <t>C</t>
        </is>
      </c>
      <c r="Q52" s="32" t="n"/>
      <c r="R52" s="17" t="inlineStr">
        <is>
          <t>u por pallet = acomodo de la caja (plano) en 1200 × 1000 × 1450 de alto</t>
        </is>
      </c>
    </row>
    <row r="53" outlineLevel="1">
      <c r="A53" s="32" t="n">
        <v>2</v>
      </c>
      <c r="B53" s="32" t="inlineStr">
        <is>
          <t>CO25-E4</t>
        </is>
      </c>
      <c r="C53" s="17" t="inlineStr">
        <is>
          <t xml:space="preserve">        Film stretch (fracción del pallet)</t>
        </is>
      </c>
      <c r="D53" s="32" t="n">
        <v>0.0067</v>
      </c>
      <c r="E53" s="32" t="inlineStr">
        <is>
          <t>kg</t>
        </is>
      </c>
      <c r="F53" s="33" t="n">
        <v>1</v>
      </c>
      <c r="G53" s="33">
        <f>D53*F53</f>
        <v/>
      </c>
      <c r="H53" s="32" t="inlineStr">
        <is>
          <t>PE lineal 23 µm</t>
        </is>
      </c>
      <c r="I53" s="17" t="inlineStr">
        <is>
          <t>0,12 kg por pallet / 18 u</t>
        </is>
      </c>
      <c r="J53" s="32" t="inlineStr">
        <is>
          <t>Compra</t>
        </is>
      </c>
      <c r="K53" s="32" t="inlineStr">
        <is>
          <t>No</t>
        </is>
      </c>
      <c r="L53" s="17" t="n"/>
      <c r="M53" s="17" t="n"/>
      <c r="N53" s="17" t="inlineStr">
        <is>
          <t>24 Envolvedora (T11)</t>
        </is>
      </c>
      <c r="O53" s="17" t="n"/>
      <c r="P53" s="32" t="inlineStr">
        <is>
          <t>C</t>
        </is>
      </c>
      <c r="Q53" s="32" t="n"/>
      <c r="R53"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4" outlineLevel="1">
      <c r="A54" s="32" t="n">
        <v>2</v>
      </c>
      <c r="B54" s="32" t="inlineStr">
        <is>
          <t>CO25-E5</t>
        </is>
      </c>
      <c r="C54" s="17" t="inlineStr">
        <is>
          <t xml:space="preserve">        Etiqueta de pallet (lote y destino, fracción)</t>
        </is>
      </c>
      <c r="D54" s="32" t="n">
        <v>0.0556</v>
      </c>
      <c r="E54" s="32" t="inlineStr">
        <is>
          <t>u</t>
        </is>
      </c>
      <c r="F54" s="33" t="n"/>
      <c r="G54" s="33" t="n"/>
      <c r="H54" s="32" t="inlineStr">
        <is>
          <t>Papel térmico</t>
        </is>
      </c>
      <c r="I54" s="17" t="inlineStr">
        <is>
          <t>100 × 150</t>
        </is>
      </c>
      <c r="J54" s="32" t="inlineStr">
        <is>
          <t>Compra</t>
        </is>
      </c>
      <c r="K54" s="32" t="inlineStr">
        <is>
          <t>No</t>
        </is>
      </c>
      <c r="L54" s="17" t="n"/>
      <c r="M54" s="17" t="n"/>
      <c r="N54" s="17" t="inlineStr">
        <is>
          <t>24 Envolvedora</t>
        </is>
      </c>
      <c r="O54" s="17" t="n"/>
      <c r="P54" s="32" t="inlineStr">
        <is>
          <t>C</t>
        </is>
      </c>
      <c r="Q54" s="32" t="n"/>
      <c r="R54" s="17" t="n"/>
    </row>
    <row r="55" outlineLevel="1">
      <c r="A55" s="32" t="n">
        <v>2</v>
      </c>
      <c r="B55" s="32" t="inlineStr">
        <is>
          <t>CO25-E6</t>
        </is>
      </c>
      <c r="C55" s="17" t="inlineStr">
        <is>
          <t xml:space="preserve">        Cinta de embalaje PP 48 mm (cierre de la caja)</t>
        </is>
      </c>
      <c r="D55" s="32" t="n">
        <v>0.883</v>
      </c>
      <c r="E55" s="32" t="inlineStr">
        <is>
          <t>m</t>
        </is>
      </c>
      <c r="F55" s="33" t="n"/>
      <c r="G55" s="33" t="n"/>
      <c r="H55" s="32" t="inlineStr">
        <is>
          <t>Polipropileno con adhesivo acrílico</t>
        </is>
      </c>
      <c r="I55" s="17" t="inlineStr">
        <is>
          <t>cierre en I arriba y abajo: 2 × (301 + 2 × 70 de solapa)</t>
        </is>
      </c>
      <c r="J55" s="32" t="inlineStr">
        <is>
          <t>Compra</t>
        </is>
      </c>
      <c r="K55" s="32" t="inlineStr">
        <is>
          <t>No</t>
        </is>
      </c>
      <c r="L55" s="17" t="n"/>
      <c r="M55" s="17" t="n"/>
      <c r="N55" s="17" t="inlineStr">
        <is>
          <t>23 Embalaje</t>
        </is>
      </c>
      <c r="O55" s="17" t="n"/>
      <c r="P55" s="32" t="inlineStr">
        <is>
          <t>C</t>
        </is>
      </c>
      <c r="Q55" s="32" t="n"/>
      <c r="R55" s="17" t="inlineStr">
        <is>
          <t>Solapa de 70 mm por lado: práctica de cierre de cajas (medir en la línea)</t>
        </is>
      </c>
    </row>
    <row r="56" outlineLevel="1">
      <c r="A56" s="32" t="n">
        <v>2</v>
      </c>
      <c r="B56" s="32" t="inlineStr">
        <is>
          <t>CO25-E7</t>
        </is>
      </c>
      <c r="C56" s="17" t="inlineStr">
        <is>
          <t xml:space="preserve">        Esquineros de cartón 50 × 50 × 1200 (fracción del pallet)</t>
        </is>
      </c>
      <c r="D56" s="32" t="n">
        <v>0.2222</v>
      </c>
      <c r="E56" s="32" t="inlineStr">
        <is>
          <t>u</t>
        </is>
      </c>
      <c r="F56" s="33" t="n"/>
      <c r="G56" s="33" t="n"/>
      <c r="H56" s="32" t="inlineStr">
        <is>
          <t>Cartón</t>
        </is>
      </c>
      <c r="I56" s="17" t="inlineStr">
        <is>
          <t>4 por pallet / 18 u</t>
        </is>
      </c>
      <c r="J56" s="32" t="inlineStr">
        <is>
          <t>Compra</t>
        </is>
      </c>
      <c r="K56" s="32" t="inlineStr">
        <is>
          <t>No</t>
        </is>
      </c>
      <c r="L56" s="17" t="n"/>
      <c r="M56" s="17" t="n"/>
      <c r="N56" s="17" t="inlineStr">
        <is>
          <t>24 Envolvedora (T11)</t>
        </is>
      </c>
      <c r="O56" s="17" t="n"/>
      <c r="P56" s="32" t="inlineStr">
        <is>
          <t>C</t>
        </is>
      </c>
      <c r="Q56" s="32" t="n"/>
      <c r="R56" s="17" t="inlineStr">
        <is>
          <t>Planilla MP-64</t>
        </is>
      </c>
    </row>
  </sheetData>
  <autoFilter ref="A10:R56"/>
  <pageMargins left="0.75" right="0.75" top="1" bottom="1" header="0.5" footer="0.5"/>
  <pageSetup orientation="landscape" fitToHeight="0" fitToWidth="1"/>
</worksheet>
</file>

<file path=xl/worksheets/sheet27.xml><?xml version="1.0" encoding="utf-8"?>
<worksheet xmlns="http://schemas.openxmlformats.org/spreadsheetml/2006/main">
  <sheetPr>
    <tabColor rgb="00BF8F00"/>
    <outlinePr summaryBelow="0" summaryRight="1"/>
    <pageSetUpPr fitToPage="1"/>
  </sheetPr>
  <dimension ref="A1:R6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FL_MAT_HCFC-HFC_5kg</t>
        </is>
      </c>
    </row>
    <row r="2">
      <c r="A2" s="58" t="inlineStr">
        <is>
          <t>Extintor HCFC/HFC 5 kg</t>
        </is>
      </c>
    </row>
    <row r="3">
      <c r="A3" s="2" t="inlineStr">
        <is>
          <t>Plano de origen</t>
        </is>
      </c>
      <c r="C3" t="inlineStr">
        <is>
          <t>FL_MAT_HCFC-HFC_5kg  (4 láminas)</t>
        </is>
      </c>
      <c r="E3" s="2" t="inlineStr">
        <is>
          <t>Peso vacío S1-S4 (kg)</t>
        </is>
      </c>
      <c r="G3" s="59">
        <f>G13+G18+G33</f>
        <v/>
      </c>
    </row>
    <row r="4">
      <c r="A4" s="2" t="inlineStr">
        <is>
          <t>Plano de despiece</t>
        </is>
      </c>
      <c r="C4" t="inlineStr">
        <is>
          <t>FL_DES_HCFC-HFC_5kg (salida/despiece/)</t>
        </is>
      </c>
      <c r="E4" s="2" t="inlineStr">
        <is>
          <t>Peso cargado S1-S6 (kg)</t>
        </is>
      </c>
      <c r="G4" s="59">
        <f>G13+G18+G33+G38+G41</f>
        <v/>
      </c>
    </row>
    <row r="5">
      <c r="A5" s="2" t="inlineStr">
        <is>
          <t>Norma del producto</t>
        </is>
      </c>
      <c r="C5" t="inlineStr">
        <is>
          <t>IRAM 3504</t>
        </is>
      </c>
      <c r="E5" s="2" t="inlineStr">
        <is>
          <t>Peso con soporte y embalaje (kg)</t>
        </is>
      </c>
      <c r="G5" s="59">
        <f>G13+G18+G33+G38+G41+G53+G49</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8.5</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FL_MAT_HCFC-HFC_5kg</t>
        </is>
      </c>
      <c r="C11" s="27" t="inlineStr">
        <is>
          <t>Extintor HCFC/HFC 5 kg</t>
        </is>
      </c>
      <c r="D11" s="26" t="n">
        <v>1</v>
      </c>
      <c r="E11" s="26" t="inlineStr">
        <is>
          <t>u</t>
        </is>
      </c>
      <c r="F11" s="28" t="n"/>
      <c r="G11" s="28">
        <f>G5</f>
        <v/>
      </c>
      <c r="H11" s="26" t="n"/>
      <c r="I11" s="27" t="n"/>
      <c r="J11" s="26" t="n"/>
      <c r="K11" s="26" t="n"/>
      <c r="L11" s="27" t="n"/>
      <c r="M11" s="27" t="n"/>
      <c r="N11" s="27" t="n"/>
      <c r="O11" s="27" t="inlineStr">
        <is>
          <t>IRAM 3504</t>
        </is>
      </c>
      <c r="P11" s="26" t="inlineStr">
        <is>
          <t>P</t>
        </is>
      </c>
      <c r="Q11" s="26" t="inlineStr">
        <is>
          <t>FL_MAT_HCFC-HFC_5kg</t>
        </is>
      </c>
      <c r="R11" s="27" t="inlineStr">
        <is>
          <t>Revendido: se compra terminado al fabricante con Sello IRAM; las piezas internas quedan como referencia (no entran en MRP)</t>
        </is>
      </c>
    </row>
    <row r="12">
      <c r="A12" s="29" t="n">
        <v>1</v>
      </c>
      <c r="B12" s="29" t="inlineStr">
        <is>
          <t>HCFCHFC5-S0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Melisam</t>
        </is>
      </c>
      <c r="N12" s="30" t="inlineStr">
        <is>
          <t>Recepción y control de ingreso (SP-1)</t>
        </is>
      </c>
      <c r="O12" s="30" t="inlineStr">
        <is>
          <t>IRAM 3504</t>
        </is>
      </c>
      <c r="P12" s="29" t="inlineStr">
        <is>
          <t>I</t>
        </is>
      </c>
      <c r="Q12" s="29" t="inlineStr">
        <is>
          <t>FL_MAT_HCFC-HFC_5kg</t>
        </is>
      </c>
      <c r="R12" s="30" t="inlineStr">
        <is>
          <t>Única fila de compra del revendido (más la tarjeta AGC si el destino es CABA)</t>
        </is>
      </c>
    </row>
    <row r="13">
      <c r="A13" s="29" t="n">
        <v>1</v>
      </c>
      <c r="B13" s="29" t="inlineStr">
        <is>
          <t>HCFCHFC5-S1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FL_DES_HCFC-HFC_5kg</t>
        </is>
      </c>
      <c r="R13" s="30" t="n"/>
    </row>
    <row r="14" outlineLevel="1">
      <c r="A14" s="32" t="n">
        <v>2</v>
      </c>
      <c r="B14" s="32" t="inlineStr">
        <is>
          <t>HCFCHFC5-01</t>
        </is>
      </c>
      <c r="C14" s="17" t="inlineStr">
        <is>
          <t xml:space="preserve">        Cuerpo (virola)</t>
        </is>
      </c>
      <c r="D14" s="32" t="n">
        <v>1</v>
      </c>
      <c r="E14" s="32" t="inlineStr">
        <is>
          <t>u</t>
        </is>
      </c>
      <c r="F14" s="33" t="n">
        <v>1.9541</v>
      </c>
      <c r="G14" s="33">
        <f>D14*F14</f>
        <v/>
      </c>
      <c r="H14" s="32" t="inlineStr">
        <is>
          <t>Chapa LAF IRAM-IAS U 500-05 e=1,6</t>
        </is>
      </c>
      <c r="I14" s="17" t="inlineStr">
        <is>
          <t>Ø153 × e1,6 × 327,3 de alto; desarrollo 475,6 × 327,3</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FL_DES_HCFC-HFC_5kg</t>
        </is>
      </c>
      <c r="R14" s="17" t="inlineStr">
        <is>
          <t>costura long. MAG</t>
        </is>
      </c>
    </row>
    <row r="15" outlineLevel="1">
      <c r="A15" s="32" t="n">
        <v>2</v>
      </c>
      <c r="B15" s="32" t="inlineStr">
        <is>
          <t>HCFCHFC5-02</t>
        </is>
      </c>
      <c r="C15" s="17" t="inlineStr">
        <is>
          <t xml:space="preserve">        Cúpula</t>
        </is>
      </c>
      <c r="D15" s="32" t="n">
        <v>1</v>
      </c>
      <c r="E15" s="32" t="inlineStr">
        <is>
          <t>u</t>
        </is>
      </c>
      <c r="F15" s="33" t="n">
        <v>0.3608</v>
      </c>
      <c r="G15" s="33">
        <f>D15*F15</f>
        <v/>
      </c>
      <c r="H15" s="32" t="inlineStr">
        <is>
          <t>Chapa LAF IRAM-IAS U 500-05 e=1,6</t>
        </is>
      </c>
      <c r="I15" s="17" t="inlineStr">
        <is>
          <t>Ø153 × e1,6 × 53,2 de alto; disco Ø221</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FL_DES_HCFC-HFC_5kg</t>
        </is>
      </c>
      <c r="R15" s="17" t="inlineStr">
        <is>
          <t>embutida</t>
        </is>
      </c>
    </row>
    <row r="16" outlineLevel="1">
      <c r="A16" s="32" t="n">
        <v>2</v>
      </c>
      <c r="B16" s="32" t="inlineStr">
        <is>
          <t>HCFCHFC5-03</t>
        </is>
      </c>
      <c r="C16" s="17" t="inlineStr">
        <is>
          <t xml:space="preserve">        Fondo</t>
        </is>
      </c>
      <c r="D16" s="32" t="n">
        <v>1</v>
      </c>
      <c r="E16" s="32" t="inlineStr">
        <is>
          <t>u</t>
        </is>
      </c>
      <c r="F16" s="33" t="n">
        <v>0.3173</v>
      </c>
      <c r="G16" s="33">
        <f>D16*F16</f>
        <v/>
      </c>
      <c r="H16" s="32" t="inlineStr">
        <is>
          <t>Chapa LAF IRAM-IAS U 500-05 e=1,6</t>
        </is>
      </c>
      <c r="I16" s="17" t="inlineStr">
        <is>
          <t>Ø153 × e1,6 × 26 de alto; disco Ø177</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FL_DES_HCFC-HFC_5kg</t>
        </is>
      </c>
      <c r="R16" s="17" t="inlineStr">
        <is>
          <t>embutido</t>
        </is>
      </c>
    </row>
    <row r="17" outlineLevel="1">
      <c r="A17" s="32" t="n">
        <v>2</v>
      </c>
      <c r="B17" s="32" t="inlineStr">
        <is>
          <t>HCFCHFC5-04</t>
        </is>
      </c>
      <c r="C17" s="17" t="inlineStr">
        <is>
          <t xml:space="preserve">        Cuello roscado</t>
        </is>
      </c>
      <c r="D17" s="32" t="n">
        <v>1</v>
      </c>
      <c r="E17" s="32" t="inlineStr">
        <is>
          <t>u</t>
        </is>
      </c>
      <c r="F17" s="33" t="n">
        <v>0.0589</v>
      </c>
      <c r="G17" s="33">
        <f>D17*F17</f>
        <v/>
      </c>
      <c r="H17" s="32" t="inlineStr">
        <is>
          <t>Acero SAE 1010</t>
        </is>
      </c>
      <c r="I17" s="17" t="inlineStr">
        <is>
          <t>Ø37 × 15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FL_DES_HCFC-HFC_5kg</t>
        </is>
      </c>
      <c r="R17" s="17" t="inlineStr">
        <is>
          <t>M30x1,5</t>
        </is>
      </c>
    </row>
    <row r="18">
      <c r="A18" s="29" t="n">
        <v>1</v>
      </c>
      <c r="B18" s="29" t="inlineStr">
        <is>
          <t>HCFCHFC5-S2</t>
        </is>
      </c>
      <c r="C18" s="30" t="inlineStr">
        <is>
          <t xml:space="preserve">    Conjunto de válvula</t>
        </is>
      </c>
      <c r="D18" s="29" t="n">
        <v>1</v>
      </c>
      <c r="E18" s="29" t="inlineStr">
        <is>
          <t>u</t>
        </is>
      </c>
      <c r="F18" s="31" t="n"/>
      <c r="G18" s="31">
        <f>G19+G20+G21+G23+G24+G25+G26+G27+G28+G29+G30</f>
        <v/>
      </c>
      <c r="H18" s="29" t="n"/>
      <c r="I18" s="30" t="n"/>
      <c r="J18" s="29" t="inlineStr">
        <is>
          <t>Compra / armado</t>
        </is>
      </c>
      <c r="K18" s="29" t="n"/>
      <c r="L18" s="30" t="n"/>
      <c r="M18" s="30" t="n"/>
      <c r="N18" s="30" t="n"/>
      <c r="O18" s="30" t="inlineStr">
        <is>
          <t>Manómetro IRAM 3533</t>
        </is>
      </c>
      <c r="P18" s="29" t="inlineStr">
        <is>
          <t>P</t>
        </is>
      </c>
      <c r="Q18" s="29" t="inlineStr">
        <is>
          <t>FL_DES_HCFC-HFC_5kg</t>
        </is>
      </c>
      <c r="R18" s="30" t="n"/>
    </row>
    <row r="19" outlineLevel="1">
      <c r="A19" s="32" t="n">
        <v>2</v>
      </c>
      <c r="B19" s="32" t="inlineStr">
        <is>
          <t>HCFCHFC5-05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FL_DES_HCFC-HFC_5kg</t>
        </is>
      </c>
      <c r="R19" s="17" t="n"/>
    </row>
    <row r="20" outlineLevel="1">
      <c r="A20" s="32" t="n">
        <v>2</v>
      </c>
      <c r="B20" s="32" t="inlineStr">
        <is>
          <t>HCFCHFC5-06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FL_DES_HCFC-HFC_5kg</t>
        </is>
      </c>
      <c r="R20" s="17" t="n"/>
    </row>
    <row r="21" outlineLevel="1">
      <c r="A21" s="32" t="n">
        <v>2</v>
      </c>
      <c r="B21" s="32" t="inlineStr">
        <is>
          <t>HCFCHFC5-07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FL_DES_HCFC-HFC_5kg</t>
        </is>
      </c>
      <c r="R21" s="17" t="n"/>
    </row>
    <row r="22" outlineLevel="1">
      <c r="A22" s="32" t="n">
        <v>2</v>
      </c>
      <c r="B22" s="32" t="inlineStr">
        <is>
          <t>HCFCHFC5-08</t>
        </is>
      </c>
      <c r="C22" s="17" t="inlineStr">
        <is>
          <t xml:space="preserve">        Manómetro</t>
        </is>
      </c>
      <c r="D22" s="32" t="n">
        <v>1</v>
      </c>
      <c r="E22" s="32" t="inlineStr">
        <is>
          <t>u</t>
        </is>
      </c>
      <c r="F22" s="33" t="n"/>
      <c r="G22" s="33" t="n"/>
      <c r="H22" s="32" t="inlineStr">
        <is>
          <t>Comercial</t>
        </is>
      </c>
      <c r="I22" s="17" t="inlineStr">
        <is>
          <t>Ø36 esfera, rango 0-2 MPa, sector verde en 0,8</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FL_DES_HCFC-HFC_5kg</t>
        </is>
      </c>
      <c r="R22" s="17" t="inlineStr">
        <is>
          <t>Pieza comercial; sello IRAM 3533; peso: completar con la ficha del proveedor (no afecta el MRP)</t>
        </is>
      </c>
    </row>
    <row r="23" outlineLevel="1">
      <c r="A23" s="32" t="n">
        <v>2</v>
      </c>
      <c r="B23" s="32" t="inlineStr">
        <is>
          <t>HCFCHFC5-09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FL_DES_HCFC-HFC_5kg</t>
        </is>
      </c>
      <c r="R23" s="17" t="inlineStr">
        <is>
          <t>con junta tórica</t>
        </is>
      </c>
    </row>
    <row r="24" outlineLevel="1">
      <c r="A24" s="32" t="n">
        <v>2</v>
      </c>
      <c r="B24" s="32" t="inlineStr">
        <is>
          <t>HCFCHFC5-10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FL_DES_HCFC-HFC_5kg</t>
        </is>
      </c>
      <c r="R24" s="17" t="inlineStr">
        <is>
          <t>cierre del vástago</t>
        </is>
      </c>
    </row>
    <row r="25" outlineLevel="1">
      <c r="A25" s="32" t="n">
        <v>2</v>
      </c>
      <c r="B25" s="32" t="inlineStr">
        <is>
          <t>HCFCHFC5-11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FL_DES_HCFC-HFC_5kg</t>
        </is>
      </c>
      <c r="R25" s="17" t="n"/>
    </row>
    <row r="26" outlineLevel="1">
      <c r="A26" s="32" t="n">
        <v>2</v>
      </c>
      <c r="B26" s="32" t="inlineStr">
        <is>
          <t>HCFCHFC5-12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FL_DES_HCFC-HFC_5kg</t>
        </is>
      </c>
      <c r="R26" s="17" t="inlineStr">
        <is>
          <t>con precinto</t>
        </is>
      </c>
    </row>
    <row r="27" outlineLevel="1">
      <c r="A27" s="32" t="n">
        <v>2</v>
      </c>
      <c r="B27" s="32" t="inlineStr">
        <is>
          <t>HCFCHFC5-13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FL_DES_HCFC-HFC_5kg</t>
        </is>
      </c>
      <c r="R27" s="17" t="n"/>
    </row>
    <row r="28" outlineLevel="1">
      <c r="A28" s="32" t="n">
        <v>2</v>
      </c>
      <c r="B28" s="32" t="inlineStr">
        <is>
          <t>HCFCHFC5-14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FL_DES_HCFC-HFC_5kg</t>
        </is>
      </c>
      <c r="R28" s="17" t="n"/>
    </row>
    <row r="29" outlineLevel="1">
      <c r="A29" s="32" t="n">
        <v>2</v>
      </c>
      <c r="B29" s="32" t="inlineStr">
        <is>
          <t>HCFCHFC5-15</t>
        </is>
      </c>
      <c r="C29" s="17" t="inlineStr">
        <is>
          <t xml:space="preserve">        Caño de pesca (sifón)</t>
        </is>
      </c>
      <c r="D29" s="32" t="n">
        <v>1</v>
      </c>
      <c r="E29" s="32" t="inlineStr">
        <is>
          <t>u</t>
        </is>
      </c>
      <c r="F29" s="33" t="n">
        <v>0.0462</v>
      </c>
      <c r="G29" s="33">
        <f>D29*F29</f>
        <v/>
      </c>
      <c r="H29" s="32" t="inlineStr">
        <is>
          <t>Tubo PVC rígido</t>
        </is>
      </c>
      <c r="I29" s="17" t="inlineStr">
        <is>
          <t>Ø21,3 × 353,6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FL_DES_HCFC-HFC_5kg</t>
        </is>
      </c>
      <c r="R29" s="17" t="n"/>
    </row>
    <row r="30" outlineLevel="1">
      <c r="A30" s="32" t="n">
        <v>2</v>
      </c>
      <c r="B30" s="32" t="inlineStr">
        <is>
          <t>HCFCHFC5-25</t>
        </is>
      </c>
      <c r="C30" s="17" t="inlineStr">
        <is>
          <t xml:space="preserve">        Junta tórica de asiento</t>
        </is>
      </c>
      <c r="D30" s="32" t="n">
        <v>1</v>
      </c>
      <c r="E30" s="32" t="inlineStr">
        <is>
          <t>u</t>
        </is>
      </c>
      <c r="F30" s="33" t="n">
        <v>0.001</v>
      </c>
      <c r="G30" s="33">
        <f>D30*F30</f>
        <v/>
      </c>
      <c r="H30" s="32" t="inlineStr">
        <is>
          <t>EPDM (compatible con HCFC/HFC)</t>
        </is>
      </c>
      <c r="I30" s="17" t="inlineStr">
        <is>
          <t>Ø32,8 ext. × cordón 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FL_DES_HCFC-HFC_5kg</t>
        </is>
      </c>
      <c r="R30" s="17" t="inlineStr">
        <is>
          <t>cambio c/recarga</t>
        </is>
      </c>
    </row>
    <row r="31" outlineLevel="1">
      <c r="A31" s="32" t="n">
        <v>2</v>
      </c>
      <c r="B31" s="32" t="inlineStr">
        <is>
          <t>HCFCHFC5-V2</t>
        </is>
      </c>
      <c r="C31" s="17" t="inlineStr">
        <is>
          <t xml:space="preserve">        Resorte de retorno del vástago</t>
        </is>
      </c>
      <c r="D31" s="32" t="n">
        <v>1</v>
      </c>
      <c r="E31" s="32" t="inlineStr">
        <is>
          <t>u</t>
        </is>
      </c>
      <c r="F31" s="33" t="n"/>
      <c r="G31" s="33" t="n"/>
      <c r="H31" s="32" t="inlineStr">
        <is>
          <t>Acero para resortes</t>
        </is>
      </c>
      <c r="I31" s="17" t="inlineStr">
        <is>
          <t>incluido en la válvula</t>
        </is>
      </c>
      <c r="J31" s="32" t="inlineStr">
        <is>
          <t>Compra (en el conjunto)</t>
        </is>
      </c>
      <c r="K31" s="32" t="inlineStr">
        <is>
          <t>No</t>
        </is>
      </c>
      <c r="L31" s="17" t="n"/>
      <c r="M31" s="17" t="n"/>
      <c r="N31" s="17" t="inlineStr">
        <is>
          <t>19 Ensamblaje</t>
        </is>
      </c>
      <c r="O31" s="17" t="n"/>
      <c r="P31" s="32" t="inlineStr">
        <is>
          <t>Q</t>
        </is>
      </c>
      <c r="Q31" s="32" t="n"/>
      <c r="R31" s="17" t="inlineStr">
        <is>
          <t>Lista de precios HZ: válvula «c/resorte» (Q-AGENTES)</t>
        </is>
      </c>
    </row>
    <row r="32" outlineLevel="1">
      <c r="A32" s="32" t="n">
        <v>2</v>
      </c>
      <c r="B32" s="32" t="inlineStr">
        <is>
          <t>HCFCHFC5-V3</t>
        </is>
      </c>
      <c r="C32" s="17" t="inlineStr">
        <is>
          <t xml:space="preserve">        Junta tórica del vástago</t>
        </is>
      </c>
      <c r="D32" s="32" t="n">
        <v>1</v>
      </c>
      <c r="E32" s="32" t="inlineStr">
        <is>
          <t>u</t>
        </is>
      </c>
      <c r="F32" s="33" t="n"/>
      <c r="G32" s="33" t="n"/>
      <c r="H32" s="32" t="inlineStr">
        <is>
          <t>NBR 70 Shore A</t>
        </is>
      </c>
      <c r="I32" s="17" t="inlineStr">
        <is>
          <t>incluida en la válvula</t>
        </is>
      </c>
      <c r="J32" s="32" t="inlineStr">
        <is>
          <t>Compra (en el conjunto)</t>
        </is>
      </c>
      <c r="K32" s="32" t="inlineStr">
        <is>
          <t>No</t>
        </is>
      </c>
      <c r="L32" s="17" t="n"/>
      <c r="M32" s="17" t="n"/>
      <c r="N32" s="17" t="inlineStr">
        <is>
          <t>19 Ensamblaje</t>
        </is>
      </c>
      <c r="O32" s="17" t="n"/>
      <c r="P32" s="32" t="inlineStr">
        <is>
          <t>P</t>
        </is>
      </c>
      <c r="Q32" s="32" t="n"/>
      <c r="R32" s="17" t="inlineStr">
        <is>
          <t>Figura en el plano como «vástago con junta tórica»</t>
        </is>
      </c>
    </row>
    <row r="33">
      <c r="A33" s="29" t="n">
        <v>1</v>
      </c>
      <c r="B33" s="29" t="inlineStr">
        <is>
          <t>HCFCHFC5-S3</t>
        </is>
      </c>
      <c r="C33" s="30" t="inlineStr">
        <is>
          <t xml:space="preserve">    Dispositivo de descarga</t>
        </is>
      </c>
      <c r="D33" s="29" t="n">
        <v>1</v>
      </c>
      <c r="E33" s="29" t="inlineStr">
        <is>
          <t>u</t>
        </is>
      </c>
      <c r="F33" s="31" t="n"/>
      <c r="G33" s="31">
        <f>G34+G35+G36+G37</f>
        <v/>
      </c>
      <c r="H33" s="29" t="n"/>
      <c r="I33" s="30" t="n"/>
      <c r="J33" s="29" t="inlineStr">
        <is>
          <t>Compra / armado</t>
        </is>
      </c>
      <c r="K33" s="29" t="n"/>
      <c r="L33" s="30" t="n"/>
      <c r="M33" s="30" t="n"/>
      <c r="N33" s="30" t="n"/>
      <c r="O33" s="30" t="n"/>
      <c r="P33" s="29" t="inlineStr">
        <is>
          <t>P</t>
        </is>
      </c>
      <c r="Q33" s="29" t="inlineStr">
        <is>
          <t>FL_DES_HCFC-HFC_5kg</t>
        </is>
      </c>
      <c r="R33" s="30" t="n"/>
    </row>
    <row r="34" outlineLevel="1">
      <c r="A34" s="32" t="n">
        <v>2</v>
      </c>
      <c r="B34" s="32" t="inlineStr">
        <is>
          <t>HCFCHFC5-16</t>
        </is>
      </c>
      <c r="C34" s="17" t="inlineStr">
        <is>
          <t xml:space="preserve">        Racor de manguera</t>
        </is>
      </c>
      <c r="D34" s="32" t="n">
        <v>1</v>
      </c>
      <c r="E34" s="32" t="inlineStr">
        <is>
          <t>u</t>
        </is>
      </c>
      <c r="F34" s="33" t="n">
        <v>0.0394</v>
      </c>
      <c r="G34" s="33">
        <f>D34*F34</f>
        <v/>
      </c>
      <c r="H34" s="32" t="inlineStr">
        <is>
          <t>Latón</t>
        </is>
      </c>
      <c r="I34" s="17" t="inlineStr">
        <is>
          <t>19,4 × 18,8 × 18,8</t>
        </is>
      </c>
      <c r="J34" s="32" t="inlineStr">
        <is>
          <t>Compra (en el conjunto)</t>
        </is>
      </c>
      <c r="K34" s="32" t="inlineStr">
        <is>
          <t>No</t>
        </is>
      </c>
      <c r="L34" s="17" t="n"/>
      <c r="M34" s="17" t="n"/>
      <c r="N34" s="17" t="inlineStr">
        <is>
          <t>S4 - se compra terminado (tercerizado con sello IRAM)</t>
        </is>
      </c>
      <c r="O34" s="17" t="n"/>
      <c r="P34" s="32" t="inlineStr">
        <is>
          <t>P</t>
        </is>
      </c>
      <c r="Q34" s="32" t="inlineStr">
        <is>
          <t>FL_DES_HCFC-HFC_5kg</t>
        </is>
      </c>
      <c r="R34" s="17" t="n"/>
    </row>
    <row r="35" outlineLevel="1">
      <c r="A35" s="32" t="n">
        <v>2</v>
      </c>
      <c r="B35" s="32" t="inlineStr">
        <is>
          <t>HCFCHFC5-17</t>
        </is>
      </c>
      <c r="C35" s="17" t="inlineStr">
        <is>
          <t xml:space="preserve">        Manguera</t>
        </is>
      </c>
      <c r="D35" s="32" t="n">
        <v>1</v>
      </c>
      <c r="E35" s="32" t="inlineStr">
        <is>
          <t>u</t>
        </is>
      </c>
      <c r="F35" s="33" t="n">
        <v>0.0509</v>
      </c>
      <c r="G35" s="33">
        <f>D35*F35</f>
        <v/>
      </c>
      <c r="H35" s="32" t="inlineStr">
        <is>
          <t>Caucho sintético</t>
        </is>
      </c>
      <c r="I35" s="17" t="inlineStr">
        <is>
          <t>Ø16 × 329 de largo desarrollado</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FL_DES_HCFC-HFC_5kg</t>
        </is>
      </c>
      <c r="R35" s="17" t="n"/>
    </row>
    <row r="36" outlineLevel="1">
      <c r="A36" s="32" t="n">
        <v>2</v>
      </c>
      <c r="B36" s="32" t="inlineStr">
        <is>
          <t>HCFCHFC5-18</t>
        </is>
      </c>
      <c r="C36" s="17" t="inlineStr">
        <is>
          <t xml:space="preserve">        Tobera con portatobera</t>
        </is>
      </c>
      <c r="D36" s="32" t="n">
        <v>1</v>
      </c>
      <c r="E36" s="32" t="inlineStr">
        <is>
          <t>u</t>
        </is>
      </c>
      <c r="F36" s="33" t="n">
        <v>0.0168</v>
      </c>
      <c r="G36" s="33">
        <f>D36*F36</f>
        <v/>
      </c>
      <c r="H36" s="32" t="inlineStr">
        <is>
          <t>Polipropileno</t>
        </is>
      </c>
      <c r="I36" s="17" t="inlineStr">
        <is>
          <t>73,5 × 19,9 × 19,9</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FL_DES_HCFC-HFC_5kg</t>
        </is>
      </c>
      <c r="R36" s="17" t="n"/>
    </row>
    <row r="37" outlineLevel="1">
      <c r="A37" s="32" t="n">
        <v>2</v>
      </c>
      <c r="B37" s="32" t="inlineStr">
        <is>
          <t>HCFCHFC5-19</t>
        </is>
      </c>
      <c r="C37" s="17" t="inlineStr">
        <is>
          <t xml:space="preserve">        Suncho portatobera</t>
        </is>
      </c>
      <c r="D37" s="32" t="n">
        <v>1</v>
      </c>
      <c r="E37" s="32" t="inlineStr">
        <is>
          <t>u</t>
        </is>
      </c>
      <c r="F37" s="33" t="n">
        <v>0.0945</v>
      </c>
      <c r="G37" s="33">
        <f>D37*F37</f>
        <v/>
      </c>
      <c r="H37" s="32" t="inlineStr">
        <is>
          <t>Fleje acero SAE 1010 pintado</t>
        </is>
      </c>
      <c r="I37" s="17" t="inlineStr">
        <is>
          <t>166,6 × 156,6 × 14,4</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FL_DES_HCFC-HFC_5kg</t>
        </is>
      </c>
      <c r="R37" s="17" t="n"/>
    </row>
    <row r="38">
      <c r="A38" s="29" t="n">
        <v>1</v>
      </c>
      <c r="B38" s="29" t="inlineStr">
        <is>
          <t>HCFCHFC5-S5</t>
        </is>
      </c>
      <c r="C38" s="30" t="inlineStr">
        <is>
          <t xml:space="preserve">    Carga: agente extintor y gas impulsor</t>
        </is>
      </c>
      <c r="D38" s="29" t="n">
        <v>1</v>
      </c>
      <c r="E38" s="29" t="inlineStr">
        <is>
          <t>u</t>
        </is>
      </c>
      <c r="F38" s="31" t="n"/>
      <c r="G38" s="31">
        <f>G39+G40</f>
        <v/>
      </c>
      <c r="H38" s="29" t="n"/>
      <c r="I38" s="30" t="n"/>
      <c r="J38" s="29" t="inlineStr">
        <is>
          <t>Compra</t>
        </is>
      </c>
      <c r="K38" s="29" t="n"/>
      <c r="L38" s="30" t="n"/>
      <c r="M38" s="30" t="n"/>
      <c r="N38" s="30" t="n"/>
      <c r="O38" s="30" t="n"/>
      <c r="P38" s="29" t="n"/>
      <c r="Q38" s="29" t="n"/>
      <c r="R38" s="30" t="n"/>
    </row>
    <row r="39" outlineLevel="1">
      <c r="A39" s="32" t="n">
        <v>2</v>
      </c>
      <c r="B39" s="32" t="inlineStr">
        <is>
          <t>HCFCHFC5-A1</t>
        </is>
      </c>
      <c r="C39" s="17" t="inlineStr">
        <is>
          <t xml:space="preserve">        HCFC 123 / HFC 236fa - HCFC-123 (Mezcla B) &gt; 93 %</t>
        </is>
      </c>
      <c r="D39" s="32" t="n">
        <v>5</v>
      </c>
      <c r="E39" s="32" t="inlineStr">
        <is>
          <t>kg</t>
        </is>
      </c>
      <c r="F39" s="33" t="n">
        <v>1</v>
      </c>
      <c r="G39" s="33">
        <f>D39*F39</f>
        <v/>
      </c>
      <c r="H39" s="32" t="inlineStr">
        <is>
          <t>HCFC 123 / HFC 236fa - HCFC-123 (Mezcla B) &gt; 93 %</t>
        </is>
      </c>
      <c r="I39" s="17" t="inlineStr">
        <is>
          <t>nominal 5 kg; tolerancia 0 / -3 % (IRAM 3517-2:2020 tabla 3)</t>
        </is>
      </c>
      <c r="J39" s="32" t="inlineStr">
        <is>
          <t>Compra</t>
        </is>
      </c>
      <c r="K39" s="32" t="inlineStr">
        <is>
          <t>No</t>
        </is>
      </c>
      <c r="L39" s="17" t="n"/>
      <c r="M39" s="17" t="n"/>
      <c r="N39" s="17" t="inlineStr">
        <is>
          <t>SP-1 almacén previo a la carga</t>
        </is>
      </c>
      <c r="O39" s="17" t="inlineStr">
        <is>
          <t>IRAM 3526-1</t>
        </is>
      </c>
      <c r="P39" s="32" t="inlineStr">
        <is>
          <t>N</t>
        </is>
      </c>
      <c r="Q39" s="32" t="n"/>
      <c r="R39" s="17" t="inlineStr">
        <is>
          <t>potencial -</t>
        </is>
      </c>
    </row>
    <row r="40" outlineLevel="1">
      <c r="A40" s="32" t="n">
        <v>2</v>
      </c>
      <c r="B40" s="32" t="inlineStr">
        <is>
          <t>HCFCHFC5-A2</t>
        </is>
      </c>
      <c r="C40" s="17" t="inlineStr">
        <is>
          <t xml:space="preserve">        Gas impulsor: Argón</t>
        </is>
      </c>
      <c r="D40" s="32" t="n">
        <v>0.0388</v>
      </c>
      <c r="E40" s="32" t="inlineStr">
        <is>
          <t>kg</t>
        </is>
      </c>
      <c r="F40" s="33" t="n">
        <v>1</v>
      </c>
      <c r="G40" s="33">
        <f>D40*F40</f>
        <v/>
      </c>
      <c r="H40" s="32" t="inlineStr">
        <is>
          <t>Argón</t>
        </is>
      </c>
      <c r="I40" s="17" t="inlineStr">
        <is>
          <t>21,7 L normales para 0,8 MPa a 20 °C en 2,62 dm³ libres</t>
        </is>
      </c>
      <c r="J40" s="32" t="inlineStr">
        <is>
          <t>Compra</t>
        </is>
      </c>
      <c r="K40" s="32" t="inlineStr">
        <is>
          <t>No</t>
        </is>
      </c>
      <c r="L40" s="17" t="n"/>
      <c r="M40" s="17" t="n"/>
      <c r="N40" s="17" t="inlineStr">
        <is>
          <t>20 Presurización (T05) / C10</t>
        </is>
      </c>
      <c r="O40" s="17" t="inlineStr">
        <is>
          <t>IRAM 3517-2 9.4.9 (tabla 2) · IRAM 3523 2.3 y 3.10</t>
        </is>
      </c>
      <c r="P40" s="32" t="inlineStr">
        <is>
          <t>C</t>
        </is>
      </c>
      <c r="Q40" s="32" t="n"/>
      <c r="R40" s="17" t="inlineStr">
        <is>
          <t>Batería en SP-1; punto de rocío ≤ -56,7 °C para gases limpios</t>
        </is>
      </c>
    </row>
    <row r="41">
      <c r="A41" s="29" t="n">
        <v>1</v>
      </c>
      <c r="B41" s="29" t="inlineStr">
        <is>
          <t>HCFCHFC5-S6</t>
        </is>
      </c>
      <c r="C41" s="30" t="inlineStr">
        <is>
          <t xml:space="preserve">    Identificación y precinto</t>
        </is>
      </c>
      <c r="D41" s="29" t="n">
        <v>1</v>
      </c>
      <c r="E41" s="29" t="inlineStr">
        <is>
          <t>u</t>
        </is>
      </c>
      <c r="F41" s="31" t="n"/>
      <c r="G41" s="31">
        <f>G42+G43+G44+G45+G46+G47+G48</f>
        <v/>
      </c>
      <c r="H41" s="29" t="n"/>
      <c r="I41" s="30" t="n"/>
      <c r="J41" s="29" t="inlineStr">
        <is>
          <t>Compra</t>
        </is>
      </c>
      <c r="K41" s="29" t="n"/>
      <c r="L41" s="30" t="n"/>
      <c r="M41" s="30" t="n"/>
      <c r="N41" s="30" t="inlineStr">
        <is>
          <t>22 Etiquetado (T07)</t>
        </is>
      </c>
      <c r="O41" s="30" t="n"/>
      <c r="P41" s="29" t="n"/>
      <c r="Q41" s="29" t="n"/>
      <c r="R41" s="30" t="n"/>
    </row>
    <row r="42" outlineLevel="1">
      <c r="A42" s="32" t="n">
        <v>2</v>
      </c>
      <c r="B42" s="32" t="inlineStr">
        <is>
          <t>HCFCHFC5-20</t>
        </is>
      </c>
      <c r="C42" s="17" t="inlineStr">
        <is>
          <t xml:space="preserve">        Etiqueta / placa de características</t>
        </is>
      </c>
      <c r="D42" s="32" t="n">
        <v>1</v>
      </c>
      <c r="E42" s="32" t="inlineStr">
        <is>
          <t>u</t>
        </is>
      </c>
      <c r="F42" s="33" t="n">
        <v>0.0184</v>
      </c>
      <c r="G42" s="33">
        <f>D42*F42</f>
        <v/>
      </c>
      <c r="H42" s="32" t="inlineStr">
        <is>
          <t>Vinilo autoadhesivo laminado</t>
        </is>
      </c>
      <c r="I42" s="17" t="inlineStr">
        <is>
          <t>289 × 152 (desarrollo × alto: panel central 108° + 2 alas laterales), e ≈ 0,3, laminado UV</t>
        </is>
      </c>
      <c r="J42" s="32" t="inlineStr">
        <is>
          <t>Compra</t>
        </is>
      </c>
      <c r="K42" s="32" t="inlineStr">
        <is>
          <t>No</t>
        </is>
      </c>
      <c r="L42" s="17" t="n"/>
      <c r="M42" s="17" t="n"/>
      <c r="N42" s="17" t="inlineStr">
        <is>
          <t>22 Etiquetado (T07)</t>
        </is>
      </c>
      <c r="O42" s="17" t="inlineStr">
        <is>
          <t>IRAM 3534 · IRAM 3504 cap. 5 · relevamiento de mercado</t>
        </is>
      </c>
      <c r="P42" s="32" t="inlineStr">
        <is>
          <t>P</t>
        </is>
      </c>
      <c r="Q42" s="32" t="inlineStr">
        <is>
          <t>FL_DES_HCFC-HFC_5kg</t>
        </is>
      </c>
      <c r="R42" s="17" t="inlineStr">
        <is>
          <t>IRAM 3534</t>
        </is>
      </c>
    </row>
    <row r="43" outlineLevel="1">
      <c r="A43" s="32" t="n">
        <v>2</v>
      </c>
      <c r="B43" s="32" t="inlineStr">
        <is>
          <t>HCFCHFC5-21</t>
        </is>
      </c>
      <c r="C43" s="17" t="inlineStr">
        <is>
          <t xml:space="preserve">        Oblea de fabricación (PBA)</t>
        </is>
      </c>
      <c r="D43" s="32" t="n">
        <v>1</v>
      </c>
      <c r="E43" s="32" t="inlineStr">
        <is>
          <t>u</t>
        </is>
      </c>
      <c r="F43" s="33" t="n">
        <v>0.0009</v>
      </c>
      <c r="G43" s="33">
        <f>D43*F43</f>
        <v/>
      </c>
      <c r="H43" s="32" t="inlineStr">
        <is>
          <t>Papel de seguridad autodestructible</t>
        </is>
      </c>
      <c r="I43" s="17" t="inlineStr">
        <is>
          <t>Ø46 (Res. OPDS 522/07), numerada, autodestructible</t>
        </is>
      </c>
      <c r="J43" s="32" t="inlineStr">
        <is>
          <t>Compra</t>
        </is>
      </c>
      <c r="K43" s="32" t="inlineStr">
        <is>
          <t>No</t>
        </is>
      </c>
      <c r="L43" s="17" t="n"/>
      <c r="M43" s="17" t="n"/>
      <c r="N43" s="17" t="inlineStr">
        <is>
          <t>22 Etiquetado (T07)</t>
        </is>
      </c>
      <c r="O43" s="17" t="inlineStr">
        <is>
          <t>Res. OPDS 522/07 anexos 1, 2 y 6</t>
        </is>
      </c>
      <c r="P43" s="32" t="inlineStr">
        <is>
          <t>P</t>
        </is>
      </c>
      <c r="Q43" s="32" t="inlineStr">
        <is>
          <t>FL_DES_HCFC-HFC_5kg</t>
        </is>
      </c>
      <c r="R43" s="17" t="inlineStr">
        <is>
          <t>Res. 522/07</t>
        </is>
      </c>
    </row>
    <row r="44" outlineLevel="1">
      <c r="A44" s="32" t="n">
        <v>2</v>
      </c>
      <c r="B44" s="32" t="inlineStr">
        <is>
          <t>HCFCHFC5-22</t>
        </is>
      </c>
      <c r="C44" s="17" t="inlineStr">
        <is>
          <t xml:space="preserve">        Estampilla IRAM de conformidad</t>
        </is>
      </c>
      <c r="D44" s="32" t="n">
        <v>1</v>
      </c>
      <c r="E44" s="32" t="inlineStr">
        <is>
          <t>u</t>
        </is>
      </c>
      <c r="F44" s="33" t="n">
        <v>0.001</v>
      </c>
      <c r="G44" s="33">
        <f>D44*F44</f>
        <v/>
      </c>
      <c r="H44" s="32" t="inlineStr">
        <is>
          <t>Provista por IRAM (Anexo R)</t>
        </is>
      </c>
      <c r="I44" s="17" t="inlineStr">
        <is>
          <t>60 × 40</t>
        </is>
      </c>
      <c r="J44" s="32" t="inlineStr">
        <is>
          <t>Compra</t>
        </is>
      </c>
      <c r="K44" s="32" t="inlineStr">
        <is>
          <t>No</t>
        </is>
      </c>
      <c r="L44" s="17" t="n"/>
      <c r="M44" s="17" t="n"/>
      <c r="N44" s="17" t="inlineStr">
        <is>
          <t>22 Etiquetado (T07)</t>
        </is>
      </c>
      <c r="O44" s="17" t="inlineStr">
        <is>
          <t>IRAM Anexo R (DC-PG-129)</t>
        </is>
      </c>
      <c r="P44" s="32" t="inlineStr">
        <is>
          <t>P</t>
        </is>
      </c>
      <c r="Q44" s="32" t="inlineStr">
        <is>
          <t>FL_DES_HCFC-HFC_5kg</t>
        </is>
      </c>
      <c r="R44" s="17" t="inlineStr">
        <is>
          <t>numerada</t>
        </is>
      </c>
    </row>
    <row r="45" outlineLevel="1">
      <c r="A45" s="32" t="n">
        <v>2</v>
      </c>
      <c r="B45" s="32" t="inlineStr">
        <is>
          <t>HCFCHFC5-23</t>
        </is>
      </c>
      <c r="C45" s="17" t="inlineStr">
        <is>
          <t xml:space="preserve">        Tarjeta de identificación AGC (CABA)</t>
        </is>
      </c>
      <c r="D45" s="32" t="n">
        <v>1</v>
      </c>
      <c r="E45" s="32" t="inlineStr">
        <is>
          <t>u</t>
        </is>
      </c>
      <c r="F45" s="33" t="n">
        <v>0.0032</v>
      </c>
      <c r="G45" s="33">
        <f>D45*F45</f>
        <v/>
      </c>
      <c r="H45" s="32" t="inlineStr">
        <is>
          <t>Etiqueta autoadhesiva emitida por la AGC</t>
        </is>
      </c>
      <c r="I45" s="17" t="inlineStr">
        <is>
          <t>140 × 55</t>
        </is>
      </c>
      <c r="J45" s="32" t="inlineStr">
        <is>
          <t>Compra</t>
        </is>
      </c>
      <c r="K45" s="32" t="inlineStr">
        <is>
          <t>Sí</t>
        </is>
      </c>
      <c r="L45" s="17" t="inlineStr">
        <is>
          <t>Agencia Gubernamental de Control (CABA)</t>
        </is>
      </c>
      <c r="M45" s="17" t="inlineStr">
        <is>
          <t>-</t>
        </is>
      </c>
      <c r="N45" s="17" t="inlineStr">
        <is>
          <t>22 Etiquetado (T07)</t>
        </is>
      </c>
      <c r="O45" s="17" t="inlineStr">
        <is>
          <t>Ordenanza 40.473 art. 6 · Res. AGC 32/15</t>
        </is>
      </c>
      <c r="P45" s="32" t="inlineStr">
        <is>
          <t>P</t>
        </is>
      </c>
      <c r="Q45" s="32" t="inlineStr">
        <is>
          <t>FL_DES_HCFC-HFC_5kg</t>
        </is>
      </c>
      <c r="R45" s="17" t="inlineStr">
        <is>
          <t>sólo destino CABA; sólo destino CABA</t>
        </is>
      </c>
    </row>
    <row r="46" outlineLevel="1">
      <c r="A46" s="32" t="n">
        <v>2</v>
      </c>
      <c r="B46" s="32" t="inlineStr">
        <is>
          <t>HCFCHFC5-24</t>
        </is>
      </c>
      <c r="C46" s="17" t="inlineStr">
        <is>
          <t xml:space="preserve">        Etiqueta de n° de serie GS1</t>
        </is>
      </c>
      <c r="D46" s="32" t="n">
        <v>1</v>
      </c>
      <c r="E46" s="32" t="inlineStr">
        <is>
          <t>u</t>
        </is>
      </c>
      <c r="F46" s="33" t="n">
        <v>0.0005</v>
      </c>
      <c r="G46" s="33">
        <f>D46*F46</f>
        <v/>
      </c>
      <c r="H46" s="32" t="inlineStr">
        <is>
          <t>Poliéster autoadhesivo impreso térmico</t>
        </is>
      </c>
      <c r="I46" s="17" t="inlineStr">
        <is>
          <t>45 × 25</t>
        </is>
      </c>
      <c r="J46" s="32" t="inlineStr">
        <is>
          <t>Compra</t>
        </is>
      </c>
      <c r="K46" s="32" t="inlineStr">
        <is>
          <t>No</t>
        </is>
      </c>
      <c r="L46" s="17" t="n"/>
      <c r="M46" s="17" t="n"/>
      <c r="N46" s="17" t="inlineStr">
        <is>
          <t>22 Etiquetado (T07)</t>
        </is>
      </c>
      <c r="O46" s="17" t="inlineStr">
        <is>
          <t>GS1 Argentina (GTIN 779) · trazabilidad IRAM 3523 5.1</t>
        </is>
      </c>
      <c r="P46" s="32" t="inlineStr">
        <is>
          <t>P</t>
        </is>
      </c>
      <c r="Q46" s="32" t="inlineStr">
        <is>
          <t>FL_DES_HCFC-HFC_5kg</t>
        </is>
      </c>
      <c r="R46" s="17" t="inlineStr">
        <is>
          <t>QR GTIN + serie</t>
        </is>
      </c>
    </row>
    <row r="47" outlineLevel="1">
      <c r="A47" s="32" t="n">
        <v>2</v>
      </c>
      <c r="B47" s="32" t="inlineStr">
        <is>
          <t>HCFCHFC5-26</t>
        </is>
      </c>
      <c r="C47" s="17" t="inlineStr">
        <is>
          <t xml:space="preserve">        Faja de garantía válvula-cuello</t>
        </is>
      </c>
      <c r="D47" s="32" t="n">
        <v>1</v>
      </c>
      <c r="E47" s="32" t="inlineStr">
        <is>
          <t>u</t>
        </is>
      </c>
      <c r="F47" s="33" t="n">
        <v>0.0001</v>
      </c>
      <c r="G47" s="33">
        <f>D47*F47</f>
        <v/>
      </c>
      <c r="H47" s="32" t="inlineStr">
        <is>
          <t>Vinilo destructible rayado rojo/blanco</t>
        </is>
      </c>
      <c r="I47" s="17" t="inlineStr">
        <is>
          <t>22 × 23 (ancho × largo desarrollado), pegada sobre la unión: cuerpo de la válvula, tuerca y cuello</t>
        </is>
      </c>
      <c r="J47" s="32" t="inlineStr">
        <is>
          <t>Compra</t>
        </is>
      </c>
      <c r="K47" s="32" t="inlineStr">
        <is>
          <t>No</t>
        </is>
      </c>
      <c r="L47" s="17" t="n"/>
      <c r="M47" s="17" t="n"/>
      <c r="N47" s="17" t="inlineStr">
        <is>
          <t>22 Etiquetado (T07)</t>
        </is>
      </c>
      <c r="O47" s="17" t="inlineStr">
        <is>
          <t>Sin norma: práctica de mercado (garantía de fábrica)</t>
        </is>
      </c>
      <c r="P47" s="32" t="inlineStr">
        <is>
          <t>P</t>
        </is>
      </c>
      <c r="Q47" s="32" t="inlineStr">
        <is>
          <t>FL_DES_HCFC-HFC_5kg</t>
        </is>
      </c>
      <c r="R47" s="17" t="inlineStr">
        <is>
          <t>nuevo sin abrir</t>
        </is>
      </c>
    </row>
    <row r="48" outlineLevel="1">
      <c r="A48" s="32" t="n">
        <v>2</v>
      </c>
      <c r="B48" s="32" t="inlineStr">
        <is>
          <t>HCFCHFC5-27</t>
        </is>
      </c>
      <c r="C48" s="17" t="inlineStr">
        <is>
          <t xml:space="preserve">        Precinto de fábrica</t>
        </is>
      </c>
      <c r="D48" s="32" t="n">
        <v>1</v>
      </c>
      <c r="E48" s="32" t="inlineStr">
        <is>
          <t>u</t>
        </is>
      </c>
      <c r="F48" s="33" t="n">
        <v>0.0002</v>
      </c>
      <c r="G48" s="33">
        <f>D48*F48</f>
        <v/>
      </c>
      <c r="H48" s="32" t="inlineStr">
        <is>
          <t>Polipropileno color</t>
        </is>
      </c>
      <c r="I48" s="17" t="inlineStr">
        <is>
          <t>Ø5 × 10, numerado, rotura 30-50 N</t>
        </is>
      </c>
      <c r="J48" s="32" t="inlineStr">
        <is>
          <t>Compra</t>
        </is>
      </c>
      <c r="K48" s="32" t="inlineStr">
        <is>
          <t>No</t>
        </is>
      </c>
      <c r="L48" s="17" t="n"/>
      <c r="M48" s="17" t="n"/>
      <c r="N48" s="17" t="inlineStr">
        <is>
          <t>20 Presurización (T05)</t>
        </is>
      </c>
      <c r="O48" s="17" t="inlineStr">
        <is>
          <t>IRAM 3523 3.3.2 · IRAM 3517-2:2020 9.4.13</t>
        </is>
      </c>
      <c r="P48" s="32" t="inlineStr">
        <is>
          <t>P</t>
        </is>
      </c>
      <c r="Q48" s="32" t="inlineStr">
        <is>
          <t>FL_DES_HCFC-HFC_5kg</t>
        </is>
      </c>
      <c r="R48" s="17" t="inlineStr">
        <is>
          <t>id. FLAMA y lote</t>
        </is>
      </c>
    </row>
    <row r="49">
      <c r="A49" s="29" t="n">
        <v>1</v>
      </c>
      <c r="B49" s="29" t="inlineStr">
        <is>
          <t>HCFCHFC5-S8</t>
        </is>
      </c>
      <c r="C49" s="30" t="inlineStr">
        <is>
          <t xml:space="preserve">    Soporte (accesorio de montaje)</t>
        </is>
      </c>
      <c r="D49" s="29" t="n">
        <v>1</v>
      </c>
      <c r="E49" s="29" t="inlineStr">
        <is>
          <t>u</t>
        </is>
      </c>
      <c r="F49" s="31" t="n"/>
      <c r="G49" s="31">
        <f>G50</f>
        <v/>
      </c>
      <c r="H49" s="29" t="n"/>
      <c r="I49" s="30" t="n"/>
      <c r="J49" s="29" t="inlineStr">
        <is>
          <t>Compra</t>
        </is>
      </c>
      <c r="K49" s="29" t="n"/>
      <c r="L49" s="30" t="n"/>
      <c r="M49" s="30" t="n"/>
      <c r="N49" s="30" t="inlineStr">
        <is>
          <t>23 Embalaje (va dentro de la caja)</t>
        </is>
      </c>
      <c r="O49" s="30" t="inlineStr">
        <is>
          <t>IRAM 3517-2 7.4</t>
        </is>
      </c>
      <c r="P49" s="29" t="n"/>
      <c r="Q49" s="29" t="n"/>
      <c r="R49" s="30" t="n"/>
    </row>
    <row r="50" outlineLevel="1">
      <c r="A50" s="32" t="n">
        <v>2</v>
      </c>
      <c r="B50" s="32" t="inlineStr">
        <is>
          <t>HCFCHFC5-I5</t>
        </is>
      </c>
      <c r="C50" s="17" t="inlineStr">
        <is>
          <t xml:space="preserve">        Soporte de pared (FL_ACC_01)</t>
        </is>
      </c>
      <c r="D50" s="32" t="n">
        <v>1</v>
      </c>
      <c r="E50" s="32" t="inlineStr">
        <is>
          <t>u</t>
        </is>
      </c>
      <c r="F50" s="33" t="n">
        <v>0.29</v>
      </c>
      <c r="G50" s="33">
        <f>D50*F50</f>
        <v/>
      </c>
      <c r="H50" s="32" t="inlineStr">
        <is>
          <t>Chapa acero SAE 1010 e=2 pintada</t>
        </is>
      </c>
      <c r="I50" s="17" t="inlineStr">
        <is>
          <t>placa 60 × 180, ala con ranura Ø cuello + 3</t>
        </is>
      </c>
      <c r="J50" s="32" t="inlineStr">
        <is>
          <t>Compra</t>
        </is>
      </c>
      <c r="K50" s="32" t="inlineStr">
        <is>
          <t>No</t>
        </is>
      </c>
      <c r="L50" s="17" t="n"/>
      <c r="M50" s="17" t="n"/>
      <c r="N50" s="17" t="inlineStr">
        <is>
          <t>23 Embalaje</t>
        </is>
      </c>
      <c r="O50" s="17" t="inlineStr">
        <is>
          <t>IRAM 3517-2 7.4</t>
        </is>
      </c>
      <c r="P50" s="32" t="inlineStr">
        <is>
          <t>P</t>
        </is>
      </c>
      <c r="Q50" s="32" t="inlineStr">
        <is>
          <t>FL_ACC_01</t>
        </is>
      </c>
      <c r="R50" s="17" t="n"/>
    </row>
    <row r="51" outlineLevel="1">
      <c r="A51" s="32" t="n">
        <v>2</v>
      </c>
      <c r="B51" s="32" t="inlineStr">
        <is>
          <t>HCFCHFC5-I6</t>
        </is>
      </c>
      <c r="C51" s="17" t="inlineStr">
        <is>
          <t xml:space="preserve">        Tornillo y tarugo de fijación</t>
        </is>
      </c>
      <c r="D51" s="32" t="n">
        <v>2</v>
      </c>
      <c r="E51" s="32" t="inlineStr">
        <is>
          <t>u</t>
        </is>
      </c>
      <c r="F51" s="33" t="n"/>
      <c r="G51" s="33" t="n"/>
      <c r="H51" s="32" t="inlineStr">
        <is>
          <t>Acero cincado / nylon</t>
        </is>
      </c>
      <c r="I51" s="17" t="inlineStr">
        <is>
          <t>2 agujeros Ø8,5 del plano FL_ACC_01 → tornillo M8 + tarugo</t>
        </is>
      </c>
      <c r="J51" s="32" t="inlineStr">
        <is>
          <t>Compra</t>
        </is>
      </c>
      <c r="K51" s="32" t="inlineStr">
        <is>
          <t>No</t>
        </is>
      </c>
      <c r="L51" s="17" t="n"/>
      <c r="M51" s="17" t="n"/>
      <c r="N51" s="17" t="inlineStr">
        <is>
          <t>23 Embalaje</t>
        </is>
      </c>
      <c r="O51" s="17" t="n"/>
      <c r="P51" s="32" t="inlineStr">
        <is>
          <t>P</t>
        </is>
      </c>
      <c r="Q51" s="32" t="inlineStr">
        <is>
          <t>FL_ACC_01</t>
        </is>
      </c>
      <c r="R51" s="17" t="n"/>
    </row>
    <row r="52" outlineLevel="1">
      <c r="A52" s="32" t="n">
        <v>2</v>
      </c>
      <c r="B52" s="32" t="inlineStr">
        <is>
          <t>HCFCHFC5-I8</t>
        </is>
      </c>
      <c r="C52" s="17" t="inlineStr">
        <is>
          <t xml:space="preserve">        Soporte opcional (pared o vehicular, según pedido)</t>
        </is>
      </c>
      <c r="D52" s="32" t="n">
        <v>0</v>
      </c>
      <c r="E52" s="32" t="inlineStr">
        <is>
          <t>u</t>
        </is>
      </c>
      <c r="F52" s="33" t="n"/>
      <c r="G52" s="33" t="n"/>
      <c r="H52" s="32" t="inlineStr">
        <is>
          <t>-</t>
        </is>
      </c>
      <c r="I52" s="17" t="inlineStr">
        <is>
          <t>-</t>
        </is>
      </c>
      <c r="J52" s="32" t="inlineStr">
        <is>
          <t>Compra</t>
        </is>
      </c>
      <c r="K52" s="32" t="inlineStr">
        <is>
          <t>No</t>
        </is>
      </c>
      <c r="L52" s="17" t="n"/>
      <c r="M52" s="17" t="n"/>
      <c r="N52" s="17" t="n"/>
      <c r="O52" s="17" t="inlineStr">
        <is>
          <t>IRAM 3517-2 7.4</t>
        </is>
      </c>
      <c r="P52" s="32" t="inlineStr">
        <is>
          <t>N</t>
        </is>
      </c>
      <c r="Q52" s="32" t="n"/>
      <c r="R52" s="17" t="inlineStr">
        <is>
          <t>Sólo si el pedido lo incluye</t>
        </is>
      </c>
    </row>
    <row r="53">
      <c r="A53" s="29" t="n">
        <v>1</v>
      </c>
      <c r="B53" s="29" t="inlineStr">
        <is>
          <t>HCFCHFC5-S7</t>
        </is>
      </c>
      <c r="C53" s="30" t="inlineStr">
        <is>
          <t xml:space="preserve">    Embalaje</t>
        </is>
      </c>
      <c r="D53" s="29" t="n">
        <v>1</v>
      </c>
      <c r="E53" s="29" t="inlineStr">
        <is>
          <t>u</t>
        </is>
      </c>
      <c r="F53" s="31" t="n"/>
      <c r="G53" s="31">
        <f>G57</f>
        <v/>
      </c>
      <c r="H53" s="29" t="n"/>
      <c r="I53" s="30" t="n"/>
      <c r="J53" s="29" t="inlineStr">
        <is>
          <t>Compra</t>
        </is>
      </c>
      <c r="K53" s="29" t="n"/>
      <c r="L53" s="30" t="n"/>
      <c r="M53" s="30" t="n"/>
      <c r="N53" s="30" t="inlineStr">
        <is>
          <t>23 Embalaje -&gt; 24 envolvedora (T11)</t>
        </is>
      </c>
      <c r="O53" s="30" t="n"/>
      <c r="P53" s="29" t="n"/>
      <c r="Q53" s="29" t="n"/>
      <c r="R53" s="30" t="n"/>
    </row>
    <row r="54" outlineLevel="1">
      <c r="A54" s="32" t="n">
        <v>2</v>
      </c>
      <c r="B54" s="32" t="inlineStr">
        <is>
          <t>HCFCHFC5-E1</t>
        </is>
      </c>
      <c r="C54" s="17" t="inlineStr">
        <is>
          <t xml:space="preserve">        Caja de cartón corrugado simple</t>
        </is>
      </c>
      <c r="D54" s="32" t="n">
        <v>1</v>
      </c>
      <c r="E54" s="32" t="inlineStr">
        <is>
          <t>u</t>
        </is>
      </c>
      <c r="F54" s="33" t="n"/>
      <c r="G54" s="33" t="n"/>
      <c r="H54" s="32" t="inlineStr">
        <is>
          <t>Cartón corrugado</t>
        </is>
      </c>
      <c r="I54" s="17" t="inlineStr">
        <is>
          <t>244 × 187 × 455 interior (envolvente del plano + 15 por lado)</t>
        </is>
      </c>
      <c r="J54" s="32" t="inlineStr">
        <is>
          <t>Compra</t>
        </is>
      </c>
      <c r="K54" s="32" t="inlineStr">
        <is>
          <t>No</t>
        </is>
      </c>
      <c r="L54" s="17" t="n"/>
      <c r="M54" s="17" t="n"/>
      <c r="N54" s="17" t="inlineStr">
        <is>
          <t>23 Embalaje</t>
        </is>
      </c>
      <c r="O54" s="17" t="n"/>
      <c r="P54" s="32" t="inlineStr">
        <is>
          <t>P</t>
        </is>
      </c>
      <c r="Q54" s="32" t="n"/>
      <c r="R54" s="17" t="inlineStr">
        <is>
          <t>Medida del plano</t>
        </is>
      </c>
    </row>
    <row r="55" outlineLevel="1">
      <c r="A55" s="32" t="n">
        <v>2</v>
      </c>
      <c r="B55" s="32" t="inlineStr">
        <is>
          <t>HCFCHFC5-E2</t>
        </is>
      </c>
      <c r="C55" s="17" t="inlineStr">
        <is>
          <t xml:space="preserve">        Instructivo de uso y mantenimiento</t>
        </is>
      </c>
      <c r="D55" s="32" t="n">
        <v>1</v>
      </c>
      <c r="E55" s="32" t="inlineStr">
        <is>
          <t>u</t>
        </is>
      </c>
      <c r="F55" s="33" t="n"/>
      <c r="G55" s="33" t="n"/>
      <c r="H55" s="32" t="inlineStr">
        <is>
          <t>Papel</t>
        </is>
      </c>
      <c r="I55" s="17" t="inlineStr">
        <is>
          <t>A5</t>
        </is>
      </c>
      <c r="J55" s="32" t="inlineStr">
        <is>
          <t>Compra</t>
        </is>
      </c>
      <c r="K55" s="32" t="inlineStr">
        <is>
          <t>No</t>
        </is>
      </c>
      <c r="L55" s="17" t="n"/>
      <c r="M55" s="17" t="n"/>
      <c r="N55" s="17" t="inlineStr">
        <is>
          <t>23 Embalaje</t>
        </is>
      </c>
      <c r="O55" s="17" t="n"/>
      <c r="P55" s="32" t="inlineStr">
        <is>
          <t>I</t>
        </is>
      </c>
      <c r="Q55" s="32" t="n"/>
      <c r="R55" s="17" t="inlineStr">
        <is>
          <t>Decisión comercial de FLAMA (las instrucciones de uso obligatorias van en la etiqueta, IRAM 3534)</t>
        </is>
      </c>
    </row>
    <row r="56" outlineLevel="1">
      <c r="A56" s="32" t="n">
        <v>2</v>
      </c>
      <c r="B56" s="32" t="inlineStr">
        <is>
          <t>HCFCHFC5-E3</t>
        </is>
      </c>
      <c r="C56" s="17" t="inlineStr">
        <is>
          <t xml:space="preserve">        Pallet 1200 × 1000 (fracción)</t>
        </is>
      </c>
      <c r="D56" s="32" t="n">
        <v>0.0139</v>
      </c>
      <c r="E56" s="32" t="inlineStr">
        <is>
          <t>u</t>
        </is>
      </c>
      <c r="F56" s="33" t="n"/>
      <c r="G56" s="33" t="n"/>
      <c r="H56" s="32" t="inlineStr">
        <is>
          <t>Madera</t>
        </is>
      </c>
      <c r="I56" s="17" t="inlineStr">
        <is>
          <t>72 u por pallet</t>
        </is>
      </c>
      <c r="J56" s="32" t="inlineStr">
        <is>
          <t>Compra</t>
        </is>
      </c>
      <c r="K56" s="32" t="inlineStr">
        <is>
          <t>No</t>
        </is>
      </c>
      <c r="L56" s="17" t="n"/>
      <c r="M56" s="17" t="n"/>
      <c r="N56" s="17" t="inlineStr">
        <is>
          <t>23 Embalaje</t>
        </is>
      </c>
      <c r="O56" s="17" t="n"/>
      <c r="P56" s="32" t="inlineStr">
        <is>
          <t>C</t>
        </is>
      </c>
      <c r="Q56" s="32" t="n"/>
      <c r="R56" s="17" t="inlineStr">
        <is>
          <t>u por pallet = acomodo de la caja (plano) en 1200 × 1000 × 1450 de alto</t>
        </is>
      </c>
    </row>
    <row r="57" outlineLevel="1">
      <c r="A57" s="32" t="n">
        <v>2</v>
      </c>
      <c r="B57" s="32" t="inlineStr">
        <is>
          <t>HCFCHFC5-E4</t>
        </is>
      </c>
      <c r="C57" s="17" t="inlineStr">
        <is>
          <t xml:space="preserve">        Film stretch (fracción del pallet)</t>
        </is>
      </c>
      <c r="D57" s="32" t="n">
        <v>0.0017</v>
      </c>
      <c r="E57" s="32" t="inlineStr">
        <is>
          <t>kg</t>
        </is>
      </c>
      <c r="F57" s="33" t="n">
        <v>1</v>
      </c>
      <c r="G57" s="33">
        <f>D57*F57</f>
        <v/>
      </c>
      <c r="H57" s="32" t="inlineStr">
        <is>
          <t>PE lineal 23 µm</t>
        </is>
      </c>
      <c r="I57" s="17" t="inlineStr">
        <is>
          <t>0,12 kg por pallet / 72 u</t>
        </is>
      </c>
      <c r="J57" s="32" t="inlineStr">
        <is>
          <t>Compra</t>
        </is>
      </c>
      <c r="K57" s="32" t="inlineStr">
        <is>
          <t>No</t>
        </is>
      </c>
      <c r="L57" s="17" t="n"/>
      <c r="M57" s="17" t="n"/>
      <c r="N57" s="17" t="inlineStr">
        <is>
          <t>24 Envolvedora (T11)</t>
        </is>
      </c>
      <c r="O57" s="17" t="n"/>
      <c r="P57" s="32" t="inlineStr">
        <is>
          <t>C</t>
        </is>
      </c>
      <c r="Q57" s="32" t="n"/>
      <c r="R57"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8" outlineLevel="1">
      <c r="A58" s="32" t="n">
        <v>2</v>
      </c>
      <c r="B58" s="32" t="inlineStr">
        <is>
          <t>HCFCHFC5-E5</t>
        </is>
      </c>
      <c r="C58" s="17" t="inlineStr">
        <is>
          <t xml:space="preserve">        Etiqueta de pallet (lote y destino, fracción)</t>
        </is>
      </c>
      <c r="D58" s="32" t="n">
        <v>0.0139</v>
      </c>
      <c r="E58" s="32" t="inlineStr">
        <is>
          <t>u</t>
        </is>
      </c>
      <c r="F58" s="33" t="n"/>
      <c r="G58" s="33" t="n"/>
      <c r="H58" s="32" t="inlineStr">
        <is>
          <t>Papel térmico</t>
        </is>
      </c>
      <c r="I58" s="17" t="inlineStr">
        <is>
          <t>100 × 150</t>
        </is>
      </c>
      <c r="J58" s="32" t="inlineStr">
        <is>
          <t>Compra</t>
        </is>
      </c>
      <c r="K58" s="32" t="inlineStr">
        <is>
          <t>No</t>
        </is>
      </c>
      <c r="L58" s="17" t="n"/>
      <c r="M58" s="17" t="n"/>
      <c r="N58" s="17" t="inlineStr">
        <is>
          <t>24 Envolvedora</t>
        </is>
      </c>
      <c r="O58" s="17" t="n"/>
      <c r="P58" s="32" t="inlineStr">
        <is>
          <t>C</t>
        </is>
      </c>
      <c r="Q58" s="32" t="n"/>
      <c r="R58" s="17" t="n"/>
    </row>
    <row r="59" outlineLevel="1">
      <c r="A59" s="32" t="n">
        <v>2</v>
      </c>
      <c r="B59" s="32" t="inlineStr">
        <is>
          <t>HCFCHFC5-E6</t>
        </is>
      </c>
      <c r="C59" s="17" t="inlineStr">
        <is>
          <t xml:space="preserve">        Cinta de embalaje PP 48 mm (cierre de la caja)</t>
        </is>
      </c>
      <c r="D59" s="32" t="n">
        <v>0.767</v>
      </c>
      <c r="E59" s="32" t="inlineStr">
        <is>
          <t>m</t>
        </is>
      </c>
      <c r="F59" s="33" t="n"/>
      <c r="G59" s="33" t="n"/>
      <c r="H59" s="32" t="inlineStr">
        <is>
          <t>Polipropileno con adhesivo acrílico</t>
        </is>
      </c>
      <c r="I59" s="17" t="inlineStr">
        <is>
          <t>cierre en I arriba y abajo: 2 × (244 + 2 × 70 de solapa)</t>
        </is>
      </c>
      <c r="J59" s="32" t="inlineStr">
        <is>
          <t>Compra</t>
        </is>
      </c>
      <c r="K59" s="32" t="inlineStr">
        <is>
          <t>No</t>
        </is>
      </c>
      <c r="L59" s="17" t="n"/>
      <c r="M59" s="17" t="n"/>
      <c r="N59" s="17" t="inlineStr">
        <is>
          <t>23 Embalaje</t>
        </is>
      </c>
      <c r="O59" s="17" t="n"/>
      <c r="P59" s="32" t="inlineStr">
        <is>
          <t>C</t>
        </is>
      </c>
      <c r="Q59" s="32" t="n"/>
      <c r="R59" s="17" t="inlineStr">
        <is>
          <t>Solapa de 70 mm por lado: práctica de cierre de cajas (medir en la línea)</t>
        </is>
      </c>
    </row>
    <row r="60" outlineLevel="1">
      <c r="A60" s="32" t="n">
        <v>2</v>
      </c>
      <c r="B60" s="32" t="inlineStr">
        <is>
          <t>HCFCHFC5-E7</t>
        </is>
      </c>
      <c r="C60" s="17" t="inlineStr">
        <is>
          <t xml:space="preserve">        Esquineros de cartón 50 × 50 × 1200 (fracción del pallet)</t>
        </is>
      </c>
      <c r="D60" s="32" t="n">
        <v>0.0556</v>
      </c>
      <c r="E60" s="32" t="inlineStr">
        <is>
          <t>u</t>
        </is>
      </c>
      <c r="F60" s="33" t="n"/>
      <c r="G60" s="33" t="n"/>
      <c r="H60" s="32" t="inlineStr">
        <is>
          <t>Cartón</t>
        </is>
      </c>
      <c r="I60" s="17" t="inlineStr">
        <is>
          <t>4 por pallet / 72 u</t>
        </is>
      </c>
      <c r="J60" s="32" t="inlineStr">
        <is>
          <t>Compra</t>
        </is>
      </c>
      <c r="K60" s="32" t="inlineStr">
        <is>
          <t>No</t>
        </is>
      </c>
      <c r="L60" s="17" t="n"/>
      <c r="M60" s="17" t="n"/>
      <c r="N60" s="17" t="inlineStr">
        <is>
          <t>24 Envolvedora (T11)</t>
        </is>
      </c>
      <c r="O60" s="17" t="n"/>
      <c r="P60" s="32" t="inlineStr">
        <is>
          <t>C</t>
        </is>
      </c>
      <c r="Q60" s="32" t="n"/>
      <c r="R60" s="17" t="inlineStr">
        <is>
          <t>Planilla MP-64</t>
        </is>
      </c>
    </row>
  </sheetData>
  <autoFilter ref="A10:R60"/>
  <pageMargins left="0.75" right="0.75" top="1" bottom="1" header="0.5" footer="0.5"/>
  <pageSetup orientation="landscape" fitToHeight="0" fitToWidth="1"/>
</worksheet>
</file>

<file path=xl/worksheets/sheet28.xml><?xml version="1.0" encoding="utf-8"?>
<worksheet xmlns="http://schemas.openxmlformats.org/spreadsheetml/2006/main">
  <sheetPr>
    <tabColor rgb="00BF8F00"/>
    <outlinePr summaryBelow="0" summaryRight="1"/>
    <pageSetUpPr fitToPage="1"/>
  </sheetPr>
  <dimension ref="A1:R6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FL_MAT_CLASED_9l</t>
        </is>
      </c>
    </row>
    <row r="2">
      <c r="A2" s="58" t="inlineStr">
        <is>
          <t>Extintor Clase D 9 l</t>
        </is>
      </c>
    </row>
    <row r="3">
      <c r="A3" s="2" t="inlineStr">
        <is>
          <t>Plano de origen</t>
        </is>
      </c>
      <c r="C3" t="inlineStr">
        <is>
          <t>FL_MAT_CLASED_9l  (4 láminas)</t>
        </is>
      </c>
      <c r="E3" s="2" t="inlineStr">
        <is>
          <t>Peso vacío S1-S4 (kg)</t>
        </is>
      </c>
      <c r="G3" s="59">
        <f>G13+G18+G33</f>
        <v/>
      </c>
    </row>
    <row r="4">
      <c r="A4" s="2" t="inlineStr">
        <is>
          <t>Plano de despiece</t>
        </is>
      </c>
      <c r="C4" t="inlineStr">
        <is>
          <t>FL_DES_CLASED_9l (salida/despiece/)</t>
        </is>
      </c>
      <c r="E4" s="2" t="inlineStr">
        <is>
          <t>Peso cargado S1-S6 (kg)</t>
        </is>
      </c>
      <c r="G4" s="59">
        <f>G13+G18+G33+G39+G42</f>
        <v/>
      </c>
    </row>
    <row r="5">
      <c r="A5" s="2" t="inlineStr">
        <is>
          <t>Norma del producto</t>
        </is>
      </c>
      <c r="C5" t="inlineStr">
        <is>
          <t>IRAM 3523</t>
        </is>
      </c>
      <c r="E5" s="2" t="inlineStr">
        <is>
          <t>Peso con soporte y embalaje (kg)</t>
        </is>
      </c>
      <c r="G5" s="59">
        <f>G13+G18+G33+G39+G42+G53+G50</f>
        <v/>
      </c>
    </row>
    <row r="6">
      <c r="A6" s="2" t="inlineStr">
        <is>
          <t>Fabricación</t>
        </is>
      </c>
      <c r="C6" t="inlineStr">
        <is>
          <t>Revendido: se compra terminado al fabricante con Sello IRAM; las piezas internas quedan como referencia (no entran en MRP)</t>
        </is>
      </c>
      <c r="E6" s="2" t="inlineStr">
        <is>
          <t>Desvío cargado vs referencia</t>
        </is>
      </c>
      <c r="G6" s="24">
        <f>G4/C7-1</f>
        <v/>
      </c>
    </row>
    <row r="7">
      <c r="A7" s="2" t="inlineStr">
        <is>
          <t>Peso cargado de referencia (kg)</t>
        </is>
      </c>
      <c r="C7" t="n">
        <v>16.5</v>
      </c>
      <c r="E7" s="60" t="inlineStr">
        <is>
          <t>Referencia: Catálogo Fadesa 3 (repite pesos entre tablas: sólo orientativo)</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FL_MAT_CLASED_9l</t>
        </is>
      </c>
      <c r="C11" s="27" t="inlineStr">
        <is>
          <t>Extintor Clase D 9 l</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FL_MAT_CLASED_9l</t>
        </is>
      </c>
      <c r="R11" s="27" t="inlineStr">
        <is>
          <t>Revendido: se compra terminado al fabricante con Sello IRAM; las piezas internas quedan como referencia (no entran en MRP)</t>
        </is>
      </c>
    </row>
    <row r="12">
      <c r="A12" s="29" t="n">
        <v>1</v>
      </c>
      <c r="B12" s="29" t="inlineStr">
        <is>
          <t>CLASED9-S0</t>
        </is>
      </c>
      <c r="C12" s="30" t="inlineStr">
        <is>
          <t xml:space="preserve">    Equipo terminado comprado (fabricante con Sello IRAM)</t>
        </is>
      </c>
      <c r="D12" s="29" t="n">
        <v>1</v>
      </c>
      <c r="E12" s="29" t="inlineStr">
        <is>
          <t>u</t>
        </is>
      </c>
      <c r="F12" s="31" t="n"/>
      <c r="G12" s="31" t="n"/>
      <c r="H12" s="29" t="n"/>
      <c r="I12" s="30" t="n"/>
      <c r="J12" s="29" t="inlineStr">
        <is>
          <t>Compra</t>
        </is>
      </c>
      <c r="K12" s="29" t="inlineStr">
        <is>
          <t>Sí</t>
        </is>
      </c>
      <c r="L12" s="30" t="inlineStr">
        <is>
          <t>Matafuegos Georgia - venta mayorista</t>
        </is>
      </c>
      <c r="M12" s="30" t="inlineStr">
        <is>
          <t>Melisam</t>
        </is>
      </c>
      <c r="N12" s="30" t="inlineStr">
        <is>
          <t>Recepción y control de ingreso (SP-1)</t>
        </is>
      </c>
      <c r="O12" s="30" t="inlineStr">
        <is>
          <t>IRAM 3523</t>
        </is>
      </c>
      <c r="P12" s="29" t="inlineStr">
        <is>
          <t>I</t>
        </is>
      </c>
      <c r="Q12" s="29" t="inlineStr">
        <is>
          <t>FL_MAT_CLASED_9l</t>
        </is>
      </c>
      <c r="R12" s="30" t="inlineStr">
        <is>
          <t>Única fila de compra del revendido (más la tarjeta AGC si el destino es CABA)</t>
        </is>
      </c>
    </row>
    <row r="13">
      <c r="A13" s="29" t="n">
        <v>1</v>
      </c>
      <c r="B13" s="29" t="inlineStr">
        <is>
          <t>CLASED9-S1</t>
        </is>
      </c>
      <c r="C13" s="30" t="inlineStr">
        <is>
          <t xml:space="preserve">    Recipiente (cilindro)</t>
        </is>
      </c>
      <c r="D13" s="29" t="n">
        <v>1</v>
      </c>
      <c r="E13" s="29" t="inlineStr">
        <is>
          <t>u</t>
        </is>
      </c>
      <c r="F13" s="31" t="n"/>
      <c r="G13" s="31">
        <f>G14+G15+G16+G17</f>
        <v/>
      </c>
      <c r="H13" s="29" t="n"/>
      <c r="I13" s="30" t="n"/>
      <c r="J13" s="29" t="inlineStr">
        <is>
          <t>Compra / armado</t>
        </is>
      </c>
      <c r="K13" s="29" t="n"/>
      <c r="L13" s="30" t="n"/>
      <c r="M13" s="30" t="n"/>
      <c r="N13" s="30" t="n"/>
      <c r="O13" s="30" t="inlineStr">
        <is>
          <t>IRAM 3523 / 3550 (recipiente)</t>
        </is>
      </c>
      <c r="P13" s="29" t="inlineStr">
        <is>
          <t>P</t>
        </is>
      </c>
      <c r="Q13" s="29" t="inlineStr">
        <is>
          <t>FL_DES_CLASED_9l</t>
        </is>
      </c>
      <c r="R13" s="30" t="n"/>
    </row>
    <row r="14" outlineLevel="1">
      <c r="A14" s="32" t="n">
        <v>2</v>
      </c>
      <c r="B14" s="32" t="inlineStr">
        <is>
          <t>CLASED9-01</t>
        </is>
      </c>
      <c r="C14" s="17" t="inlineStr">
        <is>
          <t xml:space="preserve">        Cuerpo (virola)</t>
        </is>
      </c>
      <c r="D14" s="32" t="n">
        <v>1</v>
      </c>
      <c r="E14" s="32" t="inlineStr">
        <is>
          <t>u</t>
        </is>
      </c>
      <c r="F14" s="33" t="n">
        <v>4.3636</v>
      </c>
      <c r="G14" s="33">
        <f>D14*F14</f>
        <v/>
      </c>
      <c r="H14" s="32" t="inlineStr">
        <is>
          <t>Chapa LAF IRAM-IAS U 500-05 e=2</t>
        </is>
      </c>
      <c r="I14" s="17" t="inlineStr">
        <is>
          <t>Ø181,5 × e2 × 493,1 de alto; desarrollo 563,9 × 493,1</t>
        </is>
      </c>
      <c r="J14" s="32" t="inlineStr">
        <is>
          <t>Compra (en el conjunto)</t>
        </is>
      </c>
      <c r="K14" s="32" t="inlineStr">
        <is>
          <t>No</t>
        </is>
      </c>
      <c r="L14" s="17" t="n"/>
      <c r="M14" s="17" t="n"/>
      <c r="N14" s="17" t="inlineStr">
        <is>
          <t>S4 - se compra terminado (tercerizado con sello IRAM)</t>
        </is>
      </c>
      <c r="O14" s="17" t="n"/>
      <c r="P14" s="32" t="inlineStr">
        <is>
          <t>P</t>
        </is>
      </c>
      <c r="Q14" s="32" t="inlineStr">
        <is>
          <t>FL_DES_CLASED_9l</t>
        </is>
      </c>
      <c r="R14" s="17" t="inlineStr">
        <is>
          <t>costura long. MAG</t>
        </is>
      </c>
    </row>
    <row r="15" outlineLevel="1">
      <c r="A15" s="32" t="n">
        <v>2</v>
      </c>
      <c r="B15" s="32" t="inlineStr">
        <is>
          <t>CLASED9-02</t>
        </is>
      </c>
      <c r="C15" s="17" t="inlineStr">
        <is>
          <t xml:space="preserve">        Cúpula</t>
        </is>
      </c>
      <c r="D15" s="32" t="n">
        <v>1</v>
      </c>
      <c r="E15" s="32" t="inlineStr">
        <is>
          <t>u</t>
        </is>
      </c>
      <c r="F15" s="33" t="n">
        <v>0.501</v>
      </c>
      <c r="G15" s="33">
        <f>D15*F15</f>
        <v/>
      </c>
      <c r="H15" s="32" t="inlineStr">
        <is>
          <t>Chapa LAF IRAM-IAS U 500-05 e=1,6</t>
        </is>
      </c>
      <c r="I15" s="17" t="inlineStr">
        <is>
          <t>Ø181,5 × e1,6 × 61,4 de alto; disco Ø232,1</t>
        </is>
      </c>
      <c r="J15" s="32" t="inlineStr">
        <is>
          <t>Compra (en el conjunto)</t>
        </is>
      </c>
      <c r="K15" s="32" t="inlineStr">
        <is>
          <t>No</t>
        </is>
      </c>
      <c r="L15" s="17" t="n"/>
      <c r="M15" s="17" t="n"/>
      <c r="N15" s="17" t="inlineStr">
        <is>
          <t>S4 - se compra terminado (tercerizado con sello IRAM)</t>
        </is>
      </c>
      <c r="O15" s="17" t="n"/>
      <c r="P15" s="32" t="inlineStr">
        <is>
          <t>P</t>
        </is>
      </c>
      <c r="Q15" s="32" t="inlineStr">
        <is>
          <t>FL_DES_CLASED_9l</t>
        </is>
      </c>
      <c r="R15" s="17" t="inlineStr">
        <is>
          <t>embutida</t>
        </is>
      </c>
    </row>
    <row r="16" outlineLevel="1">
      <c r="A16" s="32" t="n">
        <v>2</v>
      </c>
      <c r="B16" s="32" t="inlineStr">
        <is>
          <t>CLASED9-03</t>
        </is>
      </c>
      <c r="C16" s="17" t="inlineStr">
        <is>
          <t xml:space="preserve">        Fondo</t>
        </is>
      </c>
      <c r="D16" s="32" t="n">
        <v>1</v>
      </c>
      <c r="E16" s="32" t="inlineStr">
        <is>
          <t>u</t>
        </is>
      </c>
      <c r="F16" s="33" t="n">
        <v>0.5084</v>
      </c>
      <c r="G16" s="33">
        <f>D16*F16</f>
        <v/>
      </c>
      <c r="H16" s="32" t="inlineStr">
        <is>
          <t>Chapa LAF IRAM-IAS U 500-05 e=2</t>
        </is>
      </c>
      <c r="I16" s="17" t="inlineStr">
        <is>
          <t>Ø181,5 × e2 × 21,7 de alto; disco Ø209,1</t>
        </is>
      </c>
      <c r="J16" s="32" t="inlineStr">
        <is>
          <t>Compra (en el conjunto)</t>
        </is>
      </c>
      <c r="K16" s="32" t="inlineStr">
        <is>
          <t>No</t>
        </is>
      </c>
      <c r="L16" s="17" t="n"/>
      <c r="M16" s="17" t="n"/>
      <c r="N16" s="17" t="inlineStr">
        <is>
          <t>S4 - se compra terminado (tercerizado con sello IRAM)</t>
        </is>
      </c>
      <c r="O16" s="17" t="n"/>
      <c r="P16" s="32" t="inlineStr">
        <is>
          <t>P</t>
        </is>
      </c>
      <c r="Q16" s="32" t="inlineStr">
        <is>
          <t>FL_DES_CLASED_9l</t>
        </is>
      </c>
      <c r="R16" s="17" t="inlineStr">
        <is>
          <t>embutido</t>
        </is>
      </c>
    </row>
    <row r="17" outlineLevel="1">
      <c r="A17" s="32" t="n">
        <v>2</v>
      </c>
      <c r="B17" s="32" t="inlineStr">
        <is>
          <t>CLASED9-04</t>
        </is>
      </c>
      <c r="C17" s="17" t="inlineStr">
        <is>
          <t xml:space="preserve">        Cuello roscado</t>
        </is>
      </c>
      <c r="D17" s="32" t="n">
        <v>1</v>
      </c>
      <c r="E17" s="32" t="inlineStr">
        <is>
          <t>u</t>
        </is>
      </c>
      <c r="F17" s="33" t="n">
        <v>0.0541</v>
      </c>
      <c r="G17" s="33">
        <f>D17*F17</f>
        <v/>
      </c>
      <c r="H17" s="32" t="inlineStr">
        <is>
          <t>Acero SAE 1010</t>
        </is>
      </c>
      <c r="I17" s="17" t="inlineStr">
        <is>
          <t>Ø36,8 × 14 de alto, rosca M30x1,5, asiento Ø35</t>
        </is>
      </c>
      <c r="J17" s="32" t="inlineStr">
        <is>
          <t>Compra (en el conjunto)</t>
        </is>
      </c>
      <c r="K17" s="32" t="inlineStr">
        <is>
          <t>No</t>
        </is>
      </c>
      <c r="L17" s="17" t="n"/>
      <c r="M17" s="17" t="n"/>
      <c r="N17" s="17" t="inlineStr">
        <is>
          <t>S4 - se compra terminado (tercerizado con sello IRAM)</t>
        </is>
      </c>
      <c r="O17" s="17" t="n"/>
      <c r="P17" s="32" t="inlineStr">
        <is>
          <t>P</t>
        </is>
      </c>
      <c r="Q17" s="32" t="inlineStr">
        <is>
          <t>FL_DES_CLASED_9l</t>
        </is>
      </c>
      <c r="R17" s="17" t="inlineStr">
        <is>
          <t>M30x1,5</t>
        </is>
      </c>
    </row>
    <row r="18">
      <c r="A18" s="29" t="n">
        <v>1</v>
      </c>
      <c r="B18" s="29" t="inlineStr">
        <is>
          <t>CLASED9-S2</t>
        </is>
      </c>
      <c r="C18" s="30" t="inlineStr">
        <is>
          <t xml:space="preserve">    Conjunto de válvula</t>
        </is>
      </c>
      <c r="D18" s="29" t="n">
        <v>1</v>
      </c>
      <c r="E18" s="29" t="inlineStr">
        <is>
          <t>u</t>
        </is>
      </c>
      <c r="F18" s="31" t="n"/>
      <c r="G18" s="31">
        <f>G19+G20+G21+G23+G24+G25+G26+G27+G28+G29+G30</f>
        <v/>
      </c>
      <c r="H18" s="29" t="n"/>
      <c r="I18" s="30" t="n"/>
      <c r="J18" s="29" t="inlineStr">
        <is>
          <t>Compra / armado</t>
        </is>
      </c>
      <c r="K18" s="29" t="n"/>
      <c r="L18" s="30" t="n"/>
      <c r="M18" s="30" t="n"/>
      <c r="N18" s="30" t="n"/>
      <c r="O18" s="30" t="inlineStr">
        <is>
          <t>Manómetro IRAM 3533</t>
        </is>
      </c>
      <c r="P18" s="29" t="inlineStr">
        <is>
          <t>P</t>
        </is>
      </c>
      <c r="Q18" s="29" t="inlineStr">
        <is>
          <t>FL_DES_CLASED_9l</t>
        </is>
      </c>
      <c r="R18" s="30" t="n"/>
    </row>
    <row r="19" outlineLevel="1">
      <c r="A19" s="32" t="n">
        <v>2</v>
      </c>
      <c r="B19" s="32" t="inlineStr">
        <is>
          <t>CLASED9-05</t>
        </is>
      </c>
      <c r="C19" s="17" t="inlineStr">
        <is>
          <t xml:space="preserve">        Espiga roscada</t>
        </is>
      </c>
      <c r="D19" s="32" t="n">
        <v>1</v>
      </c>
      <c r="E19" s="32" t="inlineStr">
        <is>
          <t>u</t>
        </is>
      </c>
      <c r="F19" s="33" t="n">
        <v>0.0245</v>
      </c>
      <c r="G19" s="33">
        <f>D19*F19</f>
        <v/>
      </c>
      <c r="H19" s="32" t="inlineStr">
        <is>
          <t>Latón forjado</t>
        </is>
      </c>
      <c r="I19" s="17" t="inlineStr">
        <is>
          <t>29,8 × 29,8 × 10,8</t>
        </is>
      </c>
      <c r="J19" s="32" t="inlineStr">
        <is>
          <t>Compra (en el conjunto)</t>
        </is>
      </c>
      <c r="K19" s="32" t="inlineStr">
        <is>
          <t>No</t>
        </is>
      </c>
      <c r="L19" s="17" t="n"/>
      <c r="M19" s="17" t="n"/>
      <c r="N19" s="17" t="inlineStr">
        <is>
          <t>S4 - se compra terminado (tercerizado con sello IRAM)</t>
        </is>
      </c>
      <c r="O19" s="17" t="n"/>
      <c r="P19" s="32" t="inlineStr">
        <is>
          <t>P</t>
        </is>
      </c>
      <c r="Q19" s="32" t="inlineStr">
        <is>
          <t>FL_DES_CLASED_9l</t>
        </is>
      </c>
      <c r="R19" s="17" t="n"/>
    </row>
    <row r="20" outlineLevel="1">
      <c r="A20" s="32" t="n">
        <v>2</v>
      </c>
      <c r="B20" s="32" t="inlineStr">
        <is>
          <t>CLASED9-06</t>
        </is>
      </c>
      <c r="C20" s="17" t="inlineStr">
        <is>
          <t xml:space="preserve">        Collarín de válvula</t>
        </is>
      </c>
      <c r="D20" s="32" t="n">
        <v>1</v>
      </c>
      <c r="E20" s="32" t="inlineStr">
        <is>
          <t>u</t>
        </is>
      </c>
      <c r="F20" s="33" t="n">
        <v>0.0053</v>
      </c>
      <c r="G20" s="33">
        <f>D20*F20</f>
        <v/>
      </c>
      <c r="H20" s="32" t="inlineStr">
        <is>
          <t>Latón forjado</t>
        </is>
      </c>
      <c r="I20" s="17" t="inlineStr">
        <is>
          <t>27,2 × 27,2 × 4,1</t>
        </is>
      </c>
      <c r="J20" s="32" t="inlineStr">
        <is>
          <t>Compra (en el conjunto)</t>
        </is>
      </c>
      <c r="K20" s="32" t="inlineStr">
        <is>
          <t>No</t>
        </is>
      </c>
      <c r="L20" s="17" t="n"/>
      <c r="M20" s="17" t="n"/>
      <c r="N20" s="17" t="inlineStr">
        <is>
          <t>S4 - se compra terminado (tercerizado con sello IRAM)</t>
        </is>
      </c>
      <c r="O20" s="17" t="n"/>
      <c r="P20" s="32" t="inlineStr">
        <is>
          <t>P</t>
        </is>
      </c>
      <c r="Q20" s="32" t="inlineStr">
        <is>
          <t>FL_DES_CLASED_9l</t>
        </is>
      </c>
      <c r="R20" s="17" t="n"/>
    </row>
    <row r="21" outlineLevel="1">
      <c r="A21" s="32" t="n">
        <v>2</v>
      </c>
      <c r="B21" s="32" t="inlineStr">
        <is>
          <t>CLASED9-07</t>
        </is>
      </c>
      <c r="C21" s="17" t="inlineStr">
        <is>
          <t xml:space="preserve">        Cuerpo de válvula</t>
        </is>
      </c>
      <c r="D21" s="32" t="n">
        <v>1</v>
      </c>
      <c r="E21" s="32" t="inlineStr">
        <is>
          <t>u</t>
        </is>
      </c>
      <c r="F21" s="33" t="n">
        <v>0.1328</v>
      </c>
      <c r="G21" s="33">
        <f>D21*F21</f>
        <v/>
      </c>
      <c r="H21" s="32" t="inlineStr">
        <is>
          <t>Latón forjado</t>
        </is>
      </c>
      <c r="I21" s="17" t="inlineStr">
        <is>
          <t>43,9 × 32 × 24,5</t>
        </is>
      </c>
      <c r="J21" s="32" t="inlineStr">
        <is>
          <t>Compra (en el conjunto)</t>
        </is>
      </c>
      <c r="K21" s="32" t="inlineStr">
        <is>
          <t>No</t>
        </is>
      </c>
      <c r="L21" s="17" t="n"/>
      <c r="M21" s="17" t="n"/>
      <c r="N21" s="17" t="inlineStr">
        <is>
          <t>S4 - se compra terminado (tercerizado con sello IRAM)</t>
        </is>
      </c>
      <c r="O21" s="17" t="n"/>
      <c r="P21" s="32" t="inlineStr">
        <is>
          <t>P</t>
        </is>
      </c>
      <c r="Q21" s="32" t="inlineStr">
        <is>
          <t>FL_DES_CLASED_9l</t>
        </is>
      </c>
      <c r="R21" s="17" t="n"/>
    </row>
    <row r="22" outlineLevel="1">
      <c r="A22" s="32" t="n">
        <v>2</v>
      </c>
      <c r="B22" s="32" t="inlineStr">
        <is>
          <t>CLASED9-08</t>
        </is>
      </c>
      <c r="C22" s="17" t="inlineStr">
        <is>
          <t xml:space="preserve">        Manómetro</t>
        </is>
      </c>
      <c r="D22" s="32" t="n">
        <v>1</v>
      </c>
      <c r="E22" s="32" t="inlineStr">
        <is>
          <t>u</t>
        </is>
      </c>
      <c r="F22" s="33" t="n"/>
      <c r="G22" s="33" t="n"/>
      <c r="H22" s="32" t="inlineStr">
        <is>
          <t>Comercial</t>
        </is>
      </c>
      <c r="I22" s="17" t="inlineStr">
        <is>
          <t>Ø36 esfera, rango 0-3,5 MPa, sector verde en 1,4</t>
        </is>
      </c>
      <c r="J22" s="32" t="inlineStr">
        <is>
          <t>Compra (en el conjunto)</t>
        </is>
      </c>
      <c r="K22" s="32" t="inlineStr">
        <is>
          <t>No</t>
        </is>
      </c>
      <c r="L22" s="17" t="n"/>
      <c r="M22" s="17" t="n"/>
      <c r="N22" s="17" t="inlineStr">
        <is>
          <t>S4 - se compra terminado (tercerizado con sello IRAM)</t>
        </is>
      </c>
      <c r="O22" s="17" t="inlineStr">
        <is>
          <t>IRAM 3533</t>
        </is>
      </c>
      <c r="P22" s="32" t="inlineStr">
        <is>
          <t>P</t>
        </is>
      </c>
      <c r="Q22" s="32" t="inlineStr">
        <is>
          <t>FL_DES_CLASED_9l</t>
        </is>
      </c>
      <c r="R22" s="17" t="inlineStr">
        <is>
          <t>Pieza comercial; sello IRAM 3533; peso: completar con la ficha del proveedor (no afecta el MRP)</t>
        </is>
      </c>
    </row>
    <row r="23" outlineLevel="1">
      <c r="A23" s="32" t="n">
        <v>2</v>
      </c>
      <c r="B23" s="32" t="inlineStr">
        <is>
          <t>CLASED9-09</t>
        </is>
      </c>
      <c r="C23" s="17" t="inlineStr">
        <is>
          <t xml:space="preserve">        Vástago</t>
        </is>
      </c>
      <c r="D23" s="32" t="n">
        <v>1</v>
      </c>
      <c r="E23" s="32" t="inlineStr">
        <is>
          <t>u</t>
        </is>
      </c>
      <c r="F23" s="33" t="n">
        <v>0.0137</v>
      </c>
      <c r="G23" s="33">
        <f>D23*F23</f>
        <v/>
      </c>
      <c r="H23" s="32" t="inlineStr">
        <is>
          <t>Latón</t>
        </is>
      </c>
      <c r="I23" s="17" t="inlineStr">
        <is>
          <t>35,6 × 14 × 14</t>
        </is>
      </c>
      <c r="J23" s="32" t="inlineStr">
        <is>
          <t>Compra (en el conjunto)</t>
        </is>
      </c>
      <c r="K23" s="32" t="inlineStr">
        <is>
          <t>No</t>
        </is>
      </c>
      <c r="L23" s="17" t="n"/>
      <c r="M23" s="17" t="n"/>
      <c r="N23" s="17" t="inlineStr">
        <is>
          <t>S4 - se compra terminado (tercerizado con sello IRAM)</t>
        </is>
      </c>
      <c r="O23" s="17" t="n"/>
      <c r="P23" s="32" t="inlineStr">
        <is>
          <t>P</t>
        </is>
      </c>
      <c r="Q23" s="32" t="inlineStr">
        <is>
          <t>FL_DES_CLASED_9l</t>
        </is>
      </c>
      <c r="R23" s="17" t="inlineStr">
        <is>
          <t>con junta tórica</t>
        </is>
      </c>
    </row>
    <row r="24" outlineLevel="1">
      <c r="A24" s="32" t="n">
        <v>2</v>
      </c>
      <c r="B24" s="32" t="inlineStr">
        <is>
          <t>CLASED9-10</t>
        </is>
      </c>
      <c r="C24" s="17" t="inlineStr">
        <is>
          <t xml:space="preserve">        Resorte de válvula</t>
        </is>
      </c>
      <c r="D24" s="32" t="n">
        <v>1</v>
      </c>
      <c r="E24" s="32" t="inlineStr">
        <is>
          <t>u</t>
        </is>
      </c>
      <c r="F24" s="33" t="n">
        <v>0.0049</v>
      </c>
      <c r="G24" s="33">
        <f>D24*F24</f>
        <v/>
      </c>
      <c r="H24" s="32" t="inlineStr">
        <is>
          <t>Alambre acero inox. AISI 302</t>
        </is>
      </c>
      <c r="I24" s="17" t="inlineStr">
        <is>
          <t>28,8 × 17,3 × 17,3</t>
        </is>
      </c>
      <c r="J24" s="32" t="inlineStr">
        <is>
          <t>Compra (en el conjunto)</t>
        </is>
      </c>
      <c r="K24" s="32" t="inlineStr">
        <is>
          <t>No</t>
        </is>
      </c>
      <c r="L24" s="17" t="n"/>
      <c r="M24" s="17" t="n"/>
      <c r="N24" s="17" t="inlineStr">
        <is>
          <t>S4 - se compra terminado (tercerizado con sello IRAM)</t>
        </is>
      </c>
      <c r="O24" s="17" t="n"/>
      <c r="P24" s="32" t="inlineStr">
        <is>
          <t>P</t>
        </is>
      </c>
      <c r="Q24" s="32" t="inlineStr">
        <is>
          <t>FL_DES_CLASED_9l</t>
        </is>
      </c>
      <c r="R24" s="17" t="inlineStr">
        <is>
          <t>cierre del vástago</t>
        </is>
      </c>
    </row>
    <row r="25" outlineLevel="1">
      <c r="A25" s="32" t="n">
        <v>2</v>
      </c>
      <c r="B25" s="32" t="inlineStr">
        <is>
          <t>CLASED9-11</t>
        </is>
      </c>
      <c r="C25" s="17" t="inlineStr">
        <is>
          <t xml:space="preserve">        Eje de palanca</t>
        </is>
      </c>
      <c r="D25" s="32" t="n">
        <v>1</v>
      </c>
      <c r="E25" s="32" t="inlineStr">
        <is>
          <t>u</t>
        </is>
      </c>
      <c r="F25" s="33" t="n">
        <v>0.0033</v>
      </c>
      <c r="G25" s="33">
        <f>D25*F25</f>
        <v/>
      </c>
      <c r="H25" s="32" t="inlineStr">
        <is>
          <t>Acero inox. AISI 304</t>
        </is>
      </c>
      <c r="I25" s="17" t="inlineStr">
        <is>
          <t>33 × 4 × 4</t>
        </is>
      </c>
      <c r="J25" s="32" t="inlineStr">
        <is>
          <t>Compra (en el conjunto)</t>
        </is>
      </c>
      <c r="K25" s="32" t="inlineStr">
        <is>
          <t>No</t>
        </is>
      </c>
      <c r="L25" s="17" t="n"/>
      <c r="M25" s="17" t="n"/>
      <c r="N25" s="17" t="inlineStr">
        <is>
          <t>S4 - se compra terminado (tercerizado con sello IRAM)</t>
        </is>
      </c>
      <c r="O25" s="17" t="n"/>
      <c r="P25" s="32" t="inlineStr">
        <is>
          <t>P</t>
        </is>
      </c>
      <c r="Q25" s="32" t="inlineStr">
        <is>
          <t>FL_DES_CLASED_9l</t>
        </is>
      </c>
      <c r="R25" s="17" t="n"/>
    </row>
    <row r="26" outlineLevel="1">
      <c r="A26" s="32" t="n">
        <v>2</v>
      </c>
      <c r="B26" s="32" t="inlineStr">
        <is>
          <t>CLASED9-12</t>
        </is>
      </c>
      <c r="C26" s="17" t="inlineStr">
        <is>
          <t xml:space="preserve">        Pasador de seguridad</t>
        </is>
      </c>
      <c r="D26" s="32" t="n">
        <v>1</v>
      </c>
      <c r="E26" s="32" t="inlineStr">
        <is>
          <t>u</t>
        </is>
      </c>
      <c r="F26" s="33" t="n">
        <v>0.0055</v>
      </c>
      <c r="G26" s="33">
        <f>D26*F26</f>
        <v/>
      </c>
      <c r="H26" s="32" t="inlineStr">
        <is>
          <t>Alambre acero inox. AISI 304</t>
        </is>
      </c>
      <c r="I26" s="17" t="inlineStr">
        <is>
          <t>45,9 × 21 × 20,8</t>
        </is>
      </c>
      <c r="J26" s="32" t="inlineStr">
        <is>
          <t>Compra (en el conjunto)</t>
        </is>
      </c>
      <c r="K26" s="32" t="inlineStr">
        <is>
          <t>No</t>
        </is>
      </c>
      <c r="L26" s="17" t="n"/>
      <c r="M26" s="17" t="n"/>
      <c r="N26" s="17" t="inlineStr">
        <is>
          <t>S4 - se compra terminado (tercerizado con sello IRAM)</t>
        </is>
      </c>
      <c r="O26" s="17" t="n"/>
      <c r="P26" s="32" t="inlineStr">
        <is>
          <t>P</t>
        </is>
      </c>
      <c r="Q26" s="32" t="inlineStr">
        <is>
          <t>FL_DES_CLASED_9l</t>
        </is>
      </c>
      <c r="R26" s="17" t="inlineStr">
        <is>
          <t>con precinto</t>
        </is>
      </c>
    </row>
    <row r="27" outlineLevel="1">
      <c r="A27" s="32" t="n">
        <v>2</v>
      </c>
      <c r="B27" s="32" t="inlineStr">
        <is>
          <t>CLASED9-13</t>
        </is>
      </c>
      <c r="C27" s="17" t="inlineStr">
        <is>
          <t xml:space="preserve">        Manija de accionamiento</t>
        </is>
      </c>
      <c r="D27" s="32" t="n">
        <v>1</v>
      </c>
      <c r="E27" s="32" t="inlineStr">
        <is>
          <t>u</t>
        </is>
      </c>
      <c r="F27" s="33" t="n">
        <v>0.0959</v>
      </c>
      <c r="G27" s="33">
        <f>D27*F27</f>
        <v/>
      </c>
      <c r="H27" s="32" t="inlineStr">
        <is>
          <t>Chapa acero SAE 1010 pintada</t>
        </is>
      </c>
      <c r="I27" s="17" t="inlineStr">
        <is>
          <t>124,6 × 31 × 29,3</t>
        </is>
      </c>
      <c r="J27" s="32" t="inlineStr">
        <is>
          <t>Compra (en el conjunto)</t>
        </is>
      </c>
      <c r="K27" s="32" t="inlineStr">
        <is>
          <t>No</t>
        </is>
      </c>
      <c r="L27" s="17" t="n"/>
      <c r="M27" s="17" t="n"/>
      <c r="N27" s="17" t="inlineStr">
        <is>
          <t>S4 - se compra terminado (tercerizado con sello IRAM)</t>
        </is>
      </c>
      <c r="O27" s="17" t="n"/>
      <c r="P27" s="32" t="inlineStr">
        <is>
          <t>P</t>
        </is>
      </c>
      <c r="Q27" s="32" t="inlineStr">
        <is>
          <t>FL_DES_CLASED_9l</t>
        </is>
      </c>
      <c r="R27" s="17" t="n"/>
    </row>
    <row r="28" outlineLevel="1">
      <c r="A28" s="32" t="n">
        <v>2</v>
      </c>
      <c r="B28" s="32" t="inlineStr">
        <is>
          <t>CLASED9-14</t>
        </is>
      </c>
      <c r="C28" s="17" t="inlineStr">
        <is>
          <t xml:space="preserve">        Manija de transporte</t>
        </is>
      </c>
      <c r="D28" s="32" t="n">
        <v>1</v>
      </c>
      <c r="E28" s="32" t="inlineStr">
        <is>
          <t>u</t>
        </is>
      </c>
      <c r="F28" s="33" t="n">
        <v>0.0757</v>
      </c>
      <c r="G28" s="33">
        <f>D28*F28</f>
        <v/>
      </c>
      <c r="H28" s="32" t="inlineStr">
        <is>
          <t>Chapa acero SAE 1010 pintada</t>
        </is>
      </c>
      <c r="I28" s="17" t="inlineStr">
        <is>
          <t>102,6 × 35 × 25,4</t>
        </is>
      </c>
      <c r="J28" s="32" t="inlineStr">
        <is>
          <t>Compra (en el conjunto)</t>
        </is>
      </c>
      <c r="K28" s="32" t="inlineStr">
        <is>
          <t>No</t>
        </is>
      </c>
      <c r="L28" s="17" t="n"/>
      <c r="M28" s="17" t="n"/>
      <c r="N28" s="17" t="inlineStr">
        <is>
          <t>S4 - se compra terminado (tercerizado con sello IRAM)</t>
        </is>
      </c>
      <c r="O28" s="17" t="n"/>
      <c r="P28" s="32" t="inlineStr">
        <is>
          <t>P</t>
        </is>
      </c>
      <c r="Q28" s="32" t="inlineStr">
        <is>
          <t>FL_DES_CLASED_9l</t>
        </is>
      </c>
      <c r="R28" s="17" t="n"/>
    </row>
    <row r="29" outlineLevel="1">
      <c r="A29" s="32" t="n">
        <v>2</v>
      </c>
      <c r="B29" s="32" t="inlineStr">
        <is>
          <t>CLASED9-15</t>
        </is>
      </c>
      <c r="C29" s="17" t="inlineStr">
        <is>
          <t xml:space="preserve">        Caño de pesca (sifón)</t>
        </is>
      </c>
      <c r="D29" s="32" t="n">
        <v>1</v>
      </c>
      <c r="E29" s="32" t="inlineStr">
        <is>
          <t>u</t>
        </is>
      </c>
      <c r="F29" s="33" t="n">
        <v>0.0688</v>
      </c>
      <c r="G29" s="33">
        <f>D29*F29</f>
        <v/>
      </c>
      <c r="H29" s="32" t="inlineStr">
        <is>
          <t>Tubo PVC rígido</t>
        </is>
      </c>
      <c r="I29" s="17" t="inlineStr">
        <is>
          <t>Ø21,3 × 526,9 de largo</t>
        </is>
      </c>
      <c r="J29" s="32" t="inlineStr">
        <is>
          <t>Compra (en el conjunto)</t>
        </is>
      </c>
      <c r="K29" s="32" t="inlineStr">
        <is>
          <t>No</t>
        </is>
      </c>
      <c r="L29" s="17" t="n"/>
      <c r="M29" s="17" t="n"/>
      <c r="N29" s="17" t="inlineStr">
        <is>
          <t>S4 - se compra terminado (tercerizado con sello IRAM)</t>
        </is>
      </c>
      <c r="O29" s="17" t="n"/>
      <c r="P29" s="32" t="inlineStr">
        <is>
          <t>P</t>
        </is>
      </c>
      <c r="Q29" s="32" t="inlineStr">
        <is>
          <t>FL_DES_CLASED_9l</t>
        </is>
      </c>
      <c r="R29" s="17" t="n"/>
    </row>
    <row r="30" outlineLevel="1">
      <c r="A30" s="32" t="n">
        <v>2</v>
      </c>
      <c r="B30" s="32" t="inlineStr">
        <is>
          <t>CLASED9-26</t>
        </is>
      </c>
      <c r="C30" s="17" t="inlineStr">
        <is>
          <t xml:space="preserve">        Junta tórica de asiento</t>
        </is>
      </c>
      <c r="D30" s="32" t="n">
        <v>1</v>
      </c>
      <c r="E30" s="32" t="inlineStr">
        <is>
          <t>u</t>
        </is>
      </c>
      <c r="F30" s="33" t="n">
        <v>0.001</v>
      </c>
      <c r="G30" s="33">
        <f>D30*F30</f>
        <v/>
      </c>
      <c r="H30" s="32" t="inlineStr">
        <is>
          <t>NBR 70 Shore A</t>
        </is>
      </c>
      <c r="I30" s="17" t="inlineStr">
        <is>
          <t>Ø32,8 ext. × cordón 3</t>
        </is>
      </c>
      <c r="J30" s="32" t="inlineStr">
        <is>
          <t>Compra (en el conjunto)</t>
        </is>
      </c>
      <c r="K30" s="32" t="inlineStr">
        <is>
          <t>No</t>
        </is>
      </c>
      <c r="L30" s="17" t="n"/>
      <c r="M30" s="17" t="n"/>
      <c r="N30" s="17" t="inlineStr">
        <is>
          <t>S4 - se compra terminado (tercerizado con sello IRAM)</t>
        </is>
      </c>
      <c r="O30" s="17" t="n"/>
      <c r="P30" s="32" t="inlineStr">
        <is>
          <t>P</t>
        </is>
      </c>
      <c r="Q30" s="32" t="inlineStr">
        <is>
          <t>FL_DES_CLASED_9l</t>
        </is>
      </c>
      <c r="R30" s="17" t="inlineStr">
        <is>
          <t>cambio c/recarga</t>
        </is>
      </c>
    </row>
    <row r="31" outlineLevel="1">
      <c r="A31" s="32" t="n">
        <v>2</v>
      </c>
      <c r="B31" s="32" t="inlineStr">
        <is>
          <t>CLASED9-V2</t>
        </is>
      </c>
      <c r="C31" s="17" t="inlineStr">
        <is>
          <t xml:space="preserve">        Resorte de retorno del vástago</t>
        </is>
      </c>
      <c r="D31" s="32" t="n">
        <v>1</v>
      </c>
      <c r="E31" s="32" t="inlineStr">
        <is>
          <t>u</t>
        </is>
      </c>
      <c r="F31" s="33" t="n"/>
      <c r="G31" s="33" t="n"/>
      <c r="H31" s="32" t="inlineStr">
        <is>
          <t>Acero para resortes</t>
        </is>
      </c>
      <c r="I31" s="17" t="inlineStr">
        <is>
          <t>incluido en la válvula</t>
        </is>
      </c>
      <c r="J31" s="32" t="inlineStr">
        <is>
          <t>Compra (en el conjunto)</t>
        </is>
      </c>
      <c r="K31" s="32" t="inlineStr">
        <is>
          <t>No</t>
        </is>
      </c>
      <c r="L31" s="17" t="n"/>
      <c r="M31" s="17" t="n"/>
      <c r="N31" s="17" t="inlineStr">
        <is>
          <t>19 Ensamblaje</t>
        </is>
      </c>
      <c r="O31" s="17" t="n"/>
      <c r="P31" s="32" t="inlineStr">
        <is>
          <t>Q</t>
        </is>
      </c>
      <c r="Q31" s="32" t="n"/>
      <c r="R31" s="17" t="inlineStr">
        <is>
          <t>Lista de precios HZ: válvula «c/resorte» (Q-AGENTES)</t>
        </is>
      </c>
    </row>
    <row r="32" outlineLevel="1">
      <c r="A32" s="32" t="n">
        <v>2</v>
      </c>
      <c r="B32" s="32" t="inlineStr">
        <is>
          <t>CLASED9-V3</t>
        </is>
      </c>
      <c r="C32" s="17" t="inlineStr">
        <is>
          <t xml:space="preserve">        Junta tórica del vástago</t>
        </is>
      </c>
      <c r="D32" s="32" t="n">
        <v>1</v>
      </c>
      <c r="E32" s="32" t="inlineStr">
        <is>
          <t>u</t>
        </is>
      </c>
      <c r="F32" s="33" t="n"/>
      <c r="G32" s="33" t="n"/>
      <c r="H32" s="32" t="inlineStr">
        <is>
          <t>NBR 70 Shore A</t>
        </is>
      </c>
      <c r="I32" s="17" t="inlineStr">
        <is>
          <t>incluida en la válvula</t>
        </is>
      </c>
      <c r="J32" s="32" t="inlineStr">
        <is>
          <t>Compra (en el conjunto)</t>
        </is>
      </c>
      <c r="K32" s="32" t="inlineStr">
        <is>
          <t>No</t>
        </is>
      </c>
      <c r="L32" s="17" t="n"/>
      <c r="M32" s="17" t="n"/>
      <c r="N32" s="17" t="inlineStr">
        <is>
          <t>19 Ensamblaje</t>
        </is>
      </c>
      <c r="O32" s="17" t="n"/>
      <c r="P32" s="32" t="inlineStr">
        <is>
          <t>P</t>
        </is>
      </c>
      <c r="Q32" s="32" t="n"/>
      <c r="R32" s="17" t="inlineStr">
        <is>
          <t>Figura en el plano como «vástago con junta tórica»</t>
        </is>
      </c>
    </row>
    <row r="33">
      <c r="A33" s="29" t="n">
        <v>1</v>
      </c>
      <c r="B33" s="29" t="inlineStr">
        <is>
          <t>CLASED9-S3</t>
        </is>
      </c>
      <c r="C33" s="30" t="inlineStr">
        <is>
          <t xml:space="preserve">    Dispositivo de descarga</t>
        </is>
      </c>
      <c r="D33" s="29" t="n">
        <v>1</v>
      </c>
      <c r="E33" s="29" t="inlineStr">
        <is>
          <t>u</t>
        </is>
      </c>
      <c r="F33" s="31" t="n"/>
      <c r="G33" s="31">
        <f>G34+G35+G36+G37+G38</f>
        <v/>
      </c>
      <c r="H33" s="29" t="n"/>
      <c r="I33" s="30" t="n"/>
      <c r="J33" s="29" t="inlineStr">
        <is>
          <t>Compra / armado</t>
        </is>
      </c>
      <c r="K33" s="29" t="n"/>
      <c r="L33" s="30" t="n"/>
      <c r="M33" s="30" t="n"/>
      <c r="N33" s="30" t="n"/>
      <c r="O33" s="30" t="n"/>
      <c r="P33" s="29" t="inlineStr">
        <is>
          <t>P</t>
        </is>
      </c>
      <c r="Q33" s="29" t="inlineStr">
        <is>
          <t>FL_DES_CLASED_9l</t>
        </is>
      </c>
      <c r="R33" s="30" t="n"/>
    </row>
    <row r="34" outlineLevel="1">
      <c r="A34" s="32" t="n">
        <v>2</v>
      </c>
      <c r="B34" s="32" t="inlineStr">
        <is>
          <t>CLASED9-16</t>
        </is>
      </c>
      <c r="C34" s="17" t="inlineStr">
        <is>
          <t xml:space="preserve">        Racor de manguera</t>
        </is>
      </c>
      <c r="D34" s="32" t="n">
        <v>1</v>
      </c>
      <c r="E34" s="32" t="inlineStr">
        <is>
          <t>u</t>
        </is>
      </c>
      <c r="F34" s="33" t="n">
        <v>0.0258</v>
      </c>
      <c r="G34" s="33">
        <f>D34*F34</f>
        <v/>
      </c>
      <c r="H34" s="32" t="inlineStr">
        <is>
          <t>Latón</t>
        </is>
      </c>
      <c r="I34" s="17" t="inlineStr">
        <is>
          <t>18 × 18 × 12</t>
        </is>
      </c>
      <c r="J34" s="32" t="inlineStr">
        <is>
          <t>Compra (en el conjunto)</t>
        </is>
      </c>
      <c r="K34" s="32" t="inlineStr">
        <is>
          <t>No</t>
        </is>
      </c>
      <c r="L34" s="17" t="n"/>
      <c r="M34" s="17" t="n"/>
      <c r="N34" s="17" t="inlineStr">
        <is>
          <t>S4 - se compra terminado (tercerizado con sello IRAM)</t>
        </is>
      </c>
      <c r="O34" s="17" t="n"/>
      <c r="P34" s="32" t="inlineStr">
        <is>
          <t>P</t>
        </is>
      </c>
      <c r="Q34" s="32" t="inlineStr">
        <is>
          <t>FL_DES_CLASED_9l</t>
        </is>
      </c>
      <c r="R34" s="17" t="n"/>
    </row>
    <row r="35" outlineLevel="1">
      <c r="A35" s="32" t="n">
        <v>2</v>
      </c>
      <c r="B35" s="32" t="inlineStr">
        <is>
          <t>CLASED9-17</t>
        </is>
      </c>
      <c r="C35" s="17" t="inlineStr">
        <is>
          <t xml:space="preserve">        Manguera</t>
        </is>
      </c>
      <c r="D35" s="32" t="n">
        <v>1</v>
      </c>
      <c r="E35" s="32" t="inlineStr">
        <is>
          <t>u</t>
        </is>
      </c>
      <c r="F35" s="33" t="n">
        <v>0.0297</v>
      </c>
      <c r="G35" s="33">
        <f>D35*F35</f>
        <v/>
      </c>
      <c r="H35" s="32" t="inlineStr">
        <is>
          <t>Caucho sintético</t>
        </is>
      </c>
      <c r="I35" s="17" t="inlineStr">
        <is>
          <t>Ø16 × 192 de largo desarrollado</t>
        </is>
      </c>
      <c r="J35" s="32" t="inlineStr">
        <is>
          <t>Compra (en el conjunto)</t>
        </is>
      </c>
      <c r="K35" s="32" t="inlineStr">
        <is>
          <t>No</t>
        </is>
      </c>
      <c r="L35" s="17" t="n"/>
      <c r="M35" s="17" t="n"/>
      <c r="N35" s="17" t="inlineStr">
        <is>
          <t>S4 - se compra terminado (tercerizado con sello IRAM)</t>
        </is>
      </c>
      <c r="O35" s="17" t="n"/>
      <c r="P35" s="32" t="inlineStr">
        <is>
          <t>P</t>
        </is>
      </c>
      <c r="Q35" s="32" t="inlineStr">
        <is>
          <t>FL_DES_CLASED_9l</t>
        </is>
      </c>
      <c r="R35" s="17" t="n"/>
    </row>
    <row r="36" outlineLevel="1">
      <c r="A36" s="32" t="n">
        <v>2</v>
      </c>
      <c r="B36" s="32" t="inlineStr">
        <is>
          <t>CLASED9-18</t>
        </is>
      </c>
      <c r="C36" s="17" t="inlineStr">
        <is>
          <t xml:space="preserve">        Lanza aplicadora flujo suave</t>
        </is>
      </c>
      <c r="D36" s="32" t="n">
        <v>1</v>
      </c>
      <c r="E36" s="32" t="inlineStr">
        <is>
          <t>u</t>
        </is>
      </c>
      <c r="F36" s="33" t="n">
        <v>0.1201</v>
      </c>
      <c r="G36" s="33">
        <f>D36*F36</f>
        <v/>
      </c>
      <c r="H36" s="32" t="inlineStr">
        <is>
          <t>Tubo aluminio</t>
        </is>
      </c>
      <c r="I36" s="17" t="inlineStr">
        <is>
          <t>360 × 40 × 40</t>
        </is>
      </c>
      <c r="J36" s="32" t="inlineStr">
        <is>
          <t>Compra (en el conjunto)</t>
        </is>
      </c>
      <c r="K36" s="32" t="inlineStr">
        <is>
          <t>No</t>
        </is>
      </c>
      <c r="L36" s="17" t="n"/>
      <c r="M36" s="17" t="n"/>
      <c r="N36" s="17" t="inlineStr">
        <is>
          <t>S4 - se compra terminado (tercerizado con sello IRAM)</t>
        </is>
      </c>
      <c r="O36" s="17" t="n"/>
      <c r="P36" s="32" t="inlineStr">
        <is>
          <t>P</t>
        </is>
      </c>
      <c r="Q36" s="32" t="inlineStr">
        <is>
          <t>FL_DES_CLASED_9l</t>
        </is>
      </c>
      <c r="R36" s="17" t="n"/>
    </row>
    <row r="37" outlineLevel="1">
      <c r="A37" s="32" t="n">
        <v>2</v>
      </c>
      <c r="B37" s="32" t="inlineStr">
        <is>
          <t>CLASED9-19</t>
        </is>
      </c>
      <c r="C37" s="17" t="inlineStr">
        <is>
          <t xml:space="preserve">        Empuñadura</t>
        </is>
      </c>
      <c r="D37" s="32" t="n">
        <v>1</v>
      </c>
      <c r="E37" s="32" t="inlineStr">
        <is>
          <t>u</t>
        </is>
      </c>
      <c r="F37" s="33" t="n">
        <v>0.0239</v>
      </c>
      <c r="G37" s="33">
        <f>D37*F37</f>
        <v/>
      </c>
      <c r="H37" s="32" t="inlineStr">
        <is>
          <t>Polipropileno</t>
        </is>
      </c>
      <c r="I37" s="17" t="inlineStr">
        <is>
          <t>90 × 28 × 28</t>
        </is>
      </c>
      <c r="J37" s="32" t="inlineStr">
        <is>
          <t>Compra (en el conjunto)</t>
        </is>
      </c>
      <c r="K37" s="32" t="inlineStr">
        <is>
          <t>No</t>
        </is>
      </c>
      <c r="L37" s="17" t="n"/>
      <c r="M37" s="17" t="n"/>
      <c r="N37" s="17" t="inlineStr">
        <is>
          <t>S4 - se compra terminado (tercerizado con sello IRAM)</t>
        </is>
      </c>
      <c r="O37" s="17" t="n"/>
      <c r="P37" s="32" t="inlineStr">
        <is>
          <t>P</t>
        </is>
      </c>
      <c r="Q37" s="32" t="inlineStr">
        <is>
          <t>FL_DES_CLASED_9l</t>
        </is>
      </c>
      <c r="R37" s="17" t="n"/>
    </row>
    <row r="38" outlineLevel="1">
      <c r="A38" s="32" t="n">
        <v>2</v>
      </c>
      <c r="B38" s="32" t="inlineStr">
        <is>
          <t>CLASED9-20</t>
        </is>
      </c>
      <c r="C38" s="17" t="inlineStr">
        <is>
          <t xml:space="preserve">        Suncho portatobera</t>
        </is>
      </c>
      <c r="D38" s="32" t="n">
        <v>1</v>
      </c>
      <c r="E38" s="32" t="inlineStr">
        <is>
          <t>u</t>
        </is>
      </c>
      <c r="F38" s="33" t="n">
        <v>0.1438</v>
      </c>
      <c r="G38" s="33">
        <f>D38*F38</f>
        <v/>
      </c>
      <c r="H38" s="32" t="inlineStr">
        <is>
          <t>Fleje acero SAE 1010 pintado</t>
        </is>
      </c>
      <c r="I38" s="17" t="inlineStr">
        <is>
          <t>199,1 × 185,1 × 18</t>
        </is>
      </c>
      <c r="J38" s="32" t="inlineStr">
        <is>
          <t>Compra (en el conjunto)</t>
        </is>
      </c>
      <c r="K38" s="32" t="inlineStr">
        <is>
          <t>No</t>
        </is>
      </c>
      <c r="L38" s="17" t="n"/>
      <c r="M38" s="17" t="n"/>
      <c r="N38" s="17" t="inlineStr">
        <is>
          <t>S4 - se compra terminado (tercerizado con sello IRAM)</t>
        </is>
      </c>
      <c r="O38" s="17" t="n"/>
      <c r="P38" s="32" t="inlineStr">
        <is>
          <t>P</t>
        </is>
      </c>
      <c r="Q38" s="32" t="inlineStr">
        <is>
          <t>FL_DES_CLASED_9l</t>
        </is>
      </c>
      <c r="R38" s="17" t="n"/>
    </row>
    <row r="39">
      <c r="A39" s="29" t="n">
        <v>1</v>
      </c>
      <c r="B39" s="29" t="inlineStr">
        <is>
          <t>CLASED9-S5</t>
        </is>
      </c>
      <c r="C39" s="30" t="inlineStr">
        <is>
          <t xml:space="preserve">    Carga: agente extintor y gas impulsor</t>
        </is>
      </c>
      <c r="D39" s="29" t="n">
        <v>1</v>
      </c>
      <c r="E39" s="29" t="inlineStr">
        <is>
          <t>u</t>
        </is>
      </c>
      <c r="F39" s="31" t="n"/>
      <c r="G39" s="31">
        <f>G40+G41</f>
        <v/>
      </c>
      <c r="H39" s="29" t="n"/>
      <c r="I39" s="30" t="n"/>
      <c r="J39" s="29" t="inlineStr">
        <is>
          <t>Compra</t>
        </is>
      </c>
      <c r="K39" s="29" t="n"/>
      <c r="L39" s="30" t="n"/>
      <c r="M39" s="30" t="n"/>
      <c r="N39" s="30" t="n"/>
      <c r="O39" s="30" t="n"/>
      <c r="P39" s="29" t="n"/>
      <c r="Q39" s="29" t="n"/>
      <c r="R39" s="30" t="n"/>
    </row>
    <row r="40" outlineLevel="1">
      <c r="A40" s="32" t="n">
        <v>2</v>
      </c>
      <c r="B40" s="32" t="inlineStr">
        <is>
          <t>CLASED9-A1</t>
        </is>
      </c>
      <c r="C40" s="17" t="inlineStr">
        <is>
          <t xml:space="preserve">        Polvo para metales combustibles clase D - Clase D (NaCl &gt; 90 %)</t>
        </is>
      </c>
      <c r="D40" s="32" t="n">
        <v>9.15</v>
      </c>
      <c r="E40" s="32" t="inlineStr">
        <is>
          <t>kg</t>
        </is>
      </c>
      <c r="F40" s="33" t="n">
        <v>1</v>
      </c>
      <c r="G40" s="33">
        <f>D40*F40</f>
        <v/>
      </c>
      <c r="H40" s="32" t="inlineStr">
        <is>
          <t>Polvo para metales combustibles clase D - Clase D (NaCl &gt; 90 %)</t>
        </is>
      </c>
      <c r="I40" s="17" t="inlineStr">
        <is>
          <t>nominal 9 kg; tolerancia 0 / +300 g (IRAM 3517-2:2020 tabla 3 · IRAM 3523 tabla II)</t>
        </is>
      </c>
      <c r="J40" s="32" t="inlineStr">
        <is>
          <t>Compra</t>
        </is>
      </c>
      <c r="K40" s="32" t="inlineStr">
        <is>
          <t>No</t>
        </is>
      </c>
      <c r="L40" s="17" t="n"/>
      <c r="M40" s="17" t="n"/>
      <c r="N40" s="17" t="inlineStr">
        <is>
          <t>SP-1 almacén previo a la carga</t>
        </is>
      </c>
      <c r="O40" s="17" t="inlineStr">
        <is>
          <t>sin norma IRAM de agente (DEMSA ISO 9001)</t>
        </is>
      </c>
      <c r="P40" s="32" t="inlineStr">
        <is>
          <t>N</t>
        </is>
      </c>
      <c r="Q40" s="32" t="n"/>
      <c r="R40" s="17" t="inlineStr">
        <is>
          <t>potencial -</t>
        </is>
      </c>
    </row>
    <row r="41" outlineLevel="1">
      <c r="A41" s="32" t="n">
        <v>2</v>
      </c>
      <c r="B41" s="32" t="inlineStr">
        <is>
          <t>CLASED9-A2</t>
        </is>
      </c>
      <c r="C41" s="17" t="inlineStr">
        <is>
          <t xml:space="preserve">        Gas impulsor: N₂</t>
        </is>
      </c>
      <c r="D41" s="32" t="n">
        <v>0.0604</v>
      </c>
      <c r="E41" s="32" t="inlineStr">
        <is>
          <t>kg</t>
        </is>
      </c>
      <c r="F41" s="33" t="n">
        <v>1</v>
      </c>
      <c r="G41" s="33">
        <f>D41*F41</f>
        <v/>
      </c>
      <c r="H41" s="32" t="inlineStr">
        <is>
          <t>N₂</t>
        </is>
      </c>
      <c r="I41" s="17" t="inlineStr">
        <is>
          <t>48,3 L normales para 1,4 MPa a 20 °C en 3,5 dm³ libres</t>
        </is>
      </c>
      <c r="J41" s="32" t="inlineStr">
        <is>
          <t>Compra</t>
        </is>
      </c>
      <c r="K41" s="32" t="inlineStr">
        <is>
          <t>No</t>
        </is>
      </c>
      <c r="L41" s="17" t="n"/>
      <c r="M41" s="17" t="n"/>
      <c r="N41" s="17" t="inlineStr">
        <is>
          <t>20 Presurización (T05) / C10</t>
        </is>
      </c>
      <c r="O41" s="17" t="inlineStr">
        <is>
          <t>IRAM 3517-2 9.4.9 (tabla 2) · IRAM 3523 2.3 y 3.10</t>
        </is>
      </c>
      <c r="P41" s="32" t="inlineStr">
        <is>
          <t>C</t>
        </is>
      </c>
      <c r="Q41" s="32" t="n"/>
      <c r="R41" s="17" t="inlineStr">
        <is>
          <t>N₂ ≥ 99,8 %, H₂O ≤ 40 ppm (Q-N2, Air Liquide)</t>
        </is>
      </c>
    </row>
    <row r="42">
      <c r="A42" s="29" t="n">
        <v>1</v>
      </c>
      <c r="B42" s="29" t="inlineStr">
        <is>
          <t>CLASED9-S6</t>
        </is>
      </c>
      <c r="C42" s="30" t="inlineStr">
        <is>
          <t xml:space="preserve">    Identificación y precinto</t>
        </is>
      </c>
      <c r="D42" s="29" t="n">
        <v>1</v>
      </c>
      <c r="E42" s="29" t="inlineStr">
        <is>
          <t>u</t>
        </is>
      </c>
      <c r="F42" s="31" t="n"/>
      <c r="G42" s="31">
        <f>G43+G44+G45+G46+G47+G48+G49</f>
        <v/>
      </c>
      <c r="H42" s="29" t="n"/>
      <c r="I42" s="30" t="n"/>
      <c r="J42" s="29" t="inlineStr">
        <is>
          <t>Compra</t>
        </is>
      </c>
      <c r="K42" s="29" t="n"/>
      <c r="L42" s="30" t="n"/>
      <c r="M42" s="30" t="n"/>
      <c r="N42" s="30" t="inlineStr">
        <is>
          <t>22 Etiquetado (T07)</t>
        </is>
      </c>
      <c r="O42" s="30" t="n"/>
      <c r="P42" s="29" t="n"/>
      <c r="Q42" s="29" t="n"/>
      <c r="R42" s="30" t="n"/>
    </row>
    <row r="43" outlineLevel="1">
      <c r="A43" s="32" t="n">
        <v>2</v>
      </c>
      <c r="B43" s="32" t="inlineStr">
        <is>
          <t>CLASED9-21</t>
        </is>
      </c>
      <c r="C43" s="17" t="inlineStr">
        <is>
          <t xml:space="preserve">        Etiqueta / placa de características</t>
        </is>
      </c>
      <c r="D43" s="32" t="n">
        <v>1</v>
      </c>
      <c r="E43" s="32" t="inlineStr">
        <is>
          <t>u</t>
        </is>
      </c>
      <c r="F43" s="33" t="n">
        <v>0.0338</v>
      </c>
      <c r="G43" s="33">
        <f>D43*F43</f>
        <v/>
      </c>
      <c r="H43" s="32" t="inlineStr">
        <is>
          <t>Vinilo autoadhesivo laminado</t>
        </is>
      </c>
      <c r="I43" s="17" t="inlineStr">
        <is>
          <t>343 × 235 (desarrollo × alto: panel central 108° + 2 alas laterales), e ≈ 0,3, laminado UV</t>
        </is>
      </c>
      <c r="J43" s="32" t="inlineStr">
        <is>
          <t>Compra</t>
        </is>
      </c>
      <c r="K43" s="32" t="inlineStr">
        <is>
          <t>No</t>
        </is>
      </c>
      <c r="L43" s="17" t="n"/>
      <c r="M43" s="17" t="n"/>
      <c r="N43" s="17" t="inlineStr">
        <is>
          <t>22 Etiquetado (T07)</t>
        </is>
      </c>
      <c r="O43" s="17" t="inlineStr">
        <is>
          <t>IRAM 3534 · IRAM 3523 cap. 5 · relevamiento de mercado</t>
        </is>
      </c>
      <c r="P43" s="32" t="inlineStr">
        <is>
          <t>P</t>
        </is>
      </c>
      <c r="Q43" s="32" t="inlineStr">
        <is>
          <t>FL_DES_CLASED_9l</t>
        </is>
      </c>
      <c r="R43" s="17" t="inlineStr">
        <is>
          <t>IRAM 3534</t>
        </is>
      </c>
    </row>
    <row r="44" outlineLevel="1">
      <c r="A44" s="32" t="n">
        <v>2</v>
      </c>
      <c r="B44" s="32" t="inlineStr">
        <is>
          <t>CLASED9-22</t>
        </is>
      </c>
      <c r="C44" s="17" t="inlineStr">
        <is>
          <t xml:space="preserve">        Oblea de fabricación (PBA)</t>
        </is>
      </c>
      <c r="D44" s="32" t="n">
        <v>1</v>
      </c>
      <c r="E44" s="32" t="inlineStr">
        <is>
          <t>u</t>
        </is>
      </c>
      <c r="F44" s="33" t="n">
        <v>0.0009</v>
      </c>
      <c r="G44" s="33">
        <f>D44*F44</f>
        <v/>
      </c>
      <c r="H44" s="32" t="inlineStr">
        <is>
          <t>Papel de seguridad autodestructible</t>
        </is>
      </c>
      <c r="I44" s="17" t="inlineStr">
        <is>
          <t>Ø46 (Res. OPDS 522/07), numerada, autodestructible</t>
        </is>
      </c>
      <c r="J44" s="32" t="inlineStr">
        <is>
          <t>Compra</t>
        </is>
      </c>
      <c r="K44" s="32" t="inlineStr">
        <is>
          <t>No</t>
        </is>
      </c>
      <c r="L44" s="17" t="n"/>
      <c r="M44" s="17" t="n"/>
      <c r="N44" s="17" t="inlineStr">
        <is>
          <t>22 Etiquetado (T07)</t>
        </is>
      </c>
      <c r="O44" s="17" t="inlineStr">
        <is>
          <t>Res. OPDS 522/07 anexos 1, 2 y 6</t>
        </is>
      </c>
      <c r="P44" s="32" t="inlineStr">
        <is>
          <t>P</t>
        </is>
      </c>
      <c r="Q44" s="32" t="inlineStr">
        <is>
          <t>FL_DES_CLASED_9l</t>
        </is>
      </c>
      <c r="R44" s="17" t="inlineStr">
        <is>
          <t>Res. 522/07</t>
        </is>
      </c>
    </row>
    <row r="45" outlineLevel="1">
      <c r="A45" s="32" t="n">
        <v>2</v>
      </c>
      <c r="B45" s="32" t="inlineStr">
        <is>
          <t>CLASED9-23</t>
        </is>
      </c>
      <c r="C45" s="17" t="inlineStr">
        <is>
          <t xml:space="preserve">        Estampilla IRAM de conformidad</t>
        </is>
      </c>
      <c r="D45" s="32" t="n">
        <v>1</v>
      </c>
      <c r="E45" s="32" t="inlineStr">
        <is>
          <t>u</t>
        </is>
      </c>
      <c r="F45" s="33" t="n">
        <v>0.001</v>
      </c>
      <c r="G45" s="33">
        <f>D45*F45</f>
        <v/>
      </c>
      <c r="H45" s="32" t="inlineStr">
        <is>
          <t>Provista por IRAM (Anexo R)</t>
        </is>
      </c>
      <c r="I45" s="17" t="inlineStr">
        <is>
          <t>60 × 40</t>
        </is>
      </c>
      <c r="J45" s="32" t="inlineStr">
        <is>
          <t>Compra</t>
        </is>
      </c>
      <c r="K45" s="32" t="inlineStr">
        <is>
          <t>No</t>
        </is>
      </c>
      <c r="L45" s="17" t="n"/>
      <c r="M45" s="17" t="n"/>
      <c r="N45" s="17" t="inlineStr">
        <is>
          <t>22 Etiquetado (T07)</t>
        </is>
      </c>
      <c r="O45" s="17" t="inlineStr">
        <is>
          <t>IRAM Anexo R (DC-PG-129)</t>
        </is>
      </c>
      <c r="P45" s="32" t="inlineStr">
        <is>
          <t>P</t>
        </is>
      </c>
      <c r="Q45" s="32" t="inlineStr">
        <is>
          <t>FL_DES_CLASED_9l</t>
        </is>
      </c>
      <c r="R45" s="17" t="inlineStr">
        <is>
          <t>numerada</t>
        </is>
      </c>
    </row>
    <row r="46" outlineLevel="1">
      <c r="A46" s="32" t="n">
        <v>2</v>
      </c>
      <c r="B46" s="32" t="inlineStr">
        <is>
          <t>CLASED9-24</t>
        </is>
      </c>
      <c r="C46" s="17" t="inlineStr">
        <is>
          <t xml:space="preserve">        Tarjeta de identificación AGC (CABA)</t>
        </is>
      </c>
      <c r="D46" s="32" t="n">
        <v>1</v>
      </c>
      <c r="E46" s="32" t="inlineStr">
        <is>
          <t>u</t>
        </is>
      </c>
      <c r="F46" s="33" t="n">
        <v>0.0032</v>
      </c>
      <c r="G46" s="33">
        <f>D46*F46</f>
        <v/>
      </c>
      <c r="H46" s="32" t="inlineStr">
        <is>
          <t>Etiqueta autoadhesiva emitida por la AGC</t>
        </is>
      </c>
      <c r="I46" s="17" t="inlineStr">
        <is>
          <t>140 × 55</t>
        </is>
      </c>
      <c r="J46" s="32" t="inlineStr">
        <is>
          <t>Compra</t>
        </is>
      </c>
      <c r="K46" s="32" t="inlineStr">
        <is>
          <t>Sí</t>
        </is>
      </c>
      <c r="L46" s="17" t="inlineStr">
        <is>
          <t>Agencia Gubernamental de Control (CABA)</t>
        </is>
      </c>
      <c r="M46" s="17" t="inlineStr">
        <is>
          <t>-</t>
        </is>
      </c>
      <c r="N46" s="17" t="inlineStr">
        <is>
          <t>22 Etiquetado (T07)</t>
        </is>
      </c>
      <c r="O46" s="17" t="inlineStr">
        <is>
          <t>Ordenanza 40.473 art. 6 · Res. AGC 32/15</t>
        </is>
      </c>
      <c r="P46" s="32" t="inlineStr">
        <is>
          <t>P</t>
        </is>
      </c>
      <c r="Q46" s="32" t="inlineStr">
        <is>
          <t>FL_DES_CLASED_9l</t>
        </is>
      </c>
      <c r="R46" s="17" t="inlineStr">
        <is>
          <t>sólo destino CABA; sólo destino CABA</t>
        </is>
      </c>
    </row>
    <row r="47" outlineLevel="1">
      <c r="A47" s="32" t="n">
        <v>2</v>
      </c>
      <c r="B47" s="32" t="inlineStr">
        <is>
          <t>CLASED9-25</t>
        </is>
      </c>
      <c r="C47" s="17" t="inlineStr">
        <is>
          <t xml:space="preserve">        Etiqueta de n° de serie GS1</t>
        </is>
      </c>
      <c r="D47" s="32" t="n">
        <v>1</v>
      </c>
      <c r="E47" s="32" t="inlineStr">
        <is>
          <t>u</t>
        </is>
      </c>
      <c r="F47" s="33" t="n">
        <v>0.0005</v>
      </c>
      <c r="G47" s="33">
        <f>D47*F47</f>
        <v/>
      </c>
      <c r="H47" s="32" t="inlineStr">
        <is>
          <t>Poliéster autoadhesivo impreso térmico</t>
        </is>
      </c>
      <c r="I47" s="17" t="inlineStr">
        <is>
          <t>45 × 25</t>
        </is>
      </c>
      <c r="J47" s="32" t="inlineStr">
        <is>
          <t>Compra</t>
        </is>
      </c>
      <c r="K47" s="32" t="inlineStr">
        <is>
          <t>No</t>
        </is>
      </c>
      <c r="L47" s="17" t="n"/>
      <c r="M47" s="17" t="n"/>
      <c r="N47" s="17" t="inlineStr">
        <is>
          <t>22 Etiquetado (T07)</t>
        </is>
      </c>
      <c r="O47" s="17" t="inlineStr">
        <is>
          <t>GS1 Argentina (GTIN 779) · trazabilidad IRAM 3523 5.1</t>
        </is>
      </c>
      <c r="P47" s="32" t="inlineStr">
        <is>
          <t>P</t>
        </is>
      </c>
      <c r="Q47" s="32" t="inlineStr">
        <is>
          <t>FL_DES_CLASED_9l</t>
        </is>
      </c>
      <c r="R47" s="17" t="inlineStr">
        <is>
          <t>QR GTIN + serie</t>
        </is>
      </c>
    </row>
    <row r="48" outlineLevel="1">
      <c r="A48" s="32" t="n">
        <v>2</v>
      </c>
      <c r="B48" s="32" t="inlineStr">
        <is>
          <t>CLASED9-27</t>
        </is>
      </c>
      <c r="C48" s="17" t="inlineStr">
        <is>
          <t xml:space="preserve">        Faja de garantía válvula-cuello</t>
        </is>
      </c>
      <c r="D48" s="32" t="n">
        <v>1</v>
      </c>
      <c r="E48" s="32" t="inlineStr">
        <is>
          <t>u</t>
        </is>
      </c>
      <c r="F48" s="33" t="n">
        <v>0.0001</v>
      </c>
      <c r="G48" s="33">
        <f>D48*F48</f>
        <v/>
      </c>
      <c r="H48" s="32" t="inlineStr">
        <is>
          <t>Vinilo destructible rayado rojo/blanco</t>
        </is>
      </c>
      <c r="I48" s="17" t="inlineStr">
        <is>
          <t>22 × 22 (ancho × largo desarrollado), pegada sobre la unión: cuerpo de la válvula, tuerca y cuello</t>
        </is>
      </c>
      <c r="J48" s="32" t="inlineStr">
        <is>
          <t>Compra</t>
        </is>
      </c>
      <c r="K48" s="32" t="inlineStr">
        <is>
          <t>No</t>
        </is>
      </c>
      <c r="L48" s="17" t="n"/>
      <c r="M48" s="17" t="n"/>
      <c r="N48" s="17" t="inlineStr">
        <is>
          <t>22 Etiquetado (T07)</t>
        </is>
      </c>
      <c r="O48" s="17" t="inlineStr">
        <is>
          <t>Sin norma: práctica de mercado (garantía de fábrica)</t>
        </is>
      </c>
      <c r="P48" s="32" t="inlineStr">
        <is>
          <t>P</t>
        </is>
      </c>
      <c r="Q48" s="32" t="inlineStr">
        <is>
          <t>FL_DES_CLASED_9l</t>
        </is>
      </c>
      <c r="R48" s="17" t="inlineStr">
        <is>
          <t>nuevo sin abrir</t>
        </is>
      </c>
    </row>
    <row r="49" outlineLevel="1">
      <c r="A49" s="32" t="n">
        <v>2</v>
      </c>
      <c r="B49" s="32" t="inlineStr">
        <is>
          <t>CLASED9-28</t>
        </is>
      </c>
      <c r="C49" s="17" t="inlineStr">
        <is>
          <t xml:space="preserve">        Precinto de fábrica</t>
        </is>
      </c>
      <c r="D49" s="32" t="n">
        <v>1</v>
      </c>
      <c r="E49" s="32" t="inlineStr">
        <is>
          <t>u</t>
        </is>
      </c>
      <c r="F49" s="33" t="n">
        <v>0.0002</v>
      </c>
      <c r="G49" s="33">
        <f>D49*F49</f>
        <v/>
      </c>
      <c r="H49" s="32" t="inlineStr">
        <is>
          <t>Polipropileno color</t>
        </is>
      </c>
      <c r="I49" s="17" t="inlineStr">
        <is>
          <t>Ø5 × 10, numerado, rotura 30-50 N</t>
        </is>
      </c>
      <c r="J49" s="32" t="inlineStr">
        <is>
          <t>Compra</t>
        </is>
      </c>
      <c r="K49" s="32" t="inlineStr">
        <is>
          <t>No</t>
        </is>
      </c>
      <c r="L49" s="17" t="n"/>
      <c r="M49" s="17" t="n"/>
      <c r="N49" s="17" t="inlineStr">
        <is>
          <t>20 Presurización (T05)</t>
        </is>
      </c>
      <c r="O49" s="17" t="inlineStr">
        <is>
          <t>IRAM 3523 3.3.2 · IRAM 3517-2:2020 9.4.13</t>
        </is>
      </c>
      <c r="P49" s="32" t="inlineStr">
        <is>
          <t>P</t>
        </is>
      </c>
      <c r="Q49" s="32" t="inlineStr">
        <is>
          <t>FL_DES_CLASED_9l</t>
        </is>
      </c>
      <c r="R49" s="17" t="inlineStr">
        <is>
          <t>id. FLAMA y lote</t>
        </is>
      </c>
    </row>
    <row r="50">
      <c r="A50" s="29" t="n">
        <v>1</v>
      </c>
      <c r="B50" s="29" t="inlineStr">
        <is>
          <t>CLASED9-S8</t>
        </is>
      </c>
      <c r="C50" s="30" t="inlineStr">
        <is>
          <t xml:space="preserve">    Soporte (accesorio de montaje)</t>
        </is>
      </c>
      <c r="D50" s="29" t="n">
        <v>1</v>
      </c>
      <c r="E50" s="29" t="inlineStr">
        <is>
          <t>u</t>
        </is>
      </c>
      <c r="F50" s="31" t="n"/>
      <c r="G50" s="31">
        <f>G51</f>
        <v/>
      </c>
      <c r="H50" s="29" t="n"/>
      <c r="I50" s="30" t="n"/>
      <c r="J50" s="29" t="inlineStr">
        <is>
          <t>Compra</t>
        </is>
      </c>
      <c r="K50" s="29" t="n"/>
      <c r="L50" s="30" t="n"/>
      <c r="M50" s="30" t="n"/>
      <c r="N50" s="30" t="inlineStr">
        <is>
          <t>23 Embalaje (va dentro de la caja)</t>
        </is>
      </c>
      <c r="O50" s="30" t="inlineStr">
        <is>
          <t>IRAM 3517-2 7.4</t>
        </is>
      </c>
      <c r="P50" s="29" t="n"/>
      <c r="Q50" s="29" t="n"/>
      <c r="R50" s="30" t="n"/>
    </row>
    <row r="51" outlineLevel="1">
      <c r="A51" s="32" t="n">
        <v>2</v>
      </c>
      <c r="B51" s="32" t="inlineStr">
        <is>
          <t>CLASED9-I5</t>
        </is>
      </c>
      <c r="C51" s="17" t="inlineStr">
        <is>
          <t xml:space="preserve">        Soporte de pared (FL_ACC_01)</t>
        </is>
      </c>
      <c r="D51" s="32" t="n">
        <v>1</v>
      </c>
      <c r="E51" s="32" t="inlineStr">
        <is>
          <t>u</t>
        </is>
      </c>
      <c r="F51" s="33" t="n">
        <v>0.319</v>
      </c>
      <c r="G51" s="33">
        <f>D51*F51</f>
        <v/>
      </c>
      <c r="H51" s="32" t="inlineStr">
        <is>
          <t>Chapa acero SAE 1010 e=2 pintada</t>
        </is>
      </c>
      <c r="I51" s="17" t="inlineStr">
        <is>
          <t>placa 60 × 180, ala con ranura Ø cuello + 3</t>
        </is>
      </c>
      <c r="J51" s="32" t="inlineStr">
        <is>
          <t>Compra</t>
        </is>
      </c>
      <c r="K51" s="32" t="inlineStr">
        <is>
          <t>No</t>
        </is>
      </c>
      <c r="L51" s="17" t="n"/>
      <c r="M51" s="17" t="n"/>
      <c r="N51" s="17" t="inlineStr">
        <is>
          <t>23 Embalaje</t>
        </is>
      </c>
      <c r="O51" s="17" t="inlineStr">
        <is>
          <t>IRAM 3517-2 7.4</t>
        </is>
      </c>
      <c r="P51" s="32" t="inlineStr">
        <is>
          <t>P</t>
        </is>
      </c>
      <c r="Q51" s="32" t="inlineStr">
        <is>
          <t>FL_ACC_01</t>
        </is>
      </c>
      <c r="R51" s="17" t="n"/>
    </row>
    <row r="52" outlineLevel="1">
      <c r="A52" s="32" t="n">
        <v>2</v>
      </c>
      <c r="B52" s="32" t="inlineStr">
        <is>
          <t>CLASED9-I6</t>
        </is>
      </c>
      <c r="C52" s="17" t="inlineStr">
        <is>
          <t xml:space="preserve">        Tornillo y tarugo de fijación</t>
        </is>
      </c>
      <c r="D52" s="32" t="n">
        <v>2</v>
      </c>
      <c r="E52" s="32" t="inlineStr">
        <is>
          <t>u</t>
        </is>
      </c>
      <c r="F52" s="33" t="n"/>
      <c r="G52" s="33" t="n"/>
      <c r="H52" s="32" t="inlineStr">
        <is>
          <t>Acero cincado / nylon</t>
        </is>
      </c>
      <c r="I52" s="17" t="inlineStr">
        <is>
          <t>2 agujeros Ø8,5 del plano FL_ACC_01 → tornillo M8 + tarugo</t>
        </is>
      </c>
      <c r="J52" s="32" t="inlineStr">
        <is>
          <t>Compra</t>
        </is>
      </c>
      <c r="K52" s="32" t="inlineStr">
        <is>
          <t>No</t>
        </is>
      </c>
      <c r="L52" s="17" t="n"/>
      <c r="M52" s="17" t="n"/>
      <c r="N52" s="17" t="inlineStr">
        <is>
          <t>23 Embalaje</t>
        </is>
      </c>
      <c r="O52" s="17" t="n"/>
      <c r="P52" s="32" t="inlineStr">
        <is>
          <t>P</t>
        </is>
      </c>
      <c r="Q52" s="32" t="inlineStr">
        <is>
          <t>FL_ACC_01</t>
        </is>
      </c>
      <c r="R52" s="17" t="n"/>
    </row>
    <row r="53">
      <c r="A53" s="29" t="n">
        <v>1</v>
      </c>
      <c r="B53" s="29" t="inlineStr">
        <is>
          <t>CLASED9-S7</t>
        </is>
      </c>
      <c r="C53" s="30" t="inlineStr">
        <is>
          <t xml:space="preserve">    Embalaje</t>
        </is>
      </c>
      <c r="D53" s="29" t="n">
        <v>1</v>
      </c>
      <c r="E53" s="29" t="inlineStr">
        <is>
          <t>u</t>
        </is>
      </c>
      <c r="F53" s="31" t="n"/>
      <c r="G53" s="31">
        <f>G57</f>
        <v/>
      </c>
      <c r="H53" s="29" t="n"/>
      <c r="I53" s="30" t="n"/>
      <c r="J53" s="29" t="inlineStr">
        <is>
          <t>Compra</t>
        </is>
      </c>
      <c r="K53" s="29" t="n"/>
      <c r="L53" s="30" t="n"/>
      <c r="M53" s="30" t="n"/>
      <c r="N53" s="30" t="inlineStr">
        <is>
          <t>23 Embalaje -&gt; 24 envolvedora (T11)</t>
        </is>
      </c>
      <c r="O53" s="30" t="n"/>
      <c r="P53" s="29" t="n"/>
      <c r="Q53" s="29" t="n"/>
      <c r="R53" s="30" t="n"/>
    </row>
    <row r="54" outlineLevel="1">
      <c r="A54" s="32" t="n">
        <v>2</v>
      </c>
      <c r="B54" s="32" t="inlineStr">
        <is>
          <t>CLASED9-E1</t>
        </is>
      </c>
      <c r="C54" s="17" t="inlineStr">
        <is>
          <t xml:space="preserve">        Caja de cartón corrugado doble</t>
        </is>
      </c>
      <c r="D54" s="32" t="n">
        <v>1</v>
      </c>
      <c r="E54" s="32" t="inlineStr">
        <is>
          <t>u</t>
        </is>
      </c>
      <c r="F54" s="33" t="n"/>
      <c r="G54" s="33" t="n"/>
      <c r="H54" s="32" t="inlineStr">
        <is>
          <t>Cartón corrugado</t>
        </is>
      </c>
      <c r="I54" s="17" t="inlineStr">
        <is>
          <t>272 × 215 × 628 interior (envolvente del plano + 15 por lado)</t>
        </is>
      </c>
      <c r="J54" s="32" t="inlineStr">
        <is>
          <t>Compra</t>
        </is>
      </c>
      <c r="K54" s="32" t="inlineStr">
        <is>
          <t>No</t>
        </is>
      </c>
      <c r="L54" s="17" t="n"/>
      <c r="M54" s="17" t="n"/>
      <c r="N54" s="17" t="inlineStr">
        <is>
          <t>23 Embalaje</t>
        </is>
      </c>
      <c r="O54" s="17" t="n"/>
      <c r="P54" s="32" t="inlineStr">
        <is>
          <t>P</t>
        </is>
      </c>
      <c r="Q54" s="32" t="n"/>
      <c r="R54" s="17" t="inlineStr">
        <is>
          <t>Medida del plano</t>
        </is>
      </c>
    </row>
    <row r="55" outlineLevel="1">
      <c r="A55" s="32" t="n">
        <v>2</v>
      </c>
      <c r="B55" s="32" t="inlineStr">
        <is>
          <t>CLASED9-E2</t>
        </is>
      </c>
      <c r="C55" s="17" t="inlineStr">
        <is>
          <t xml:space="preserve">        Instructivo de uso y mantenimiento</t>
        </is>
      </c>
      <c r="D55" s="32" t="n">
        <v>1</v>
      </c>
      <c r="E55" s="32" t="inlineStr">
        <is>
          <t>u</t>
        </is>
      </c>
      <c r="F55" s="33" t="n"/>
      <c r="G55" s="33" t="n"/>
      <c r="H55" s="32" t="inlineStr">
        <is>
          <t>Papel</t>
        </is>
      </c>
      <c r="I55" s="17" t="inlineStr">
        <is>
          <t>A5</t>
        </is>
      </c>
      <c r="J55" s="32" t="inlineStr">
        <is>
          <t>Compra</t>
        </is>
      </c>
      <c r="K55" s="32" t="inlineStr">
        <is>
          <t>No</t>
        </is>
      </c>
      <c r="L55" s="17" t="n"/>
      <c r="M55" s="17" t="n"/>
      <c r="N55" s="17" t="inlineStr">
        <is>
          <t>23 Embalaje</t>
        </is>
      </c>
      <c r="O55" s="17" t="n"/>
      <c r="P55" s="32" t="inlineStr">
        <is>
          <t>I</t>
        </is>
      </c>
      <c r="Q55" s="32" t="n"/>
      <c r="R55" s="17" t="inlineStr">
        <is>
          <t>Decisión comercial de FLAMA (las instrucciones de uso obligatorias van en la etiqueta, IRAM 3534)</t>
        </is>
      </c>
    </row>
    <row r="56" outlineLevel="1">
      <c r="A56" s="32" t="n">
        <v>2</v>
      </c>
      <c r="B56" s="32" t="inlineStr">
        <is>
          <t>CLASED9-E3</t>
        </is>
      </c>
      <c r="C56" s="17" t="inlineStr">
        <is>
          <t xml:space="preserve">        Pallet 1200 × 1000 (fracción)</t>
        </is>
      </c>
      <c r="D56" s="32" t="n">
        <v>0.0312</v>
      </c>
      <c r="E56" s="32" t="inlineStr">
        <is>
          <t>u</t>
        </is>
      </c>
      <c r="F56" s="33" t="n"/>
      <c r="G56" s="33" t="n"/>
      <c r="H56" s="32" t="inlineStr">
        <is>
          <t>Madera</t>
        </is>
      </c>
      <c r="I56" s="17" t="inlineStr">
        <is>
          <t>32 u por pallet</t>
        </is>
      </c>
      <c r="J56" s="32" t="inlineStr">
        <is>
          <t>Compra</t>
        </is>
      </c>
      <c r="K56" s="32" t="inlineStr">
        <is>
          <t>No</t>
        </is>
      </c>
      <c r="L56" s="17" t="n"/>
      <c r="M56" s="17" t="n"/>
      <c r="N56" s="17" t="inlineStr">
        <is>
          <t>23 Embalaje</t>
        </is>
      </c>
      <c r="O56" s="17" t="n"/>
      <c r="P56" s="32" t="inlineStr">
        <is>
          <t>C</t>
        </is>
      </c>
      <c r="Q56" s="32" t="n"/>
      <c r="R56" s="17" t="inlineStr">
        <is>
          <t>u por pallet = acomodo de la caja (plano) en 1200 × 1000 × 1450 de alto</t>
        </is>
      </c>
    </row>
    <row r="57" outlineLevel="1">
      <c r="A57" s="32" t="n">
        <v>2</v>
      </c>
      <c r="B57" s="32" t="inlineStr">
        <is>
          <t>CLASED9-E4</t>
        </is>
      </c>
      <c r="C57" s="17" t="inlineStr">
        <is>
          <t xml:space="preserve">        Film stretch (fracción del pallet)</t>
        </is>
      </c>
      <c r="D57" s="32" t="n">
        <v>0.0037</v>
      </c>
      <c r="E57" s="32" t="inlineStr">
        <is>
          <t>kg</t>
        </is>
      </c>
      <c r="F57" s="33" t="n">
        <v>1</v>
      </c>
      <c r="G57" s="33">
        <f>D57*F57</f>
        <v/>
      </c>
      <c r="H57" s="32" t="inlineStr">
        <is>
          <t>PE lineal 23 µm</t>
        </is>
      </c>
      <c r="I57" s="17" t="inlineStr">
        <is>
          <t>0,12 kg por pallet / 32 u</t>
        </is>
      </c>
      <c r="J57" s="32" t="inlineStr">
        <is>
          <t>Compra</t>
        </is>
      </c>
      <c r="K57" s="32" t="inlineStr">
        <is>
          <t>No</t>
        </is>
      </c>
      <c r="L57" s="17" t="n"/>
      <c r="M57" s="17" t="n"/>
      <c r="N57" s="17" t="inlineStr">
        <is>
          <t>24 Envolvedora (T11)</t>
        </is>
      </c>
      <c r="O57" s="17" t="n"/>
      <c r="P57" s="32" t="inlineStr">
        <is>
          <t>C</t>
        </is>
      </c>
      <c r="Q57" s="32" t="n"/>
      <c r="R57" s="17"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58" outlineLevel="1">
      <c r="A58" s="32" t="n">
        <v>2</v>
      </c>
      <c r="B58" s="32" t="inlineStr">
        <is>
          <t>CLASED9-E5</t>
        </is>
      </c>
      <c r="C58" s="17" t="inlineStr">
        <is>
          <t xml:space="preserve">        Etiqueta de pallet (lote y destino, fracción)</t>
        </is>
      </c>
      <c r="D58" s="32" t="n">
        <v>0.0312</v>
      </c>
      <c r="E58" s="32" t="inlineStr">
        <is>
          <t>u</t>
        </is>
      </c>
      <c r="F58" s="33" t="n"/>
      <c r="G58" s="33" t="n"/>
      <c r="H58" s="32" t="inlineStr">
        <is>
          <t>Papel térmico</t>
        </is>
      </c>
      <c r="I58" s="17" t="inlineStr">
        <is>
          <t>100 × 150</t>
        </is>
      </c>
      <c r="J58" s="32" t="inlineStr">
        <is>
          <t>Compra</t>
        </is>
      </c>
      <c r="K58" s="32" t="inlineStr">
        <is>
          <t>No</t>
        </is>
      </c>
      <c r="L58" s="17" t="n"/>
      <c r="M58" s="17" t="n"/>
      <c r="N58" s="17" t="inlineStr">
        <is>
          <t>24 Envolvedora</t>
        </is>
      </c>
      <c r="O58" s="17" t="n"/>
      <c r="P58" s="32" t="inlineStr">
        <is>
          <t>C</t>
        </is>
      </c>
      <c r="Q58" s="32" t="n"/>
      <c r="R58" s="17" t="n"/>
    </row>
    <row r="59" outlineLevel="1">
      <c r="A59" s="32" t="n">
        <v>2</v>
      </c>
      <c r="B59" s="32" t="inlineStr">
        <is>
          <t>CLASED9-E6</t>
        </is>
      </c>
      <c r="C59" s="17" t="inlineStr">
        <is>
          <t xml:space="preserve">        Cinta de embalaje PP 48 mm (cierre de la caja)</t>
        </is>
      </c>
      <c r="D59" s="32" t="n">
        <v>0.824</v>
      </c>
      <c r="E59" s="32" t="inlineStr">
        <is>
          <t>m</t>
        </is>
      </c>
      <c r="F59" s="33" t="n"/>
      <c r="G59" s="33" t="n"/>
      <c r="H59" s="32" t="inlineStr">
        <is>
          <t>Polipropileno con adhesivo acrílico</t>
        </is>
      </c>
      <c r="I59" s="17" t="inlineStr">
        <is>
          <t>cierre en I arriba y abajo: 2 × (272 + 2 × 70 de solapa)</t>
        </is>
      </c>
      <c r="J59" s="32" t="inlineStr">
        <is>
          <t>Compra</t>
        </is>
      </c>
      <c r="K59" s="32" t="inlineStr">
        <is>
          <t>No</t>
        </is>
      </c>
      <c r="L59" s="17" t="n"/>
      <c r="M59" s="17" t="n"/>
      <c r="N59" s="17" t="inlineStr">
        <is>
          <t>23 Embalaje</t>
        </is>
      </c>
      <c r="O59" s="17" t="n"/>
      <c r="P59" s="32" t="inlineStr">
        <is>
          <t>C</t>
        </is>
      </c>
      <c r="Q59" s="32" t="n"/>
      <c r="R59" s="17" t="inlineStr">
        <is>
          <t>Solapa de 70 mm por lado: práctica de cierre de cajas (medir en la línea)</t>
        </is>
      </c>
    </row>
    <row r="60" outlineLevel="1">
      <c r="A60" s="32" t="n">
        <v>2</v>
      </c>
      <c r="B60" s="32" t="inlineStr">
        <is>
          <t>CLASED9-E7</t>
        </is>
      </c>
      <c r="C60" s="17" t="inlineStr">
        <is>
          <t xml:space="preserve">        Esquineros de cartón 50 × 50 × 1200 (fracción del pallet)</t>
        </is>
      </c>
      <c r="D60" s="32" t="n">
        <v>0.125</v>
      </c>
      <c r="E60" s="32" t="inlineStr">
        <is>
          <t>u</t>
        </is>
      </c>
      <c r="F60" s="33" t="n"/>
      <c r="G60" s="33" t="n"/>
      <c r="H60" s="32" t="inlineStr">
        <is>
          <t>Cartón</t>
        </is>
      </c>
      <c r="I60" s="17" t="inlineStr">
        <is>
          <t>4 por pallet / 32 u</t>
        </is>
      </c>
      <c r="J60" s="32" t="inlineStr">
        <is>
          <t>Compra</t>
        </is>
      </c>
      <c r="K60" s="32" t="inlineStr">
        <is>
          <t>No</t>
        </is>
      </c>
      <c r="L60" s="17" t="n"/>
      <c r="M60" s="17" t="n"/>
      <c r="N60" s="17" t="inlineStr">
        <is>
          <t>24 Envolvedora (T11)</t>
        </is>
      </c>
      <c r="O60" s="17" t="n"/>
      <c r="P60" s="32" t="inlineStr">
        <is>
          <t>C</t>
        </is>
      </c>
      <c r="Q60" s="32" t="n"/>
      <c r="R60" s="17" t="inlineStr">
        <is>
          <t>Planilla MP-64</t>
        </is>
      </c>
    </row>
  </sheetData>
  <autoFilter ref="A10:R60"/>
  <pageMargins left="0.75" right="0.75" top="1" bottom="1" header="0.5" footer="0.5"/>
  <pageSetup orientation="landscape" fitToHeight="0" fitToWidth="1"/>
</worksheet>
</file>

<file path=xl/worksheets/sheet29.xml><?xml version="1.0" encoding="utf-8"?>
<worksheet xmlns="http://schemas.openxmlformats.org/spreadsheetml/2006/main">
  <sheetPr>
    <tabColor rgb="007F1D1D"/>
    <outlinePr summaryBelow="0" summaryRight="1"/>
    <pageSetUpPr fitToPage="1"/>
  </sheetPr>
  <dimension ref="A1:R72"/>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FL_MAT_ABC_25kg</t>
        </is>
      </c>
    </row>
    <row r="2">
      <c r="A2" s="58" t="inlineStr">
        <is>
          <t>Extintor ABC 25 kg sobre ruedas</t>
        </is>
      </c>
    </row>
    <row r="3">
      <c r="A3" s="2" t="inlineStr">
        <is>
          <t>Plano de origen</t>
        </is>
      </c>
      <c r="C3" t="inlineStr">
        <is>
          <t>FL_MAT_ABC_25kg  (4 láminas)</t>
        </is>
      </c>
      <c r="E3" s="2" t="inlineStr">
        <is>
          <t>Peso vacío S1-S4 (kg)</t>
        </is>
      </c>
      <c r="G3" s="59">
        <f>G12+G21+G37+G43</f>
        <v/>
      </c>
    </row>
    <row r="4">
      <c r="A4" s="2" t="inlineStr">
        <is>
          <t>Plano de despiece</t>
        </is>
      </c>
      <c r="C4" t="inlineStr">
        <is>
          <t>FL_DES_ABC_25kg (salida/despiece/)</t>
        </is>
      </c>
      <c r="E4" s="2" t="inlineStr">
        <is>
          <t>Peso cargado S1-S6 (kg)</t>
        </is>
      </c>
      <c r="G4" s="59">
        <f>G12+G21+G37+G43+G57+G60</f>
        <v/>
      </c>
    </row>
    <row r="5">
      <c r="A5" s="2" t="inlineStr">
        <is>
          <t>Norma del producto</t>
        </is>
      </c>
      <c r="C5" t="inlineStr">
        <is>
          <t>IRAM 3550</t>
        </is>
      </c>
      <c r="E5" s="2" t="inlineStr">
        <is>
          <t>Peso con soporte y embalaje (kg)</t>
        </is>
      </c>
      <c r="G5" s="59">
        <f>G12+G21+G37+G43+G57+G60+G68</f>
        <v/>
      </c>
    </row>
    <row r="6">
      <c r="A6" s="2" t="inlineStr">
        <is>
          <t>Fabricación</t>
        </is>
      </c>
      <c r="C6" t="inlineStr">
        <is>
          <t>Fabricación propia</t>
        </is>
      </c>
      <c r="E6" s="2" t="inlineStr">
        <is>
          <t>Desvío cargado vs referencia</t>
        </is>
      </c>
      <c r="G6" s="24">
        <f>G4/C7-1</f>
        <v/>
      </c>
    </row>
    <row r="7">
      <c r="A7" s="2" t="inlineStr">
        <is>
          <t>Peso cargado de referencia (kg)</t>
        </is>
      </c>
      <c r="C7" t="n">
        <v>53.2</v>
      </c>
      <c r="E7" s="60" t="inlineStr">
        <is>
          <t>Referencia: Plano Fadesa «Extintor rodante 25 kg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FL_MAT_ABC_25kg</t>
        </is>
      </c>
      <c r="C11" s="27" t="inlineStr">
        <is>
          <t>Extintor ABC 25 kg sobre ruedas</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FL_MAT_ABC_25kg</t>
        </is>
      </c>
      <c r="R11" s="27" t="inlineStr">
        <is>
          <t>Fabricación propia</t>
        </is>
      </c>
    </row>
    <row r="12">
      <c r="A12" s="29" t="n">
        <v>1</v>
      </c>
      <c r="B12" s="29" t="inlineStr">
        <is>
          <t>FL_REC_ABC_25kg</t>
        </is>
      </c>
      <c r="C12" s="30" t="inlineStr">
        <is>
          <t xml:space="preserve">    Recipiente (cilindro)</t>
        </is>
      </c>
      <c r="D12" s="29" t="n">
        <v>1</v>
      </c>
      <c r="E12" s="29" t="inlineStr">
        <is>
          <t>u</t>
        </is>
      </c>
      <c r="F12" s="31" t="n"/>
      <c r="G12" s="31">
        <f>G13+G15+G16+G17+G18</f>
        <v/>
      </c>
      <c r="H12" s="29" t="n"/>
      <c r="I12" s="30" t="n"/>
      <c r="J12" s="29" t="inlineStr">
        <is>
          <t>Fabricación</t>
        </is>
      </c>
      <c r="K12" s="29" t="n"/>
      <c r="L12" s="30" t="n"/>
      <c r="M12" s="30" t="n"/>
      <c r="N12" s="30" t="n"/>
      <c r="O12" s="30" t="inlineStr">
        <is>
          <t>IRAM 3523 / 3550 (recipiente)</t>
        </is>
      </c>
      <c r="P12" s="29" t="inlineStr">
        <is>
          <t>P</t>
        </is>
      </c>
      <c r="Q12" s="29" t="inlineStr">
        <is>
          <t>FL_REC_ABC_25kg</t>
        </is>
      </c>
      <c r="R12" s="30" t="n"/>
    </row>
    <row r="13" outlineLevel="1">
      <c r="A13" s="32" t="n">
        <v>2</v>
      </c>
      <c r="B13" s="32" t="inlineStr">
        <is>
          <t>ABC25-01</t>
        </is>
      </c>
      <c r="C13" s="17" t="inlineStr">
        <is>
          <t xml:space="preserve">        Cuerpo (virola)</t>
        </is>
      </c>
      <c r="D13" s="32" t="n">
        <v>1</v>
      </c>
      <c r="E13" s="32" t="inlineStr">
        <is>
          <t>u</t>
        </is>
      </c>
      <c r="F13" s="33" t="n">
        <v>10.633</v>
      </c>
      <c r="G13" s="33">
        <f>D13*F13</f>
        <v/>
      </c>
      <c r="H13" s="32" t="inlineStr">
        <is>
          <t>Chapa LAC IRAM-IAS U 500-04 e=3,2</t>
        </is>
      </c>
      <c r="I13" s="17" t="inlineStr">
        <is>
          <t>Ø276,5 × e3,2 × 493 de alto; desarrollo 858,6 × 493</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O13" s="17" t="n"/>
      <c r="P13" s="32" t="inlineStr">
        <is>
          <t>P</t>
        </is>
      </c>
      <c r="Q13" s="32" t="inlineStr">
        <is>
          <t>FL_DES_ABC_25kg</t>
        </is>
      </c>
      <c r="R13" s="17" t="inlineStr">
        <is>
          <t>costura long. MAG</t>
        </is>
      </c>
    </row>
    <row r="14" outlineLevel="2">
      <c r="A14" s="34" t="n">
        <v>3</v>
      </c>
      <c r="B14" s="34" t="inlineStr">
        <is>
          <t>MP-HOJA</t>
        </is>
      </c>
      <c r="C14" s="35" t="inlineStr">
        <is>
          <t xml:space="preserve">            Recorte de hoja LAC 1500 × 3000 e=3,2</t>
        </is>
      </c>
      <c r="D14" s="34" t="n">
        <v>1</v>
      </c>
      <c r="E14" s="34" t="inlineStr">
        <is>
          <t>u</t>
        </is>
      </c>
      <c r="F14" s="36" t="n">
        <v>12.558</v>
      </c>
      <c r="G14" s="36">
        <f>D14*F14</f>
        <v/>
      </c>
      <c r="H14" s="34" t="inlineStr">
        <is>
          <t>Chapa LAC IRAM-IAS U 500-04 LAC</t>
        </is>
      </c>
      <c r="I14" s="35" t="inlineStr">
        <is>
          <t>490 × 858 (aprovech. 84,1 %)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ABC25-02</t>
        </is>
      </c>
      <c r="C15" s="17" t="inlineStr">
        <is>
          <t xml:space="preserve">        Cúpula</t>
        </is>
      </c>
      <c r="D15" s="32" t="n">
        <v>1</v>
      </c>
      <c r="E15" s="32" t="inlineStr">
        <is>
          <t>u</t>
        </is>
      </c>
      <c r="F15" s="33" t="n">
        <v>2.3872</v>
      </c>
      <c r="G15" s="33">
        <f>D15*F15</f>
        <v/>
      </c>
      <c r="H15" s="32" t="inlineStr">
        <is>
          <t>Chapa LAC IRAM-IAS U 500-04 e=3,2</t>
        </is>
      </c>
      <c r="I15" s="17" t="inlineStr">
        <is>
          <t>Ø276,5 × e3,2 × 94,4 de alto; disco Ø358,3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 -&gt; 11 marcado (estampado en arco junto al cuello)</t>
        </is>
      </c>
      <c r="O15" s="17" t="n"/>
      <c r="P15" s="32" t="inlineStr">
        <is>
          <t>P</t>
        </is>
      </c>
      <c r="Q15" s="32" t="inlineStr">
        <is>
          <t>FL_DES_ABC_25kg</t>
        </is>
      </c>
      <c r="R15" s="17" t="inlineStr">
        <is>
          <t>embutida</t>
        </is>
      </c>
    </row>
    <row r="16" outlineLevel="1">
      <c r="A16" s="32" t="n">
        <v>2</v>
      </c>
      <c r="B16" s="32" t="inlineStr">
        <is>
          <t>ABC25-03</t>
        </is>
      </c>
      <c r="C16" s="17" t="inlineStr">
        <is>
          <t xml:space="preserve">        Fondo</t>
        </is>
      </c>
      <c r="D16" s="32" t="n">
        <v>1</v>
      </c>
      <c r="E16" s="32" t="inlineStr">
        <is>
          <t>u</t>
        </is>
      </c>
      <c r="F16" s="33" t="n">
        <v>2.4433</v>
      </c>
      <c r="G16" s="33">
        <f>D16*F16</f>
        <v/>
      </c>
      <c r="H16" s="32" t="inlineStr">
        <is>
          <t>Chapa LAC IRAM-IAS U 500-04 e=3,2</t>
        </is>
      </c>
      <c r="I16" s="17" t="inlineStr">
        <is>
          <t>Ø276,5 × e3,2 × 95 de alto; disco Ø362,5</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FL_DES_ABC_25kg</t>
        </is>
      </c>
      <c r="R16" s="17" t="inlineStr">
        <is>
          <t>embutido</t>
        </is>
      </c>
    </row>
    <row r="17" outlineLevel="1">
      <c r="A17" s="32" t="n">
        <v>2</v>
      </c>
      <c r="B17" s="32" t="inlineStr">
        <is>
          <t>ABC25-04</t>
        </is>
      </c>
      <c r="C17" s="17" t="inlineStr">
        <is>
          <t xml:space="preserve">        Cuello roscado</t>
        </is>
      </c>
      <c r="D17" s="32" t="n">
        <v>1</v>
      </c>
      <c r="E17" s="32" t="inlineStr">
        <is>
          <t>u</t>
        </is>
      </c>
      <c r="F17" s="33" t="n">
        <v>0.1326</v>
      </c>
      <c r="G17" s="33">
        <f>D17*F17</f>
        <v/>
      </c>
      <c r="H17" s="32" t="inlineStr">
        <is>
          <t>Acero SAE 1010</t>
        </is>
      </c>
      <c r="I17" s="17" t="inlineStr">
        <is>
          <t>Ø37 × 35 de alto, rosca M30x1,5, asiento Ø35</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FL_DES_ABC_25kg</t>
        </is>
      </c>
      <c r="R17" s="17" t="inlineStr">
        <is>
          <t>M30x1,5</t>
        </is>
      </c>
    </row>
    <row r="18" outlineLevel="1">
      <c r="A18" s="37" t="n">
        <v>2</v>
      </c>
      <c r="B18" s="37" t="inlineStr">
        <is>
          <t>ABC25-C1</t>
        </is>
      </c>
      <c r="C18" s="18" t="inlineStr">
        <is>
          <t xml:space="preserve">        Alambre MAG ER70S-6 Ø1,0 (AWS A5.18)</t>
        </is>
      </c>
      <c r="D18" s="37" t="n">
        <v>0.3431</v>
      </c>
      <c r="E18" s="37" t="inlineStr">
        <is>
          <t>kg</t>
        </is>
      </c>
      <c r="F18" s="38" t="n">
        <v>0.95</v>
      </c>
      <c r="G18" s="38">
        <f>D18*F18</f>
        <v/>
      </c>
      <c r="H18" s="37" t="inlineStr">
        <is>
          <t>ER70S-6</t>
        </is>
      </c>
      <c r="I18" s="18" t="inlineStr">
        <is>
          <t>metal depositado de los cordones del plano 326 g / rendimiento 0,95</t>
        </is>
      </c>
      <c r="J18" s="37" t="inlineStr">
        <is>
          <t>Compra</t>
        </is>
      </c>
      <c r="K18" s="37" t="inlineStr">
        <is>
          <t>Sí</t>
        </is>
      </c>
      <c r="L18" s="18" t="inlineStr">
        <is>
          <t>Conarco (ESAB Argentina)</t>
        </is>
      </c>
      <c r="M18" s="18" t="inlineStr">
        <is>
          <t>-</t>
        </is>
      </c>
      <c r="N18" s="18" t="inlineStr">
        <is>
          <t>5 sold. long. / 6 cupla / 7 circunferencial</t>
        </is>
      </c>
      <c r="O18" s="18" t="inlineStr">
        <is>
          <t>IRAM 3523 3.2.4.2 · IRAM 3550 4.1.2</t>
        </is>
      </c>
      <c r="P18" s="37" t="inlineStr">
        <is>
          <t>C</t>
        </is>
      </c>
      <c r="Q18" s="37" t="n"/>
      <c r="R18"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9" outlineLevel="1">
      <c r="A19" s="37" t="n">
        <v>2</v>
      </c>
      <c r="B19" s="37" t="inlineStr">
        <is>
          <t>ABC25-C2</t>
        </is>
      </c>
      <c r="C19" s="18" t="inlineStr">
        <is>
          <t xml:space="preserve">        Gas de protección MAG Arcal 21 / ARCAL Speed (Ar + 8 % CO₂, M20)</t>
        </is>
      </c>
      <c r="D19" s="37" t="n">
        <v>54.8</v>
      </c>
      <c r="E19" s="37" t="inlineStr">
        <is>
          <t>L</t>
        </is>
      </c>
      <c r="F19" s="38" t="n"/>
      <c r="G19" s="38" t="n"/>
      <c r="H19" s="37" t="inlineStr">
        <is>
          <t>EN ISO 14175 M20-ArC-8</t>
        </is>
      </c>
      <c r="I19" s="18" t="inlineStr">
        <is>
          <t>14 L/min × 3,91 min de arco (cordones 2.347 mm: long. 493 + circ. 1.737 + cuello 116, a 600 mm/min)</t>
        </is>
      </c>
      <c r="J19" s="37" t="inlineStr">
        <is>
          <t>Compra</t>
        </is>
      </c>
      <c r="K19" s="37" t="inlineStr">
        <is>
          <t>Sí</t>
        </is>
      </c>
      <c r="L19" s="18" t="inlineStr">
        <is>
          <t>Air Liquide Argentina - sucursal Piñeyro</t>
        </is>
      </c>
      <c r="M19" s="18" t="inlineStr">
        <is>
          <t>Gogniat</t>
        </is>
      </c>
      <c r="N19" s="18" t="inlineStr">
        <is>
          <t>Colector SC</t>
        </is>
      </c>
      <c r="O19" s="18" t="inlineStr">
        <is>
          <t>IRAM 3523 3.2.4.2 · IRAM 3550 3.2.2.2</t>
        </is>
      </c>
      <c r="P19" s="37" t="inlineStr">
        <is>
          <t>C</t>
        </is>
      </c>
      <c r="Q19" s="37" t="n"/>
      <c r="R19"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0" outlineLevel="1">
      <c r="A20" s="32" t="n">
        <v>2</v>
      </c>
      <c r="B20" s="32" t="inlineStr">
        <is>
          <t>ABC25-C4</t>
        </is>
      </c>
      <c r="C20" s="17" t="inlineStr">
        <is>
          <t xml:space="preserve">        Servicio de pintura en polvo al horno, rojo 03-1-050 (con preparación por quemado)</t>
        </is>
      </c>
      <c r="D20" s="32" t="n">
        <v>1</v>
      </c>
      <c r="E20" s="32" t="inlineStr">
        <is>
          <t>u</t>
        </is>
      </c>
      <c r="F20" s="33" t="n"/>
      <c r="G20" s="33" t="n"/>
      <c r="H20" s="32" t="inlineStr">
        <is>
          <t>Servicio tercerizado</t>
        </is>
      </c>
      <c r="I20" s="17" t="inlineStr">
        <is>
          <t>superficie exterior 0,616 m²</t>
        </is>
      </c>
      <c r="J20" s="32" t="inlineStr">
        <is>
          <t>Compra (servicio)</t>
        </is>
      </c>
      <c r="K20" s="32" t="inlineStr">
        <is>
          <t>Sí</t>
        </is>
      </c>
      <c r="L20" s="17" t="inlineStr">
        <is>
          <t>Pintor de carros (cotización por mensaje)</t>
        </is>
      </c>
      <c r="M20" s="17" t="inlineStr">
        <is>
          <t>Prymax</t>
        </is>
      </c>
      <c r="N20" s="17" t="inlineStr">
        <is>
          <t>17 Pintura tercerizada</t>
        </is>
      </c>
      <c r="O20" s="17" t="inlineStr">
        <is>
          <t>IRAM 3523 5.3 / IRAM 3550 3.11 · IRAM 121</t>
        </is>
      </c>
      <c r="P20" s="32" t="inlineStr">
        <is>
          <t>Q</t>
        </is>
      </c>
      <c r="Q20" s="32" t="n"/>
      <c r="R20" s="17" t="inlineStr">
        <is>
          <t>Q-CARROS (precio por carro); exigir informe de niebla salina del sistema de pintura; tercerización aceptada por el Ministerio (Res. 349/07 art. 18)</t>
        </is>
      </c>
    </row>
    <row r="21">
      <c r="A21" s="29" t="n">
        <v>1</v>
      </c>
      <c r="B21" s="29" t="inlineStr">
        <is>
          <t>ABC25-S2</t>
        </is>
      </c>
      <c r="C21" s="30" t="inlineStr">
        <is>
          <t xml:space="preserve">    Conjunto de válvula</t>
        </is>
      </c>
      <c r="D21" s="29" t="n">
        <v>1</v>
      </c>
      <c r="E21" s="29" t="inlineStr">
        <is>
          <t>u</t>
        </is>
      </c>
      <c r="F21" s="31" t="n"/>
      <c r="G21" s="31">
        <f>G22+G23+G24+G26+G27+G28+G29+G30+G31+G32+G33</f>
        <v/>
      </c>
      <c r="H21" s="29" t="n"/>
      <c r="I21" s="30" t="n"/>
      <c r="J21" s="29" t="inlineStr">
        <is>
          <t>Compra / armado</t>
        </is>
      </c>
      <c r="K21" s="29" t="n"/>
      <c r="L21" s="30" t="n"/>
      <c r="M21" s="30" t="n"/>
      <c r="N21" s="30" t="n"/>
      <c r="O21" s="30" t="inlineStr">
        <is>
          <t>Manómetro IRAM 3533</t>
        </is>
      </c>
      <c r="P21" s="29" t="inlineStr">
        <is>
          <t>P</t>
        </is>
      </c>
      <c r="Q21" s="29" t="inlineStr">
        <is>
          <t>FL_DES_ABC_25kg</t>
        </is>
      </c>
      <c r="R21" s="30" t="n"/>
    </row>
    <row r="22" outlineLevel="1">
      <c r="A22" s="32" t="n">
        <v>2</v>
      </c>
      <c r="B22" s="32" t="inlineStr">
        <is>
          <t>ABC25-14</t>
        </is>
      </c>
      <c r="C22" s="17" t="inlineStr">
        <is>
          <t xml:space="preserve">        Espiga roscada</t>
        </is>
      </c>
      <c r="D22" s="32" t="n">
        <v>1</v>
      </c>
      <c r="E22" s="32" t="inlineStr">
        <is>
          <t>u</t>
        </is>
      </c>
      <c r="F22" s="33" t="n">
        <v>0.0245</v>
      </c>
      <c r="G22" s="33">
        <f>D22*F22</f>
        <v/>
      </c>
      <c r="H22" s="32" t="inlineStr">
        <is>
          <t>Latón forjado</t>
        </is>
      </c>
      <c r="I22" s="17" t="inlineStr">
        <is>
          <t>29,8 × 29,8 × 10,8</t>
        </is>
      </c>
      <c r="J22" s="32" t="inlineStr">
        <is>
          <t>Incluido en válvula HZ</t>
        </is>
      </c>
      <c r="K22" s="32" t="inlineStr">
        <is>
          <t>No</t>
        </is>
      </c>
      <c r="L22" s="17" t="n"/>
      <c r="M22" s="17" t="n"/>
      <c r="N22" s="17" t="inlineStr">
        <is>
          <t>13 carga de polvo y N₂: armado de válvula</t>
        </is>
      </c>
      <c r="O22" s="17" t="n"/>
      <c r="P22" s="32" t="inlineStr">
        <is>
          <t>P</t>
        </is>
      </c>
      <c r="Q22" s="32" t="inlineStr">
        <is>
          <t>FL_DES_ABC_25kg</t>
        </is>
      </c>
      <c r="R22" s="17" t="n"/>
    </row>
    <row r="23" outlineLevel="1">
      <c r="A23" s="32" t="n">
        <v>2</v>
      </c>
      <c r="B23" s="32" t="inlineStr">
        <is>
          <t>ABC25-15</t>
        </is>
      </c>
      <c r="C23" s="17" t="inlineStr">
        <is>
          <t xml:space="preserve">        Collarín de válvula</t>
        </is>
      </c>
      <c r="D23" s="32" t="n">
        <v>1</v>
      </c>
      <c r="E23" s="32" t="inlineStr">
        <is>
          <t>u</t>
        </is>
      </c>
      <c r="F23" s="33" t="n">
        <v>0.0053</v>
      </c>
      <c r="G23" s="33">
        <f>D23*F23</f>
        <v/>
      </c>
      <c r="H23" s="32" t="inlineStr">
        <is>
          <t>Latón forjado</t>
        </is>
      </c>
      <c r="I23" s="17" t="inlineStr">
        <is>
          <t>27,2 × 27,2 × 4,1</t>
        </is>
      </c>
      <c r="J23" s="32" t="inlineStr">
        <is>
          <t>Incluido en válvula HZ</t>
        </is>
      </c>
      <c r="K23" s="32" t="inlineStr">
        <is>
          <t>No</t>
        </is>
      </c>
      <c r="L23" s="17" t="n"/>
      <c r="M23" s="17" t="n"/>
      <c r="N23" s="17" t="inlineStr">
        <is>
          <t>13 carga de polvo y N₂: armado de válvula</t>
        </is>
      </c>
      <c r="O23" s="17" t="n"/>
      <c r="P23" s="32" t="inlineStr">
        <is>
          <t>P</t>
        </is>
      </c>
      <c r="Q23" s="32" t="inlineStr">
        <is>
          <t>FL_DES_ABC_25kg</t>
        </is>
      </c>
      <c r="R23" s="17" t="n"/>
    </row>
    <row r="24" outlineLevel="1">
      <c r="A24" s="32" t="n">
        <v>2</v>
      </c>
      <c r="B24" s="32" t="inlineStr">
        <is>
          <t>ABC25-16</t>
        </is>
      </c>
      <c r="C24" s="17" t="inlineStr">
        <is>
          <t xml:space="preserve">        Cuerpo de válvula</t>
        </is>
      </c>
      <c r="D24" s="32" t="n">
        <v>1</v>
      </c>
      <c r="E24" s="32" t="inlineStr">
        <is>
          <t>u</t>
        </is>
      </c>
      <c r="F24" s="33" t="n">
        <v>0.1328</v>
      </c>
      <c r="G24" s="33">
        <f>D24*F24</f>
        <v/>
      </c>
      <c r="H24" s="32" t="inlineStr">
        <is>
          <t>Latón forjado</t>
        </is>
      </c>
      <c r="I24" s="17" t="inlineStr">
        <is>
          <t>43,9 × 32 × 24,5</t>
        </is>
      </c>
      <c r="J24" s="32" t="inlineStr">
        <is>
          <t>Incluido en válvula HZ</t>
        </is>
      </c>
      <c r="K24" s="32" t="inlineStr">
        <is>
          <t>No</t>
        </is>
      </c>
      <c r="L24" s="17" t="n"/>
      <c r="M24" s="17" t="n"/>
      <c r="N24" s="17" t="inlineStr">
        <is>
          <t>13 carga de polvo y N₂: armado de válvula</t>
        </is>
      </c>
      <c r="O24" s="17" t="n"/>
      <c r="P24" s="32" t="inlineStr">
        <is>
          <t>P</t>
        </is>
      </c>
      <c r="Q24" s="32" t="inlineStr">
        <is>
          <t>FL_DES_ABC_25kg</t>
        </is>
      </c>
      <c r="R24" s="17" t="n"/>
    </row>
    <row r="25" outlineLevel="1">
      <c r="A25" s="41" t="n">
        <v>2</v>
      </c>
      <c r="B25" s="41" t="inlineStr">
        <is>
          <t>ABC25-17</t>
        </is>
      </c>
      <c r="C25" s="42" t="inlineStr">
        <is>
          <t xml:space="preserve">        Manómetro</t>
        </is>
      </c>
      <c r="D25" s="41" t="n">
        <v>1</v>
      </c>
      <c r="E25" s="41" t="inlineStr">
        <is>
          <t>u</t>
        </is>
      </c>
      <c r="F25" s="43" t="n"/>
      <c r="G25" s="43" t="n"/>
      <c r="H25" s="41" t="inlineStr">
        <is>
          <t>Comercial</t>
        </is>
      </c>
      <c r="I25" s="42" t="inlineStr">
        <is>
          <t>Ø47 esfera, rango 0-3,5 MPa, sector verde en 1,4</t>
        </is>
      </c>
      <c r="J25" s="41" t="inlineStr">
        <is>
          <t>Compra</t>
        </is>
      </c>
      <c r="K25" s="41" t="inlineStr">
        <is>
          <t>Sí</t>
        </is>
      </c>
      <c r="L25" s="42" t="inlineStr">
        <is>
          <t>Yukon / MatafuegosYa S.R.L.</t>
        </is>
      </c>
      <c r="M25" s="42" t="inlineStr">
        <is>
          <t>Matafuegos Iglesias</t>
        </is>
      </c>
      <c r="N25" s="42" t="inlineStr">
        <is>
          <t>13 carga de polvo y N₂: armado de válvula</t>
        </is>
      </c>
      <c r="O25" s="42" t="inlineStr">
        <is>
          <t>IRAM 3533</t>
        </is>
      </c>
      <c r="P25" s="41" t="inlineStr">
        <is>
          <t>P</t>
        </is>
      </c>
      <c r="Q25" s="41" t="inlineStr">
        <is>
          <t>FL_DES_ABC_25kg</t>
        </is>
      </c>
      <c r="R25" s="42" t="inlineStr">
        <is>
          <t>Pieza comercial; sello IRAM 3533; peso: completar con la ficha del proveedor (no afecta el MRP)</t>
        </is>
      </c>
    </row>
    <row r="26" outlineLevel="1">
      <c r="A26" s="32" t="n">
        <v>2</v>
      </c>
      <c r="B26" s="32" t="inlineStr">
        <is>
          <t>ABC25-18</t>
        </is>
      </c>
      <c r="C26" s="17" t="inlineStr">
        <is>
          <t xml:space="preserve">        Vástago</t>
        </is>
      </c>
      <c r="D26" s="32" t="n">
        <v>1</v>
      </c>
      <c r="E26" s="32" t="inlineStr">
        <is>
          <t>u</t>
        </is>
      </c>
      <c r="F26" s="33" t="n">
        <v>0.0137</v>
      </c>
      <c r="G26" s="33">
        <f>D26*F26</f>
        <v/>
      </c>
      <c r="H26" s="32" t="inlineStr">
        <is>
          <t>Latón</t>
        </is>
      </c>
      <c r="I26" s="17" t="inlineStr">
        <is>
          <t>35,6 × 14 × 14</t>
        </is>
      </c>
      <c r="J26" s="32" t="inlineStr">
        <is>
          <t>Incluido en válvula HZ</t>
        </is>
      </c>
      <c r="K26" s="32" t="inlineStr">
        <is>
          <t>No</t>
        </is>
      </c>
      <c r="L26" s="17" t="n"/>
      <c r="M26" s="17" t="n"/>
      <c r="N26" s="17" t="inlineStr">
        <is>
          <t>13 carga de polvo y N₂: armado de válvula</t>
        </is>
      </c>
      <c r="O26" s="17" t="n"/>
      <c r="P26" s="32" t="inlineStr">
        <is>
          <t>P</t>
        </is>
      </c>
      <c r="Q26" s="32" t="inlineStr">
        <is>
          <t>FL_DES_ABC_25kg</t>
        </is>
      </c>
      <c r="R26" s="17" t="inlineStr">
        <is>
          <t>con junta tórica</t>
        </is>
      </c>
    </row>
    <row r="27" outlineLevel="1">
      <c r="A27" s="32" t="n">
        <v>2</v>
      </c>
      <c r="B27" s="32" t="inlineStr">
        <is>
          <t>ABC25-19</t>
        </is>
      </c>
      <c r="C27" s="17" t="inlineStr">
        <is>
          <t xml:space="preserve">        Resorte de válvula</t>
        </is>
      </c>
      <c r="D27" s="32" t="n">
        <v>1</v>
      </c>
      <c r="E27" s="32" t="inlineStr">
        <is>
          <t>u</t>
        </is>
      </c>
      <c r="F27" s="33" t="n">
        <v>0.0049</v>
      </c>
      <c r="G27" s="33">
        <f>D27*F27</f>
        <v/>
      </c>
      <c r="H27" s="32" t="inlineStr">
        <is>
          <t>Alambre acero inox. AISI 302</t>
        </is>
      </c>
      <c r="I27" s="17" t="inlineStr">
        <is>
          <t>28,8 × 17,3 × 17,3</t>
        </is>
      </c>
      <c r="J27" s="32" t="inlineStr">
        <is>
          <t>Incluido en válvula HZ</t>
        </is>
      </c>
      <c r="K27" s="32" t="inlineStr">
        <is>
          <t>No</t>
        </is>
      </c>
      <c r="L27" s="17" t="n"/>
      <c r="M27" s="17" t="n"/>
      <c r="N27" s="17" t="inlineStr">
        <is>
          <t>13 carga de polvo y N₂: armado de válvula</t>
        </is>
      </c>
      <c r="O27" s="17" t="n"/>
      <c r="P27" s="32" t="inlineStr">
        <is>
          <t>P</t>
        </is>
      </c>
      <c r="Q27" s="32" t="inlineStr">
        <is>
          <t>FL_DES_ABC_25kg</t>
        </is>
      </c>
      <c r="R27" s="17" t="inlineStr">
        <is>
          <t>cierre del vástago</t>
        </is>
      </c>
    </row>
    <row r="28" outlineLevel="1">
      <c r="A28" s="32" t="n">
        <v>2</v>
      </c>
      <c r="B28" s="32" t="inlineStr">
        <is>
          <t>ABC25-20</t>
        </is>
      </c>
      <c r="C28" s="17" t="inlineStr">
        <is>
          <t xml:space="preserve">        Eje de palanca</t>
        </is>
      </c>
      <c r="D28" s="32" t="n">
        <v>1</v>
      </c>
      <c r="E28" s="32" t="inlineStr">
        <is>
          <t>u</t>
        </is>
      </c>
      <c r="F28" s="33" t="n">
        <v>0.0033</v>
      </c>
      <c r="G28" s="33">
        <f>D28*F28</f>
        <v/>
      </c>
      <c r="H28" s="32" t="inlineStr">
        <is>
          <t>Acero inox. AISI 304</t>
        </is>
      </c>
      <c r="I28" s="17" t="inlineStr">
        <is>
          <t>33 × 4 × 4</t>
        </is>
      </c>
      <c r="J28" s="32" t="inlineStr">
        <is>
          <t>Incluido en válvula HZ</t>
        </is>
      </c>
      <c r="K28" s="32" t="inlineStr">
        <is>
          <t>No</t>
        </is>
      </c>
      <c r="L28" s="17" t="n"/>
      <c r="M28" s="17" t="n"/>
      <c r="N28" s="17" t="inlineStr">
        <is>
          <t>13 carga de polvo y N₂: armado de válvula</t>
        </is>
      </c>
      <c r="O28" s="17" t="n"/>
      <c r="P28" s="32" t="inlineStr">
        <is>
          <t>P</t>
        </is>
      </c>
      <c r="Q28" s="32" t="inlineStr">
        <is>
          <t>FL_DES_ABC_25kg</t>
        </is>
      </c>
      <c r="R28" s="17" t="n"/>
    </row>
    <row r="29" outlineLevel="1">
      <c r="A29" s="32" t="n">
        <v>2</v>
      </c>
      <c r="B29" s="32" t="inlineStr">
        <is>
          <t>ABC25-21</t>
        </is>
      </c>
      <c r="C29" s="17" t="inlineStr">
        <is>
          <t xml:space="preserve">        Pasador de seguridad</t>
        </is>
      </c>
      <c r="D29" s="32" t="n">
        <v>1</v>
      </c>
      <c r="E29" s="32" t="inlineStr">
        <is>
          <t>u</t>
        </is>
      </c>
      <c r="F29" s="33" t="n">
        <v>0.0055</v>
      </c>
      <c r="G29" s="33">
        <f>D29*F29</f>
        <v/>
      </c>
      <c r="H29" s="32" t="inlineStr">
        <is>
          <t>Alambre acero inox. AISI 304</t>
        </is>
      </c>
      <c r="I29" s="17" t="inlineStr">
        <is>
          <t>45,9 × 21 × 20,8</t>
        </is>
      </c>
      <c r="J29" s="32" t="inlineStr">
        <is>
          <t>Incluido en válvula HZ</t>
        </is>
      </c>
      <c r="K29" s="32" t="inlineStr">
        <is>
          <t>No</t>
        </is>
      </c>
      <c r="L29" s="17" t="n"/>
      <c r="M29" s="17" t="n"/>
      <c r="N29" s="17" t="inlineStr">
        <is>
          <t>13 carga de polvo y N₂: armado de válvula</t>
        </is>
      </c>
      <c r="O29" s="17" t="n"/>
      <c r="P29" s="32" t="inlineStr">
        <is>
          <t>P</t>
        </is>
      </c>
      <c r="Q29" s="32" t="inlineStr">
        <is>
          <t>FL_DES_ABC_25kg</t>
        </is>
      </c>
      <c r="R29" s="17" t="inlineStr">
        <is>
          <t>con precinto</t>
        </is>
      </c>
    </row>
    <row r="30" outlineLevel="1">
      <c r="A30" s="32" t="n">
        <v>2</v>
      </c>
      <c r="B30" s="32" t="inlineStr">
        <is>
          <t>ABC25-22</t>
        </is>
      </c>
      <c r="C30" s="17" t="inlineStr">
        <is>
          <t xml:space="preserve">        Manija de accionamiento</t>
        </is>
      </c>
      <c r="D30" s="32" t="n">
        <v>1</v>
      </c>
      <c r="E30" s="32" t="inlineStr">
        <is>
          <t>u</t>
        </is>
      </c>
      <c r="F30" s="33" t="n">
        <v>0.0959</v>
      </c>
      <c r="G30" s="33">
        <f>D30*F30</f>
        <v/>
      </c>
      <c r="H30" s="32" t="inlineStr">
        <is>
          <t>Chapa acero SAE 1010 pintada</t>
        </is>
      </c>
      <c r="I30" s="17" t="inlineStr">
        <is>
          <t>124,6 × 31 × 29,3</t>
        </is>
      </c>
      <c r="J30" s="32" t="inlineStr">
        <is>
          <t>Incluido en válvula HZ</t>
        </is>
      </c>
      <c r="K30" s="32" t="inlineStr">
        <is>
          <t>No</t>
        </is>
      </c>
      <c r="L30" s="17" t="n"/>
      <c r="M30" s="17" t="n"/>
      <c r="N30" s="17" t="inlineStr">
        <is>
          <t>13 carga de polvo y N₂: armado de válvula</t>
        </is>
      </c>
      <c r="O30" s="17" t="n"/>
      <c r="P30" s="32" t="inlineStr">
        <is>
          <t>P</t>
        </is>
      </c>
      <c r="Q30" s="32" t="inlineStr">
        <is>
          <t>FL_DES_ABC_25kg</t>
        </is>
      </c>
      <c r="R30" s="17" t="n"/>
    </row>
    <row r="31" outlineLevel="1">
      <c r="A31" s="32" t="n">
        <v>2</v>
      </c>
      <c r="B31" s="32" t="inlineStr">
        <is>
          <t>ABC25-23</t>
        </is>
      </c>
      <c r="C31" s="17" t="inlineStr">
        <is>
          <t xml:space="preserve">        Manija de transporte</t>
        </is>
      </c>
      <c r="D31" s="32" t="n">
        <v>1</v>
      </c>
      <c r="E31" s="32" t="inlineStr">
        <is>
          <t>u</t>
        </is>
      </c>
      <c r="F31" s="33" t="n">
        <v>0.0757</v>
      </c>
      <c r="G31" s="33">
        <f>D31*F31</f>
        <v/>
      </c>
      <c r="H31" s="32" t="inlineStr">
        <is>
          <t>Chapa acero SAE 1010 pintada</t>
        </is>
      </c>
      <c r="I31" s="17" t="inlineStr">
        <is>
          <t>102,6 × 35 × 25,4</t>
        </is>
      </c>
      <c r="J31" s="32" t="inlineStr">
        <is>
          <t>Incluido en válvula HZ</t>
        </is>
      </c>
      <c r="K31" s="32" t="inlineStr">
        <is>
          <t>No</t>
        </is>
      </c>
      <c r="L31" s="17" t="n"/>
      <c r="M31" s="17" t="n"/>
      <c r="N31" s="17" t="inlineStr">
        <is>
          <t>13 carga de polvo y N₂: armado de válvula</t>
        </is>
      </c>
      <c r="O31" s="17" t="n"/>
      <c r="P31" s="32" t="inlineStr">
        <is>
          <t>P</t>
        </is>
      </c>
      <c r="Q31" s="32" t="inlineStr">
        <is>
          <t>FL_DES_ABC_25kg</t>
        </is>
      </c>
      <c r="R31" s="17" t="n"/>
    </row>
    <row r="32" outlineLevel="1">
      <c r="A32" s="32" t="n">
        <v>2</v>
      </c>
      <c r="B32" s="32" t="inlineStr">
        <is>
          <t>ABC25-24</t>
        </is>
      </c>
      <c r="C32" s="17" t="inlineStr">
        <is>
          <t xml:space="preserve">        Caño de pesca (sifón)</t>
        </is>
      </c>
      <c r="D32" s="32" t="n">
        <v>1</v>
      </c>
      <c r="E32" s="32" t="inlineStr">
        <is>
          <t>u</t>
        </is>
      </c>
      <c r="F32" s="33" t="n">
        <v>0.1563</v>
      </c>
      <c r="G32" s="33">
        <f>D32*F32</f>
        <v/>
      </c>
      <c r="H32" s="32" t="inlineStr">
        <is>
          <t>Tubo PVC rígido</t>
        </is>
      </c>
      <c r="I32" s="17" t="inlineStr">
        <is>
          <t>Ø24 × 661,2 de largo</t>
        </is>
      </c>
      <c r="J32" s="32" t="inlineStr">
        <is>
          <t>Incluido en válvula HZ</t>
        </is>
      </c>
      <c r="K32" s="32" t="inlineStr">
        <is>
          <t>No</t>
        </is>
      </c>
      <c r="L32" s="17" t="n"/>
      <c r="M32" s="17" t="n"/>
      <c r="N32" s="17" t="inlineStr">
        <is>
          <t>13 carga de polvo y N₂: armado de válvula</t>
        </is>
      </c>
      <c r="O32" s="17" t="n"/>
      <c r="P32" s="32" t="inlineStr">
        <is>
          <t>P</t>
        </is>
      </c>
      <c r="Q32" s="32" t="inlineStr">
        <is>
          <t>FL_DES_ABC_25kg</t>
        </is>
      </c>
      <c r="R32" s="17" t="n"/>
    </row>
    <row r="33" outlineLevel="1">
      <c r="A33" s="32" t="n">
        <v>2</v>
      </c>
      <c r="B33" s="32" t="inlineStr">
        <is>
          <t>ABC25-36</t>
        </is>
      </c>
      <c r="C33" s="17" t="inlineStr">
        <is>
          <t xml:space="preserve">        Junta tórica de asiento</t>
        </is>
      </c>
      <c r="D33" s="32" t="n">
        <v>1</v>
      </c>
      <c r="E33" s="32" t="inlineStr">
        <is>
          <t>u</t>
        </is>
      </c>
      <c r="F33" s="33" t="n">
        <v>0.001</v>
      </c>
      <c r="G33" s="33">
        <f>D33*F33</f>
        <v/>
      </c>
      <c r="H33" s="32" t="inlineStr">
        <is>
          <t>NBR 70 Shore A</t>
        </is>
      </c>
      <c r="I33" s="17" t="inlineStr">
        <is>
          <t>Ø32,8 ext. × cordón 3</t>
        </is>
      </c>
      <c r="J33" s="32" t="inlineStr">
        <is>
          <t>Compra</t>
        </is>
      </c>
      <c r="K33" s="32" t="inlineStr">
        <is>
          <t>Sí</t>
        </is>
      </c>
      <c r="L33" s="17" t="inlineStr">
        <is>
          <t>Argensold</t>
        </is>
      </c>
      <c r="M33" s="17" t="inlineStr">
        <is>
          <t>Matafuegos Iglesias</t>
        </is>
      </c>
      <c r="N33" s="17" t="inlineStr">
        <is>
          <t>13 carga de polvo y N₂: armado de válvula</t>
        </is>
      </c>
      <c r="O33" s="17" t="n"/>
      <c r="P33" s="32" t="inlineStr">
        <is>
          <t>P</t>
        </is>
      </c>
      <c r="Q33" s="32" t="inlineStr">
        <is>
          <t>FL_DES_ABC_25kg</t>
        </is>
      </c>
      <c r="R33" s="17" t="inlineStr">
        <is>
          <t>cambio c/recarga</t>
        </is>
      </c>
    </row>
    <row r="34" outlineLevel="1">
      <c r="A34" s="32" t="n">
        <v>2</v>
      </c>
      <c r="B34" s="32" t="inlineStr">
        <is>
          <t>ABC25-K2</t>
        </is>
      </c>
      <c r="C34" s="17" t="inlineStr">
        <is>
          <t xml:space="preserve">        Válvula HZ armada de carro 25 kg c/traba, manija y resorte</t>
        </is>
      </c>
      <c r="D34" s="32" t="n">
        <v>1</v>
      </c>
      <c r="E34" s="32" t="inlineStr">
        <is>
          <t>u</t>
        </is>
      </c>
      <c r="F34" s="33" t="n"/>
      <c r="G34" s="33" t="n"/>
      <c r="H34" s="32" t="inlineStr">
        <is>
          <t>Latón forjado (HZ)</t>
        </is>
      </c>
      <c r="I34" s="17" t="inlineStr">
        <is>
          <t>rosca M30x1,5</t>
        </is>
      </c>
      <c r="J34" s="32" t="inlineStr">
        <is>
          <t>Compra</t>
        </is>
      </c>
      <c r="K34" s="32" t="inlineStr">
        <is>
          <t>Sí</t>
        </is>
      </c>
      <c r="L34" s="17" t="inlineStr">
        <is>
          <t>Polvex S.R.L. / Sancibrao</t>
        </is>
      </c>
      <c r="M34" s="17" t="inlineStr">
        <is>
          <t>Mozart S.R.L.</t>
        </is>
      </c>
      <c r="N34" s="17" t="inlineStr">
        <is>
          <t>19 Ensamblaje de válvula</t>
        </is>
      </c>
      <c r="O34" s="17" t="inlineStr">
        <is>
          <t>IRAM 3523 3.3</t>
        </is>
      </c>
      <c r="P34" s="32" t="inlineStr">
        <is>
          <t>Q</t>
        </is>
      </c>
      <c r="Q34" s="32" t="inlineStr">
        <is>
          <t>FL_DES_ABC_25kg</t>
        </is>
      </c>
      <c r="R34" s="17" t="inlineStr">
        <is>
          <t>Lista de precios HZ (Q-AGENTES); plano Fadesa usa válvula HZ (R-FADESA). Trae las piezas marcadas «Incluido en válvula HZ»</t>
        </is>
      </c>
    </row>
    <row r="35" outlineLevel="1">
      <c r="A35" s="32" t="n">
        <v>2</v>
      </c>
      <c r="B35" s="32" t="inlineStr">
        <is>
          <t>ABC25-V2</t>
        </is>
      </c>
      <c r="C35" s="17" t="inlineStr">
        <is>
          <t xml:space="preserve">        Resorte de retorno del vástago</t>
        </is>
      </c>
      <c r="D35" s="32" t="n">
        <v>1</v>
      </c>
      <c r="E35" s="32" t="inlineStr">
        <is>
          <t>u</t>
        </is>
      </c>
      <c r="F35" s="33" t="n"/>
      <c r="G35" s="33" t="n"/>
      <c r="H35" s="32" t="inlineStr">
        <is>
          <t>Acero para resortes</t>
        </is>
      </c>
      <c r="I35" s="17" t="inlineStr">
        <is>
          <t>incluido en la válvula</t>
        </is>
      </c>
      <c r="J35" s="32" t="inlineStr">
        <is>
          <t>Incluido en válvula HZ</t>
        </is>
      </c>
      <c r="K35" s="32" t="inlineStr">
        <is>
          <t>No</t>
        </is>
      </c>
      <c r="L35" s="17" t="n"/>
      <c r="M35" s="17" t="n"/>
      <c r="N35" s="17" t="inlineStr">
        <is>
          <t>19 Ensamblaje</t>
        </is>
      </c>
      <c r="O35" s="17" t="n"/>
      <c r="P35" s="32" t="inlineStr">
        <is>
          <t>Q</t>
        </is>
      </c>
      <c r="Q35" s="32" t="n"/>
      <c r="R35" s="17" t="inlineStr">
        <is>
          <t>Lista de precios HZ: válvula «c/resorte» (Q-AGENTES)</t>
        </is>
      </c>
    </row>
    <row r="36" outlineLevel="1">
      <c r="A36" s="32" t="n">
        <v>2</v>
      </c>
      <c r="B36" s="32" t="inlineStr">
        <is>
          <t>ABC25-V3</t>
        </is>
      </c>
      <c r="C36" s="17" t="inlineStr">
        <is>
          <t xml:space="preserve">        Junta tórica del vástago</t>
        </is>
      </c>
      <c r="D36" s="32" t="n">
        <v>1</v>
      </c>
      <c r="E36" s="32" t="inlineStr">
        <is>
          <t>u</t>
        </is>
      </c>
      <c r="F36" s="33" t="n"/>
      <c r="G36" s="33" t="n"/>
      <c r="H36" s="32" t="inlineStr">
        <is>
          <t>NBR 70 Shore A</t>
        </is>
      </c>
      <c r="I36" s="17" t="inlineStr">
        <is>
          <t>incluida en la válvula</t>
        </is>
      </c>
      <c r="J36" s="32" t="inlineStr">
        <is>
          <t>Incluido en válvula HZ</t>
        </is>
      </c>
      <c r="K36" s="32" t="inlineStr">
        <is>
          <t>No</t>
        </is>
      </c>
      <c r="L36" s="17" t="n"/>
      <c r="M36" s="17" t="n"/>
      <c r="N36" s="17" t="inlineStr">
        <is>
          <t>19 Ensamblaje</t>
        </is>
      </c>
      <c r="O36" s="17" t="n"/>
      <c r="P36" s="32" t="inlineStr">
        <is>
          <t>P</t>
        </is>
      </c>
      <c r="Q36" s="32" t="n"/>
      <c r="R36" s="17" t="inlineStr">
        <is>
          <t>Figura en el plano como «vástago con junta tórica»</t>
        </is>
      </c>
    </row>
    <row r="37">
      <c r="A37" s="29" t="n">
        <v>1</v>
      </c>
      <c r="B37" s="29" t="inlineStr">
        <is>
          <t>ABC25-S3</t>
        </is>
      </c>
      <c r="C37" s="30" t="inlineStr">
        <is>
          <t xml:space="preserve">    Dispositivo de descarga</t>
        </is>
      </c>
      <c r="D37" s="29" t="n">
        <v>1</v>
      </c>
      <c r="E37" s="29" t="inlineStr">
        <is>
          <t>u</t>
        </is>
      </c>
      <c r="F37" s="31" t="n"/>
      <c r="G37" s="31">
        <f>G38+G39+G40+G41+G42</f>
        <v/>
      </c>
      <c r="H37" s="29" t="n"/>
      <c r="I37" s="30" t="n"/>
      <c r="J37" s="29" t="inlineStr">
        <is>
          <t>Compra / armado</t>
        </is>
      </c>
      <c r="K37" s="29" t="n"/>
      <c r="L37" s="30" t="n"/>
      <c r="M37" s="30" t="n"/>
      <c r="N37" s="30" t="n"/>
      <c r="O37" s="30" t="n"/>
      <c r="P37" s="29" t="inlineStr">
        <is>
          <t>P</t>
        </is>
      </c>
      <c r="Q37" s="29" t="inlineStr">
        <is>
          <t>FL_DES_ABC_25kg</t>
        </is>
      </c>
      <c r="R37" s="30" t="n"/>
    </row>
    <row r="38" outlineLevel="1">
      <c r="A38" s="32" t="n">
        <v>2</v>
      </c>
      <c r="B38" s="32" t="inlineStr">
        <is>
          <t>ABC25-25</t>
        </is>
      </c>
      <c r="C38" s="17" t="inlineStr">
        <is>
          <t xml:space="preserve">        Racor de manguera</t>
        </is>
      </c>
      <c r="D38" s="32" t="n">
        <v>1</v>
      </c>
      <c r="E38" s="32" t="inlineStr">
        <is>
          <t>u</t>
        </is>
      </c>
      <c r="F38" s="33" t="n">
        <v>0.0612</v>
      </c>
      <c r="G38" s="33">
        <f>D38*F38</f>
        <v/>
      </c>
      <c r="H38" s="32" t="inlineStr">
        <is>
          <t>Latón</t>
        </is>
      </c>
      <c r="I38" s="17" t="inlineStr">
        <is>
          <t>24 × 24 × 16</t>
        </is>
      </c>
      <c r="J38" s="32" t="inlineStr">
        <is>
          <t>Compra</t>
        </is>
      </c>
      <c r="K38" s="32" t="inlineStr">
        <is>
          <t>Sí</t>
        </is>
      </c>
      <c r="L38" s="17" t="inlineStr">
        <is>
          <t>Yukon / MatafuegosYa S.R.L.</t>
        </is>
      </c>
      <c r="M38" s="17" t="inlineStr">
        <is>
          <t>Matafuegos Iglesias</t>
        </is>
      </c>
      <c r="N38" s="17" t="inlineStr">
        <is>
          <t>Después de 12 pintura: manguera, válvula esférica y tobera</t>
        </is>
      </c>
      <c r="O38" s="17" t="n"/>
      <c r="P38" s="32" t="inlineStr">
        <is>
          <t>P</t>
        </is>
      </c>
      <c r="Q38" s="32" t="inlineStr">
        <is>
          <t>FL_DES_ABC_25kg</t>
        </is>
      </c>
      <c r="R38" s="17" t="n"/>
    </row>
    <row r="39" outlineLevel="1">
      <c r="A39" s="32" t="n">
        <v>2</v>
      </c>
      <c r="B39" s="32" t="inlineStr">
        <is>
          <t>ABC25-26</t>
        </is>
      </c>
      <c r="C39" s="17" t="inlineStr">
        <is>
          <t xml:space="preserve">        Manguera (tramo enrollado)</t>
        </is>
      </c>
      <c r="D39" s="32" t="n">
        <v>1</v>
      </c>
      <c r="E39" s="32" t="inlineStr">
        <is>
          <t>u</t>
        </is>
      </c>
      <c r="F39" s="33" t="n">
        <v>1.5005</v>
      </c>
      <c r="G39" s="33">
        <f>D39*F39</f>
        <v/>
      </c>
      <c r="H39" s="32" t="inlineStr">
        <is>
          <t>Caucho sintético</t>
        </is>
      </c>
      <c r="I39" s="17" t="inlineStr">
        <is>
          <t>Ø23,5 × 4.504 de largo desarrollado: lazo vertical de 3 vueltas alrededor de los flejes, por afuera de las patas y detrás de las orejas</t>
        </is>
      </c>
      <c r="J39" s="32" t="inlineStr">
        <is>
          <t>Compra</t>
        </is>
      </c>
      <c r="K39" s="32" t="inlineStr">
        <is>
          <t>Sí</t>
        </is>
      </c>
      <c r="L39" s="17" t="inlineStr">
        <is>
          <t>Yukon / MatafuegosYa S.R.L.</t>
        </is>
      </c>
      <c r="M39" s="17" t="inlineStr">
        <is>
          <t>Matafuegos Iglesias</t>
        </is>
      </c>
      <c r="N39" s="17" t="inlineStr">
        <is>
          <t>Después de 12 pintura: manguera, válvula esférica y tobera</t>
        </is>
      </c>
      <c r="O39" s="17" t="n"/>
      <c r="P39" s="32" t="inlineStr">
        <is>
          <t>P</t>
        </is>
      </c>
      <c r="Q39" s="32" t="inlineStr">
        <is>
          <t>FL_DES_ABC_25kg</t>
        </is>
      </c>
      <c r="R39" s="17" t="n"/>
    </row>
    <row r="40" outlineLevel="1">
      <c r="A40" s="32" t="n">
        <v>2</v>
      </c>
      <c r="B40" s="32" t="inlineStr">
        <is>
          <t>ABC25-27</t>
        </is>
      </c>
      <c r="C40" s="17" t="inlineStr">
        <is>
          <t xml:space="preserve">        Manguera</t>
        </is>
      </c>
      <c r="D40" s="32" t="n">
        <v>1</v>
      </c>
      <c r="E40" s="32" t="inlineStr">
        <is>
          <t>u</t>
        </is>
      </c>
      <c r="F40" s="33" t="n">
        <v>0.1677</v>
      </c>
      <c r="G40" s="33">
        <f>D40*F40</f>
        <v/>
      </c>
      <c r="H40" s="32" t="inlineStr">
        <is>
          <t>Caucho sintético</t>
        </is>
      </c>
      <c r="I40" s="17" t="inlineStr">
        <is>
          <t>Ø23,5 × 503 de largo desarrollado</t>
        </is>
      </c>
      <c r="J40" s="32" t="inlineStr">
        <is>
          <t>Compra</t>
        </is>
      </c>
      <c r="K40" s="32" t="inlineStr">
        <is>
          <t>Sí</t>
        </is>
      </c>
      <c r="L40" s="17" t="inlineStr">
        <is>
          <t>Yukon / MatafuegosYa S.R.L.</t>
        </is>
      </c>
      <c r="M40" s="17" t="inlineStr">
        <is>
          <t>Matafuegos Iglesias</t>
        </is>
      </c>
      <c r="N40" s="17" t="inlineStr">
        <is>
          <t>Después de 12 pintura: manguera, válvula esférica y tobera</t>
        </is>
      </c>
      <c r="O40" s="17" t="n"/>
      <c r="P40" s="32" t="inlineStr">
        <is>
          <t>P</t>
        </is>
      </c>
      <c r="Q40" s="32" t="inlineStr">
        <is>
          <t>FL_DES_ABC_25kg</t>
        </is>
      </c>
      <c r="R40" s="17" t="n"/>
    </row>
    <row r="41" outlineLevel="1">
      <c r="A41" s="32" t="n">
        <v>2</v>
      </c>
      <c r="B41" s="32" t="inlineStr">
        <is>
          <t>ABC25-29</t>
        </is>
      </c>
      <c r="C41" s="17" t="inlineStr">
        <is>
          <t xml:space="preserve">        Válvula esférica</t>
        </is>
      </c>
      <c r="D41" s="32" t="n">
        <v>1</v>
      </c>
      <c r="E41" s="32" t="inlineStr">
        <is>
          <t>u</t>
        </is>
      </c>
      <c r="F41" s="33" t="n">
        <v>0.3502</v>
      </c>
      <c r="G41" s="33">
        <f>D41*F41</f>
        <v/>
      </c>
      <c r="H41" s="32" t="inlineStr">
        <is>
          <t>Latón cromado</t>
        </is>
      </c>
      <c r="I41" s="17" t="inlineStr">
        <is>
          <t>cuerpo Ø40 × 56 con hexágonos 46, paso total, rosca a la manga y a la tobera; palanca 105 con empuñadura (cerrada: atravesada al caño)</t>
        </is>
      </c>
      <c r="J41" s="32" t="inlineStr">
        <is>
          <t>Compra</t>
        </is>
      </c>
      <c r="K41" s="32" t="inlineStr">
        <is>
          <t>Sí</t>
        </is>
      </c>
      <c r="L41" s="17" t="inlineStr">
        <is>
          <t>Yukon / MatafuegosYa S.R.L.</t>
        </is>
      </c>
      <c r="M41" s="17" t="inlineStr">
        <is>
          <t>Matafuegos Iglesias</t>
        </is>
      </c>
      <c r="N41" s="17" t="inlineStr">
        <is>
          <t>Después de 12 pintura: manguera, válvula esférica y tobera</t>
        </is>
      </c>
      <c r="O41" s="17" t="n"/>
      <c r="P41" s="32" t="inlineStr">
        <is>
          <t>P</t>
        </is>
      </c>
      <c r="Q41" s="32" t="inlineStr">
        <is>
          <t>FL_DES_ABC_25kg</t>
        </is>
      </c>
      <c r="R41" s="17" t="n"/>
    </row>
    <row r="42" outlineLevel="1">
      <c r="A42" s="32" t="n">
        <v>2</v>
      </c>
      <c r="B42" s="32" t="inlineStr">
        <is>
          <t>ABC25-30</t>
        </is>
      </c>
      <c r="C42" s="17" t="inlineStr">
        <is>
          <t xml:space="preserve">        Tobera campana</t>
        </is>
      </c>
      <c r="D42" s="32" t="n">
        <v>1</v>
      </c>
      <c r="E42" s="32" t="inlineStr">
        <is>
          <t>u</t>
        </is>
      </c>
      <c r="F42" s="33" t="n">
        <v>0.07969999999999999</v>
      </c>
      <c r="G42" s="33">
        <f>D42*F42</f>
        <v/>
      </c>
      <c r="H42" s="32" t="inlineStr">
        <is>
          <t>Polipropileno</t>
        </is>
      </c>
      <c r="I42" s="17" t="inlineStr">
        <is>
          <t>206,1 × 96,8 × 67,8</t>
        </is>
      </c>
      <c r="J42" s="32" t="inlineStr">
        <is>
          <t>Compra</t>
        </is>
      </c>
      <c r="K42" s="32" t="inlineStr">
        <is>
          <t>Sí</t>
        </is>
      </c>
      <c r="L42" s="17" t="inlineStr">
        <is>
          <t>Yukon / MatafuegosYa S.R.L.</t>
        </is>
      </c>
      <c r="M42" s="17" t="inlineStr">
        <is>
          <t>Matafuegos Iglesias</t>
        </is>
      </c>
      <c r="N42" s="17" t="inlineStr">
        <is>
          <t>Después de 12 pintura: manguera, válvula esférica y tobera</t>
        </is>
      </c>
      <c r="O42" s="17" t="n"/>
      <c r="P42" s="32" t="inlineStr">
        <is>
          <t>P</t>
        </is>
      </c>
      <c r="Q42" s="32" t="inlineStr">
        <is>
          <t>FL_DES_ABC_25kg</t>
        </is>
      </c>
      <c r="R42" s="17" t="n"/>
    </row>
    <row r="43">
      <c r="A43" s="29" t="n">
        <v>1</v>
      </c>
      <c r="B43" s="29" t="inlineStr">
        <is>
          <t>ABC25-S4</t>
        </is>
      </c>
      <c r="C43" s="30" t="inlineStr">
        <is>
          <t xml:space="preserve">    Carro (tren rodante soldado y ruedas)</t>
        </is>
      </c>
      <c r="D43" s="29" t="n">
        <v>1</v>
      </c>
      <c r="E43" s="29" t="inlineStr">
        <is>
          <t>u</t>
        </is>
      </c>
      <c r="F43" s="31" t="n"/>
      <c r="G43" s="31">
        <f>G44+G45+G46+G48+G49+G50+G52+G53+G54+G56</f>
        <v/>
      </c>
      <c r="H43" s="29" t="n"/>
      <c r="I43" s="30" t="n"/>
      <c r="J43" s="29" t="inlineStr">
        <is>
          <t>Fabricación</t>
        </is>
      </c>
      <c r="K43" s="29" t="n"/>
      <c r="L43" s="30" t="n"/>
      <c r="M43" s="30" t="n"/>
      <c r="N43" s="30" t="n"/>
      <c r="O43" s="30" t="inlineStr">
        <is>
          <t>IRAM 3550 3.12 y 4.8 (ruedas ≥ Ø300 × 50)</t>
        </is>
      </c>
      <c r="P43" s="29" t="inlineStr">
        <is>
          <t>P</t>
        </is>
      </c>
      <c r="Q43" s="29" t="inlineStr">
        <is>
          <t>FL_DES_ABC_25kg</t>
        </is>
      </c>
      <c r="R43" s="30" t="n"/>
    </row>
    <row r="44" outlineLevel="1">
      <c r="A44" s="32" t="n">
        <v>2</v>
      </c>
      <c r="B44" s="32" t="inlineStr">
        <is>
          <t>ABC25-05</t>
        </is>
      </c>
      <c r="C44" s="17" t="inlineStr">
        <is>
          <t xml:space="preserve">        Pata delantera</t>
        </is>
      </c>
      <c r="D44" s="32" t="n">
        <v>1</v>
      </c>
      <c r="E44" s="32" t="inlineStr">
        <is>
          <t>u</t>
        </is>
      </c>
      <c r="F44" s="33" t="n">
        <v>0.1186</v>
      </c>
      <c r="G44" s="33">
        <f>D44*F44</f>
        <v/>
      </c>
      <c r="H44" s="32" t="inlineStr">
        <is>
          <t>Chapa LAC 3,2 (orilla de la hoja de 25 kg)</t>
        </is>
      </c>
      <c r="I44" s="17" t="inlineStr">
        <is>
          <t>planchuela 80 × 60 × e3,2, de canto en el frente del fondo, atravesada; borde de abajo = línea del piso</t>
        </is>
      </c>
      <c r="J44" s="32" t="inlineStr">
        <is>
          <t>Fabricación</t>
        </is>
      </c>
      <c r="K44" s="32" t="inlineStr">
        <is>
          <t>No</t>
        </is>
      </c>
      <c r="L44" s="17" t="n"/>
      <c r="M44" s="17" t="n"/>
      <c r="N44" s="17" t="inlineStr">
        <is>
          <t>8.1 fabricación de accesorios (orillas / caño / barra) -&gt; 8 soldadura MAG al recipiente, antes de la PH (IRAM 3550 6.1.1)</t>
        </is>
      </c>
      <c r="O44" s="17" t="n"/>
      <c r="P44" s="32" t="inlineStr">
        <is>
          <t>P</t>
        </is>
      </c>
      <c r="Q44" s="32" t="inlineStr">
        <is>
          <t>FL_DES_ABC_25kg</t>
        </is>
      </c>
      <c r="R44" s="17" t="inlineStr">
        <is>
          <t>Proceso FLAMA de carros: 80 × 60 (25 y 50 kg) y 100 × 80 (70 y 100 kg), de la orilla de 3,2 de la hoja de 25 kg (sin compra); se suelda con filete de los dos lados en el tramo central</t>
        </is>
      </c>
    </row>
    <row r="45" outlineLevel="1">
      <c r="A45" s="32" t="n">
        <v>2</v>
      </c>
      <c r="B45" s="32" t="inlineStr">
        <is>
          <t>ABC25-06</t>
        </is>
      </c>
      <c r="C45" s="17" t="inlineStr">
        <is>
          <t xml:space="preserve">        Triángulos con V (2)</t>
        </is>
      </c>
      <c r="D45" s="32" t="n">
        <v>1</v>
      </c>
      <c r="E45" s="32" t="inlineStr">
        <is>
          <t>u</t>
        </is>
      </c>
      <c r="F45" s="33" t="n">
        <v>0.1532</v>
      </c>
      <c r="G45" s="33">
        <f>D45*F45</f>
        <v/>
      </c>
      <c r="H45" s="32" t="inlineStr">
        <is>
          <t>Chapa LAC 4,75 (orilla)</t>
        </is>
      </c>
      <c r="I45" s="17" t="inlineStr">
        <is>
          <t>2 triángulos con V de 90° hacia atrás, chapa e4,75, cateto vertical 70 de canto contra el cuerpo; separados 126 (± 63 en recta), borde de abajo a 20 de la costura del fondo; el caño apoya en la V</t>
        </is>
      </c>
      <c r="J45" s="32" t="inlineStr">
        <is>
          <t>Fabricación</t>
        </is>
      </c>
      <c r="K45" s="32" t="inlineStr">
        <is>
          <t>No</t>
        </is>
      </c>
      <c r="L45" s="17" t="n"/>
      <c r="M45" s="17" t="n"/>
      <c r="N45" s="17" t="inlineStr">
        <is>
          <t>8.1 fabricación de accesorios (orillas / caño / barra) -&gt; 8 soldadura MAG al recipiente, antes de la PH (IRAM 3550 6.1.1)</t>
        </is>
      </c>
      <c r="O45" s="17" t="n"/>
      <c r="P45" s="32" t="inlineStr">
        <is>
          <t>P</t>
        </is>
      </c>
      <c r="Q45" s="32" t="inlineStr">
        <is>
          <t>FL_DES_ABC_25kg</t>
        </is>
      </c>
      <c r="R45"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46" outlineLevel="1">
      <c r="A46" s="32" t="n">
        <v>2</v>
      </c>
      <c r="B46" s="32" t="inlineStr">
        <is>
          <t>ABC25-07</t>
        </is>
      </c>
      <c r="C46" s="17" t="inlineStr">
        <is>
          <t xml:space="preserve">        Caño del eje</t>
        </is>
      </c>
      <c r="D46" s="32" t="n">
        <v>1</v>
      </c>
      <c r="E46" s="32" t="inlineStr">
        <is>
          <t>u</t>
        </is>
      </c>
      <c r="F46" s="33" t="n">
        <v>0.397</v>
      </c>
      <c r="G46" s="33">
        <f>D46*F46</f>
        <v/>
      </c>
      <c r="H46" s="32" t="inlineStr">
        <is>
          <t>Caño acero SAE 1010 1" × 2,0</t>
        </is>
      </c>
      <c r="I46" s="17" t="inlineStr">
        <is>
          <t>caño 1" (Ø25,4) × 2 × 344 de largo, con marca de la mitad; apoyado en la V de los triángulos a 20 del cuerpo, no gira; adentro pasa el eje Ø19,1</t>
        </is>
      </c>
      <c r="J46" s="32" t="inlineStr">
        <is>
          <t>Fabricación</t>
        </is>
      </c>
      <c r="K46" s="32" t="inlineStr">
        <is>
          <t>No</t>
        </is>
      </c>
      <c r="L46" s="17" t="n"/>
      <c r="M46" s="17" t="n"/>
      <c r="N46" s="17" t="inlineStr">
        <is>
          <t>8.1 fabricación de accesorios (orillas / caño / barra) -&gt; 8 soldadura MAG al recipiente, antes de la PH (IRAM 3550 6.1.1)</t>
        </is>
      </c>
      <c r="O46" s="17" t="n"/>
      <c r="P46" s="32" t="inlineStr">
        <is>
          <t>P</t>
        </is>
      </c>
      <c r="Q46" s="32" t="inlineStr">
        <is>
          <t>FL_DES_ABC_25kg</t>
        </is>
      </c>
      <c r="R46" s="17" t="inlineStr">
        <is>
          <t>Proceso FLAMA de carros, puesto 8 (kit del 8.1): medidas y posición de la tabla del puesto; se suelda antes de la prueba hidráulica (IRAM 3550 6.1.1)</t>
        </is>
      </c>
    </row>
    <row r="47" outlineLevel="2">
      <c r="A47" s="34" t="n">
        <v>3</v>
      </c>
      <c r="B47" s="34" t="inlineStr">
        <is>
          <t>MP-PORTAEJE</t>
        </is>
      </c>
      <c r="C47" s="35" t="inlineStr">
        <is>
          <t xml:space="preserve">            Caño SAE 1010 1" × 2,0 (tramo de barra de 6 m)</t>
        </is>
      </c>
      <c r="D47" s="34" t="n">
        <v>0.0573</v>
      </c>
      <c r="E47" s="34" t="inlineStr">
        <is>
          <t>barra</t>
        </is>
      </c>
      <c r="F47" s="36" t="n">
        <v>6.925</v>
      </c>
      <c r="G47" s="36">
        <f>D47*F47</f>
        <v/>
      </c>
      <c r="H47" s="34" t="inlineStr">
        <is>
          <t>Caño acero SAE 1010 1" × 2,0</t>
        </is>
      </c>
      <c r="I47" s="35" t="inlineStr">
        <is>
          <t>344 mm por pieza (kg por barra de 6 m)</t>
        </is>
      </c>
      <c r="J47" s="34" t="inlineStr">
        <is>
          <t>Compra</t>
        </is>
      </c>
      <c r="K47" s="34" t="inlineStr">
        <is>
          <t>Sí</t>
        </is>
      </c>
      <c r="L47" s="35" t="inlineStr">
        <is>
          <t>Metalpri / Prilux</t>
        </is>
      </c>
      <c r="M47" s="35" t="inlineStr">
        <is>
          <t>Comercial MID</t>
        </is>
      </c>
      <c r="N47" s="35" t="inlineStr">
        <is>
          <t>Corte en sierra</t>
        </is>
      </c>
      <c r="O47" s="35" t="n"/>
      <c r="P47" s="34" t="inlineStr">
        <is>
          <t>C</t>
        </is>
      </c>
      <c r="Q47" s="34" t="n"/>
      <c r="R47" s="35" t="inlineStr">
        <is>
          <t>Largo para la trocha del ancho de la hoja de especificaciones (kit 8.1), con marca de la mitad</t>
        </is>
      </c>
    </row>
    <row r="48" outlineLevel="1">
      <c r="A48" s="41" t="n">
        <v>2</v>
      </c>
      <c r="B48" s="41" t="inlineStr">
        <is>
          <t>ABC25-08</t>
        </is>
      </c>
      <c r="C48" s="42" t="inlineStr">
        <is>
          <t xml:space="preserve">        Neumático macizo</t>
        </is>
      </c>
      <c r="D48" s="41" t="n">
        <v>2</v>
      </c>
      <c r="E48" s="41" t="inlineStr">
        <is>
          <t>u</t>
        </is>
      </c>
      <c r="F48" s="43" t="n">
        <v>2.0425</v>
      </c>
      <c r="G48" s="43">
        <f>D48*F48</f>
        <v/>
      </c>
      <c r="H48" s="41" t="inlineStr">
        <is>
          <t>Caucho</t>
        </is>
      </c>
      <c r="I48" s="42" t="inlineStr">
        <is>
          <t>Ø300 × 50 de ancho</t>
        </is>
      </c>
      <c r="J48" s="41" t="inlineStr">
        <is>
          <t>Compra</t>
        </is>
      </c>
      <c r="K48" s="41" t="inlineStr">
        <is>
          <t>Sí</t>
        </is>
      </c>
      <c r="L48" s="42" t="inlineStr">
        <is>
          <t>Ruedar</t>
        </is>
      </c>
      <c r="M48" s="42" t="inlineStr">
        <is>
          <t>-</t>
        </is>
      </c>
      <c r="N48" s="42" t="inlineStr">
        <is>
          <t>Después de 12 pintura: ruedas montadas sobre el eje</t>
        </is>
      </c>
      <c r="O48" s="42" t="n"/>
      <c r="P48" s="41" t="inlineStr">
        <is>
          <t>P</t>
        </is>
      </c>
      <c r="Q48" s="41" t="inlineStr">
        <is>
          <t>FL_DES_ABC_25kg</t>
        </is>
      </c>
      <c r="R48" s="42" t="inlineStr">
        <is>
          <t>llanta de chapa; IRAM 3550 4.8: Ø ≥ 300 y ancho ≥ 50</t>
        </is>
      </c>
    </row>
    <row r="49" outlineLevel="1">
      <c r="A49" s="32" t="n">
        <v>2</v>
      </c>
      <c r="B49" s="32" t="inlineStr">
        <is>
          <t>ABC25-09</t>
        </is>
      </c>
      <c r="C49" s="17" t="inlineStr">
        <is>
          <t xml:space="preserve">        Llanta con cubo</t>
        </is>
      </c>
      <c r="D49" s="32" t="n">
        <v>2</v>
      </c>
      <c r="E49" s="32" t="inlineStr">
        <is>
          <t>u</t>
        </is>
      </c>
      <c r="F49" s="33" t="n">
        <v>1.8574</v>
      </c>
      <c r="G49" s="33">
        <f>D49*F49</f>
        <v/>
      </c>
      <c r="H49" s="32" t="inlineStr">
        <is>
          <t>Chapa acero SAE 1010</t>
        </is>
      </c>
      <c r="I49" s="17" t="inlineStr">
        <is>
          <t>Ø216 × 50 de ancho</t>
        </is>
      </c>
      <c r="J49" s="32" t="inlineStr">
        <is>
          <t>Incluido en rueda</t>
        </is>
      </c>
      <c r="K49" s="32" t="inlineStr">
        <is>
          <t>No</t>
        </is>
      </c>
      <c r="L49" s="17" t="n"/>
      <c r="M49" s="17" t="n"/>
      <c r="N49" s="17" t="inlineStr">
        <is>
          <t>Después de 12 pintura: ruedas montadas sobre el eje</t>
        </is>
      </c>
      <c r="O49" s="17" t="n"/>
      <c r="P49" s="32" t="inlineStr">
        <is>
          <t>P</t>
        </is>
      </c>
      <c r="Q49" s="32" t="inlineStr">
        <is>
          <t>FL_DES_ABC_25kg</t>
        </is>
      </c>
      <c r="R49" s="17" t="n"/>
    </row>
    <row r="50" outlineLevel="1">
      <c r="A50" s="32" t="n">
        <v>2</v>
      </c>
      <c r="B50" s="32" t="inlineStr">
        <is>
          <t>ABC25-10</t>
        </is>
      </c>
      <c r="C50" s="17" t="inlineStr">
        <is>
          <t xml:space="preserve">        Eje de ruedas</t>
        </is>
      </c>
      <c r="D50" s="32" t="n">
        <v>1</v>
      </c>
      <c r="E50" s="32" t="inlineStr">
        <is>
          <t>u</t>
        </is>
      </c>
      <c r="F50" s="33" t="n">
        <v>1.069</v>
      </c>
      <c r="G50" s="33">
        <f>D50*F50</f>
        <v/>
      </c>
      <c r="H50" s="32" t="inlineStr">
        <is>
          <t>Barra acero SAE 1045 Ø19.05</t>
        </is>
      </c>
      <c r="I50" s="17" t="inlineStr">
        <is>
          <t>barra trefilada 3/4" (Ø19,05) × 480 de largo, con agujero Ø4,6 en cada punta para el pasador (montaje final)</t>
        </is>
      </c>
      <c r="J50" s="32" t="inlineStr">
        <is>
          <t>Fabricación</t>
        </is>
      </c>
      <c r="K50" s="32" t="inlineStr">
        <is>
          <t>No</t>
        </is>
      </c>
      <c r="L50" s="17" t="n"/>
      <c r="M50" s="17" t="n"/>
      <c r="N50" s="17" t="inlineStr">
        <is>
          <t>8.1 corte de barra -&gt; 8 soldadura de soportes</t>
        </is>
      </c>
      <c r="O50" s="17" t="n"/>
      <c r="P50" s="32" t="inlineStr">
        <is>
          <t>P</t>
        </is>
      </c>
      <c r="Q50" s="32" t="inlineStr">
        <is>
          <t>FL_DES_ABC_25kg</t>
        </is>
      </c>
      <c r="R50" s="17" t="inlineStr">
        <is>
          <t>Montaje final, después de la pintura, con las ruedas (proceso de carros, puesto 8)</t>
        </is>
      </c>
    </row>
    <row r="51" outlineLevel="2">
      <c r="A51" s="34" t="n">
        <v>3</v>
      </c>
      <c r="B51" s="34" t="inlineStr">
        <is>
          <t>MP-EJE</t>
        </is>
      </c>
      <c r="C51" s="35" t="inlineStr">
        <is>
          <t xml:space="preserve">            Barra trefilada SAE 1045 3/4" (tramo de barra de 6 m)</t>
        </is>
      </c>
      <c r="D51" s="34" t="n">
        <v>0.08</v>
      </c>
      <c r="E51" s="34" t="inlineStr">
        <is>
          <t>barra</t>
        </is>
      </c>
      <c r="F51" s="36" t="n">
        <v>13.425</v>
      </c>
      <c r="G51" s="36">
        <f>D51*F51</f>
        <v/>
      </c>
      <c r="H51" s="34" t="inlineStr">
        <is>
          <t>Barra trefilada SAE 1045 3/4"</t>
        </is>
      </c>
      <c r="I51" s="35" t="inlineStr">
        <is>
          <t>480 mm por pieza (kg por barra de 6 m)</t>
        </is>
      </c>
      <c r="J51" s="34" t="inlineStr">
        <is>
          <t>Compra</t>
        </is>
      </c>
      <c r="K51" s="34" t="inlineStr">
        <is>
          <t>Sí</t>
        </is>
      </c>
      <c r="L51" s="35" t="inlineStr">
        <is>
          <t>Vladimirsky</t>
        </is>
      </c>
      <c r="M51" s="35" t="inlineStr">
        <is>
          <t>Hierros Parrotta</t>
        </is>
      </c>
      <c r="N51" s="35" t="inlineStr">
        <is>
          <t>Corte en sierra</t>
        </is>
      </c>
      <c r="O51" s="35" t="n"/>
      <c r="P51" s="34" t="inlineStr">
        <is>
          <t>C</t>
        </is>
      </c>
      <c r="Q51" s="34" t="n"/>
      <c r="R51" s="35" t="n"/>
    </row>
    <row r="52" outlineLevel="1">
      <c r="A52" s="32" t="n">
        <v>2</v>
      </c>
      <c r="B52" s="32" t="inlineStr">
        <is>
          <t>ABC25-11</t>
        </is>
      </c>
      <c r="C52" s="17" t="inlineStr">
        <is>
          <t xml:space="preserve">        Arandelas de tope (4)</t>
        </is>
      </c>
      <c r="D52" s="32" t="n">
        <v>1</v>
      </c>
      <c r="E52" s="32" t="inlineStr">
        <is>
          <t>u</t>
        </is>
      </c>
      <c r="F52" s="33" t="n">
        <v>0.1182</v>
      </c>
      <c r="G52" s="33">
        <f>D52*F52</f>
        <v/>
      </c>
      <c r="H52" s="32" t="inlineStr">
        <is>
          <t>Acero SAE 1010 Ø40 × 4</t>
        </is>
      </c>
      <c r="I52" s="17" t="inlineStr">
        <is>
          <t>4 × Ø40 × Ø20,1 × 4 (a cada lado de cada rueda)</t>
        </is>
      </c>
      <c r="J52" s="32" t="inlineStr">
        <is>
          <t>Compra</t>
        </is>
      </c>
      <c r="K52" s="32" t="inlineStr">
        <is>
          <t>Sí</t>
        </is>
      </c>
      <c r="L52" s="17" t="inlineStr">
        <is>
          <t>Hierros Parrotta</t>
        </is>
      </c>
      <c r="M52" s="17" t="inlineStr">
        <is>
          <t>-</t>
        </is>
      </c>
      <c r="N52" s="17" t="inlineStr">
        <is>
          <t>Después de 12 pintura: ruedas montadas sobre el eje</t>
        </is>
      </c>
      <c r="O52" s="17" t="n"/>
      <c r="P52" s="32" t="inlineStr">
        <is>
          <t>P</t>
        </is>
      </c>
      <c r="Q52" s="32" t="inlineStr">
        <is>
          <t>FL_DES_ABC_25kg</t>
        </is>
      </c>
      <c r="R52" s="17" t="inlineStr">
        <is>
          <t>Montaje final, después de la pintura, con las ruedas (proceso de carros, puesto 8)</t>
        </is>
      </c>
    </row>
    <row r="53" outlineLevel="1">
      <c r="A53" s="32" t="n">
        <v>2</v>
      </c>
      <c r="B53" s="32" t="inlineStr">
        <is>
          <t>ABC25-12</t>
        </is>
      </c>
      <c r="C53" s="17" t="inlineStr">
        <is>
          <t xml:space="preserve">        Pasadores del eje (2)</t>
        </is>
      </c>
      <c r="D53" s="32" t="n">
        <v>1</v>
      </c>
      <c r="E53" s="32" t="inlineStr">
        <is>
          <t>u</t>
        </is>
      </c>
      <c r="F53" s="33" t="n">
        <v>0.0132</v>
      </c>
      <c r="G53" s="33">
        <f>D53*F53</f>
        <v/>
      </c>
      <c r="H53" s="32" t="inlineStr">
        <is>
          <t>Pasador partido acero Ø4 × 40</t>
        </is>
      </c>
      <c r="I53" s="17" t="inlineStr">
        <is>
          <t>2 pasadores partidos Ø4 × 40, uno en cada punta del eje, por fuera de la arandela</t>
        </is>
      </c>
      <c r="J53" s="32" t="inlineStr">
        <is>
          <t>Compra</t>
        </is>
      </c>
      <c r="K53" s="32" t="inlineStr">
        <is>
          <t>Sí</t>
        </is>
      </c>
      <c r="L53" s="17" t="inlineStr">
        <is>
          <t>Hierros Parrotta</t>
        </is>
      </c>
      <c r="M53" s="17" t="inlineStr">
        <is>
          <t>-</t>
        </is>
      </c>
      <c r="N53" s="17" t="inlineStr">
        <is>
          <t>Después de 12 pintura: ruedas montadas sobre el eje</t>
        </is>
      </c>
      <c r="O53" s="17" t="n"/>
      <c r="P53" s="32" t="inlineStr">
        <is>
          <t>P</t>
        </is>
      </c>
      <c r="Q53" s="32" t="inlineStr">
        <is>
          <t>FL_DES_ABC_25kg</t>
        </is>
      </c>
      <c r="R53" s="17" t="inlineStr">
        <is>
          <t>Montaje final, después de la pintura, con las ruedas (proceso de carros, puesto 8)</t>
        </is>
      </c>
    </row>
    <row r="54" outlineLevel="1">
      <c r="A54" s="32" t="n">
        <v>2</v>
      </c>
      <c r="B54" s="32" t="inlineStr">
        <is>
          <t>ABC25-13</t>
        </is>
      </c>
      <c r="C54" s="17" t="inlineStr">
        <is>
          <t xml:space="preserve">        Manija del carro</t>
        </is>
      </c>
      <c r="D54" s="32" t="n">
        <v>1</v>
      </c>
      <c r="E54" s="32" t="inlineStr">
        <is>
          <t>u</t>
        </is>
      </c>
      <c r="F54" s="33" t="n">
        <v>1.7375</v>
      </c>
      <c r="G54" s="33">
        <f>D54*F54</f>
        <v/>
      </c>
      <c r="H54" s="32" t="inlineStr">
        <is>
          <t>Caño acero SAE 1010 1" × 2,0</t>
        </is>
      </c>
      <c r="I54" s="17" t="inlineStr">
        <is>
          <t>caño 1" (Ø25,4) × 2,0, corte 1.600 (desarrollado del modelo 1.597); puntas aplastadas en lengüetas 40 × 60 × 4 soldadas a los costados, borde de abajo 200 bajo la costura de la cúpula; 2 curvas de 90° y 2 de 30° (doblez a 890 del piso), puño hacia atrás a 1.085</t>
        </is>
      </c>
      <c r="J54" s="32" t="inlineStr">
        <is>
          <t>Fabricación</t>
        </is>
      </c>
      <c r="K54" s="32" t="inlineStr">
        <is>
          <t>No</t>
        </is>
      </c>
      <c r="L54" s="17" t="n"/>
      <c r="M54" s="17" t="n"/>
      <c r="N54" s="17" t="inlineStr">
        <is>
          <t>8.1 fabricación de accesorios (orillas / caño / barra) -&gt; 8 soldadura MAG al recipiente, antes de la PH (IRAM 3550 6.1.1)</t>
        </is>
      </c>
      <c r="O54" s="17" t="n"/>
      <c r="P54" s="32" t="inlineStr">
        <is>
          <t>P</t>
        </is>
      </c>
      <c r="Q54" s="32" t="inlineStr">
        <is>
          <t>FL_DES_ABC_25kg</t>
        </is>
      </c>
      <c r="R54"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55" outlineLevel="2">
      <c r="A55" s="34" t="n">
        <v>3</v>
      </c>
      <c r="B55" s="34" t="inlineStr">
        <is>
          <t>MP-CANO-CARRO</t>
        </is>
      </c>
      <c r="C55" s="35" t="inlineStr">
        <is>
          <t xml:space="preserve">            Caño SAE 1010 1" × 2,0 (tramo de barra de 6 m)</t>
        </is>
      </c>
      <c r="D55" s="34" t="n">
        <v>0.2667</v>
      </c>
      <c r="E55" s="34" t="inlineStr">
        <is>
          <t>barra</t>
        </is>
      </c>
      <c r="F55" s="36" t="n">
        <v>6.925</v>
      </c>
      <c r="G55" s="36">
        <f>D55*F55</f>
        <v/>
      </c>
      <c r="H55" s="34" t="inlineStr">
        <is>
          <t>Caño acero SAE 1010 1" × 2,0</t>
        </is>
      </c>
      <c r="I55" s="35" t="inlineStr">
        <is>
          <t>1.600 mm por pieza (kg por barra de 6 m)</t>
        </is>
      </c>
      <c r="J55" s="34" t="inlineStr">
        <is>
          <t>Compra</t>
        </is>
      </c>
      <c r="K55" s="34" t="inlineStr">
        <is>
          <t>Sí</t>
        </is>
      </c>
      <c r="L55" s="35" t="inlineStr">
        <is>
          <t>Metalpri / Prilux</t>
        </is>
      </c>
      <c r="M55" s="35" t="inlineStr">
        <is>
          <t>Comercial MID</t>
        </is>
      </c>
      <c r="N55" s="35" t="inlineStr">
        <is>
          <t>Corte en sierra</t>
        </is>
      </c>
      <c r="O55" s="35" t="n"/>
      <c r="P55" s="34" t="inlineStr">
        <is>
          <t>C</t>
        </is>
      </c>
      <c r="Q55" s="34" t="n"/>
      <c r="R55" s="35" t="inlineStr">
        <is>
          <t>Largo de corte = desarrollo del modelo a 10 mm (kit del puesto 8.1), con las lengüetas a aplastar</t>
        </is>
      </c>
    </row>
    <row r="56" outlineLevel="1">
      <c r="A56" s="32" t="n">
        <v>2</v>
      </c>
      <c r="B56" s="32" t="inlineStr">
        <is>
          <t>ABC25-28</t>
        </is>
      </c>
      <c r="C56" s="17" t="inlineStr">
        <is>
          <t xml:space="preserve">        Flejes del soporte de manga (2)</t>
        </is>
      </c>
      <c r="D56" s="32" t="n">
        <v>1</v>
      </c>
      <c r="E56" s="32" t="inlineStr">
        <is>
          <t>u</t>
        </is>
      </c>
      <c r="F56" s="33" t="n">
        <v>0.8391999999999999</v>
      </c>
      <c r="G56" s="33">
        <f>D56*F56</f>
        <v/>
      </c>
      <c r="H56" s="32" t="inlineStr">
        <is>
          <t>Chapa LAC 3,2 × 40 plegada</t>
        </is>
      </c>
      <c r="I56" s="17" t="inlineStr">
        <is>
          <t>2 flejes iguales 40 × 3,2 de 406 de corte, 4 dobleces de 90° (U abierta hacia afuera): base 182 por fuera, soldada al cuerpo por el centro, patas 104 (hasta delante de la última vuelta) y orejas 20 hacia los costados; superior a 40 bajo la costura de la cúpula, inferior a 40 sobre la del fondo; la manga pasa por afuera de las patas y detrás de las orejas</t>
        </is>
      </c>
      <c r="J56" s="32" t="inlineStr">
        <is>
          <t>Fabricación</t>
        </is>
      </c>
      <c r="K56" s="32" t="inlineStr">
        <is>
          <t>No</t>
        </is>
      </c>
      <c r="L56" s="17" t="n"/>
      <c r="M56" s="17" t="n"/>
      <c r="N56" s="17" t="inlineStr">
        <is>
          <t>8.1 fabricación de accesorios (orillas / caño / barra) -&gt; 8 soldadura MAG al recipiente, antes de la PH (IRAM 3550 6.1.1)</t>
        </is>
      </c>
      <c r="O56" s="17" t="n"/>
      <c r="P56" s="32" t="inlineStr">
        <is>
          <t>P</t>
        </is>
      </c>
      <c r="Q56" s="32" t="inlineStr">
        <is>
          <t>FL_DES_ABC_25kg</t>
        </is>
      </c>
      <c r="R56" s="17" t="inlineStr">
        <is>
          <t>Proceso FLAMA de carros, puesto 8 (kit del 8.1): medidas y posición de la tabla del puesto; se suelda antes de la prueba hidráulica (IRAM 3550 6.1.1); chapa de las orillas del corte (sin compra)</t>
        </is>
      </c>
    </row>
    <row r="57">
      <c r="A57" s="29" t="n">
        <v>1</v>
      </c>
      <c r="B57" s="29" t="inlineStr">
        <is>
          <t>ABC25-S5</t>
        </is>
      </c>
      <c r="C57" s="30" t="inlineStr">
        <is>
          <t xml:space="preserve">    Carga: agente extintor y gas impulsor</t>
        </is>
      </c>
      <c r="D57" s="29" t="n">
        <v>1</v>
      </c>
      <c r="E57" s="29" t="inlineStr">
        <is>
          <t>u</t>
        </is>
      </c>
      <c r="F57" s="31" t="n"/>
      <c r="G57" s="31">
        <f>G58+G59</f>
        <v/>
      </c>
      <c r="H57" s="29" t="n"/>
      <c r="I57" s="30" t="n"/>
      <c r="J57" s="29" t="inlineStr">
        <is>
          <t>Carga en planta</t>
        </is>
      </c>
      <c r="K57" s="29" t="n"/>
      <c r="L57" s="30" t="n"/>
      <c r="M57" s="30" t="n"/>
      <c r="N57" s="30" t="inlineStr">
        <is>
          <t>18 Carga de polvo (T01) / C8 (T02)</t>
        </is>
      </c>
      <c r="O57" s="30" t="n"/>
      <c r="P57" s="29" t="n"/>
      <c r="Q57" s="29" t="n"/>
      <c r="R57" s="30" t="n"/>
    </row>
    <row r="58" outlineLevel="1">
      <c r="A58" s="32" t="n">
        <v>2</v>
      </c>
      <c r="B58" s="32" t="inlineStr">
        <is>
          <t>ABC25-A1</t>
        </is>
      </c>
      <c r="C58" s="17" t="inlineStr">
        <is>
          <t xml:space="preserve">        Polvo químico seco ABC 90 (Sello IRAM 3569)</t>
        </is>
      </c>
      <c r="D58" s="32" t="n">
        <v>25</v>
      </c>
      <c r="E58" s="32" t="inlineStr">
        <is>
          <t>kg</t>
        </is>
      </c>
      <c r="F58" s="33" t="n">
        <v>1</v>
      </c>
      <c r="G58" s="33">
        <f>D58*F58</f>
        <v/>
      </c>
      <c r="H58" s="32" t="inlineStr">
        <is>
          <t>Polvo químico seco ABC 90 (Sello IRAM 3569)</t>
        </is>
      </c>
      <c r="I58" s="17" t="inlineStr">
        <is>
          <t>nominal 25 kg; tolerancia ± 3 % (IRAM 3517-2:2020 tabla 3)</t>
        </is>
      </c>
      <c r="J58" s="32" t="inlineStr">
        <is>
          <t>Compra</t>
        </is>
      </c>
      <c r="K58" s="32" t="inlineStr">
        <is>
          <t>Sí</t>
        </is>
      </c>
      <c r="L58" s="17" t="inlineStr">
        <is>
          <t>DEM S.A. (DEMSA)</t>
        </is>
      </c>
      <c r="M58" s="17" t="inlineStr">
        <is>
          <t>Polvex S.R.L. / Sancibrao</t>
        </is>
      </c>
      <c r="N58" s="17" t="inlineStr">
        <is>
          <t>SP-1 almacén previo a la carga</t>
        </is>
      </c>
      <c r="O58" s="17" t="inlineStr">
        <is>
          <t>IRAM 3569</t>
        </is>
      </c>
      <c r="P58" s="32" t="inlineStr">
        <is>
          <t>N</t>
        </is>
      </c>
      <c r="Q58" s="32" t="n"/>
      <c r="R58" s="17" t="inlineStr">
        <is>
          <t>Composición declarada del polvo ABC 90: MAP 90 % (IRAM 3569: 85,5-94,5 %) = 22,5 kg MAP + 1,75 kg sulfato de amonio + 0,75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59" outlineLevel="1">
      <c r="A59" s="37" t="n">
        <v>2</v>
      </c>
      <c r="B59" s="37" t="inlineStr">
        <is>
          <t>ABC25-A2</t>
        </is>
      </c>
      <c r="C59" s="18" t="inlineStr">
        <is>
          <t xml:space="preserve">        Gas impulsor: N₂</t>
        </is>
      </c>
      <c r="D59" s="37" t="n">
        <v>0.2013</v>
      </c>
      <c r="E59" s="37" t="inlineStr">
        <is>
          <t>kg</t>
        </is>
      </c>
      <c r="F59" s="38" t="n">
        <v>1</v>
      </c>
      <c r="G59" s="38">
        <f>D59*F59</f>
        <v/>
      </c>
      <c r="H59" s="37" t="inlineStr">
        <is>
          <t>N₂</t>
        </is>
      </c>
      <c r="I59" s="18" t="inlineStr">
        <is>
          <t>161,1 L normales para 1,4 MPa a 20 °C en 11,67 dm³ libres</t>
        </is>
      </c>
      <c r="J59" s="37" t="inlineStr">
        <is>
          <t>Compra</t>
        </is>
      </c>
      <c r="K59" s="37" t="inlineStr">
        <is>
          <t>Sí</t>
        </is>
      </c>
      <c r="L59" s="18" t="inlineStr">
        <is>
          <t>Air Liquide Argentina - sucursal Piñeyro</t>
        </is>
      </c>
      <c r="M59" s="18" t="inlineStr">
        <is>
          <t>Gogniat</t>
        </is>
      </c>
      <c r="N59" s="18" t="inlineStr">
        <is>
          <t>20 Presurización (T05) / C10</t>
        </is>
      </c>
      <c r="O59" s="18" t="inlineStr">
        <is>
          <t>IRAM 3517-2 9.4.9 (tabla 2) · IRAM 3523 2.3 y 3.10</t>
        </is>
      </c>
      <c r="P59" s="37" t="inlineStr">
        <is>
          <t>C</t>
        </is>
      </c>
      <c r="Q59" s="37" t="n"/>
      <c r="R59" s="18" t="inlineStr">
        <is>
          <t>N₂ ≥ 99,8 %, H₂O ≤ 40 ppm (Q-N2, Air Liquide) · volumen libre con ρ empacada mínima 1,1 kg/dm³ (NOM-104-STPS-2001); confirmar con descarga ≥ 85 % (IRAM 3523 4.9.1)</t>
        </is>
      </c>
    </row>
    <row r="60">
      <c r="A60" s="29" t="n">
        <v>1</v>
      </c>
      <c r="B60" s="29" t="inlineStr">
        <is>
          <t>ABC25-S6</t>
        </is>
      </c>
      <c r="C60" s="30" t="inlineStr">
        <is>
          <t xml:space="preserve">    Identificación y precinto</t>
        </is>
      </c>
      <c r="D60" s="29" t="n">
        <v>1</v>
      </c>
      <c r="E60" s="29" t="inlineStr">
        <is>
          <t>u</t>
        </is>
      </c>
      <c r="F60" s="31" t="n"/>
      <c r="G60" s="31">
        <f>G61+G62+G63+G64+G65+G66+G67</f>
        <v/>
      </c>
      <c r="H60" s="29" t="n"/>
      <c r="I60" s="30" t="n"/>
      <c r="J60" s="29" t="inlineStr">
        <is>
          <t>Compra</t>
        </is>
      </c>
      <c r="K60" s="29" t="n"/>
      <c r="L60" s="30" t="n"/>
      <c r="M60" s="30" t="n"/>
      <c r="N60" s="30" t="inlineStr">
        <is>
          <t>22 Etiquetado (T07)</t>
        </is>
      </c>
      <c r="O60" s="30" t="n"/>
      <c r="P60" s="29" t="n"/>
      <c r="Q60" s="29" t="n"/>
      <c r="R60" s="30" t="n"/>
    </row>
    <row r="61" outlineLevel="1">
      <c r="A61" s="32" t="n">
        <v>2</v>
      </c>
      <c r="B61" s="32" t="inlineStr">
        <is>
          <t>ABC25-31</t>
        </is>
      </c>
      <c r="C61" s="17" t="inlineStr">
        <is>
          <t xml:space="preserve">        Etiqueta / placa de características</t>
        </is>
      </c>
      <c r="D61" s="32" t="n">
        <v>1</v>
      </c>
      <c r="E61" s="32" t="inlineStr">
        <is>
          <t>u</t>
        </is>
      </c>
      <c r="F61" s="33" t="n">
        <v>0.0332</v>
      </c>
      <c r="G61" s="33">
        <f>D61*F61</f>
        <v/>
      </c>
      <c r="H61" s="32" t="inlineStr">
        <is>
          <t>Vinilo autoadhesivo laminado</t>
        </is>
      </c>
      <c r="I61" s="17" t="inlineStr">
        <is>
          <t>375 × 210 (desarrollo × alto: panel central 108° + 2 alas laterales), e ≈ 0,3, laminado UV</t>
        </is>
      </c>
      <c r="J61" s="32" t="inlineStr">
        <is>
          <t>Compra</t>
        </is>
      </c>
      <c r="K61" s="32" t="inlineStr">
        <is>
          <t>Sí</t>
        </is>
      </c>
      <c r="L61" s="17" t="inlineStr">
        <is>
          <t>Astuprint</t>
        </is>
      </c>
      <c r="M61" s="17" t="inlineStr">
        <is>
          <t>Multilabel Argentina S.A.</t>
        </is>
      </c>
      <c r="N61" s="17" t="inlineStr">
        <is>
          <t>22 Etiquetado (T07)</t>
        </is>
      </c>
      <c r="O61" s="17" t="inlineStr">
        <is>
          <t>IRAM 3534 · IRAM 3550 cap. 5 · relevamiento de mercado</t>
        </is>
      </c>
      <c r="P61" s="32" t="inlineStr">
        <is>
          <t>P</t>
        </is>
      </c>
      <c r="Q61" s="32" t="inlineStr">
        <is>
          <t>FL_DES_ABC_25kg</t>
        </is>
      </c>
      <c r="R61" s="17" t="inlineStr">
        <is>
          <t>IRAM 3534</t>
        </is>
      </c>
    </row>
    <row r="62" outlineLevel="1">
      <c r="A62" s="32" t="n">
        <v>2</v>
      </c>
      <c r="B62" s="32" t="inlineStr">
        <is>
          <t>ABC25-32</t>
        </is>
      </c>
      <c r="C62" s="17" t="inlineStr">
        <is>
          <t xml:space="preserve">        Oblea de fabricación (PBA)</t>
        </is>
      </c>
      <c r="D62" s="32" t="n">
        <v>1</v>
      </c>
      <c r="E62" s="32" t="inlineStr">
        <is>
          <t>u</t>
        </is>
      </c>
      <c r="F62" s="33" t="n">
        <v>0.0009</v>
      </c>
      <c r="G62" s="33">
        <f>D62*F62</f>
        <v/>
      </c>
      <c r="H62" s="32" t="inlineStr">
        <is>
          <t>Papel de seguridad autodestructible</t>
        </is>
      </c>
      <c r="I62" s="17" t="inlineStr">
        <is>
          <t>Ø46 (Res. OPDS 522/07), numerada, autodestructible</t>
        </is>
      </c>
      <c r="J62" s="32" t="inlineStr">
        <is>
          <t>Compra</t>
        </is>
      </c>
      <c r="K62" s="32" t="inlineStr">
        <is>
          <t>Sí</t>
        </is>
      </c>
      <c r="L62" s="17" t="inlineStr">
        <is>
          <t>Ministerio de Ambiente PBA (ex OPDS)</t>
        </is>
      </c>
      <c r="M62" s="17" t="inlineStr">
        <is>
          <t>-</t>
        </is>
      </c>
      <c r="N62" s="17" t="inlineStr">
        <is>
          <t>22 Etiquetado (T07)</t>
        </is>
      </c>
      <c r="O62" s="17" t="inlineStr">
        <is>
          <t>Res. OPDS 522/07 anexos 1, 2 y 6</t>
        </is>
      </c>
      <c r="P62" s="32" t="inlineStr">
        <is>
          <t>P</t>
        </is>
      </c>
      <c r="Q62" s="32" t="inlineStr">
        <is>
          <t>FL_DES_ABC_25kg</t>
        </is>
      </c>
      <c r="R62" s="17" t="inlineStr">
        <is>
          <t>Res. 522/07</t>
        </is>
      </c>
    </row>
    <row r="63" outlineLevel="1">
      <c r="A63" s="32" t="n">
        <v>2</v>
      </c>
      <c r="B63" s="32" t="inlineStr">
        <is>
          <t>ABC25-33</t>
        </is>
      </c>
      <c r="C63" s="17" t="inlineStr">
        <is>
          <t xml:space="preserve">        Estampilla IRAM de conformidad</t>
        </is>
      </c>
      <c r="D63" s="32" t="n">
        <v>1</v>
      </c>
      <c r="E63" s="32" t="inlineStr">
        <is>
          <t>u</t>
        </is>
      </c>
      <c r="F63" s="33" t="n">
        <v>0.001</v>
      </c>
      <c r="G63" s="33">
        <f>D63*F63</f>
        <v/>
      </c>
      <c r="H63" s="32" t="inlineStr">
        <is>
          <t>Provista por IRAM (Anexo R)</t>
        </is>
      </c>
      <c r="I63" s="17" t="inlineStr">
        <is>
          <t>60 × 40</t>
        </is>
      </c>
      <c r="J63" s="32" t="inlineStr">
        <is>
          <t>Compra</t>
        </is>
      </c>
      <c r="K63" s="32" t="inlineStr">
        <is>
          <t>Sí</t>
        </is>
      </c>
      <c r="L63" s="17" t="inlineStr">
        <is>
          <t>IRAM - Instituto Argentino de Normalización</t>
        </is>
      </c>
      <c r="M63" s="17" t="inlineStr">
        <is>
          <t>-</t>
        </is>
      </c>
      <c r="N63" s="17" t="inlineStr">
        <is>
          <t>22 Etiquetado (T07)</t>
        </is>
      </c>
      <c r="O63" s="17" t="inlineStr">
        <is>
          <t>IRAM Anexo R (DC-PG-129)</t>
        </is>
      </c>
      <c r="P63" s="32" t="inlineStr">
        <is>
          <t>P</t>
        </is>
      </c>
      <c r="Q63" s="32" t="inlineStr">
        <is>
          <t>FL_DES_ABC_25kg</t>
        </is>
      </c>
      <c r="R63" s="17" t="inlineStr">
        <is>
          <t>numerada</t>
        </is>
      </c>
    </row>
    <row r="64" outlineLevel="1">
      <c r="A64" s="32" t="n">
        <v>2</v>
      </c>
      <c r="B64" s="32" t="inlineStr">
        <is>
          <t>ABC25-34</t>
        </is>
      </c>
      <c r="C64" s="17" t="inlineStr">
        <is>
          <t xml:space="preserve">        Tarjeta de identificación AGC (CABA)</t>
        </is>
      </c>
      <c r="D64" s="32" t="n">
        <v>1</v>
      </c>
      <c r="E64" s="32" t="inlineStr">
        <is>
          <t>u</t>
        </is>
      </c>
      <c r="F64" s="33" t="n">
        <v>0.0032</v>
      </c>
      <c r="G64" s="33">
        <f>D64*F64</f>
        <v/>
      </c>
      <c r="H64" s="32" t="inlineStr">
        <is>
          <t>Etiqueta autoadhesiva emitida por la AGC</t>
        </is>
      </c>
      <c r="I64" s="17" t="inlineStr">
        <is>
          <t>140 × 55</t>
        </is>
      </c>
      <c r="J64" s="32" t="inlineStr">
        <is>
          <t>Compra</t>
        </is>
      </c>
      <c r="K64" s="32" t="inlineStr">
        <is>
          <t>Sí</t>
        </is>
      </c>
      <c r="L64" s="17" t="inlineStr">
        <is>
          <t>Agencia Gubernamental de Control (CABA)</t>
        </is>
      </c>
      <c r="M64" s="17" t="inlineStr">
        <is>
          <t>-</t>
        </is>
      </c>
      <c r="N64" s="17" t="inlineStr">
        <is>
          <t>22 Etiquetado (T07)</t>
        </is>
      </c>
      <c r="O64" s="17" t="inlineStr">
        <is>
          <t>Ordenanza 40.473 art. 6 · Res. AGC 32/15</t>
        </is>
      </c>
      <c r="P64" s="32" t="inlineStr">
        <is>
          <t>P</t>
        </is>
      </c>
      <c r="Q64" s="32" t="inlineStr">
        <is>
          <t>FL_DES_ABC_25kg</t>
        </is>
      </c>
      <c r="R64" s="17" t="inlineStr">
        <is>
          <t>sólo destino CABA</t>
        </is>
      </c>
    </row>
    <row r="65" outlineLevel="1">
      <c r="A65" s="32" t="n">
        <v>2</v>
      </c>
      <c r="B65" s="32" t="inlineStr">
        <is>
          <t>ABC25-35</t>
        </is>
      </c>
      <c r="C65" s="17" t="inlineStr">
        <is>
          <t xml:space="preserve">        Etiqueta de n° de serie GS1</t>
        </is>
      </c>
      <c r="D65" s="32" t="n">
        <v>1</v>
      </c>
      <c r="E65" s="32" t="inlineStr">
        <is>
          <t>u</t>
        </is>
      </c>
      <c r="F65" s="33" t="n">
        <v>0.0005</v>
      </c>
      <c r="G65" s="33">
        <f>D65*F65</f>
        <v/>
      </c>
      <c r="H65" s="32" t="inlineStr">
        <is>
          <t>Poliéster autoadhesivo impreso térmico</t>
        </is>
      </c>
      <c r="I65" s="17" t="inlineStr">
        <is>
          <t>45 × 25</t>
        </is>
      </c>
      <c r="J65" s="32" t="inlineStr">
        <is>
          <t>Compra</t>
        </is>
      </c>
      <c r="K65" s="32" t="inlineStr">
        <is>
          <t>Sí</t>
        </is>
      </c>
      <c r="L65" s="17" t="inlineStr">
        <is>
          <t>Astuprint</t>
        </is>
      </c>
      <c r="M65" s="17" t="inlineStr">
        <is>
          <t>GS1 Argentina</t>
        </is>
      </c>
      <c r="N65" s="17" t="inlineStr">
        <is>
          <t>22 Etiquetado (T07)</t>
        </is>
      </c>
      <c r="O65" s="17" t="inlineStr">
        <is>
          <t>GS1 Argentina (GTIN 779) · trazabilidad IRAM 3523 5.1</t>
        </is>
      </c>
      <c r="P65" s="32" t="inlineStr">
        <is>
          <t>P</t>
        </is>
      </c>
      <c r="Q65" s="32" t="inlineStr">
        <is>
          <t>FL_DES_ABC_25kg</t>
        </is>
      </c>
      <c r="R65" s="17" t="inlineStr">
        <is>
          <t>QR GTIN + serie</t>
        </is>
      </c>
    </row>
    <row r="66" outlineLevel="1">
      <c r="A66" s="32" t="n">
        <v>2</v>
      </c>
      <c r="B66" s="32" t="inlineStr">
        <is>
          <t>ABC25-37</t>
        </is>
      </c>
      <c r="C66" s="17" t="inlineStr">
        <is>
          <t xml:space="preserve">        Faja de garantía válvula-cuello</t>
        </is>
      </c>
      <c r="D66" s="32" t="n">
        <v>1</v>
      </c>
      <c r="E66" s="32" t="inlineStr">
        <is>
          <t>u</t>
        </is>
      </c>
      <c r="F66" s="33" t="n">
        <v>0.0002</v>
      </c>
      <c r="G66" s="33">
        <f>D66*F66</f>
        <v/>
      </c>
      <c r="H66" s="32" t="inlineStr">
        <is>
          <t>Vinilo destructible rayado rojo/blanco</t>
        </is>
      </c>
      <c r="I66" s="17" t="inlineStr">
        <is>
          <t>22 × 32 (ancho × largo desarrollado), pegada sobre la unión: cuerpo de la válvula, tuerca y cuello</t>
        </is>
      </c>
      <c r="J66" s="32" t="inlineStr">
        <is>
          <t>Compra</t>
        </is>
      </c>
      <c r="K66" s="32" t="inlineStr">
        <is>
          <t>Sí</t>
        </is>
      </c>
      <c r="L66" s="17" t="inlineStr">
        <is>
          <t>Astuprint</t>
        </is>
      </c>
      <c r="M66" s="17" t="inlineStr">
        <is>
          <t>Multilabel Argentina S.A.</t>
        </is>
      </c>
      <c r="N66" s="17" t="inlineStr">
        <is>
          <t>22 Etiquetado (T07)</t>
        </is>
      </c>
      <c r="O66" s="17" t="inlineStr">
        <is>
          <t>Sin norma: práctica de mercado (garantía de fábrica)</t>
        </is>
      </c>
      <c r="P66" s="32" t="inlineStr">
        <is>
          <t>P</t>
        </is>
      </c>
      <c r="Q66" s="32" t="inlineStr">
        <is>
          <t>FL_DES_ABC_25kg</t>
        </is>
      </c>
      <c r="R66" s="17" t="inlineStr">
        <is>
          <t>nuevo sin abrir</t>
        </is>
      </c>
    </row>
    <row r="67" outlineLevel="1">
      <c r="A67" s="32" t="n">
        <v>2</v>
      </c>
      <c r="B67" s="32" t="inlineStr">
        <is>
          <t>ABC25-38</t>
        </is>
      </c>
      <c r="C67" s="17" t="inlineStr">
        <is>
          <t xml:space="preserve">        Precinto de fábrica</t>
        </is>
      </c>
      <c r="D67" s="32" t="n">
        <v>1</v>
      </c>
      <c r="E67" s="32" t="inlineStr">
        <is>
          <t>u</t>
        </is>
      </c>
      <c r="F67" s="33" t="n">
        <v>0.0002</v>
      </c>
      <c r="G67" s="33">
        <f>D67*F67</f>
        <v/>
      </c>
      <c r="H67" s="32" t="inlineStr">
        <is>
          <t>Polipropileno color</t>
        </is>
      </c>
      <c r="I67" s="17" t="inlineStr">
        <is>
          <t>Ø5 × 10, numerado, rotura 30-50 N</t>
        </is>
      </c>
      <c r="J67" s="32" t="inlineStr">
        <is>
          <t>Compra</t>
        </is>
      </c>
      <c r="K67" s="32" t="inlineStr">
        <is>
          <t>Sí</t>
        </is>
      </c>
      <c r="L67" s="17" t="inlineStr">
        <is>
          <t>SonFuertes (vía Papelera Damián)</t>
        </is>
      </c>
      <c r="M67" s="17" t="inlineStr">
        <is>
          <t>Precinter S.R.L.</t>
        </is>
      </c>
      <c r="N67" s="17" t="inlineStr">
        <is>
          <t>20 Presurización (T05)</t>
        </is>
      </c>
      <c r="O67" s="17" t="inlineStr">
        <is>
          <t>IRAM 3523 3.3.2 · IRAM 3517-2:2020 9.4.13</t>
        </is>
      </c>
      <c r="P67" s="32" t="inlineStr">
        <is>
          <t>P</t>
        </is>
      </c>
      <c r="Q67" s="32" t="inlineStr">
        <is>
          <t>FL_DES_ABC_25kg</t>
        </is>
      </c>
      <c r="R67" s="17" t="inlineStr">
        <is>
          <t>id. FLAMA y lote</t>
        </is>
      </c>
    </row>
    <row r="68">
      <c r="A68" s="29" t="n">
        <v>1</v>
      </c>
      <c r="B68" s="29" t="inlineStr">
        <is>
          <t>ABC25-S7</t>
        </is>
      </c>
      <c r="C68" s="30" t="inlineStr">
        <is>
          <t xml:space="preserve">    Embalaje</t>
        </is>
      </c>
      <c r="D68" s="29" t="n">
        <v>1</v>
      </c>
      <c r="E68" s="29" t="inlineStr">
        <is>
          <t>u</t>
        </is>
      </c>
      <c r="F68" s="31" t="n"/>
      <c r="G68" s="31">
        <f>G71</f>
        <v/>
      </c>
      <c r="H68" s="29" t="n"/>
      <c r="I68" s="30" t="n"/>
      <c r="J68" s="29" t="inlineStr">
        <is>
          <t>Compra</t>
        </is>
      </c>
      <c r="K68" s="29" t="n"/>
      <c r="L68" s="30" t="n"/>
      <c r="M68" s="30" t="n"/>
      <c r="N68" s="30" t="inlineStr">
        <is>
          <t>23 Embalaje -&gt; 24 envolvedora (T11)</t>
        </is>
      </c>
      <c r="O68" s="30" t="n"/>
      <c r="P68" s="29" t="n"/>
      <c r="Q68" s="29" t="n"/>
      <c r="R68" s="30" t="n"/>
    </row>
    <row r="69" outlineLevel="1">
      <c r="A69" s="32" t="n">
        <v>2</v>
      </c>
      <c r="B69" s="32" t="inlineStr">
        <is>
          <t>ABC25-E1</t>
        </is>
      </c>
      <c r="C69" s="17" t="inlineStr">
        <is>
          <t xml:space="preserve">        Esquineros y funda de polietileno</t>
        </is>
      </c>
      <c r="D69" s="32" t="n">
        <v>1</v>
      </c>
      <c r="E69" s="32" t="inlineStr">
        <is>
          <t>jgo</t>
        </is>
      </c>
      <c r="F69" s="33" t="n"/>
      <c r="G69" s="33" t="n"/>
      <c r="H69" s="32" t="inlineStr">
        <is>
          <t>PE / cartón</t>
        </is>
      </c>
      <c r="I69" s="17" t="inlineStr">
        <is>
          <t>a medida de la envolvente del plano</t>
        </is>
      </c>
      <c r="J69" s="32" t="inlineStr">
        <is>
          <t>Compra</t>
        </is>
      </c>
      <c r="K69" s="32" t="inlineStr">
        <is>
          <t>Sí</t>
        </is>
      </c>
      <c r="L69" s="17" t="inlineStr">
        <is>
          <t>MV Embalajes</t>
        </is>
      </c>
      <c r="M69" s="17" t="inlineStr">
        <is>
          <t>Embalpack</t>
        </is>
      </c>
      <c r="N69" s="17" t="inlineStr">
        <is>
          <t>23 Embalaje</t>
        </is>
      </c>
      <c r="O69" s="17" t="n"/>
      <c r="P69" s="32" t="inlineStr">
        <is>
          <t>P</t>
        </is>
      </c>
      <c r="Q69" s="32" t="n"/>
      <c r="R69" s="17" t="inlineStr">
        <is>
          <t>Medida del plano</t>
        </is>
      </c>
    </row>
    <row r="70" outlineLevel="1">
      <c r="A70" s="32" t="n">
        <v>2</v>
      </c>
      <c r="B70" s="32" t="inlineStr">
        <is>
          <t>ABC25-E3</t>
        </is>
      </c>
      <c r="C70" s="17" t="inlineStr">
        <is>
          <t xml:space="preserve">        Pallet 1200 × 1000 (fracción)</t>
        </is>
      </c>
      <c r="D70" s="32" t="n">
        <v>0.5</v>
      </c>
      <c r="E70" s="32" t="inlineStr">
        <is>
          <t>u</t>
        </is>
      </c>
      <c r="F70" s="33" t="n"/>
      <c r="G70" s="33" t="n"/>
      <c r="H70" s="32" t="inlineStr">
        <is>
          <t>Madera</t>
        </is>
      </c>
      <c r="I70" s="17" t="inlineStr">
        <is>
          <t>2 u por pallet</t>
        </is>
      </c>
      <c r="J70" s="32" t="inlineStr">
        <is>
          <t>Compra</t>
        </is>
      </c>
      <c r="K70" s="32" t="inlineStr">
        <is>
          <t>Sí</t>
        </is>
      </c>
      <c r="L70" s="17" t="inlineStr">
        <is>
          <t>IndusPallets</t>
        </is>
      </c>
      <c r="M70" s="17" t="inlineStr">
        <is>
          <t>-</t>
        </is>
      </c>
      <c r="N70" s="17" t="inlineStr">
        <is>
          <t>23 Embalaje</t>
        </is>
      </c>
      <c r="O70" s="17" t="n"/>
      <c r="P70" s="32" t="inlineStr">
        <is>
          <t>C</t>
        </is>
      </c>
      <c r="Q70" s="32" t="n"/>
      <c r="R70" s="17" t="inlineStr">
        <is>
          <t>u por pallet = acomodo de la caja (plano) en 1200 × 1000 × 1450 de alto</t>
        </is>
      </c>
    </row>
    <row r="71" outlineLevel="1">
      <c r="A71" s="37" t="n">
        <v>2</v>
      </c>
      <c r="B71" s="37" t="inlineStr">
        <is>
          <t>ABC25-E4</t>
        </is>
      </c>
      <c r="C71" s="18" t="inlineStr">
        <is>
          <t xml:space="preserve">        Film stretch (fracción del pallet)</t>
        </is>
      </c>
      <c r="D71" s="37" t="n">
        <v>0.06</v>
      </c>
      <c r="E71" s="37" t="inlineStr">
        <is>
          <t>kg</t>
        </is>
      </c>
      <c r="F71" s="38" t="n">
        <v>1</v>
      </c>
      <c r="G71" s="38">
        <f>D71*F71</f>
        <v/>
      </c>
      <c r="H71" s="37" t="inlineStr">
        <is>
          <t>PE lineal 23 µm</t>
        </is>
      </c>
      <c r="I71" s="18" t="inlineStr">
        <is>
          <t>0,12 kg por pallet / 2 u</t>
        </is>
      </c>
      <c r="J71" s="37" t="inlineStr">
        <is>
          <t>Compra</t>
        </is>
      </c>
      <c r="K71" s="37" t="inlineStr">
        <is>
          <t>Sí</t>
        </is>
      </c>
      <c r="L71" s="18" t="inlineStr">
        <is>
          <t>MV Embalajes</t>
        </is>
      </c>
      <c r="M71" s="18" t="inlineStr">
        <is>
          <t>Embalpack</t>
        </is>
      </c>
      <c r="N71" s="18" t="inlineStr">
        <is>
          <t>24 Envolvedora (T11)</t>
        </is>
      </c>
      <c r="O71" s="18" t="n"/>
      <c r="P71" s="37" t="inlineStr">
        <is>
          <t>C</t>
        </is>
      </c>
      <c r="Q71" s="37" t="n"/>
      <c r="R7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2" outlineLevel="1">
      <c r="A72" s="32" t="n">
        <v>2</v>
      </c>
      <c r="B72" s="32" t="inlineStr">
        <is>
          <t>ABC25-E5</t>
        </is>
      </c>
      <c r="C72" s="17" t="inlineStr">
        <is>
          <t xml:space="preserve">        Etiqueta de pallet (lote y destino, fracción)</t>
        </is>
      </c>
      <c r="D72" s="32" t="n">
        <v>0.5</v>
      </c>
      <c r="E72" s="32" t="inlineStr">
        <is>
          <t>u</t>
        </is>
      </c>
      <c r="F72" s="33" t="n"/>
      <c r="G72" s="33" t="n"/>
      <c r="H72" s="32" t="inlineStr">
        <is>
          <t>Papel térmico</t>
        </is>
      </c>
      <c r="I72" s="17" t="inlineStr">
        <is>
          <t>100 × 150</t>
        </is>
      </c>
      <c r="J72" s="32" t="inlineStr">
        <is>
          <t>Compra</t>
        </is>
      </c>
      <c r="K72" s="32" t="inlineStr">
        <is>
          <t>Sí</t>
        </is>
      </c>
      <c r="L72" s="17" t="inlineStr">
        <is>
          <t>Astuprint</t>
        </is>
      </c>
      <c r="M72" s="17" t="inlineStr">
        <is>
          <t>Multilabel Argentina S.A.</t>
        </is>
      </c>
      <c r="N72" s="17" t="inlineStr">
        <is>
          <t>24 Envolvedora</t>
        </is>
      </c>
      <c r="O72" s="17" t="n"/>
      <c r="P72" s="32" t="inlineStr">
        <is>
          <t>C</t>
        </is>
      </c>
      <c r="Q72" s="32" t="n"/>
      <c r="R72" s="17" t="n"/>
    </row>
  </sheetData>
  <autoFilter ref="A10:R72"/>
  <pageMargins left="0.75" right="0.75" top="1" bottom="1" header="0.5" footer="0.5"/>
  <pageSetup orientation="landscape" fitToHeight="0" fitToWidth="1"/>
</worksheet>
</file>

<file path=xl/worksheets/sheet30.xml><?xml version="1.0" encoding="utf-8"?>
<worksheet xmlns="http://schemas.openxmlformats.org/spreadsheetml/2006/main">
  <sheetPr>
    <tabColor rgb="007F1D1D"/>
    <outlinePr summaryBelow="0" summaryRight="1"/>
    <pageSetUpPr fitToPage="1"/>
  </sheetPr>
  <dimension ref="A1:R71"/>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FL_MAT_ABC_50kg</t>
        </is>
      </c>
    </row>
    <row r="2">
      <c r="A2" s="58" t="inlineStr">
        <is>
          <t>Extintor ABC 50 kg sobre ruedas</t>
        </is>
      </c>
    </row>
    <row r="3">
      <c r="A3" s="2" t="inlineStr">
        <is>
          <t>Plano de origen</t>
        </is>
      </c>
      <c r="C3" t="inlineStr">
        <is>
          <t>FL_MAT_ABC_50kg  (4 láminas)</t>
        </is>
      </c>
      <c r="E3" s="2" t="inlineStr">
        <is>
          <t>Peso vacío S1-S4 (kg)</t>
        </is>
      </c>
      <c r="G3" s="59">
        <f>G12+G21+G36+G42</f>
        <v/>
      </c>
    </row>
    <row r="4">
      <c r="A4" s="2" t="inlineStr">
        <is>
          <t>Plano de despiece</t>
        </is>
      </c>
      <c r="C4" t="inlineStr">
        <is>
          <t>FL_DES_ABC_50kg (salida/despiece/)</t>
        </is>
      </c>
      <c r="E4" s="2" t="inlineStr">
        <is>
          <t>Peso cargado S1-S6 (kg)</t>
        </is>
      </c>
      <c r="G4" s="59">
        <f>G12+G21+G36+G42+G56+G59</f>
        <v/>
      </c>
    </row>
    <row r="5">
      <c r="A5" s="2" t="inlineStr">
        <is>
          <t>Norma del producto</t>
        </is>
      </c>
      <c r="C5" t="inlineStr">
        <is>
          <t>IRAM 3550</t>
        </is>
      </c>
      <c r="E5" s="2" t="inlineStr">
        <is>
          <t>Peso con soporte y embalaje (kg)</t>
        </is>
      </c>
      <c r="G5" s="59">
        <f>G12+G21+G36+G42+G56+G59+G67</f>
        <v/>
      </c>
    </row>
    <row r="6">
      <c r="A6" s="2" t="inlineStr">
        <is>
          <t>Fabricación</t>
        </is>
      </c>
      <c r="C6" t="inlineStr">
        <is>
          <t>Fabricación propia</t>
        </is>
      </c>
      <c r="E6" s="2" t="inlineStr">
        <is>
          <t>Desvío cargado vs referencia</t>
        </is>
      </c>
      <c r="G6" s="24">
        <f>G4/C7-1</f>
        <v/>
      </c>
    </row>
    <row r="7">
      <c r="A7" s="2" t="inlineStr">
        <is>
          <t>Peso cargado de referencia (kg)</t>
        </is>
      </c>
      <c r="C7" t="n">
        <v>94</v>
      </c>
      <c r="E7" s="60" t="inlineStr">
        <is>
          <t>Referencia: Plano Fadesa «Extintor rodante 50 kg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FL_MAT_ABC_50kg</t>
        </is>
      </c>
      <c r="C11" s="27" t="inlineStr">
        <is>
          <t>Extintor ABC 50 kg sobre ruedas</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FL_MAT_ABC_50kg</t>
        </is>
      </c>
      <c r="R11" s="27" t="inlineStr">
        <is>
          <t>Fabricación propia</t>
        </is>
      </c>
    </row>
    <row r="12">
      <c r="A12" s="29" t="n">
        <v>1</v>
      </c>
      <c r="B12" s="29" t="inlineStr">
        <is>
          <t>FL_REC_ABC_50kg</t>
        </is>
      </c>
      <c r="C12" s="30" t="inlineStr">
        <is>
          <t xml:space="preserve">    Recipiente (cilindro)</t>
        </is>
      </c>
      <c r="D12" s="29" t="n">
        <v>1</v>
      </c>
      <c r="E12" s="29" t="inlineStr">
        <is>
          <t>u</t>
        </is>
      </c>
      <c r="F12" s="31" t="n"/>
      <c r="G12" s="31">
        <f>G13+G15+G16+G17+G18</f>
        <v/>
      </c>
      <c r="H12" s="29" t="n"/>
      <c r="I12" s="30" t="n"/>
      <c r="J12" s="29" t="inlineStr">
        <is>
          <t>Fabricación</t>
        </is>
      </c>
      <c r="K12" s="29" t="n"/>
      <c r="L12" s="30" t="n"/>
      <c r="M12" s="30" t="n"/>
      <c r="N12" s="30" t="n"/>
      <c r="O12" s="30" t="inlineStr">
        <is>
          <t>IRAM 3523 / 3550 (recipiente)</t>
        </is>
      </c>
      <c r="P12" s="29" t="inlineStr">
        <is>
          <t>P</t>
        </is>
      </c>
      <c r="Q12" s="29" t="inlineStr">
        <is>
          <t>FL_REC_ABC_50kg</t>
        </is>
      </c>
      <c r="R12" s="30" t="n"/>
    </row>
    <row r="13" outlineLevel="1">
      <c r="A13" s="32" t="n">
        <v>2</v>
      </c>
      <c r="B13" s="32" t="inlineStr">
        <is>
          <t>ABC50-01</t>
        </is>
      </c>
      <c r="C13" s="17" t="inlineStr">
        <is>
          <t xml:space="preserve">        Cuerpo (virola)</t>
        </is>
      </c>
      <c r="D13" s="32" t="n">
        <v>1</v>
      </c>
      <c r="E13" s="32" t="inlineStr">
        <is>
          <t>u</t>
        </is>
      </c>
      <c r="F13" s="33" t="n">
        <v>16.0005</v>
      </c>
      <c r="G13" s="33">
        <f>D13*F13</f>
        <v/>
      </c>
      <c r="H13" s="32" t="inlineStr">
        <is>
          <t>Chapa LAC IRAM-IAS U 500-04 e=3,2</t>
        </is>
      </c>
      <c r="I13" s="17" t="inlineStr">
        <is>
          <t>Ø320 × e3,2 × 640 de alto; desarrollo 995,3 × 640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O13" s="17" t="n"/>
      <c r="P13" s="32" t="inlineStr">
        <is>
          <t>P</t>
        </is>
      </c>
      <c r="Q13" s="32" t="inlineStr">
        <is>
          <t>FL_DES_ABC_50kg</t>
        </is>
      </c>
      <c r="R13" s="17" t="inlineStr">
        <is>
          <t>costura long. MAG</t>
        </is>
      </c>
    </row>
    <row r="14" outlineLevel="2">
      <c r="A14" s="34" t="n">
        <v>3</v>
      </c>
      <c r="B14" s="34" t="inlineStr">
        <is>
          <t>MP-HOJA</t>
        </is>
      </c>
      <c r="C14" s="35" t="inlineStr">
        <is>
          <t xml:space="preserve">            Recorte de hoja LAC 1500 × 3000 e=3,2</t>
        </is>
      </c>
      <c r="D14" s="34" t="n">
        <v>1</v>
      </c>
      <c r="E14" s="34" t="inlineStr">
        <is>
          <t>u</t>
        </is>
      </c>
      <c r="F14" s="36" t="n">
        <v>18.845</v>
      </c>
      <c r="G14" s="36">
        <f>D14*F14</f>
        <v/>
      </c>
      <c r="H14" s="34" t="inlineStr">
        <is>
          <t>Chapa LAC IRAM-IAS U 500-04 LAC</t>
        </is>
      </c>
      <c r="I14" s="35" t="inlineStr">
        <is>
          <t>640 × 994 (aprovech. 84,8 %)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ABC50-02</t>
        </is>
      </c>
      <c r="C15" s="17" t="inlineStr">
        <is>
          <t xml:space="preserve">        Cúpula</t>
        </is>
      </c>
      <c r="D15" s="32" t="n">
        <v>1</v>
      </c>
      <c r="E15" s="32" t="inlineStr">
        <is>
          <t>u</t>
        </is>
      </c>
      <c r="F15" s="33" t="n">
        <v>3.1376</v>
      </c>
      <c r="G15" s="33">
        <f>D15*F15</f>
        <v/>
      </c>
      <c r="H15" s="32" t="inlineStr">
        <is>
          <t>Chapa LAC IRAM-IAS U 500-04 e=3,2</t>
        </is>
      </c>
      <c r="I15" s="17" t="inlineStr">
        <is>
          <t>Ø320 × e3,2 × 109,9 de alto; disco Ø410,8</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 -&gt; 11 marcado (estampado en arco junto al cuello)</t>
        </is>
      </c>
      <c r="O15" s="17" t="n"/>
      <c r="P15" s="32" t="inlineStr">
        <is>
          <t>P</t>
        </is>
      </c>
      <c r="Q15" s="32" t="inlineStr">
        <is>
          <t>FL_DES_ABC_50kg</t>
        </is>
      </c>
      <c r="R15" s="17" t="inlineStr">
        <is>
          <t>embutida</t>
        </is>
      </c>
    </row>
    <row r="16" outlineLevel="1">
      <c r="A16" s="32" t="n">
        <v>2</v>
      </c>
      <c r="B16" s="32" t="inlineStr">
        <is>
          <t>ABC50-03</t>
        </is>
      </c>
      <c r="C16" s="17" t="inlineStr">
        <is>
          <t xml:space="preserve">        Fondo</t>
        </is>
      </c>
      <c r="D16" s="32" t="n">
        <v>1</v>
      </c>
      <c r="E16" s="32" t="inlineStr">
        <is>
          <t>u</t>
        </is>
      </c>
      <c r="F16" s="33" t="n">
        <v>3.3358</v>
      </c>
      <c r="G16" s="33">
        <f>D16*F16</f>
        <v/>
      </c>
      <c r="H16" s="32" t="inlineStr">
        <is>
          <t>Chapa LAC IRAM-IAS U 500-04 e=3,2</t>
        </is>
      </c>
      <c r="I16" s="17" t="inlineStr">
        <is>
          <t>Ø320 × e3,2 × 113 de alto; disco Ø423,5</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FL_DES_ABC_50kg</t>
        </is>
      </c>
      <c r="R16" s="17" t="inlineStr">
        <is>
          <t>embutido</t>
        </is>
      </c>
    </row>
    <row r="17" outlineLevel="1">
      <c r="A17" s="32" t="n">
        <v>2</v>
      </c>
      <c r="B17" s="32" t="inlineStr">
        <is>
          <t>ABC50-04</t>
        </is>
      </c>
      <c r="C17" s="17" t="inlineStr">
        <is>
          <t xml:space="preserve">        Cuello roscado</t>
        </is>
      </c>
      <c r="D17" s="32" t="n">
        <v>1</v>
      </c>
      <c r="E17" s="32" t="inlineStr">
        <is>
          <t>u</t>
        </is>
      </c>
      <c r="F17" s="33" t="n">
        <v>0.6084000000000001</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FL_DES_ABC_50kg</t>
        </is>
      </c>
      <c r="R17" s="17" t="inlineStr">
        <is>
          <t>RBSP 2 1/2"-11 h</t>
        </is>
      </c>
    </row>
    <row r="18" outlineLevel="1">
      <c r="A18" s="37" t="n">
        <v>2</v>
      </c>
      <c r="B18" s="37" t="inlineStr">
        <is>
          <t>ABC50-C1</t>
        </is>
      </c>
      <c r="C18" s="18" t="inlineStr">
        <is>
          <t xml:space="preserve">        Alambre MAG ER70S-6 Ø1,0 (AWS A5.18)</t>
        </is>
      </c>
      <c r="D18" s="37" t="n">
        <v>0.4262</v>
      </c>
      <c r="E18" s="37" t="inlineStr">
        <is>
          <t>kg</t>
        </is>
      </c>
      <c r="F18" s="38" t="n">
        <v>0.95</v>
      </c>
      <c r="G18" s="38">
        <f>D18*F18</f>
        <v/>
      </c>
      <c r="H18" s="37" t="inlineStr">
        <is>
          <t>ER70S-6</t>
        </is>
      </c>
      <c r="I18" s="18" t="inlineStr">
        <is>
          <t>metal depositado de los cordones del plano 405 g / rendimiento 0,95</t>
        </is>
      </c>
      <c r="J18" s="37" t="inlineStr">
        <is>
          <t>Compra</t>
        </is>
      </c>
      <c r="K18" s="37" t="inlineStr">
        <is>
          <t>Sí</t>
        </is>
      </c>
      <c r="L18" s="18" t="inlineStr">
        <is>
          <t>Conarco (ESAB Argentina)</t>
        </is>
      </c>
      <c r="M18" s="18" t="inlineStr">
        <is>
          <t>-</t>
        </is>
      </c>
      <c r="N18" s="18" t="inlineStr">
        <is>
          <t>5 sold. long. / 6 cupla / 7 circunferencial</t>
        </is>
      </c>
      <c r="O18" s="18" t="inlineStr">
        <is>
          <t>IRAM 3523 3.2.4.2 · IRAM 3550 4.1.2</t>
        </is>
      </c>
      <c r="P18" s="37" t="inlineStr">
        <is>
          <t>C</t>
        </is>
      </c>
      <c r="Q18" s="37" t="n"/>
      <c r="R18"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9" outlineLevel="1">
      <c r="A19" s="37" t="n">
        <v>2</v>
      </c>
      <c r="B19" s="37" t="inlineStr">
        <is>
          <t>ABC50-C2</t>
        </is>
      </c>
      <c r="C19" s="18" t="inlineStr">
        <is>
          <t xml:space="preserve">        Gas de protección MAG Arcal 21 / ARCAL Speed (Ar + 8 % CO₂, M20)</t>
        </is>
      </c>
      <c r="D19" s="37" t="n">
        <v>68.3</v>
      </c>
      <c r="E19" s="37" t="inlineStr">
        <is>
          <t>L</t>
        </is>
      </c>
      <c r="F19" s="38" t="n"/>
      <c r="G19" s="38" t="n"/>
      <c r="H19" s="37" t="inlineStr">
        <is>
          <t>EN ISO 14175 M20-ArC-8</t>
        </is>
      </c>
      <c r="I19" s="18" t="inlineStr">
        <is>
          <t>14 L/min × 4,88 min de arco (cordones 2.927 mm: long. 640 + circ. 2.011 + cuello 276, a 600 mm/min)</t>
        </is>
      </c>
      <c r="J19" s="37" t="inlineStr">
        <is>
          <t>Compra</t>
        </is>
      </c>
      <c r="K19" s="37" t="inlineStr">
        <is>
          <t>Sí</t>
        </is>
      </c>
      <c r="L19" s="18" t="inlineStr">
        <is>
          <t>Air Liquide Argentina - sucursal Piñeyro</t>
        </is>
      </c>
      <c r="M19" s="18" t="inlineStr">
        <is>
          <t>Gogniat</t>
        </is>
      </c>
      <c r="N19" s="18" t="inlineStr">
        <is>
          <t>Colector SC</t>
        </is>
      </c>
      <c r="O19" s="18" t="inlineStr">
        <is>
          <t>IRAM 3523 3.2.4.2 · IRAM 3550 3.2.2.2</t>
        </is>
      </c>
      <c r="P19" s="37" t="inlineStr">
        <is>
          <t>C</t>
        </is>
      </c>
      <c r="Q19" s="37" t="n"/>
      <c r="R19"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0" outlineLevel="1">
      <c r="A20" s="32" t="n">
        <v>2</v>
      </c>
      <c r="B20" s="32" t="inlineStr">
        <is>
          <t>ABC50-C4</t>
        </is>
      </c>
      <c r="C20" s="17" t="inlineStr">
        <is>
          <t xml:space="preserve">        Servicio de pintura en polvo al horno, rojo 03-1-050 (con preparación por quemado)</t>
        </is>
      </c>
      <c r="D20" s="32" t="n">
        <v>1</v>
      </c>
      <c r="E20" s="32" t="inlineStr">
        <is>
          <t>u</t>
        </is>
      </c>
      <c r="F20" s="33" t="n"/>
      <c r="G20" s="33" t="n"/>
      <c r="H20" s="32" t="inlineStr">
        <is>
          <t>Servicio tercerizado</t>
        </is>
      </c>
      <c r="I20" s="17" t="inlineStr">
        <is>
          <t>superficie exterior 0,895 m²</t>
        </is>
      </c>
      <c r="J20" s="32" t="inlineStr">
        <is>
          <t>Compra (servicio)</t>
        </is>
      </c>
      <c r="K20" s="32" t="inlineStr">
        <is>
          <t>Sí</t>
        </is>
      </c>
      <c r="L20" s="17" t="inlineStr">
        <is>
          <t>Pintor de carros (cotización por mensaje)</t>
        </is>
      </c>
      <c r="M20" s="17" t="inlineStr">
        <is>
          <t>Prymax</t>
        </is>
      </c>
      <c r="N20" s="17" t="inlineStr">
        <is>
          <t>17 Pintura tercerizada</t>
        </is>
      </c>
      <c r="O20" s="17" t="inlineStr">
        <is>
          <t>IRAM 3523 5.3 / IRAM 3550 3.11 · IRAM 121</t>
        </is>
      </c>
      <c r="P20" s="32" t="inlineStr">
        <is>
          <t>Q</t>
        </is>
      </c>
      <c r="Q20" s="32" t="n"/>
      <c r="R20" s="17" t="inlineStr">
        <is>
          <t>Q-CARROS (precio por carro); exigir informe de niebla salina del sistema de pintura; tercerización aceptada por el Ministerio (Res. 349/07 art. 18)</t>
        </is>
      </c>
    </row>
    <row r="21">
      <c r="A21" s="29" t="n">
        <v>1</v>
      </c>
      <c r="B21" s="29" t="inlineStr">
        <is>
          <t>ABC50-S2</t>
        </is>
      </c>
      <c r="C21" s="30" t="inlineStr">
        <is>
          <t xml:space="preserve">    Conjunto de válvula</t>
        </is>
      </c>
      <c r="D21" s="29" t="n">
        <v>1</v>
      </c>
      <c r="E21" s="29" t="inlineStr">
        <is>
          <t>u</t>
        </is>
      </c>
      <c r="F21" s="31" t="n"/>
      <c r="G21" s="31">
        <f>G22+G23+G24+G26+G27+G28+G29+G30+G31+G32</f>
        <v/>
      </c>
      <c r="H21" s="29" t="n"/>
      <c r="I21" s="30" t="n"/>
      <c r="J21" s="29" t="inlineStr">
        <is>
          <t>Compra / armado</t>
        </is>
      </c>
      <c r="K21" s="29" t="n"/>
      <c r="L21" s="30" t="n"/>
      <c r="M21" s="30" t="n"/>
      <c r="N21" s="30" t="n"/>
      <c r="O21" s="30" t="inlineStr">
        <is>
          <t>Manómetro IRAM 3533</t>
        </is>
      </c>
      <c r="P21" s="29" t="inlineStr">
        <is>
          <t>P</t>
        </is>
      </c>
      <c r="Q21" s="29" t="inlineStr">
        <is>
          <t>FL_DES_ABC_50kg</t>
        </is>
      </c>
      <c r="R21" s="30" t="n"/>
    </row>
    <row r="22" outlineLevel="1">
      <c r="A22" s="32" t="n">
        <v>2</v>
      </c>
      <c r="B22" s="32" t="inlineStr">
        <is>
          <t>ABC50-14</t>
        </is>
      </c>
      <c r="C22" s="17" t="inlineStr">
        <is>
          <t xml:space="preserve">        Espiga roscada</t>
        </is>
      </c>
      <c r="D22" s="32" t="n">
        <v>1</v>
      </c>
      <c r="E22" s="32" t="inlineStr">
        <is>
          <t>u</t>
        </is>
      </c>
      <c r="F22" s="33" t="n">
        <v>0.1296</v>
      </c>
      <c r="G22" s="33">
        <f>D22*F22</f>
        <v/>
      </c>
      <c r="H22" s="32" t="inlineStr">
        <is>
          <t>Latón forjado</t>
        </is>
      </c>
      <c r="I22" s="17" t="inlineStr">
        <is>
          <t>75 × 75 × 17,6</t>
        </is>
      </c>
      <c r="J22" s="32" t="inlineStr">
        <is>
          <t>Incluido en válvula HZ</t>
        </is>
      </c>
      <c r="K22" s="32" t="inlineStr">
        <is>
          <t>No</t>
        </is>
      </c>
      <c r="L22" s="17" t="n"/>
      <c r="M22" s="17" t="n"/>
      <c r="N22" s="17" t="inlineStr">
        <is>
          <t>13 carga de polvo y N₂: armado de válvula</t>
        </is>
      </c>
      <c r="O22" s="17" t="n"/>
      <c r="P22" s="32" t="inlineStr">
        <is>
          <t>P</t>
        </is>
      </c>
      <c r="Q22" s="32" t="inlineStr">
        <is>
          <t>FL_DES_ABC_50kg</t>
        </is>
      </c>
      <c r="R22" s="17" t="n"/>
    </row>
    <row r="23" outlineLevel="1">
      <c r="A23" s="32" t="n">
        <v>2</v>
      </c>
      <c r="B23" s="32" t="inlineStr">
        <is>
          <t>ABC50-15</t>
        </is>
      </c>
      <c r="C23" s="17" t="inlineStr">
        <is>
          <t xml:space="preserve">        Collarín de válvula</t>
        </is>
      </c>
      <c r="D23" s="32" t="n">
        <v>1</v>
      </c>
      <c r="E23" s="32" t="inlineStr">
        <is>
          <t>u</t>
        </is>
      </c>
      <c r="F23" s="33" t="n">
        <v>0.189</v>
      </c>
      <c r="G23" s="33">
        <f>D23*F23</f>
        <v/>
      </c>
      <c r="H23" s="32" t="inlineStr">
        <is>
          <t>Latón forjado</t>
        </is>
      </c>
      <c r="I23" s="17" t="inlineStr">
        <is>
          <t>83 × 83 × 12</t>
        </is>
      </c>
      <c r="J23" s="32" t="inlineStr">
        <is>
          <t>Incluido en válvula HZ</t>
        </is>
      </c>
      <c r="K23" s="32" t="inlineStr">
        <is>
          <t>No</t>
        </is>
      </c>
      <c r="L23" s="17" t="n"/>
      <c r="M23" s="17" t="n"/>
      <c r="N23" s="17" t="inlineStr">
        <is>
          <t>13 carga de polvo y N₂: armado de válvula</t>
        </is>
      </c>
      <c r="O23" s="17" t="n"/>
      <c r="P23" s="32" t="inlineStr">
        <is>
          <t>P</t>
        </is>
      </c>
      <c r="Q23" s="32" t="inlineStr">
        <is>
          <t>FL_DES_ABC_50kg</t>
        </is>
      </c>
      <c r="R23" s="17" t="n"/>
    </row>
    <row r="24" outlineLevel="1">
      <c r="A24" s="32" t="n">
        <v>2</v>
      </c>
      <c r="B24" s="32" t="inlineStr">
        <is>
          <t>ABC50-16</t>
        </is>
      </c>
      <c r="C24" s="17" t="inlineStr">
        <is>
          <t xml:space="preserve">        Cuerpo de válvula</t>
        </is>
      </c>
      <c r="D24" s="32" t="n">
        <v>1</v>
      </c>
      <c r="E24" s="32" t="inlineStr">
        <is>
          <t>u</t>
        </is>
      </c>
      <c r="F24" s="33" t="n">
        <v>0.9186</v>
      </c>
      <c r="G24" s="33">
        <f>D24*F24</f>
        <v/>
      </c>
      <c r="H24" s="32" t="inlineStr">
        <is>
          <t>Latón forjado</t>
        </is>
      </c>
      <c r="I24" s="17" t="inlineStr">
        <is>
          <t>68 × 67 × 44</t>
        </is>
      </c>
      <c r="J24" s="32" t="inlineStr">
        <is>
          <t>Incluido en válvula HZ</t>
        </is>
      </c>
      <c r="K24" s="32" t="inlineStr">
        <is>
          <t>No</t>
        </is>
      </c>
      <c r="L24" s="17" t="n"/>
      <c r="M24" s="17" t="n"/>
      <c r="N24" s="17" t="inlineStr">
        <is>
          <t>13 carga de polvo y N₂: armado de válvula</t>
        </is>
      </c>
      <c r="O24" s="17" t="n"/>
      <c r="P24" s="32" t="inlineStr">
        <is>
          <t>P</t>
        </is>
      </c>
      <c r="Q24" s="32" t="inlineStr">
        <is>
          <t>FL_DES_ABC_50kg</t>
        </is>
      </c>
      <c r="R24" s="17" t="n"/>
    </row>
    <row r="25" outlineLevel="1">
      <c r="A25" s="41" t="n">
        <v>2</v>
      </c>
      <c r="B25" s="41" t="inlineStr">
        <is>
          <t>ABC50-17</t>
        </is>
      </c>
      <c r="C25" s="42" t="inlineStr">
        <is>
          <t xml:space="preserve">        Manómetro</t>
        </is>
      </c>
      <c r="D25" s="41" t="n">
        <v>1</v>
      </c>
      <c r="E25" s="41" t="inlineStr">
        <is>
          <t>u</t>
        </is>
      </c>
      <c r="F25" s="43" t="n"/>
      <c r="G25" s="43" t="n"/>
      <c r="H25" s="41" t="inlineStr">
        <is>
          <t>Comercial</t>
        </is>
      </c>
      <c r="I25" s="42" t="inlineStr">
        <is>
          <t>Ø47 esfera, rango 0-3,5 MPa, sector verde en 1,4</t>
        </is>
      </c>
      <c r="J25" s="41" t="inlineStr">
        <is>
          <t>Compra</t>
        </is>
      </c>
      <c r="K25" s="41" t="inlineStr">
        <is>
          <t>Sí</t>
        </is>
      </c>
      <c r="L25" s="42" t="inlineStr">
        <is>
          <t>Yukon / MatafuegosYa S.R.L.</t>
        </is>
      </c>
      <c r="M25" s="42" t="inlineStr">
        <is>
          <t>Matafuegos Iglesias</t>
        </is>
      </c>
      <c r="N25" s="42" t="inlineStr">
        <is>
          <t>13 carga de polvo y N₂: armado de válvula</t>
        </is>
      </c>
      <c r="O25" s="42" t="inlineStr">
        <is>
          <t>IRAM 3533</t>
        </is>
      </c>
      <c r="P25" s="41" t="inlineStr">
        <is>
          <t>P</t>
        </is>
      </c>
      <c r="Q25" s="41" t="inlineStr">
        <is>
          <t>FL_DES_ABC_50kg</t>
        </is>
      </c>
      <c r="R25" s="42" t="inlineStr">
        <is>
          <t>Pieza comercial; sello IRAM 3533; peso: completar con la ficha del proveedor (no afecta el MRP)</t>
        </is>
      </c>
    </row>
    <row r="26" outlineLevel="1">
      <c r="A26" s="32" t="n">
        <v>2</v>
      </c>
      <c r="B26" s="32" t="inlineStr">
        <is>
          <t>ABC50-18</t>
        </is>
      </c>
      <c r="C26" s="17" t="inlineStr">
        <is>
          <t xml:space="preserve">        Vástago</t>
        </is>
      </c>
      <c r="D26" s="32" t="n">
        <v>1</v>
      </c>
      <c r="E26" s="32" t="inlineStr">
        <is>
          <t>u</t>
        </is>
      </c>
      <c r="F26" s="33" t="n">
        <v>0.0313</v>
      </c>
      <c r="G26" s="33">
        <f>D26*F26</f>
        <v/>
      </c>
      <c r="H26" s="32" t="inlineStr">
        <is>
          <t>Latón</t>
        </is>
      </c>
      <c r="I26" s="17" t="inlineStr">
        <is>
          <t>38,8 × 20 × 20</t>
        </is>
      </c>
      <c r="J26" s="32" t="inlineStr">
        <is>
          <t>Incluido en válvula HZ</t>
        </is>
      </c>
      <c r="K26" s="32" t="inlineStr">
        <is>
          <t>No</t>
        </is>
      </c>
      <c r="L26" s="17" t="n"/>
      <c r="M26" s="17" t="n"/>
      <c r="N26" s="17" t="inlineStr">
        <is>
          <t>13 carga de polvo y N₂: armado de válvula</t>
        </is>
      </c>
      <c r="O26" s="17" t="n"/>
      <c r="P26" s="32" t="inlineStr">
        <is>
          <t>P</t>
        </is>
      </c>
      <c r="Q26" s="32" t="inlineStr">
        <is>
          <t>FL_DES_ABC_50kg</t>
        </is>
      </c>
      <c r="R26" s="17" t="inlineStr">
        <is>
          <t>con junta tórica</t>
        </is>
      </c>
    </row>
    <row r="27" outlineLevel="1">
      <c r="A27" s="32" t="n">
        <v>2</v>
      </c>
      <c r="B27" s="32" t="inlineStr">
        <is>
          <t>ABC50-19</t>
        </is>
      </c>
      <c r="C27" s="17" t="inlineStr">
        <is>
          <t xml:space="preserve">        Resorte de válvula</t>
        </is>
      </c>
      <c r="D27" s="32" t="n">
        <v>1</v>
      </c>
      <c r="E27" s="32" t="inlineStr">
        <is>
          <t>u</t>
        </is>
      </c>
      <c r="F27" s="33" t="n">
        <v>0.0094</v>
      </c>
      <c r="G27" s="33">
        <f>D27*F27</f>
        <v/>
      </c>
      <c r="H27" s="32" t="inlineStr">
        <is>
          <t>Alambre acero inox. AISI 302</t>
        </is>
      </c>
      <c r="I27" s="17" t="inlineStr">
        <is>
          <t>35 × 27 × 27</t>
        </is>
      </c>
      <c r="J27" s="32" t="inlineStr">
        <is>
          <t>Incluido en válvula HZ</t>
        </is>
      </c>
      <c r="K27" s="32" t="inlineStr">
        <is>
          <t>No</t>
        </is>
      </c>
      <c r="L27" s="17" t="n"/>
      <c r="M27" s="17" t="n"/>
      <c r="N27" s="17" t="inlineStr">
        <is>
          <t>13 carga de polvo y N₂: armado de válvula</t>
        </is>
      </c>
      <c r="O27" s="17" t="n"/>
      <c r="P27" s="32" t="inlineStr">
        <is>
          <t>P</t>
        </is>
      </c>
      <c r="Q27" s="32" t="inlineStr">
        <is>
          <t>FL_DES_ABC_50kg</t>
        </is>
      </c>
      <c r="R27" s="17" t="inlineStr">
        <is>
          <t>cierre del vástago</t>
        </is>
      </c>
    </row>
    <row r="28" outlineLevel="1">
      <c r="A28" s="32" t="n">
        <v>2</v>
      </c>
      <c r="B28" s="32" t="inlineStr">
        <is>
          <t>ABC50-20</t>
        </is>
      </c>
      <c r="C28" s="17" t="inlineStr">
        <is>
          <t xml:space="preserve">        Palanca de accionamiento</t>
        </is>
      </c>
      <c r="D28" s="32" t="n">
        <v>1</v>
      </c>
      <c r="E28" s="32" t="inlineStr">
        <is>
          <t>u</t>
        </is>
      </c>
      <c r="F28" s="33" t="n">
        <v>0.28</v>
      </c>
      <c r="G28" s="33">
        <f>D28*F28</f>
        <v/>
      </c>
      <c r="H28" s="32" t="inlineStr">
        <is>
          <t>Planchuela acero SAE 1010 10 × 16 pintada</t>
        </is>
      </c>
      <c r="I28" s="17" t="inlineStr">
        <is>
          <t>142,8 × 44 × 37,3</t>
        </is>
      </c>
      <c r="J28" s="32" t="inlineStr">
        <is>
          <t>Incluido en válvula HZ</t>
        </is>
      </c>
      <c r="K28" s="32" t="inlineStr">
        <is>
          <t>No</t>
        </is>
      </c>
      <c r="L28" s="17" t="n"/>
      <c r="M28" s="17" t="n"/>
      <c r="N28" s="17" t="inlineStr">
        <is>
          <t>13 carga de polvo y N₂: armado de válvula</t>
        </is>
      </c>
      <c r="O28" s="17" t="n"/>
      <c r="P28" s="32" t="inlineStr">
        <is>
          <t>P</t>
        </is>
      </c>
      <c r="Q28" s="32" t="inlineStr">
        <is>
          <t>FL_DES_ABC_50kg</t>
        </is>
      </c>
      <c r="R28" s="17" t="n"/>
    </row>
    <row r="29" outlineLevel="1">
      <c r="A29" s="32" t="n">
        <v>2</v>
      </c>
      <c r="B29" s="32" t="inlineStr">
        <is>
          <t>ABC50-21</t>
        </is>
      </c>
      <c r="C29" s="17" t="inlineStr">
        <is>
          <t xml:space="preserve">        Eje de palanca</t>
        </is>
      </c>
      <c r="D29" s="32" t="n">
        <v>1</v>
      </c>
      <c r="E29" s="32" t="inlineStr">
        <is>
          <t>u</t>
        </is>
      </c>
      <c r="F29" s="33" t="n">
        <v>0.0187</v>
      </c>
      <c r="G29" s="33">
        <f>D29*F29</f>
        <v/>
      </c>
      <c r="H29" s="32" t="inlineStr">
        <is>
          <t>Acero inox. AISI 304</t>
        </is>
      </c>
      <c r="I29" s="17" t="inlineStr">
        <is>
          <t>47 × 8 × 8</t>
        </is>
      </c>
      <c r="J29" s="32" t="inlineStr">
        <is>
          <t>Incluido en válvula HZ</t>
        </is>
      </c>
      <c r="K29" s="32" t="inlineStr">
        <is>
          <t>No</t>
        </is>
      </c>
      <c r="L29" s="17" t="n"/>
      <c r="M29" s="17" t="n"/>
      <c r="N29" s="17" t="inlineStr">
        <is>
          <t>13 carga de polvo y N₂: armado de válvula</t>
        </is>
      </c>
      <c r="O29" s="17" t="n"/>
      <c r="P29" s="32" t="inlineStr">
        <is>
          <t>P</t>
        </is>
      </c>
      <c r="Q29" s="32" t="inlineStr">
        <is>
          <t>FL_DES_ABC_50kg</t>
        </is>
      </c>
      <c r="R29" s="17" t="n"/>
    </row>
    <row r="30" outlineLevel="1">
      <c r="A30" s="32" t="n">
        <v>2</v>
      </c>
      <c r="B30" s="32" t="inlineStr">
        <is>
          <t>ABC50-22</t>
        </is>
      </c>
      <c r="C30" s="17" t="inlineStr">
        <is>
          <t xml:space="preserve">        Pasador de seguridad</t>
        </is>
      </c>
      <c r="D30" s="32" t="n">
        <v>1</v>
      </c>
      <c r="E30" s="32" t="inlineStr">
        <is>
          <t>u</t>
        </is>
      </c>
      <c r="F30" s="33" t="n">
        <v>0.0061</v>
      </c>
      <c r="G30" s="33">
        <f>D30*F30</f>
        <v/>
      </c>
      <c r="H30" s="32" t="inlineStr">
        <is>
          <t>Alambre acero inox. AISI 304</t>
        </is>
      </c>
      <c r="I30" s="17" t="inlineStr">
        <is>
          <t>54,4 × 21 × 20,8</t>
        </is>
      </c>
      <c r="J30" s="32" t="inlineStr">
        <is>
          <t>Incluido en válvula HZ</t>
        </is>
      </c>
      <c r="K30" s="32" t="inlineStr">
        <is>
          <t>No</t>
        </is>
      </c>
      <c r="L30" s="17" t="n"/>
      <c r="M30" s="17" t="n"/>
      <c r="N30" s="17" t="inlineStr">
        <is>
          <t>13 carga de polvo y N₂: armado de válvula</t>
        </is>
      </c>
      <c r="O30" s="17" t="n"/>
      <c r="P30" s="32" t="inlineStr">
        <is>
          <t>P</t>
        </is>
      </c>
      <c r="Q30" s="32" t="inlineStr">
        <is>
          <t>FL_DES_ABC_50kg</t>
        </is>
      </c>
      <c r="R30" s="17" t="inlineStr">
        <is>
          <t>con precinto</t>
        </is>
      </c>
    </row>
    <row r="31" outlineLevel="1">
      <c r="A31" s="32" t="n">
        <v>2</v>
      </c>
      <c r="B31" s="32" t="inlineStr">
        <is>
          <t>ABC50-23</t>
        </is>
      </c>
      <c r="C31" s="17" t="inlineStr">
        <is>
          <t xml:space="preserve">        Caño de pesca (sifón)</t>
        </is>
      </c>
      <c r="D31" s="32" t="n">
        <v>1</v>
      </c>
      <c r="E31" s="32" t="inlineStr">
        <is>
          <t>u</t>
        </is>
      </c>
      <c r="F31" s="33" t="n">
        <v>0.1985</v>
      </c>
      <c r="G31" s="33">
        <f>D31*F31</f>
        <v/>
      </c>
      <c r="H31" s="32" t="inlineStr">
        <is>
          <t>Tubo PVC rígido</t>
        </is>
      </c>
      <c r="I31" s="17" t="inlineStr">
        <is>
          <t>Ø24 × 839,5 de largo</t>
        </is>
      </c>
      <c r="J31" s="32" t="inlineStr">
        <is>
          <t>Incluido en válvula HZ</t>
        </is>
      </c>
      <c r="K31" s="32" t="inlineStr">
        <is>
          <t>No</t>
        </is>
      </c>
      <c r="L31" s="17" t="n"/>
      <c r="M31" s="17" t="n"/>
      <c r="N31" s="17" t="inlineStr">
        <is>
          <t>13 carga de polvo y N₂: armado de válvula</t>
        </is>
      </c>
      <c r="O31" s="17" t="n"/>
      <c r="P31" s="32" t="inlineStr">
        <is>
          <t>P</t>
        </is>
      </c>
      <c r="Q31" s="32" t="inlineStr">
        <is>
          <t>FL_DES_ABC_50kg</t>
        </is>
      </c>
      <c r="R31" s="17" t="n"/>
    </row>
    <row r="32" outlineLevel="1">
      <c r="A32" s="32" t="n">
        <v>2</v>
      </c>
      <c r="B32" s="32" t="inlineStr">
        <is>
          <t>ABC50-35</t>
        </is>
      </c>
      <c r="C32" s="17" t="inlineStr">
        <is>
          <t xml:space="preserve">        Junta tórica de asiento</t>
        </is>
      </c>
      <c r="D32" s="32" t="n">
        <v>1</v>
      </c>
      <c r="E32" s="32" t="inlineStr">
        <is>
          <t>u</t>
        </is>
      </c>
      <c r="F32" s="33" t="n">
        <v>0.0025</v>
      </c>
      <c r="G32" s="33">
        <f>D32*F32</f>
        <v/>
      </c>
      <c r="H32" s="32" t="inlineStr">
        <is>
          <t>NBR 70 Shore A</t>
        </is>
      </c>
      <c r="I32" s="17" t="inlineStr">
        <is>
          <t>Ø78 ext. × cordón 3</t>
        </is>
      </c>
      <c r="J32" s="32" t="inlineStr">
        <is>
          <t>Compra</t>
        </is>
      </c>
      <c r="K32" s="32" t="inlineStr">
        <is>
          <t>Sí</t>
        </is>
      </c>
      <c r="L32" s="17" t="inlineStr">
        <is>
          <t>Argensold</t>
        </is>
      </c>
      <c r="M32" s="17" t="inlineStr">
        <is>
          <t>Matafuegos Iglesias</t>
        </is>
      </c>
      <c r="N32" s="17" t="inlineStr">
        <is>
          <t>13 carga de polvo y N₂: armado de válvula</t>
        </is>
      </c>
      <c r="O32" s="17" t="n"/>
      <c r="P32" s="32" t="inlineStr">
        <is>
          <t>P</t>
        </is>
      </c>
      <c r="Q32" s="32" t="inlineStr">
        <is>
          <t>FL_DES_ABC_50kg</t>
        </is>
      </c>
      <c r="R32" s="17" t="inlineStr">
        <is>
          <t>cambio c/recarga</t>
        </is>
      </c>
    </row>
    <row r="33" outlineLevel="1">
      <c r="A33" s="32" t="n">
        <v>2</v>
      </c>
      <c r="B33" s="32" t="inlineStr">
        <is>
          <t>ABC50-K2</t>
        </is>
      </c>
      <c r="C33" s="17" t="inlineStr">
        <is>
          <t xml:space="preserve">        Válvula HZ armada de carro 50-70-100 kg</t>
        </is>
      </c>
      <c r="D33" s="32" t="n">
        <v>1</v>
      </c>
      <c r="E33" s="32" t="inlineStr">
        <is>
          <t>u</t>
        </is>
      </c>
      <c r="F33" s="33" t="n"/>
      <c r="G33" s="33" t="n"/>
      <c r="H33" s="32" t="inlineStr">
        <is>
          <t>Latón forjado (HZ)</t>
        </is>
      </c>
      <c r="I33" s="17" t="inlineStr">
        <is>
          <t>rosca RBSP 2 1/2"-11 h</t>
        </is>
      </c>
      <c r="J33" s="32" t="inlineStr">
        <is>
          <t>Compra</t>
        </is>
      </c>
      <c r="K33" s="32" t="inlineStr">
        <is>
          <t>Sí</t>
        </is>
      </c>
      <c r="L33" s="17" t="inlineStr">
        <is>
          <t>Polvex S.R.L. / Sancibrao</t>
        </is>
      </c>
      <c r="M33" s="17" t="inlineStr">
        <is>
          <t>Mozart S.R.L.</t>
        </is>
      </c>
      <c r="N33" s="17" t="inlineStr">
        <is>
          <t>19 Ensamblaje de válvula</t>
        </is>
      </c>
      <c r="O33" s="17" t="inlineStr">
        <is>
          <t>IRAM 3523 3.3</t>
        </is>
      </c>
      <c r="P33" s="32" t="inlineStr">
        <is>
          <t>Q</t>
        </is>
      </c>
      <c r="Q33" s="32" t="inlineStr">
        <is>
          <t>FL_DES_ABC_50kg</t>
        </is>
      </c>
      <c r="R33" s="17" t="inlineStr">
        <is>
          <t>Lista de precios HZ (Q-AGENTES); plano Fadesa usa válvula HZ (R-FADESA). Trae las piezas marcadas «Incluido en válvula HZ»</t>
        </is>
      </c>
    </row>
    <row r="34" outlineLevel="1">
      <c r="A34" s="32" t="n">
        <v>2</v>
      </c>
      <c r="B34" s="32" t="inlineStr">
        <is>
          <t>ABC50-V2</t>
        </is>
      </c>
      <c r="C34" s="17" t="inlineStr">
        <is>
          <t xml:space="preserve">        Resorte de retorno del vástago</t>
        </is>
      </c>
      <c r="D34" s="32" t="n">
        <v>1</v>
      </c>
      <c r="E34" s="32" t="inlineStr">
        <is>
          <t>u</t>
        </is>
      </c>
      <c r="F34" s="33" t="n"/>
      <c r="G34" s="33" t="n"/>
      <c r="H34" s="32" t="inlineStr">
        <is>
          <t>Acero para resortes</t>
        </is>
      </c>
      <c r="I34" s="17" t="inlineStr">
        <is>
          <t>incluido en la válvula</t>
        </is>
      </c>
      <c r="J34" s="32" t="inlineStr">
        <is>
          <t>Incluido en válvula HZ</t>
        </is>
      </c>
      <c r="K34" s="32" t="inlineStr">
        <is>
          <t>No</t>
        </is>
      </c>
      <c r="L34" s="17" t="n"/>
      <c r="M34" s="17" t="n"/>
      <c r="N34" s="17" t="inlineStr">
        <is>
          <t>19 Ensamblaje</t>
        </is>
      </c>
      <c r="O34" s="17" t="n"/>
      <c r="P34" s="32" t="inlineStr">
        <is>
          <t>Q</t>
        </is>
      </c>
      <c r="Q34" s="32" t="n"/>
      <c r="R34" s="17" t="inlineStr">
        <is>
          <t>Lista de precios HZ: válvula «c/resorte» (Q-AGENTES)</t>
        </is>
      </c>
    </row>
    <row r="35" outlineLevel="1">
      <c r="A35" s="32" t="n">
        <v>2</v>
      </c>
      <c r="B35" s="32" t="inlineStr">
        <is>
          <t>ABC50-V3</t>
        </is>
      </c>
      <c r="C35" s="17" t="inlineStr">
        <is>
          <t xml:space="preserve">        Junta tórica del vástago</t>
        </is>
      </c>
      <c r="D35" s="32" t="n">
        <v>1</v>
      </c>
      <c r="E35" s="32" t="inlineStr">
        <is>
          <t>u</t>
        </is>
      </c>
      <c r="F35" s="33" t="n"/>
      <c r="G35" s="33" t="n"/>
      <c r="H35" s="32" t="inlineStr">
        <is>
          <t>NBR 70 Shore A</t>
        </is>
      </c>
      <c r="I35" s="17" t="inlineStr">
        <is>
          <t>incluida en la válvula</t>
        </is>
      </c>
      <c r="J35" s="32" t="inlineStr">
        <is>
          <t>Incluido en válvula HZ</t>
        </is>
      </c>
      <c r="K35" s="32" t="inlineStr">
        <is>
          <t>No</t>
        </is>
      </c>
      <c r="L35" s="17" t="n"/>
      <c r="M35" s="17" t="n"/>
      <c r="N35" s="17" t="inlineStr">
        <is>
          <t>19 Ensamblaje</t>
        </is>
      </c>
      <c r="O35" s="17" t="n"/>
      <c r="P35" s="32" t="inlineStr">
        <is>
          <t>P</t>
        </is>
      </c>
      <c r="Q35" s="32" t="n"/>
      <c r="R35" s="17" t="inlineStr">
        <is>
          <t>Figura en el plano como «vástago con junta tórica»</t>
        </is>
      </c>
    </row>
    <row r="36">
      <c r="A36" s="29" t="n">
        <v>1</v>
      </c>
      <c r="B36" s="29" t="inlineStr">
        <is>
          <t>ABC50-S3</t>
        </is>
      </c>
      <c r="C36" s="30" t="inlineStr">
        <is>
          <t xml:space="preserve">    Dispositivo de descarga</t>
        </is>
      </c>
      <c r="D36" s="29" t="n">
        <v>1</v>
      </c>
      <c r="E36" s="29" t="inlineStr">
        <is>
          <t>u</t>
        </is>
      </c>
      <c r="F36" s="31" t="n"/>
      <c r="G36" s="31">
        <f>G37+G38+G39+G40+G41</f>
        <v/>
      </c>
      <c r="H36" s="29" t="n"/>
      <c r="I36" s="30" t="n"/>
      <c r="J36" s="29" t="inlineStr">
        <is>
          <t>Compra / armado</t>
        </is>
      </c>
      <c r="K36" s="29" t="n"/>
      <c r="L36" s="30" t="n"/>
      <c r="M36" s="30" t="n"/>
      <c r="N36" s="30" t="n"/>
      <c r="O36" s="30" t="n"/>
      <c r="P36" s="29" t="inlineStr">
        <is>
          <t>P</t>
        </is>
      </c>
      <c r="Q36" s="29" t="inlineStr">
        <is>
          <t>FL_DES_ABC_50kg</t>
        </is>
      </c>
      <c r="R36" s="30" t="n"/>
    </row>
    <row r="37" outlineLevel="1">
      <c r="A37" s="32" t="n">
        <v>2</v>
      </c>
      <c r="B37" s="32" t="inlineStr">
        <is>
          <t>ABC50-24</t>
        </is>
      </c>
      <c r="C37" s="17" t="inlineStr">
        <is>
          <t xml:space="preserve">        Racor de manguera</t>
        </is>
      </c>
      <c r="D37" s="32" t="n">
        <v>1</v>
      </c>
      <c r="E37" s="32" t="inlineStr">
        <is>
          <t>u</t>
        </is>
      </c>
      <c r="F37" s="33" t="n">
        <v>0.0612</v>
      </c>
      <c r="G37" s="33">
        <f>D37*F37</f>
        <v/>
      </c>
      <c r="H37" s="32" t="inlineStr">
        <is>
          <t>Latón</t>
        </is>
      </c>
      <c r="I37" s="17" t="inlineStr">
        <is>
          <t>24 × 24 × 16</t>
        </is>
      </c>
      <c r="J37" s="32" t="inlineStr">
        <is>
          <t>Compra</t>
        </is>
      </c>
      <c r="K37" s="32" t="inlineStr">
        <is>
          <t>Sí</t>
        </is>
      </c>
      <c r="L37" s="17" t="inlineStr">
        <is>
          <t>Yukon / MatafuegosYa S.R.L.</t>
        </is>
      </c>
      <c r="M37" s="17" t="inlineStr">
        <is>
          <t>Matafuegos Iglesias</t>
        </is>
      </c>
      <c r="N37" s="17" t="inlineStr">
        <is>
          <t>Después de 12 pintura: manguera, válvula esférica y tobera</t>
        </is>
      </c>
      <c r="O37" s="17" t="n"/>
      <c r="P37" s="32" t="inlineStr">
        <is>
          <t>P</t>
        </is>
      </c>
      <c r="Q37" s="32" t="inlineStr">
        <is>
          <t>FL_DES_ABC_50kg</t>
        </is>
      </c>
      <c r="R37" s="17" t="n"/>
    </row>
    <row r="38" outlineLevel="1">
      <c r="A38" s="32" t="n">
        <v>2</v>
      </c>
      <c r="B38" s="32" t="inlineStr">
        <is>
          <t>ABC50-25</t>
        </is>
      </c>
      <c r="C38" s="17" t="inlineStr">
        <is>
          <t xml:space="preserve">        Manguera (tramo enrollado)</t>
        </is>
      </c>
      <c r="D38" s="32" t="n">
        <v>1</v>
      </c>
      <c r="E38" s="32" t="inlineStr">
        <is>
          <t>u</t>
        </is>
      </c>
      <c r="F38" s="33" t="n">
        <v>1.8035</v>
      </c>
      <c r="G38" s="33">
        <f>D38*F38</f>
        <v/>
      </c>
      <c r="H38" s="32" t="inlineStr">
        <is>
          <t>Caucho sintético</t>
        </is>
      </c>
      <c r="I38" s="17" t="inlineStr">
        <is>
          <t>Ø23,5 × 5.414 de largo desarrollado: lazo vertical de 3 vueltas alrededor de los flejes, por afuera de las patas y detrás de las orejas</t>
        </is>
      </c>
      <c r="J38" s="32" t="inlineStr">
        <is>
          <t>Compra</t>
        </is>
      </c>
      <c r="K38" s="32" t="inlineStr">
        <is>
          <t>Sí</t>
        </is>
      </c>
      <c r="L38" s="17" t="inlineStr">
        <is>
          <t>Yukon / MatafuegosYa S.R.L.</t>
        </is>
      </c>
      <c r="M38" s="17" t="inlineStr">
        <is>
          <t>Matafuegos Iglesias</t>
        </is>
      </c>
      <c r="N38" s="17" t="inlineStr">
        <is>
          <t>Después de 12 pintura: manguera, válvula esférica y tobera</t>
        </is>
      </c>
      <c r="O38" s="17" t="n"/>
      <c r="P38" s="32" t="inlineStr">
        <is>
          <t>P</t>
        </is>
      </c>
      <c r="Q38" s="32" t="inlineStr">
        <is>
          <t>FL_DES_ABC_50kg</t>
        </is>
      </c>
      <c r="R38" s="17" t="n"/>
    </row>
    <row r="39" outlineLevel="1">
      <c r="A39" s="32" t="n">
        <v>2</v>
      </c>
      <c r="B39" s="32" t="inlineStr">
        <is>
          <t>ABC50-26</t>
        </is>
      </c>
      <c r="C39" s="17" t="inlineStr">
        <is>
          <t xml:space="preserve">        Manguera</t>
        </is>
      </c>
      <c r="D39" s="32" t="n">
        <v>1</v>
      </c>
      <c r="E39" s="32" t="inlineStr">
        <is>
          <t>u</t>
        </is>
      </c>
      <c r="F39" s="33" t="n">
        <v>0.2286</v>
      </c>
      <c r="G39" s="33">
        <f>D39*F39</f>
        <v/>
      </c>
      <c r="H39" s="32" t="inlineStr">
        <is>
          <t>Caucho sintético</t>
        </is>
      </c>
      <c r="I39" s="17" t="inlineStr">
        <is>
          <t>Ø23,5 × 686 de largo desarrollado</t>
        </is>
      </c>
      <c r="J39" s="32" t="inlineStr">
        <is>
          <t>Compra</t>
        </is>
      </c>
      <c r="K39" s="32" t="inlineStr">
        <is>
          <t>Sí</t>
        </is>
      </c>
      <c r="L39" s="17" t="inlineStr">
        <is>
          <t>Yukon / MatafuegosYa S.R.L.</t>
        </is>
      </c>
      <c r="M39" s="17" t="inlineStr">
        <is>
          <t>Matafuegos Iglesias</t>
        </is>
      </c>
      <c r="N39" s="17" t="inlineStr">
        <is>
          <t>Después de 12 pintura: manguera, válvula esférica y tobera</t>
        </is>
      </c>
      <c r="O39" s="17" t="n"/>
      <c r="P39" s="32" t="inlineStr">
        <is>
          <t>P</t>
        </is>
      </c>
      <c r="Q39" s="32" t="inlineStr">
        <is>
          <t>FL_DES_ABC_50kg</t>
        </is>
      </c>
      <c r="R39" s="17" t="n"/>
    </row>
    <row r="40" outlineLevel="1">
      <c r="A40" s="32" t="n">
        <v>2</v>
      </c>
      <c r="B40" s="32" t="inlineStr">
        <is>
          <t>ABC50-28</t>
        </is>
      </c>
      <c r="C40" s="17" t="inlineStr">
        <is>
          <t xml:space="preserve">        Válvula esférica</t>
        </is>
      </c>
      <c r="D40" s="32" t="n">
        <v>1</v>
      </c>
      <c r="E40" s="32" t="inlineStr">
        <is>
          <t>u</t>
        </is>
      </c>
      <c r="F40" s="33" t="n">
        <v>0.3502</v>
      </c>
      <c r="G40" s="33">
        <f>D40*F40</f>
        <v/>
      </c>
      <c r="H40" s="32" t="inlineStr">
        <is>
          <t>Latón cromado</t>
        </is>
      </c>
      <c r="I40" s="17" t="inlineStr">
        <is>
          <t>cuerpo Ø40 × 56 con hexágonos 46, paso total, rosca a la manga y a la tobera; palanca 105 con empuñadura (cerrada: atravesada al caño)</t>
        </is>
      </c>
      <c r="J40" s="32" t="inlineStr">
        <is>
          <t>Compra</t>
        </is>
      </c>
      <c r="K40" s="32" t="inlineStr">
        <is>
          <t>Sí</t>
        </is>
      </c>
      <c r="L40" s="17" t="inlineStr">
        <is>
          <t>Yukon / MatafuegosYa S.R.L.</t>
        </is>
      </c>
      <c r="M40" s="17" t="inlineStr">
        <is>
          <t>Matafuegos Iglesias</t>
        </is>
      </c>
      <c r="N40" s="17" t="inlineStr">
        <is>
          <t>Después de 12 pintura: manguera, válvula esférica y tobera</t>
        </is>
      </c>
      <c r="O40" s="17" t="n"/>
      <c r="P40" s="32" t="inlineStr">
        <is>
          <t>P</t>
        </is>
      </c>
      <c r="Q40" s="32" t="inlineStr">
        <is>
          <t>FL_DES_ABC_50kg</t>
        </is>
      </c>
      <c r="R40" s="17" t="n"/>
    </row>
    <row r="41" outlineLevel="1">
      <c r="A41" s="32" t="n">
        <v>2</v>
      </c>
      <c r="B41" s="32" t="inlineStr">
        <is>
          <t>ABC50-29</t>
        </is>
      </c>
      <c r="C41" s="17" t="inlineStr">
        <is>
          <t xml:space="preserve">        Tobera campana</t>
        </is>
      </c>
      <c r="D41" s="32" t="n">
        <v>1</v>
      </c>
      <c r="E41" s="32" t="inlineStr">
        <is>
          <t>u</t>
        </is>
      </c>
      <c r="F41" s="33" t="n">
        <v>0.07969999999999999</v>
      </c>
      <c r="G41" s="33">
        <f>D41*F41</f>
        <v/>
      </c>
      <c r="H41" s="32" t="inlineStr">
        <is>
          <t>Polipropileno</t>
        </is>
      </c>
      <c r="I41" s="17" t="inlineStr">
        <is>
          <t>205,4 × 80,7 × 68</t>
        </is>
      </c>
      <c r="J41" s="32" t="inlineStr">
        <is>
          <t>Compra</t>
        </is>
      </c>
      <c r="K41" s="32" t="inlineStr">
        <is>
          <t>Sí</t>
        </is>
      </c>
      <c r="L41" s="17" t="inlineStr">
        <is>
          <t>Yukon / MatafuegosYa S.R.L.</t>
        </is>
      </c>
      <c r="M41" s="17" t="inlineStr">
        <is>
          <t>Matafuegos Iglesias</t>
        </is>
      </c>
      <c r="N41" s="17" t="inlineStr">
        <is>
          <t>Después de 12 pintura: manguera, válvula esférica y tobera</t>
        </is>
      </c>
      <c r="O41" s="17" t="n"/>
      <c r="P41" s="32" t="inlineStr">
        <is>
          <t>P</t>
        </is>
      </c>
      <c r="Q41" s="32" t="inlineStr">
        <is>
          <t>FL_DES_ABC_50kg</t>
        </is>
      </c>
      <c r="R41" s="17" t="n"/>
    </row>
    <row r="42">
      <c r="A42" s="29" t="n">
        <v>1</v>
      </c>
      <c r="B42" s="29" t="inlineStr">
        <is>
          <t>ABC50-S4</t>
        </is>
      </c>
      <c r="C42" s="30" t="inlineStr">
        <is>
          <t xml:space="preserve">    Carro (tren rodante soldado y ruedas)</t>
        </is>
      </c>
      <c r="D42" s="29" t="n">
        <v>1</v>
      </c>
      <c r="E42" s="29" t="inlineStr">
        <is>
          <t>u</t>
        </is>
      </c>
      <c r="F42" s="31" t="n"/>
      <c r="G42" s="31">
        <f>G43+G44+G45+G47+G48+G49+G51+G52+G53+G55</f>
        <v/>
      </c>
      <c r="H42" s="29" t="n"/>
      <c r="I42" s="30" t="n"/>
      <c r="J42" s="29" t="inlineStr">
        <is>
          <t>Fabricación</t>
        </is>
      </c>
      <c r="K42" s="29" t="n"/>
      <c r="L42" s="30" t="n"/>
      <c r="M42" s="30" t="n"/>
      <c r="N42" s="30" t="n"/>
      <c r="O42" s="30" t="inlineStr">
        <is>
          <t>IRAM 3550 3.12 y 4.8 (ruedas ≥ Ø300 × 50)</t>
        </is>
      </c>
      <c r="P42" s="29" t="inlineStr">
        <is>
          <t>P</t>
        </is>
      </c>
      <c r="Q42" s="29" t="inlineStr">
        <is>
          <t>FL_DES_ABC_50kg</t>
        </is>
      </c>
      <c r="R42" s="30" t="n"/>
    </row>
    <row r="43" outlineLevel="1">
      <c r="A43" s="32" t="n">
        <v>2</v>
      </c>
      <c r="B43" s="32" t="inlineStr">
        <is>
          <t>ABC50-05</t>
        </is>
      </c>
      <c r="C43" s="17" t="inlineStr">
        <is>
          <t xml:space="preserve">        Pata delantera</t>
        </is>
      </c>
      <c r="D43" s="32" t="n">
        <v>1</v>
      </c>
      <c r="E43" s="32" t="inlineStr">
        <is>
          <t>u</t>
        </is>
      </c>
      <c r="F43" s="33" t="n">
        <v>0.1186</v>
      </c>
      <c r="G43" s="33">
        <f>D43*F43</f>
        <v/>
      </c>
      <c r="H43" s="32" t="inlineStr">
        <is>
          <t>Chapa LAC 3,2 (orilla de la hoja de 25 kg)</t>
        </is>
      </c>
      <c r="I43" s="17" t="inlineStr">
        <is>
          <t>planchuela 80 × 60 × e3,2, de canto en el frente del fondo, atravesada; borde de abajo = línea del piso</t>
        </is>
      </c>
      <c r="J43" s="32" t="inlineStr">
        <is>
          <t>Fabricación</t>
        </is>
      </c>
      <c r="K43" s="32" t="inlineStr">
        <is>
          <t>No</t>
        </is>
      </c>
      <c r="L43" s="17" t="n"/>
      <c r="M43" s="17" t="n"/>
      <c r="N43" s="17" t="inlineStr">
        <is>
          <t>8.1 fabricación de accesorios (orillas / caño / barra) -&gt; 8 soldadura MAG al recipiente, antes de la PH (IRAM 3550 6.1.1)</t>
        </is>
      </c>
      <c r="O43" s="17" t="n"/>
      <c r="P43" s="32" t="inlineStr">
        <is>
          <t>P</t>
        </is>
      </c>
      <c r="Q43" s="32" t="inlineStr">
        <is>
          <t>FL_DES_ABC_50kg</t>
        </is>
      </c>
      <c r="R43" s="17" t="inlineStr">
        <is>
          <t>Proceso FLAMA de carros: 80 × 60 (25 y 50 kg) y 100 × 80 (70 y 100 kg), de la orilla de 3,2 de la hoja de 25 kg (sin compra); se suelda con filete de los dos lados en el tramo central</t>
        </is>
      </c>
    </row>
    <row r="44" outlineLevel="1">
      <c r="A44" s="32" t="n">
        <v>2</v>
      </c>
      <c r="B44" s="32" t="inlineStr">
        <is>
          <t>ABC50-06</t>
        </is>
      </c>
      <c r="C44" s="17" t="inlineStr">
        <is>
          <t xml:space="preserve">        Triángulos con V (2)</t>
        </is>
      </c>
      <c r="D44" s="32" t="n">
        <v>1</v>
      </c>
      <c r="E44" s="32" t="inlineStr">
        <is>
          <t>u</t>
        </is>
      </c>
      <c r="F44" s="33" t="n">
        <v>0.2047</v>
      </c>
      <c r="G44" s="33">
        <f>D44*F44</f>
        <v/>
      </c>
      <c r="H44" s="32" t="inlineStr">
        <is>
          <t>Chapa LAC 4,75 (orilla)</t>
        </is>
      </c>
      <c r="I44" s="17" t="inlineStr">
        <is>
          <t>2 triángulos con V de 90° hacia atrás, chapa e4,75, cateto vertical 80 de canto contra el cuerpo; separados 157 (± 78,5 en recta), borde de abajo a 20 de la costura del fondo; el caño apoya en la V</t>
        </is>
      </c>
      <c r="J44" s="32" t="inlineStr">
        <is>
          <t>Fabricación</t>
        </is>
      </c>
      <c r="K44" s="32" t="inlineStr">
        <is>
          <t>No</t>
        </is>
      </c>
      <c r="L44" s="17" t="n"/>
      <c r="M44" s="17" t="n"/>
      <c r="N44" s="17" t="inlineStr">
        <is>
          <t>8.1 fabricación de accesorios (orillas / caño / barra) -&gt; 8 soldadura MAG al recipiente, antes de la PH (IRAM 3550 6.1.1)</t>
        </is>
      </c>
      <c r="O44" s="17" t="n"/>
      <c r="P44" s="32" t="inlineStr">
        <is>
          <t>P</t>
        </is>
      </c>
      <c r="Q44" s="32" t="inlineStr">
        <is>
          <t>FL_DES_ABC_50kg</t>
        </is>
      </c>
      <c r="R44"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45" outlineLevel="1">
      <c r="A45" s="32" t="n">
        <v>2</v>
      </c>
      <c r="B45" s="32" t="inlineStr">
        <is>
          <t>ABC50-07</t>
        </is>
      </c>
      <c r="C45" s="17" t="inlineStr">
        <is>
          <t xml:space="preserve">        Caño del eje</t>
        </is>
      </c>
      <c r="D45" s="32" t="n">
        <v>1</v>
      </c>
      <c r="E45" s="32" t="inlineStr">
        <is>
          <t>u</t>
        </is>
      </c>
      <c r="F45" s="33" t="n">
        <v>0.5341</v>
      </c>
      <c r="G45" s="33">
        <f>D45*F45</f>
        <v/>
      </c>
      <c r="H45" s="32" t="inlineStr">
        <is>
          <t>Caño acero SAE 1010 1¼" × 2,0</t>
        </is>
      </c>
      <c r="I45" s="17" t="inlineStr">
        <is>
          <t>caño 1¼" (Ø31,75) × 2 × 364 de largo, con marca de la mitad; apoyado en la V de los triángulos a 20 del cuerpo, no gira; adentro pasa el eje Ø25,4</t>
        </is>
      </c>
      <c r="J45" s="32" t="inlineStr">
        <is>
          <t>Fabricación</t>
        </is>
      </c>
      <c r="K45" s="32" t="inlineStr">
        <is>
          <t>No</t>
        </is>
      </c>
      <c r="L45" s="17" t="n"/>
      <c r="M45" s="17" t="n"/>
      <c r="N45" s="17" t="inlineStr">
        <is>
          <t>8.1 fabricación de accesorios (orillas / caño / barra) -&gt; 8 soldadura MAG al recipiente, antes de la PH (IRAM 3550 6.1.1)</t>
        </is>
      </c>
      <c r="O45" s="17" t="n"/>
      <c r="P45" s="32" t="inlineStr">
        <is>
          <t>P</t>
        </is>
      </c>
      <c r="Q45" s="32" t="inlineStr">
        <is>
          <t>FL_DES_ABC_50kg</t>
        </is>
      </c>
      <c r="R45" s="17" t="inlineStr">
        <is>
          <t>Proceso FLAMA de carros, puesto 8 (kit del 8.1): medidas y posición de la tabla del puesto; se suelda antes de la prueba hidráulica (IRAM 3550 6.1.1)</t>
        </is>
      </c>
    </row>
    <row r="46" outlineLevel="2">
      <c r="A46" s="34" t="n">
        <v>3</v>
      </c>
      <c r="B46" s="34" t="inlineStr">
        <is>
          <t>MP-PORTAEJE</t>
        </is>
      </c>
      <c r="C46" s="35" t="inlineStr">
        <is>
          <t xml:space="preserve">            Caño SAE 1010 1¼" × 2,0 (tramo de barra de 6 m)</t>
        </is>
      </c>
      <c r="D46" s="34" t="n">
        <v>0.0607</v>
      </c>
      <c r="E46" s="34" t="inlineStr">
        <is>
          <t>barra</t>
        </is>
      </c>
      <c r="F46" s="36" t="n">
        <v>8.804</v>
      </c>
      <c r="G46" s="36">
        <f>D46*F46</f>
        <v/>
      </c>
      <c r="H46" s="34" t="inlineStr">
        <is>
          <t>Caño acero SAE 1010 1¼" × 2,0</t>
        </is>
      </c>
      <c r="I46" s="35" t="inlineStr">
        <is>
          <t>364 mm por pieza (kg por barra de 6 m)</t>
        </is>
      </c>
      <c r="J46" s="34" t="inlineStr">
        <is>
          <t>Compra</t>
        </is>
      </c>
      <c r="K46" s="34" t="inlineStr">
        <is>
          <t>Sí</t>
        </is>
      </c>
      <c r="L46" s="35" t="inlineStr">
        <is>
          <t>Metalpri / Prilux</t>
        </is>
      </c>
      <c r="M46" s="35" t="inlineStr">
        <is>
          <t>Comercial MID</t>
        </is>
      </c>
      <c r="N46" s="35" t="inlineStr">
        <is>
          <t>Corte en sierra</t>
        </is>
      </c>
      <c r="O46" s="35" t="n"/>
      <c r="P46" s="34" t="inlineStr">
        <is>
          <t>C</t>
        </is>
      </c>
      <c r="Q46" s="34" t="n"/>
      <c r="R46" s="35" t="inlineStr">
        <is>
          <t>Largo para la trocha del ancho de la hoja de especificaciones (kit 8.1), con marca de la mitad</t>
        </is>
      </c>
    </row>
    <row r="47" outlineLevel="1">
      <c r="A47" s="32" t="n">
        <v>2</v>
      </c>
      <c r="B47" s="32" t="inlineStr">
        <is>
          <t>ABC50-08</t>
        </is>
      </c>
      <c r="C47" s="17" t="inlineStr">
        <is>
          <t xml:space="preserve">        Neumático macizo</t>
        </is>
      </c>
      <c r="D47" s="32" t="n">
        <v>2</v>
      </c>
      <c r="E47" s="32" t="inlineStr">
        <is>
          <t>u</t>
        </is>
      </c>
      <c r="F47" s="33" t="n">
        <v>3.3361</v>
      </c>
      <c r="G47" s="33">
        <f>D47*F47</f>
        <v/>
      </c>
      <c r="H47" s="32" t="inlineStr">
        <is>
          <t>Caucho</t>
        </is>
      </c>
      <c r="I47" s="17" t="inlineStr">
        <is>
          <t>Ø350 × 60 de ancho</t>
        </is>
      </c>
      <c r="J47" s="32" t="inlineStr">
        <is>
          <t>Compra</t>
        </is>
      </c>
      <c r="K47" s="32" t="inlineStr">
        <is>
          <t>Sí</t>
        </is>
      </c>
      <c r="L47" s="17" t="inlineStr">
        <is>
          <t>Ruedar</t>
        </is>
      </c>
      <c r="M47" s="17" t="inlineStr">
        <is>
          <t>Escanort S.A.</t>
        </is>
      </c>
      <c r="N47" s="17" t="inlineStr">
        <is>
          <t>Después de 12 pintura: ruedas montadas sobre el eje</t>
        </is>
      </c>
      <c r="O47" s="17" t="n"/>
      <c r="P47" s="32" t="inlineStr">
        <is>
          <t>P</t>
        </is>
      </c>
      <c r="Q47" s="32" t="inlineStr">
        <is>
          <t>FL_DES_ABC_50kg</t>
        </is>
      </c>
      <c r="R47" s="17" t="inlineStr">
        <is>
          <t>llanta de chapa; IRAM 3550 4.8: Ø ≥ 300 y ancho ≥ 50</t>
        </is>
      </c>
    </row>
    <row r="48" outlineLevel="1">
      <c r="A48" s="32" t="n">
        <v>2</v>
      </c>
      <c r="B48" s="32" t="inlineStr">
        <is>
          <t>ABC50-09</t>
        </is>
      </c>
      <c r="C48" s="17" t="inlineStr">
        <is>
          <t xml:space="preserve">        Llanta con cubo</t>
        </is>
      </c>
      <c r="D48" s="32" t="n">
        <v>2</v>
      </c>
      <c r="E48" s="32" t="inlineStr">
        <is>
          <t>u</t>
        </is>
      </c>
      <c r="F48" s="33" t="n">
        <v>2.6069</v>
      </c>
      <c r="G48" s="33">
        <f>D48*F48</f>
        <v/>
      </c>
      <c r="H48" s="32" t="inlineStr">
        <is>
          <t>Chapa acero SAE 1010</t>
        </is>
      </c>
      <c r="I48" s="17" t="inlineStr">
        <is>
          <t>Ø252 × 60 de ancho</t>
        </is>
      </c>
      <c r="J48" s="32" t="inlineStr">
        <is>
          <t>Incluido en rueda</t>
        </is>
      </c>
      <c r="K48" s="32" t="inlineStr">
        <is>
          <t>No</t>
        </is>
      </c>
      <c r="L48" s="17" t="n"/>
      <c r="M48" s="17" t="n"/>
      <c r="N48" s="17" t="inlineStr">
        <is>
          <t>Después de 12 pintura: ruedas montadas sobre el eje</t>
        </is>
      </c>
      <c r="O48" s="17" t="n"/>
      <c r="P48" s="32" t="inlineStr">
        <is>
          <t>P</t>
        </is>
      </c>
      <c r="Q48" s="32" t="inlineStr">
        <is>
          <t>FL_DES_ABC_50kg</t>
        </is>
      </c>
      <c r="R48" s="17" t="n"/>
    </row>
    <row r="49" outlineLevel="1">
      <c r="A49" s="32" t="n">
        <v>2</v>
      </c>
      <c r="B49" s="32" t="inlineStr">
        <is>
          <t>ABC50-10</t>
        </is>
      </c>
      <c r="C49" s="17" t="inlineStr">
        <is>
          <t xml:space="preserve">        Eje de ruedas</t>
        </is>
      </c>
      <c r="D49" s="32" t="n">
        <v>1</v>
      </c>
      <c r="E49" s="32" t="inlineStr">
        <is>
          <t>u</t>
        </is>
      </c>
      <c r="F49" s="33" t="n">
        <v>2.0618</v>
      </c>
      <c r="G49" s="33">
        <f>D49*F49</f>
        <v/>
      </c>
      <c r="H49" s="32" t="inlineStr">
        <is>
          <t>Barra acero SAE 1045 Ø25.4</t>
        </is>
      </c>
      <c r="I49" s="17" t="inlineStr">
        <is>
          <t>barra trefilada 1" (Ø25,4) × 520 de largo, con agujero Ø4,6 en cada punta para el pasador (montaje final)</t>
        </is>
      </c>
      <c r="J49" s="32" t="inlineStr">
        <is>
          <t>Fabricación</t>
        </is>
      </c>
      <c r="K49" s="32" t="inlineStr">
        <is>
          <t>No</t>
        </is>
      </c>
      <c r="L49" s="17" t="n"/>
      <c r="M49" s="17" t="n"/>
      <c r="N49" s="17" t="inlineStr">
        <is>
          <t>8.1 corte de barra -&gt; 8 soldadura de soportes</t>
        </is>
      </c>
      <c r="O49" s="17" t="n"/>
      <c r="P49" s="32" t="inlineStr">
        <is>
          <t>P</t>
        </is>
      </c>
      <c r="Q49" s="32" t="inlineStr">
        <is>
          <t>FL_DES_ABC_50kg</t>
        </is>
      </c>
      <c r="R49" s="17" t="inlineStr">
        <is>
          <t>Montaje final, después de la pintura, con las ruedas (proceso de carros, puesto 8)</t>
        </is>
      </c>
    </row>
    <row r="50" outlineLevel="2">
      <c r="A50" s="34" t="n">
        <v>3</v>
      </c>
      <c r="B50" s="34" t="inlineStr">
        <is>
          <t>MP-EJE</t>
        </is>
      </c>
      <c r="C50" s="35" t="inlineStr">
        <is>
          <t xml:space="preserve">            Barra trefilada SAE 1045 1" (tramo de barra de 6 m)</t>
        </is>
      </c>
      <c r="D50" s="34" t="n">
        <v>0.0867</v>
      </c>
      <c r="E50" s="34" t="inlineStr">
        <is>
          <t>barra</t>
        </is>
      </c>
      <c r="F50" s="36" t="n">
        <v>23.866</v>
      </c>
      <c r="G50" s="36">
        <f>D50*F50</f>
        <v/>
      </c>
      <c r="H50" s="34" t="inlineStr">
        <is>
          <t>Barra trefilada SAE 1045 1"</t>
        </is>
      </c>
      <c r="I50" s="35" t="inlineStr">
        <is>
          <t>520 mm por pieza (kg por barra de 6 m)</t>
        </is>
      </c>
      <c r="J50" s="34" t="inlineStr">
        <is>
          <t>Compra</t>
        </is>
      </c>
      <c r="K50" s="34" t="inlineStr">
        <is>
          <t>Sí</t>
        </is>
      </c>
      <c r="L50" s="35" t="inlineStr">
        <is>
          <t>Vladimirsky</t>
        </is>
      </c>
      <c r="M50" s="35" t="inlineStr">
        <is>
          <t>Hierros Parrotta</t>
        </is>
      </c>
      <c r="N50" s="35" t="inlineStr">
        <is>
          <t>Corte en sierra</t>
        </is>
      </c>
      <c r="O50" s="35" t="n"/>
      <c r="P50" s="34" t="inlineStr">
        <is>
          <t>C</t>
        </is>
      </c>
      <c r="Q50" s="34" t="n"/>
      <c r="R50" s="35" t="n"/>
    </row>
    <row r="51" outlineLevel="1">
      <c r="A51" s="32" t="n">
        <v>2</v>
      </c>
      <c r="B51" s="32" t="inlineStr">
        <is>
          <t>ABC50-11</t>
        </is>
      </c>
      <c r="C51" s="17" t="inlineStr">
        <is>
          <t xml:space="preserve">        Arandelas de tope (4)</t>
        </is>
      </c>
      <c r="D51" s="32" t="n">
        <v>1</v>
      </c>
      <c r="E51" s="32" t="inlineStr">
        <is>
          <t>u</t>
        </is>
      </c>
      <c r="F51" s="33" t="n">
        <v>0.0891</v>
      </c>
      <c r="G51" s="33">
        <f>D51*F51</f>
        <v/>
      </c>
      <c r="H51" s="32" t="inlineStr">
        <is>
          <t>Acero SAE 1010 Ø40 × 4</t>
        </is>
      </c>
      <c r="I51" s="17" t="inlineStr">
        <is>
          <t>4 × Ø40 × Ø26,4 × 4 (a cada lado de cada rueda)</t>
        </is>
      </c>
      <c r="J51" s="32" t="inlineStr">
        <is>
          <t>Compra</t>
        </is>
      </c>
      <c r="K51" s="32" t="inlineStr">
        <is>
          <t>Sí</t>
        </is>
      </c>
      <c r="L51" s="17" t="inlineStr">
        <is>
          <t>Hierros Parrotta</t>
        </is>
      </c>
      <c r="M51" s="17" t="inlineStr">
        <is>
          <t>-</t>
        </is>
      </c>
      <c r="N51" s="17" t="inlineStr">
        <is>
          <t>Después de 12 pintura: ruedas montadas sobre el eje</t>
        </is>
      </c>
      <c r="O51" s="17" t="n"/>
      <c r="P51" s="32" t="inlineStr">
        <is>
          <t>P</t>
        </is>
      </c>
      <c r="Q51" s="32" t="inlineStr">
        <is>
          <t>FL_DES_ABC_50kg</t>
        </is>
      </c>
      <c r="R51" s="17" t="inlineStr">
        <is>
          <t>Montaje final, después de la pintura, con las ruedas (proceso de carros, puesto 8)</t>
        </is>
      </c>
    </row>
    <row r="52" outlineLevel="1">
      <c r="A52" s="32" t="n">
        <v>2</v>
      </c>
      <c r="B52" s="32" t="inlineStr">
        <is>
          <t>ABC50-12</t>
        </is>
      </c>
      <c r="C52" s="17" t="inlineStr">
        <is>
          <t xml:space="preserve">        Pasadores del eje (2)</t>
        </is>
      </c>
      <c r="D52" s="32" t="n">
        <v>1</v>
      </c>
      <c r="E52" s="32" t="inlineStr">
        <is>
          <t>u</t>
        </is>
      </c>
      <c r="F52" s="33" t="n">
        <v>0.0132</v>
      </c>
      <c r="G52" s="33">
        <f>D52*F52</f>
        <v/>
      </c>
      <c r="H52" s="32" t="inlineStr">
        <is>
          <t>Pasador partido acero Ø4 × 40</t>
        </is>
      </c>
      <c r="I52" s="17" t="inlineStr">
        <is>
          <t>2 pasadores partidos Ø4 × 40, uno en cada punta del eje, por fuera de la arandela</t>
        </is>
      </c>
      <c r="J52" s="32" t="inlineStr">
        <is>
          <t>Compra</t>
        </is>
      </c>
      <c r="K52" s="32" t="inlineStr">
        <is>
          <t>Sí</t>
        </is>
      </c>
      <c r="L52" s="17" t="inlineStr">
        <is>
          <t>Hierros Parrotta</t>
        </is>
      </c>
      <c r="M52" s="17" t="inlineStr">
        <is>
          <t>-</t>
        </is>
      </c>
      <c r="N52" s="17" t="inlineStr">
        <is>
          <t>Después de 12 pintura: ruedas montadas sobre el eje</t>
        </is>
      </c>
      <c r="O52" s="17" t="n"/>
      <c r="P52" s="32" t="inlineStr">
        <is>
          <t>P</t>
        </is>
      </c>
      <c r="Q52" s="32" t="inlineStr">
        <is>
          <t>FL_DES_ABC_50kg</t>
        </is>
      </c>
      <c r="R52" s="17" t="inlineStr">
        <is>
          <t>Montaje final, después de la pintura, con las ruedas (proceso de carros, puesto 8)</t>
        </is>
      </c>
    </row>
    <row r="53" outlineLevel="1">
      <c r="A53" s="32" t="n">
        <v>2</v>
      </c>
      <c r="B53" s="32" t="inlineStr">
        <is>
          <t>ABC50-13</t>
        </is>
      </c>
      <c r="C53" s="17" t="inlineStr">
        <is>
          <t xml:space="preserve">        Manija del carro</t>
        </is>
      </c>
      <c r="D53" s="32" t="n">
        <v>1</v>
      </c>
      <c r="E53" s="32" t="inlineStr">
        <is>
          <t>u</t>
        </is>
      </c>
      <c r="F53" s="33" t="n">
        <v>1.5697</v>
      </c>
      <c r="G53" s="33">
        <f>D53*F53</f>
        <v/>
      </c>
      <c r="H53" s="32" t="inlineStr">
        <is>
          <t>Caño acero SAE 1010 1" × 2,0</t>
        </is>
      </c>
      <c r="I53" s="17" t="inlineStr">
        <is>
          <t>caño 1" (Ø25,4) × 2,0, corte 1.460 (desarrollado del modelo 1.452); puntas aplastadas en lengüetas 40 × 60 × 4 soldadas a los costados, borde de abajo 200 bajo la costura de la cúpula; 2 curvas de 90° y 2 de 30° (doblez a 965 del piso), puño hacia atrás a 1.160</t>
        </is>
      </c>
      <c r="J53" s="32" t="inlineStr">
        <is>
          <t>Fabricación</t>
        </is>
      </c>
      <c r="K53" s="32" t="inlineStr">
        <is>
          <t>No</t>
        </is>
      </c>
      <c r="L53" s="17" t="n"/>
      <c r="M53" s="17" t="n"/>
      <c r="N53" s="17" t="inlineStr">
        <is>
          <t>8.1 fabricación de accesorios (orillas / caño / barra) -&gt; 8 soldadura MAG al recipiente, antes de la PH (IRAM 3550 6.1.1)</t>
        </is>
      </c>
      <c r="O53" s="17" t="n"/>
      <c r="P53" s="32" t="inlineStr">
        <is>
          <t>P</t>
        </is>
      </c>
      <c r="Q53" s="32" t="inlineStr">
        <is>
          <t>FL_DES_ABC_50kg</t>
        </is>
      </c>
      <c r="R53"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54" outlineLevel="2">
      <c r="A54" s="34" t="n">
        <v>3</v>
      </c>
      <c r="B54" s="34" t="inlineStr">
        <is>
          <t>MP-CANO-CARRO</t>
        </is>
      </c>
      <c r="C54" s="35" t="inlineStr">
        <is>
          <t xml:space="preserve">            Caño SAE 1010 1" × 2,0 (tramo de barra de 6 m)</t>
        </is>
      </c>
      <c r="D54" s="34" t="n">
        <v>0.2433</v>
      </c>
      <c r="E54" s="34" t="inlineStr">
        <is>
          <t>barra</t>
        </is>
      </c>
      <c r="F54" s="36" t="n">
        <v>6.925</v>
      </c>
      <c r="G54" s="36">
        <f>D54*F54</f>
        <v/>
      </c>
      <c r="H54" s="34" t="inlineStr">
        <is>
          <t>Caño acero SAE 1010 1" × 2,0</t>
        </is>
      </c>
      <c r="I54" s="35" t="inlineStr">
        <is>
          <t>1.460 mm por pieza (kg por barra de 6 m)</t>
        </is>
      </c>
      <c r="J54" s="34" t="inlineStr">
        <is>
          <t>Compra</t>
        </is>
      </c>
      <c r="K54" s="34" t="inlineStr">
        <is>
          <t>Sí</t>
        </is>
      </c>
      <c r="L54" s="35" t="inlineStr">
        <is>
          <t>Metalpri / Prilux</t>
        </is>
      </c>
      <c r="M54" s="35" t="inlineStr">
        <is>
          <t>Comercial MID</t>
        </is>
      </c>
      <c r="N54" s="35" t="inlineStr">
        <is>
          <t>Corte en sierra</t>
        </is>
      </c>
      <c r="O54" s="35" t="n"/>
      <c r="P54" s="34" t="inlineStr">
        <is>
          <t>C</t>
        </is>
      </c>
      <c r="Q54" s="34" t="n"/>
      <c r="R54" s="35" t="inlineStr">
        <is>
          <t>Largo de corte = desarrollo del modelo a 10 mm (kit del puesto 8.1), con las lengüetas a aplastar</t>
        </is>
      </c>
    </row>
    <row r="55" outlineLevel="1">
      <c r="A55" s="32" t="n">
        <v>2</v>
      </c>
      <c r="B55" s="32" t="inlineStr">
        <is>
          <t>ABC50-27</t>
        </is>
      </c>
      <c r="C55" s="17" t="inlineStr">
        <is>
          <t xml:space="preserve">        Flejes del soporte de manga (2)</t>
        </is>
      </c>
      <c r="D55" s="32" t="n">
        <v>1</v>
      </c>
      <c r="E55" s="32" t="inlineStr">
        <is>
          <t>u</t>
        </is>
      </c>
      <c r="F55" s="33" t="n">
        <v>0.8231000000000001</v>
      </c>
      <c r="G55" s="33">
        <f>D55*F55</f>
        <v/>
      </c>
      <c r="H55" s="32" t="inlineStr">
        <is>
          <t>Chapa LAC 3,2 × 40 plegada</t>
        </is>
      </c>
      <c r="I55" s="17" t="inlineStr">
        <is>
          <t>2 flejes iguales 40 × 3,2 de 398 de corte, 4 dobleces de 90° (U abierta hacia afuera): base 174 por fuera, soldada al cuerpo por el centro, patas 104 (hasta delante de la última vuelta) y orejas 20 hacia los costados; superior a 40 bajo la costura de la cúpula, inferior a 40 sobre la del fondo; la manga pasa por afuera de las patas y detrás de las orejas</t>
        </is>
      </c>
      <c r="J55" s="32" t="inlineStr">
        <is>
          <t>Fabricación</t>
        </is>
      </c>
      <c r="K55" s="32" t="inlineStr">
        <is>
          <t>No</t>
        </is>
      </c>
      <c r="L55" s="17" t="n"/>
      <c r="M55" s="17" t="n"/>
      <c r="N55" s="17" t="inlineStr">
        <is>
          <t>8.1 fabricación de accesorios (orillas / caño / barra) -&gt; 8 soldadura MAG al recipiente, antes de la PH (IRAM 3550 6.1.1)</t>
        </is>
      </c>
      <c r="O55" s="17" t="n"/>
      <c r="P55" s="32" t="inlineStr">
        <is>
          <t>P</t>
        </is>
      </c>
      <c r="Q55" s="32" t="inlineStr">
        <is>
          <t>FL_DES_ABC_50kg</t>
        </is>
      </c>
      <c r="R55" s="17" t="inlineStr">
        <is>
          <t>Proceso FLAMA de carros, puesto 8 (kit del 8.1): medidas y posición de la tabla del puesto; se suelda antes de la prueba hidráulica (IRAM 3550 6.1.1); chapa de las orillas del corte (sin compra)</t>
        </is>
      </c>
    </row>
    <row r="56">
      <c r="A56" s="29" t="n">
        <v>1</v>
      </c>
      <c r="B56" s="29" t="inlineStr">
        <is>
          <t>ABC50-S5</t>
        </is>
      </c>
      <c r="C56" s="30" t="inlineStr">
        <is>
          <t xml:space="preserve">    Carga: agente extintor y gas impulsor</t>
        </is>
      </c>
      <c r="D56" s="29" t="n">
        <v>1</v>
      </c>
      <c r="E56" s="29" t="inlineStr">
        <is>
          <t>u</t>
        </is>
      </c>
      <c r="F56" s="31" t="n"/>
      <c r="G56" s="31">
        <f>G57+G58</f>
        <v/>
      </c>
      <c r="H56" s="29" t="n"/>
      <c r="I56" s="30" t="n"/>
      <c r="J56" s="29" t="inlineStr">
        <is>
          <t>Carga en planta</t>
        </is>
      </c>
      <c r="K56" s="29" t="n"/>
      <c r="L56" s="30" t="n"/>
      <c r="M56" s="30" t="n"/>
      <c r="N56" s="30" t="inlineStr">
        <is>
          <t>18 Carga de polvo (T01) / C8 (T02)</t>
        </is>
      </c>
      <c r="O56" s="30" t="n"/>
      <c r="P56" s="29" t="n"/>
      <c r="Q56" s="29" t="n"/>
      <c r="R56" s="30" t="n"/>
    </row>
    <row r="57" outlineLevel="1">
      <c r="A57" s="32" t="n">
        <v>2</v>
      </c>
      <c r="B57" s="32" t="inlineStr">
        <is>
          <t>ABC50-A1</t>
        </is>
      </c>
      <c r="C57" s="17" t="inlineStr">
        <is>
          <t xml:space="preserve">        Polvo químico seco ABC 90 (Sello IRAM 3569)</t>
        </is>
      </c>
      <c r="D57" s="32" t="n">
        <v>50</v>
      </c>
      <c r="E57" s="32" t="inlineStr">
        <is>
          <t>kg</t>
        </is>
      </c>
      <c r="F57" s="33" t="n">
        <v>1</v>
      </c>
      <c r="G57" s="33">
        <f>D57*F57</f>
        <v/>
      </c>
      <c r="H57" s="32" t="inlineStr">
        <is>
          <t>Polvo químico seco ABC 90 (Sello IRAM 3569)</t>
        </is>
      </c>
      <c r="I57" s="17" t="inlineStr">
        <is>
          <t>nominal 50 kg; tolerancia ± 3 % (IRAM 3517-2:2020 tabla 3)</t>
        </is>
      </c>
      <c r="J57" s="32" t="inlineStr">
        <is>
          <t>Compra</t>
        </is>
      </c>
      <c r="K57" s="32" t="inlineStr">
        <is>
          <t>Sí</t>
        </is>
      </c>
      <c r="L57" s="17" t="inlineStr">
        <is>
          <t>DEM S.A. (DEMSA)</t>
        </is>
      </c>
      <c r="M57" s="17" t="inlineStr">
        <is>
          <t>Polvex S.R.L. / Sancibrao</t>
        </is>
      </c>
      <c r="N57" s="17" t="inlineStr">
        <is>
          <t>SP-1 almacén previo a la carga</t>
        </is>
      </c>
      <c r="O57" s="17" t="inlineStr">
        <is>
          <t>IRAM 3569</t>
        </is>
      </c>
      <c r="P57" s="32" t="inlineStr">
        <is>
          <t>N</t>
        </is>
      </c>
      <c r="Q57" s="32" t="n"/>
      <c r="R57" s="17" t="inlineStr">
        <is>
          <t>Composición declarada del polvo ABC 90: MAP 90 % (IRAM 3569: 85,5-94,5 %) = 45 kg MAP + 3,5 kg sulfato de amonio + 1,5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58" outlineLevel="1">
      <c r="A58" s="37" t="n">
        <v>2</v>
      </c>
      <c r="B58" s="37" t="inlineStr">
        <is>
          <t>ABC50-A2</t>
        </is>
      </c>
      <c r="C58" s="18" t="inlineStr">
        <is>
          <t xml:space="preserve">        Gas impulsor: N₂</t>
        </is>
      </c>
      <c r="D58" s="37" t="n">
        <v>0.2819</v>
      </c>
      <c r="E58" s="37" t="inlineStr">
        <is>
          <t>kg</t>
        </is>
      </c>
      <c r="F58" s="38" t="n">
        <v>1</v>
      </c>
      <c r="G58" s="38">
        <f>D58*F58</f>
        <v/>
      </c>
      <c r="H58" s="37" t="inlineStr">
        <is>
          <t>N₂</t>
        </is>
      </c>
      <c r="I58" s="18" t="inlineStr">
        <is>
          <t>225,6 L normales para 1,4 MPa a 20 °C en 16,35 dm³ libres</t>
        </is>
      </c>
      <c r="J58" s="37" t="inlineStr">
        <is>
          <t>Compra</t>
        </is>
      </c>
      <c r="K58" s="37" t="inlineStr">
        <is>
          <t>Sí</t>
        </is>
      </c>
      <c r="L58" s="18" t="inlineStr">
        <is>
          <t>Air Liquide Argentina - sucursal Piñeyro</t>
        </is>
      </c>
      <c r="M58" s="18" t="inlineStr">
        <is>
          <t>Gogniat</t>
        </is>
      </c>
      <c r="N58" s="18" t="inlineStr">
        <is>
          <t>20 Presurización (T05) / C10</t>
        </is>
      </c>
      <c r="O58" s="18" t="inlineStr">
        <is>
          <t>IRAM 3517-2 9.4.9 (tabla 2) · IRAM 3523 2.3 y 3.10</t>
        </is>
      </c>
      <c r="P58" s="37" t="inlineStr">
        <is>
          <t>C</t>
        </is>
      </c>
      <c r="Q58" s="37" t="n"/>
      <c r="R58" s="18" t="inlineStr">
        <is>
          <t>N₂ ≥ 99,8 %, H₂O ≤ 40 ppm (Q-N2, Air Liquide) · volumen libre con ρ empacada mínima 1,1 kg/dm³ (NOM-104-STPS-2001); confirmar con descarga ≥ 85 % (IRAM 3523 4.9.1)</t>
        </is>
      </c>
    </row>
    <row r="59">
      <c r="A59" s="29" t="n">
        <v>1</v>
      </c>
      <c r="B59" s="29" t="inlineStr">
        <is>
          <t>ABC50-S6</t>
        </is>
      </c>
      <c r="C59" s="30" t="inlineStr">
        <is>
          <t xml:space="preserve">    Identificación y precinto</t>
        </is>
      </c>
      <c r="D59" s="29" t="n">
        <v>1</v>
      </c>
      <c r="E59" s="29" t="inlineStr">
        <is>
          <t>u</t>
        </is>
      </c>
      <c r="F59" s="31" t="n"/>
      <c r="G59" s="31">
        <f>G60+G61+G62+G63+G64+G65+G66</f>
        <v/>
      </c>
      <c r="H59" s="29" t="n"/>
      <c r="I59" s="30" t="n"/>
      <c r="J59" s="29" t="inlineStr">
        <is>
          <t>Compra</t>
        </is>
      </c>
      <c r="K59" s="29" t="n"/>
      <c r="L59" s="30" t="n"/>
      <c r="M59" s="30" t="n"/>
      <c r="N59" s="30" t="inlineStr">
        <is>
          <t>22 Etiquetado (T07)</t>
        </is>
      </c>
      <c r="O59" s="30" t="n"/>
      <c r="P59" s="29" t="n"/>
      <c r="Q59" s="29" t="n"/>
      <c r="R59" s="30" t="n"/>
    </row>
    <row r="60" outlineLevel="1">
      <c r="A60" s="32" t="n">
        <v>2</v>
      </c>
      <c r="B60" s="32" t="inlineStr">
        <is>
          <t>ABC50-30</t>
        </is>
      </c>
      <c r="C60" s="17" t="inlineStr">
        <is>
          <t xml:space="preserve">        Etiqueta / placa de características</t>
        </is>
      </c>
      <c r="D60" s="32" t="n">
        <v>1</v>
      </c>
      <c r="E60" s="32" t="inlineStr">
        <is>
          <t>u</t>
        </is>
      </c>
      <c r="F60" s="33" t="n">
        <v>0.0524</v>
      </c>
      <c r="G60" s="33">
        <f>D60*F60</f>
        <v/>
      </c>
      <c r="H60" s="32" t="inlineStr">
        <is>
          <t>Vinilo autoadhesivo laminado</t>
        </is>
      </c>
      <c r="I60" s="17" t="inlineStr">
        <is>
          <t>604 × 207 (desarrollo × alto: panel central 108° + 2 alas laterales), e ≈ 0,3, laminado UV</t>
        </is>
      </c>
      <c r="J60" s="32" t="inlineStr">
        <is>
          <t>Compra</t>
        </is>
      </c>
      <c r="K60" s="32" t="inlineStr">
        <is>
          <t>Sí</t>
        </is>
      </c>
      <c r="L60" s="17" t="inlineStr">
        <is>
          <t>Astuprint</t>
        </is>
      </c>
      <c r="M60" s="17" t="inlineStr">
        <is>
          <t>Multilabel Argentina S.A.</t>
        </is>
      </c>
      <c r="N60" s="17" t="inlineStr">
        <is>
          <t>22 Etiquetado (T07)</t>
        </is>
      </c>
      <c r="O60" s="17" t="inlineStr">
        <is>
          <t>IRAM 3534 · IRAM 3550 cap. 5 · relevamiento de mercado</t>
        </is>
      </c>
      <c r="P60" s="32" t="inlineStr">
        <is>
          <t>P</t>
        </is>
      </c>
      <c r="Q60" s="32" t="inlineStr">
        <is>
          <t>FL_DES_ABC_50kg</t>
        </is>
      </c>
      <c r="R60" s="17" t="inlineStr">
        <is>
          <t>IRAM 3534</t>
        </is>
      </c>
    </row>
    <row r="61" outlineLevel="1">
      <c r="A61" s="32" t="n">
        <v>2</v>
      </c>
      <c r="B61" s="32" t="inlineStr">
        <is>
          <t>ABC50-31</t>
        </is>
      </c>
      <c r="C61" s="17" t="inlineStr">
        <is>
          <t xml:space="preserve">        Oblea de fabricación (PBA)</t>
        </is>
      </c>
      <c r="D61" s="32" t="n">
        <v>1</v>
      </c>
      <c r="E61" s="32" t="inlineStr">
        <is>
          <t>u</t>
        </is>
      </c>
      <c r="F61" s="33" t="n">
        <v>0.0009</v>
      </c>
      <c r="G61" s="33">
        <f>D61*F61</f>
        <v/>
      </c>
      <c r="H61" s="32" t="inlineStr">
        <is>
          <t>Papel de seguridad autodestructible</t>
        </is>
      </c>
      <c r="I61" s="17" t="inlineStr">
        <is>
          <t>Ø46 (Res. OPDS 522/07), numerada, autodestructible</t>
        </is>
      </c>
      <c r="J61" s="32" t="inlineStr">
        <is>
          <t>Compra</t>
        </is>
      </c>
      <c r="K61" s="32" t="inlineStr">
        <is>
          <t>Sí</t>
        </is>
      </c>
      <c r="L61" s="17" t="inlineStr">
        <is>
          <t>Ministerio de Ambiente PBA (ex OPDS)</t>
        </is>
      </c>
      <c r="M61" s="17" t="inlineStr">
        <is>
          <t>-</t>
        </is>
      </c>
      <c r="N61" s="17" t="inlineStr">
        <is>
          <t>22 Etiquetado (T07)</t>
        </is>
      </c>
      <c r="O61" s="17" t="inlineStr">
        <is>
          <t>Res. OPDS 522/07 anexos 1, 2 y 6</t>
        </is>
      </c>
      <c r="P61" s="32" t="inlineStr">
        <is>
          <t>P</t>
        </is>
      </c>
      <c r="Q61" s="32" t="inlineStr">
        <is>
          <t>FL_DES_ABC_50kg</t>
        </is>
      </c>
      <c r="R61" s="17" t="inlineStr">
        <is>
          <t>Res. 522/07</t>
        </is>
      </c>
    </row>
    <row r="62" outlineLevel="1">
      <c r="A62" s="32" t="n">
        <v>2</v>
      </c>
      <c r="B62" s="32" t="inlineStr">
        <is>
          <t>ABC50-32</t>
        </is>
      </c>
      <c r="C62" s="17" t="inlineStr">
        <is>
          <t xml:space="preserve">        Estampilla IRAM de conformidad</t>
        </is>
      </c>
      <c r="D62" s="32" t="n">
        <v>1</v>
      </c>
      <c r="E62" s="32" t="inlineStr">
        <is>
          <t>u</t>
        </is>
      </c>
      <c r="F62" s="33" t="n">
        <v>0.001</v>
      </c>
      <c r="G62" s="33">
        <f>D62*F62</f>
        <v/>
      </c>
      <c r="H62" s="32" t="inlineStr">
        <is>
          <t>Provista por IRAM (Anexo R)</t>
        </is>
      </c>
      <c r="I62" s="17" t="inlineStr">
        <is>
          <t>60 × 40</t>
        </is>
      </c>
      <c r="J62" s="32" t="inlineStr">
        <is>
          <t>Compra</t>
        </is>
      </c>
      <c r="K62" s="32" t="inlineStr">
        <is>
          <t>Sí</t>
        </is>
      </c>
      <c r="L62" s="17" t="inlineStr">
        <is>
          <t>IRAM - Instituto Argentino de Normalización</t>
        </is>
      </c>
      <c r="M62" s="17" t="inlineStr">
        <is>
          <t>-</t>
        </is>
      </c>
      <c r="N62" s="17" t="inlineStr">
        <is>
          <t>22 Etiquetado (T07)</t>
        </is>
      </c>
      <c r="O62" s="17" t="inlineStr">
        <is>
          <t>IRAM Anexo R (DC-PG-129)</t>
        </is>
      </c>
      <c r="P62" s="32" t="inlineStr">
        <is>
          <t>P</t>
        </is>
      </c>
      <c r="Q62" s="32" t="inlineStr">
        <is>
          <t>FL_DES_ABC_50kg</t>
        </is>
      </c>
      <c r="R62" s="17" t="inlineStr">
        <is>
          <t>numerada</t>
        </is>
      </c>
    </row>
    <row r="63" outlineLevel="1">
      <c r="A63" s="32" t="n">
        <v>2</v>
      </c>
      <c r="B63" s="32" t="inlineStr">
        <is>
          <t>ABC50-33</t>
        </is>
      </c>
      <c r="C63" s="17" t="inlineStr">
        <is>
          <t xml:space="preserve">        Tarjeta de identificación AGC (CABA)</t>
        </is>
      </c>
      <c r="D63" s="32" t="n">
        <v>1</v>
      </c>
      <c r="E63" s="32" t="inlineStr">
        <is>
          <t>u</t>
        </is>
      </c>
      <c r="F63" s="33" t="n">
        <v>0.0032</v>
      </c>
      <c r="G63" s="33">
        <f>D63*F63</f>
        <v/>
      </c>
      <c r="H63" s="32" t="inlineStr">
        <is>
          <t>Etiqueta autoadhesiva emitida por la AGC</t>
        </is>
      </c>
      <c r="I63" s="17" t="inlineStr">
        <is>
          <t>140 × 55</t>
        </is>
      </c>
      <c r="J63" s="32" t="inlineStr">
        <is>
          <t>Compra</t>
        </is>
      </c>
      <c r="K63" s="32" t="inlineStr">
        <is>
          <t>Sí</t>
        </is>
      </c>
      <c r="L63" s="17" t="inlineStr">
        <is>
          <t>Agencia Gubernamental de Control (CABA)</t>
        </is>
      </c>
      <c r="M63" s="17" t="inlineStr">
        <is>
          <t>-</t>
        </is>
      </c>
      <c r="N63" s="17" t="inlineStr">
        <is>
          <t>22 Etiquetado (T07)</t>
        </is>
      </c>
      <c r="O63" s="17" t="inlineStr">
        <is>
          <t>Ordenanza 40.473 art. 6 · Res. AGC 32/15</t>
        </is>
      </c>
      <c r="P63" s="32" t="inlineStr">
        <is>
          <t>P</t>
        </is>
      </c>
      <c r="Q63" s="32" t="inlineStr">
        <is>
          <t>FL_DES_ABC_50kg</t>
        </is>
      </c>
      <c r="R63" s="17" t="inlineStr">
        <is>
          <t>sólo destino CABA</t>
        </is>
      </c>
    </row>
    <row r="64" outlineLevel="1">
      <c r="A64" s="32" t="n">
        <v>2</v>
      </c>
      <c r="B64" s="32" t="inlineStr">
        <is>
          <t>ABC50-34</t>
        </is>
      </c>
      <c r="C64" s="17" t="inlineStr">
        <is>
          <t xml:space="preserve">        Etiqueta de n° de serie GS1</t>
        </is>
      </c>
      <c r="D64" s="32" t="n">
        <v>1</v>
      </c>
      <c r="E64" s="32" t="inlineStr">
        <is>
          <t>u</t>
        </is>
      </c>
      <c r="F64" s="33" t="n">
        <v>0.0005</v>
      </c>
      <c r="G64" s="33">
        <f>D64*F64</f>
        <v/>
      </c>
      <c r="H64" s="32" t="inlineStr">
        <is>
          <t>Poliéster autoadhesivo impreso térmico</t>
        </is>
      </c>
      <c r="I64" s="17" t="inlineStr">
        <is>
          <t>45 × 25</t>
        </is>
      </c>
      <c r="J64" s="32" t="inlineStr">
        <is>
          <t>Compra</t>
        </is>
      </c>
      <c r="K64" s="32" t="inlineStr">
        <is>
          <t>Sí</t>
        </is>
      </c>
      <c r="L64" s="17" t="inlineStr">
        <is>
          <t>Astuprint</t>
        </is>
      </c>
      <c r="M64" s="17" t="inlineStr">
        <is>
          <t>GS1 Argentina</t>
        </is>
      </c>
      <c r="N64" s="17" t="inlineStr">
        <is>
          <t>22 Etiquetado (T07)</t>
        </is>
      </c>
      <c r="O64" s="17" t="inlineStr">
        <is>
          <t>GS1 Argentina (GTIN 779) · trazabilidad IRAM 3523 5.1</t>
        </is>
      </c>
      <c r="P64" s="32" t="inlineStr">
        <is>
          <t>P</t>
        </is>
      </c>
      <c r="Q64" s="32" t="inlineStr">
        <is>
          <t>FL_DES_ABC_50kg</t>
        </is>
      </c>
      <c r="R64" s="17" t="inlineStr">
        <is>
          <t>QR GTIN + serie</t>
        </is>
      </c>
    </row>
    <row r="65" outlineLevel="1">
      <c r="A65" s="32" t="n">
        <v>2</v>
      </c>
      <c r="B65" s="32" t="inlineStr">
        <is>
          <t>ABC50-36</t>
        </is>
      </c>
      <c r="C65" s="17" t="inlineStr">
        <is>
          <t xml:space="preserve">        Faja de garantía válvula-cuello</t>
        </is>
      </c>
      <c r="D65" s="32" t="n">
        <v>1</v>
      </c>
      <c r="E65" s="32" t="inlineStr">
        <is>
          <t>u</t>
        </is>
      </c>
      <c r="F65" s="33" t="n">
        <v>0.0004</v>
      </c>
      <c r="G65" s="33">
        <f>D65*F65</f>
        <v/>
      </c>
      <c r="H65" s="32" t="inlineStr">
        <is>
          <t>Vinilo destructible rayado rojo/blanco</t>
        </is>
      </c>
      <c r="I65" s="17" t="inlineStr">
        <is>
          <t>30 × 47 (ancho × largo desarrollado), pegada sobre la unión: cuerpo de la válvula, tuerca y cuello</t>
        </is>
      </c>
      <c r="J65" s="32" t="inlineStr">
        <is>
          <t>Compra</t>
        </is>
      </c>
      <c r="K65" s="32" t="inlineStr">
        <is>
          <t>Sí</t>
        </is>
      </c>
      <c r="L65" s="17" t="inlineStr">
        <is>
          <t>Astuprint</t>
        </is>
      </c>
      <c r="M65" s="17" t="inlineStr">
        <is>
          <t>Multilabel Argentina S.A.</t>
        </is>
      </c>
      <c r="N65" s="17" t="inlineStr">
        <is>
          <t>22 Etiquetado (T07)</t>
        </is>
      </c>
      <c r="O65" s="17" t="inlineStr">
        <is>
          <t>Sin norma: práctica de mercado (garantía de fábrica)</t>
        </is>
      </c>
      <c r="P65" s="32" t="inlineStr">
        <is>
          <t>P</t>
        </is>
      </c>
      <c r="Q65" s="32" t="inlineStr">
        <is>
          <t>FL_DES_ABC_50kg</t>
        </is>
      </c>
      <c r="R65" s="17" t="inlineStr">
        <is>
          <t>nuevo sin abrir</t>
        </is>
      </c>
    </row>
    <row r="66" outlineLevel="1">
      <c r="A66" s="32" t="n">
        <v>2</v>
      </c>
      <c r="B66" s="32" t="inlineStr">
        <is>
          <t>ABC50-37</t>
        </is>
      </c>
      <c r="C66" s="17" t="inlineStr">
        <is>
          <t xml:space="preserve">        Precinto de fábrica</t>
        </is>
      </c>
      <c r="D66" s="32" t="n">
        <v>1</v>
      </c>
      <c r="E66" s="32" t="inlineStr">
        <is>
          <t>u</t>
        </is>
      </c>
      <c r="F66" s="33" t="n">
        <v>0.0002</v>
      </c>
      <c r="G66" s="33">
        <f>D66*F66</f>
        <v/>
      </c>
      <c r="H66" s="32" t="inlineStr">
        <is>
          <t>Polipropileno color</t>
        </is>
      </c>
      <c r="I66" s="17" t="inlineStr">
        <is>
          <t>Ø5 × 10, numerado, rotura 30-50 N</t>
        </is>
      </c>
      <c r="J66" s="32" t="inlineStr">
        <is>
          <t>Compra</t>
        </is>
      </c>
      <c r="K66" s="32" t="inlineStr">
        <is>
          <t>Sí</t>
        </is>
      </c>
      <c r="L66" s="17" t="inlineStr">
        <is>
          <t>SonFuertes (vía Papelera Damián)</t>
        </is>
      </c>
      <c r="M66" s="17" t="inlineStr">
        <is>
          <t>Precinter S.R.L.</t>
        </is>
      </c>
      <c r="N66" s="17" t="inlineStr">
        <is>
          <t>20 Presurización (T05)</t>
        </is>
      </c>
      <c r="O66" s="17" t="inlineStr">
        <is>
          <t>IRAM 3523 3.3.2 · IRAM 3517-2:2020 9.4.13</t>
        </is>
      </c>
      <c r="P66" s="32" t="inlineStr">
        <is>
          <t>P</t>
        </is>
      </c>
      <c r="Q66" s="32" t="inlineStr">
        <is>
          <t>FL_DES_ABC_50kg</t>
        </is>
      </c>
      <c r="R66" s="17" t="inlineStr">
        <is>
          <t>id. FLAMA y lote</t>
        </is>
      </c>
    </row>
    <row r="67">
      <c r="A67" s="29" t="n">
        <v>1</v>
      </c>
      <c r="B67" s="29" t="inlineStr">
        <is>
          <t>ABC50-S7</t>
        </is>
      </c>
      <c r="C67" s="30" t="inlineStr">
        <is>
          <t xml:space="preserve">    Embalaje</t>
        </is>
      </c>
      <c r="D67" s="29" t="n">
        <v>1</v>
      </c>
      <c r="E67" s="29" t="inlineStr">
        <is>
          <t>u</t>
        </is>
      </c>
      <c r="F67" s="31" t="n"/>
      <c r="G67" s="31">
        <f>G70</f>
        <v/>
      </c>
      <c r="H67" s="29" t="n"/>
      <c r="I67" s="30" t="n"/>
      <c r="J67" s="29" t="inlineStr">
        <is>
          <t>Compra</t>
        </is>
      </c>
      <c r="K67" s="29" t="n"/>
      <c r="L67" s="30" t="n"/>
      <c r="M67" s="30" t="n"/>
      <c r="N67" s="30" t="inlineStr">
        <is>
          <t>23 Embalaje -&gt; 24 envolvedora (T11)</t>
        </is>
      </c>
      <c r="O67" s="30" t="n"/>
      <c r="P67" s="29" t="n"/>
      <c r="Q67" s="29" t="n"/>
      <c r="R67" s="30" t="n"/>
    </row>
    <row r="68" outlineLevel="1">
      <c r="A68" s="32" t="n">
        <v>2</v>
      </c>
      <c r="B68" s="32" t="inlineStr">
        <is>
          <t>ABC50-E1</t>
        </is>
      </c>
      <c r="C68" s="17" t="inlineStr">
        <is>
          <t xml:space="preserve">        Esquineros y funda de polietileno</t>
        </is>
      </c>
      <c r="D68" s="32" t="n">
        <v>1</v>
      </c>
      <c r="E68" s="32" t="inlineStr">
        <is>
          <t>jgo</t>
        </is>
      </c>
      <c r="F68" s="33" t="n"/>
      <c r="G68" s="33" t="n"/>
      <c r="H68" s="32" t="inlineStr">
        <is>
          <t>PE / cartón</t>
        </is>
      </c>
      <c r="I68" s="17" t="inlineStr">
        <is>
          <t>a medida de la envolvente del plano</t>
        </is>
      </c>
      <c r="J68" s="32" t="inlineStr">
        <is>
          <t>Compra</t>
        </is>
      </c>
      <c r="K68" s="32" t="inlineStr">
        <is>
          <t>Sí</t>
        </is>
      </c>
      <c r="L68" s="17" t="inlineStr">
        <is>
          <t>MV Embalajes</t>
        </is>
      </c>
      <c r="M68" s="17" t="inlineStr">
        <is>
          <t>Embalpack</t>
        </is>
      </c>
      <c r="N68" s="17" t="inlineStr">
        <is>
          <t>23 Embalaje</t>
        </is>
      </c>
      <c r="O68" s="17" t="n"/>
      <c r="P68" s="32" t="inlineStr">
        <is>
          <t>P</t>
        </is>
      </c>
      <c r="Q68" s="32" t="n"/>
      <c r="R68" s="17" t="inlineStr">
        <is>
          <t>Medida del plano</t>
        </is>
      </c>
    </row>
    <row r="69" outlineLevel="1">
      <c r="A69" s="32" t="n">
        <v>2</v>
      </c>
      <c r="B69" s="32" t="inlineStr">
        <is>
          <t>ABC50-E3</t>
        </is>
      </c>
      <c r="C69" s="17" t="inlineStr">
        <is>
          <t xml:space="preserve">        Pallet 1200 × 1000 (fracción)</t>
        </is>
      </c>
      <c r="D69" s="32" t="n">
        <v>0.5</v>
      </c>
      <c r="E69" s="32" t="inlineStr">
        <is>
          <t>u</t>
        </is>
      </c>
      <c r="F69" s="33" t="n"/>
      <c r="G69" s="33" t="n"/>
      <c r="H69" s="32" t="inlineStr">
        <is>
          <t>Madera</t>
        </is>
      </c>
      <c r="I69" s="17" t="inlineStr">
        <is>
          <t>2 u por pallet</t>
        </is>
      </c>
      <c r="J69" s="32" t="inlineStr">
        <is>
          <t>Compra</t>
        </is>
      </c>
      <c r="K69" s="32" t="inlineStr">
        <is>
          <t>Sí</t>
        </is>
      </c>
      <c r="L69" s="17" t="inlineStr">
        <is>
          <t>IndusPallets</t>
        </is>
      </c>
      <c r="M69" s="17" t="inlineStr">
        <is>
          <t>-</t>
        </is>
      </c>
      <c r="N69" s="17" t="inlineStr">
        <is>
          <t>23 Embalaje</t>
        </is>
      </c>
      <c r="O69" s="17" t="n"/>
      <c r="P69" s="32" t="inlineStr">
        <is>
          <t>C</t>
        </is>
      </c>
      <c r="Q69" s="32" t="n"/>
      <c r="R69" s="17" t="inlineStr">
        <is>
          <t>u por pallet = acomodo de la caja (plano) en 1200 × 1000 × 1450 de alto</t>
        </is>
      </c>
    </row>
    <row r="70" outlineLevel="1">
      <c r="A70" s="37" t="n">
        <v>2</v>
      </c>
      <c r="B70" s="37" t="inlineStr">
        <is>
          <t>ABC50-E4</t>
        </is>
      </c>
      <c r="C70" s="18" t="inlineStr">
        <is>
          <t xml:space="preserve">        Film stretch (fracción del pallet)</t>
        </is>
      </c>
      <c r="D70" s="37" t="n">
        <v>0.06</v>
      </c>
      <c r="E70" s="37" t="inlineStr">
        <is>
          <t>kg</t>
        </is>
      </c>
      <c r="F70" s="38" t="n">
        <v>1</v>
      </c>
      <c r="G70" s="38">
        <f>D70*F70</f>
        <v/>
      </c>
      <c r="H70" s="37" t="inlineStr">
        <is>
          <t>PE lineal 23 µm</t>
        </is>
      </c>
      <c r="I70" s="18" t="inlineStr">
        <is>
          <t>0,12 kg por pallet / 2 u</t>
        </is>
      </c>
      <c r="J70" s="37" t="inlineStr">
        <is>
          <t>Compra</t>
        </is>
      </c>
      <c r="K70" s="37" t="inlineStr">
        <is>
          <t>Sí</t>
        </is>
      </c>
      <c r="L70" s="18" t="inlineStr">
        <is>
          <t>MV Embalajes</t>
        </is>
      </c>
      <c r="M70" s="18" t="inlineStr">
        <is>
          <t>Embalpack</t>
        </is>
      </c>
      <c r="N70" s="18" t="inlineStr">
        <is>
          <t>24 Envolvedora (T11)</t>
        </is>
      </c>
      <c r="O70" s="18" t="n"/>
      <c r="P70" s="37" t="inlineStr">
        <is>
          <t>C</t>
        </is>
      </c>
      <c r="Q70" s="37" t="n"/>
      <c r="R70"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1" outlineLevel="1">
      <c r="A71" s="32" t="n">
        <v>2</v>
      </c>
      <c r="B71" s="32" t="inlineStr">
        <is>
          <t>ABC50-E5</t>
        </is>
      </c>
      <c r="C71" s="17" t="inlineStr">
        <is>
          <t xml:space="preserve">        Etiqueta de pallet (lote y destino, fracción)</t>
        </is>
      </c>
      <c r="D71" s="32" t="n">
        <v>0.5</v>
      </c>
      <c r="E71" s="32" t="inlineStr">
        <is>
          <t>u</t>
        </is>
      </c>
      <c r="F71" s="33" t="n"/>
      <c r="G71" s="33" t="n"/>
      <c r="H71" s="32" t="inlineStr">
        <is>
          <t>Papel térmico</t>
        </is>
      </c>
      <c r="I71" s="17" t="inlineStr">
        <is>
          <t>100 × 150</t>
        </is>
      </c>
      <c r="J71" s="32" t="inlineStr">
        <is>
          <t>Compra</t>
        </is>
      </c>
      <c r="K71" s="32" t="inlineStr">
        <is>
          <t>Sí</t>
        </is>
      </c>
      <c r="L71" s="17" t="inlineStr">
        <is>
          <t>Astuprint</t>
        </is>
      </c>
      <c r="M71" s="17" t="inlineStr">
        <is>
          <t>Multilabel Argentina S.A.</t>
        </is>
      </c>
      <c r="N71" s="17" t="inlineStr">
        <is>
          <t>24 Envolvedora</t>
        </is>
      </c>
      <c r="O71" s="17" t="n"/>
      <c r="P71" s="32" t="inlineStr">
        <is>
          <t>C</t>
        </is>
      </c>
      <c r="Q71" s="32" t="n"/>
      <c r="R71" s="17" t="n"/>
    </row>
  </sheetData>
  <autoFilter ref="A10:R71"/>
  <pageMargins left="0.75" right="0.75" top="1" bottom="1" header="0.5" footer="0.5"/>
  <pageSetup orientation="landscape" fitToHeight="0" fitToWidth="1"/>
</worksheet>
</file>

<file path=xl/worksheets/sheet31.xml><?xml version="1.0" encoding="utf-8"?>
<worksheet xmlns="http://schemas.openxmlformats.org/spreadsheetml/2006/main">
  <sheetPr>
    <tabColor rgb="007F1D1D"/>
    <outlinePr summaryBelow="0" summaryRight="1"/>
    <pageSetUpPr fitToPage="1"/>
  </sheetPr>
  <dimension ref="A1:R72"/>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FL_MAT_ABC_70kg</t>
        </is>
      </c>
    </row>
    <row r="2">
      <c r="A2" s="58" t="inlineStr">
        <is>
          <t>Extintor ABC 70 kg sobre ruedas</t>
        </is>
      </c>
    </row>
    <row r="3">
      <c r="A3" s="2" t="inlineStr">
        <is>
          <t>Plano de origen</t>
        </is>
      </c>
      <c r="C3" t="inlineStr">
        <is>
          <t>FL_MAT_ABC_70kg  (4 láminas)</t>
        </is>
      </c>
      <c r="E3" s="2" t="inlineStr">
        <is>
          <t>Peso vacío S1-S4 (kg)</t>
        </is>
      </c>
      <c r="G3" s="59">
        <f>G12+G22+G37+G43</f>
        <v/>
      </c>
    </row>
    <row r="4">
      <c r="A4" s="2" t="inlineStr">
        <is>
          <t>Plano de despiece</t>
        </is>
      </c>
      <c r="C4" t="inlineStr">
        <is>
          <t>FL_DES_ABC_70kg (salida/despiece/)</t>
        </is>
      </c>
      <c r="E4" s="2" t="inlineStr">
        <is>
          <t>Peso cargado S1-S6 (kg)</t>
        </is>
      </c>
      <c r="G4" s="59">
        <f>G12+G22+G37+G43+G57+G60</f>
        <v/>
      </c>
    </row>
    <row r="5">
      <c r="A5" s="2" t="inlineStr">
        <is>
          <t>Norma del producto</t>
        </is>
      </c>
      <c r="C5" t="inlineStr">
        <is>
          <t>IRAM 3550</t>
        </is>
      </c>
      <c r="E5" s="2" t="inlineStr">
        <is>
          <t>Peso con soporte y embalaje (kg)</t>
        </is>
      </c>
      <c r="G5" s="59">
        <f>G12+G22+G37+G43+G57+G60+G68</f>
        <v/>
      </c>
    </row>
    <row r="6">
      <c r="A6" s="2" t="inlineStr">
        <is>
          <t>Fabricación</t>
        </is>
      </c>
      <c r="C6" t="inlineStr">
        <is>
          <t>Fabricación propia</t>
        </is>
      </c>
      <c r="E6" s="2" t="inlineStr">
        <is>
          <t>Desvío cargado vs referencia</t>
        </is>
      </c>
      <c r="G6" s="24">
        <f>G4/C7-1</f>
        <v/>
      </c>
    </row>
    <row r="7">
      <c r="A7" s="2" t="inlineStr">
        <is>
          <t>Peso cargado de referencia (kg)</t>
        </is>
      </c>
      <c r="C7" t="n">
        <v>140</v>
      </c>
      <c r="E7" s="60" t="inlineStr">
        <is>
          <t>Referencia: Ficha técnica Georgia ABC 90 70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FL_MAT_ABC_70kg</t>
        </is>
      </c>
      <c r="C11" s="27" t="inlineStr">
        <is>
          <t>Extintor ABC 70 kg sobre ruedas</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FL_MAT_ABC_70kg</t>
        </is>
      </c>
      <c r="R11" s="27" t="inlineStr">
        <is>
          <t>Fabricación propia</t>
        </is>
      </c>
    </row>
    <row r="12">
      <c r="A12" s="29" t="n">
        <v>1</v>
      </c>
      <c r="B12" s="29" t="inlineStr">
        <is>
          <t>FL_REC_ABC_70kg</t>
        </is>
      </c>
      <c r="C12" s="30" t="inlineStr">
        <is>
          <t xml:space="preserve">    Recipiente (cilindro)</t>
        </is>
      </c>
      <c r="D12" s="29" t="n">
        <v>1</v>
      </c>
      <c r="E12" s="29" t="inlineStr">
        <is>
          <t>u</t>
        </is>
      </c>
      <c r="F12" s="31" t="n"/>
      <c r="G12" s="31">
        <f>G13+G15+G16+G17+G18+G19</f>
        <v/>
      </c>
      <c r="H12" s="29" t="n"/>
      <c r="I12" s="30" t="n"/>
      <c r="J12" s="29" t="inlineStr">
        <is>
          <t>Fabricación</t>
        </is>
      </c>
      <c r="K12" s="29" t="n"/>
      <c r="L12" s="30" t="n"/>
      <c r="M12" s="30" t="n"/>
      <c r="N12" s="30" t="n"/>
      <c r="O12" s="30" t="inlineStr">
        <is>
          <t>IRAM 3523 / 3550 (recipiente)</t>
        </is>
      </c>
      <c r="P12" s="29" t="inlineStr">
        <is>
          <t>P</t>
        </is>
      </c>
      <c r="Q12" s="29" t="inlineStr">
        <is>
          <t>FL_REC_ABC_70kg</t>
        </is>
      </c>
      <c r="R12" s="30" t="n"/>
    </row>
    <row r="13" outlineLevel="1">
      <c r="A13" s="32" t="n">
        <v>2</v>
      </c>
      <c r="B13" s="32" t="inlineStr">
        <is>
          <t>ABC70-01</t>
        </is>
      </c>
      <c r="C13" s="17" t="inlineStr">
        <is>
          <t xml:space="preserve">        Cuerpo (virola)</t>
        </is>
      </c>
      <c r="D13" s="32" t="n">
        <v>1</v>
      </c>
      <c r="E13" s="32" t="inlineStr">
        <is>
          <t>u</t>
        </is>
      </c>
      <c r="F13" s="33" t="n">
        <v>30.6877</v>
      </c>
      <c r="G13" s="33">
        <f>D13*F13</f>
        <v/>
      </c>
      <c r="H13" s="32" t="inlineStr">
        <is>
          <t>Chapa LAC IRAM-IAS U 500-04 e=4,75</t>
        </is>
      </c>
      <c r="I13" s="17" t="inlineStr">
        <is>
          <t>Ø390 × e4,75 × 680 de alto; desarrollo 1.210,3 × 680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O13" s="17" t="n"/>
      <c r="P13" s="32" t="inlineStr">
        <is>
          <t>P</t>
        </is>
      </c>
      <c r="Q13" s="32" t="inlineStr">
        <is>
          <t>FL_DES_ABC_70kg</t>
        </is>
      </c>
      <c r="R13" s="17" t="inlineStr">
        <is>
          <t>costura long. MAG</t>
        </is>
      </c>
    </row>
    <row r="14" outlineLevel="2">
      <c r="A14" s="34" t="n">
        <v>3</v>
      </c>
      <c r="B14" s="34" t="inlineStr">
        <is>
          <t>MP-HOJA</t>
        </is>
      </c>
      <c r="C14" s="35" t="inlineStr">
        <is>
          <t xml:space="preserve">            Recorte de hoja LAC 1500 × 3000 e=4,75</t>
        </is>
      </c>
      <c r="D14" s="34" t="n">
        <v>1</v>
      </c>
      <c r="E14" s="34" t="inlineStr">
        <is>
          <t>u</t>
        </is>
      </c>
      <c r="F14" s="36" t="n">
        <v>38.802</v>
      </c>
      <c r="G14" s="36">
        <f>D14*F14</f>
        <v/>
      </c>
      <c r="H14" s="34" t="inlineStr">
        <is>
          <t>Chapa LAC IRAM-IAS U 500-04 LAC</t>
        </is>
      </c>
      <c r="I14" s="35" t="inlineStr">
        <is>
          <t>680 × 1.212 (aprovech. 79,2 %)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ABC70-02</t>
        </is>
      </c>
      <c r="C15" s="17" t="inlineStr">
        <is>
          <t xml:space="preserve">        Cúpula</t>
        </is>
      </c>
      <c r="D15" s="32" t="n">
        <v>1</v>
      </c>
      <c r="E15" s="32" t="inlineStr">
        <is>
          <t>u</t>
        </is>
      </c>
      <c r="F15" s="33" t="n">
        <v>7.1038</v>
      </c>
      <c r="G15" s="33">
        <f>D15*F15</f>
        <v/>
      </c>
      <c r="H15" s="32" t="inlineStr">
        <is>
          <t>Chapa LAC IRAM-IAS U 500-04 e=4,75</t>
        </is>
      </c>
      <c r="I15" s="17" t="inlineStr">
        <is>
          <t>Ø390 × e4,75 × 137,3 de alto; disco Ø507,3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 -&gt; 11 marcado (estampado en arco junto al cuello)</t>
        </is>
      </c>
      <c r="O15" s="17" t="n"/>
      <c r="P15" s="32" t="inlineStr">
        <is>
          <t>P</t>
        </is>
      </c>
      <c r="Q15" s="32" t="inlineStr">
        <is>
          <t>FL_DES_ABC_70kg</t>
        </is>
      </c>
      <c r="R15" s="17" t="inlineStr">
        <is>
          <t>embutida</t>
        </is>
      </c>
    </row>
    <row r="16" outlineLevel="1">
      <c r="A16" s="32" t="n">
        <v>2</v>
      </c>
      <c r="B16" s="32" t="inlineStr">
        <is>
          <t>ABC70-03</t>
        </is>
      </c>
      <c r="C16" s="17" t="inlineStr">
        <is>
          <t xml:space="preserve">        Fondo</t>
        </is>
      </c>
      <c r="D16" s="32" t="n">
        <v>1</v>
      </c>
      <c r="E16" s="32" t="inlineStr">
        <is>
          <t>u</t>
        </is>
      </c>
      <c r="F16" s="33" t="n">
        <v>7.4086</v>
      </c>
      <c r="G16" s="33">
        <f>D16*F16</f>
        <v/>
      </c>
      <c r="H16" s="32" t="inlineStr">
        <is>
          <t>Chapa LAC IRAM-IAS U 500-04 e=4,75</t>
        </is>
      </c>
      <c r="I16" s="17" t="inlineStr">
        <is>
          <t>Ø390 × e4,75 × 139,8 de alto; disco Ø518,1</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FL_DES_ABC_70kg</t>
        </is>
      </c>
      <c r="R16" s="17" t="inlineStr">
        <is>
          <t>embutido</t>
        </is>
      </c>
    </row>
    <row r="17" outlineLevel="1">
      <c r="A17" s="32" t="n">
        <v>2</v>
      </c>
      <c r="B17" s="32" t="inlineStr">
        <is>
          <t>ABC70-04</t>
        </is>
      </c>
      <c r="C17" s="17" t="inlineStr">
        <is>
          <t xml:space="preserve">        Cuello roscado</t>
        </is>
      </c>
      <c r="D17" s="32" t="n">
        <v>1</v>
      </c>
      <c r="E17" s="32" t="inlineStr">
        <is>
          <t>u</t>
        </is>
      </c>
      <c r="F17" s="33" t="n">
        <v>0.6198</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FL_DES_ABC_70kg</t>
        </is>
      </c>
      <c r="R17" s="17" t="inlineStr">
        <is>
          <t>RBSP 2 1/2"-11 h</t>
        </is>
      </c>
    </row>
    <row r="18" outlineLevel="1">
      <c r="A18" s="32" t="n">
        <v>2</v>
      </c>
      <c r="B18" s="32" t="inlineStr">
        <is>
          <t>ABC70-05</t>
        </is>
      </c>
      <c r="C18" s="17" t="inlineStr">
        <is>
          <t xml:space="preserve">        Placas de refuerzo (2)</t>
        </is>
      </c>
      <c r="D18" s="32" t="n">
        <v>1</v>
      </c>
      <c r="E18" s="32" t="inlineStr">
        <is>
          <t>u</t>
        </is>
      </c>
      <c r="F18" s="33" t="n">
        <v>1.5106</v>
      </c>
      <c r="G18" s="33">
        <f>D18*F18</f>
        <v/>
      </c>
      <c r="H18" s="32" t="inlineStr">
        <is>
          <t>Chapa LAC 4,75 curvada a Ø380</t>
        </is>
      </c>
      <c r="I18" s="17" t="inlineStr">
        <is>
          <t>2 × 200 × 100 × 4,75 curvadas a Ø380, a 100 mm de cada boca</t>
        </is>
      </c>
      <c r="J18" s="32" t="inlineStr">
        <is>
          <t>Fabricación</t>
        </is>
      </c>
      <c r="K18" s="32" t="inlineStr">
        <is>
          <t>No</t>
        </is>
      </c>
      <c r="L18" s="17" t="n"/>
      <c r="M18" s="17" t="n"/>
      <c r="N18" s="17" t="inlineStr">
        <is>
          <t>2 Tira de orilla 200 × 900 -&gt; 3 rolado a Ø380 -&gt; corte con amoladora -&gt; 4 punteo interior (4 esquinas)</t>
        </is>
      </c>
      <c r="O18" s="17" t="n"/>
      <c r="P18" s="32" t="inlineStr">
        <is>
          <t>P</t>
        </is>
      </c>
      <c r="Q18" s="32" t="inlineStr">
        <is>
          <t>FL_DES_ABC_70kg</t>
        </is>
      </c>
      <c r="R18" s="17" t="inlineStr">
        <is>
          <t>Proceso FLAMA de carros: por dentro sobre la costura longitudinal, una en cada extremo a 100 mm de la boca; salen de las orillas de 4,75 (sin compra)</t>
        </is>
      </c>
    </row>
    <row r="19" outlineLevel="1">
      <c r="A19" s="37" t="n">
        <v>2</v>
      </c>
      <c r="B19" s="37" t="inlineStr">
        <is>
          <t>ABC70-C1</t>
        </is>
      </c>
      <c r="C19" s="18" t="inlineStr">
        <is>
          <t xml:space="preserve">        Alambre MAG ER70S-6 Ø1,0 (AWS A5.18)</t>
        </is>
      </c>
      <c r="D19" s="37" t="n">
        <v>1.0749</v>
      </c>
      <c r="E19" s="37" t="inlineStr">
        <is>
          <t>kg</t>
        </is>
      </c>
      <c r="F19" s="38" t="n">
        <v>0.95</v>
      </c>
      <c r="G19" s="38">
        <f>D19*F19</f>
        <v/>
      </c>
      <c r="H19" s="37" t="inlineStr">
        <is>
          <t>ER70S-6</t>
        </is>
      </c>
      <c r="I19" s="18" t="inlineStr">
        <is>
          <t>metal depositado de los cordones del plano 1.021 g / rendimiento 0,95</t>
        </is>
      </c>
      <c r="J19" s="37" t="inlineStr">
        <is>
          <t>Compra</t>
        </is>
      </c>
      <c r="K19" s="37" t="inlineStr">
        <is>
          <t>Sí</t>
        </is>
      </c>
      <c r="L19" s="18" t="inlineStr">
        <is>
          <t>Conarco (ESAB Argentina)</t>
        </is>
      </c>
      <c r="M19" s="18" t="inlineStr">
        <is>
          <t>-</t>
        </is>
      </c>
      <c r="N19" s="18" t="inlineStr">
        <is>
          <t>5 sold. long. / 6 cupla / 7 circunferencial</t>
        </is>
      </c>
      <c r="O19" s="18" t="inlineStr">
        <is>
          <t>IRAM 3523 3.2.4.2 · IRAM 3550 4.1.2</t>
        </is>
      </c>
      <c r="P19" s="37" t="inlineStr">
        <is>
          <t>C</t>
        </is>
      </c>
      <c r="Q19" s="37" t="n"/>
      <c r="R1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0" outlineLevel="1">
      <c r="A20" s="37" t="n">
        <v>2</v>
      </c>
      <c r="B20" s="37" t="inlineStr">
        <is>
          <t>ABC70-C2</t>
        </is>
      </c>
      <c r="C20" s="18" t="inlineStr">
        <is>
          <t xml:space="preserve">        Gas de protección MAG Arcal 21 / ARCAL Speed (Ar + 8 % CO₂, M20)</t>
        </is>
      </c>
      <c r="D20" s="37" t="n">
        <v>79.5</v>
      </c>
      <c r="E20" s="37" t="inlineStr">
        <is>
          <t>L</t>
        </is>
      </c>
      <c r="F20" s="38" t="n"/>
      <c r="G20" s="38" t="n"/>
      <c r="H20" s="37" t="inlineStr">
        <is>
          <t>EN ISO 14175 M20-ArC-8</t>
        </is>
      </c>
      <c r="I20" s="18" t="inlineStr">
        <is>
          <t>14 L/min × 5,68 min de arco (cordones 3.407 mm: long. 680 + circ. 2.450 + cuello 276, a 600 mm/min)</t>
        </is>
      </c>
      <c r="J20" s="37" t="inlineStr">
        <is>
          <t>Compra</t>
        </is>
      </c>
      <c r="K20" s="37" t="inlineStr">
        <is>
          <t>Sí</t>
        </is>
      </c>
      <c r="L20" s="18" t="inlineStr">
        <is>
          <t>Air Liquide Argentina - sucursal Piñeyro</t>
        </is>
      </c>
      <c r="M20" s="18" t="inlineStr">
        <is>
          <t>Gogniat</t>
        </is>
      </c>
      <c r="N20" s="18" t="inlineStr">
        <is>
          <t>Colector SC</t>
        </is>
      </c>
      <c r="O20" s="18" t="inlineStr">
        <is>
          <t>IRAM 3523 3.2.4.2 · IRAM 3550 3.2.2.2</t>
        </is>
      </c>
      <c r="P20" s="37" t="inlineStr">
        <is>
          <t>C</t>
        </is>
      </c>
      <c r="Q20" s="37" t="n"/>
      <c r="R2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1" outlineLevel="1">
      <c r="A21" s="32" t="n">
        <v>2</v>
      </c>
      <c r="B21" s="32" t="inlineStr">
        <is>
          <t>ABC70-C4</t>
        </is>
      </c>
      <c r="C21" s="17" t="inlineStr">
        <is>
          <t xml:space="preserve">        Servicio de pintura en polvo al horno, rojo 03-1-050 (con preparación por quemado)</t>
        </is>
      </c>
      <c r="D21" s="32" t="n">
        <v>1</v>
      </c>
      <c r="E21" s="32" t="inlineStr">
        <is>
          <t>u</t>
        </is>
      </c>
      <c r="F21" s="33" t="n"/>
      <c r="G21" s="33" t="n"/>
      <c r="H21" s="32" t="inlineStr">
        <is>
          <t>Servicio tercerizado</t>
        </is>
      </c>
      <c r="I21" s="17" t="inlineStr">
        <is>
          <t>superficie exterior 1,212 m²</t>
        </is>
      </c>
      <c r="J21" s="32" t="inlineStr">
        <is>
          <t>Compra (servicio)</t>
        </is>
      </c>
      <c r="K21" s="32" t="inlineStr">
        <is>
          <t>Sí</t>
        </is>
      </c>
      <c r="L21" s="17" t="inlineStr">
        <is>
          <t>Pintor de carros (cotización por mensaje)</t>
        </is>
      </c>
      <c r="M21" s="17" t="inlineStr">
        <is>
          <t>Prymax</t>
        </is>
      </c>
      <c r="N21" s="17" t="inlineStr">
        <is>
          <t>17 Pintura tercerizada</t>
        </is>
      </c>
      <c r="O21" s="17" t="inlineStr">
        <is>
          <t>IRAM 3523 5.3 / IRAM 3550 3.11 · IRAM 121</t>
        </is>
      </c>
      <c r="P21" s="32" t="inlineStr">
        <is>
          <t>Q</t>
        </is>
      </c>
      <c r="Q21" s="32" t="n"/>
      <c r="R21" s="17" t="inlineStr">
        <is>
          <t>Q-CARROS (precio por carro); exigir informe de niebla salina del sistema de pintura; tercerización aceptada por el Ministerio (Res. 349/07 art. 18)</t>
        </is>
      </c>
    </row>
    <row r="22">
      <c r="A22" s="29" t="n">
        <v>1</v>
      </c>
      <c r="B22" s="29" t="inlineStr">
        <is>
          <t>ABC70-S2</t>
        </is>
      </c>
      <c r="C22" s="30" t="inlineStr">
        <is>
          <t xml:space="preserve">    Conjunto de válvula</t>
        </is>
      </c>
      <c r="D22" s="29" t="n">
        <v>1</v>
      </c>
      <c r="E22" s="29" t="inlineStr">
        <is>
          <t>u</t>
        </is>
      </c>
      <c r="F22" s="31" t="n"/>
      <c r="G22" s="31">
        <f>G23+G24+G25+G27+G28+G29+G30+G31+G32+G33</f>
        <v/>
      </c>
      <c r="H22" s="29" t="n"/>
      <c r="I22" s="30" t="n"/>
      <c r="J22" s="29" t="inlineStr">
        <is>
          <t>Compra / armado</t>
        </is>
      </c>
      <c r="K22" s="29" t="n"/>
      <c r="L22" s="30" t="n"/>
      <c r="M22" s="30" t="n"/>
      <c r="N22" s="30" t="n"/>
      <c r="O22" s="30" t="inlineStr">
        <is>
          <t>Manómetro IRAM 3533</t>
        </is>
      </c>
      <c r="P22" s="29" t="inlineStr">
        <is>
          <t>P</t>
        </is>
      </c>
      <c r="Q22" s="29" t="inlineStr">
        <is>
          <t>FL_DES_ABC_70kg</t>
        </is>
      </c>
      <c r="R22" s="30" t="n"/>
    </row>
    <row r="23" outlineLevel="1">
      <c r="A23" s="32" t="n">
        <v>2</v>
      </c>
      <c r="B23" s="32" t="inlineStr">
        <is>
          <t>ABC70-15</t>
        </is>
      </c>
      <c r="C23" s="17" t="inlineStr">
        <is>
          <t xml:space="preserve">        Espiga roscada</t>
        </is>
      </c>
      <c r="D23" s="32" t="n">
        <v>1</v>
      </c>
      <c r="E23" s="32" t="inlineStr">
        <is>
          <t>u</t>
        </is>
      </c>
      <c r="F23" s="33" t="n">
        <v>0.1296</v>
      </c>
      <c r="G23" s="33">
        <f>D23*F23</f>
        <v/>
      </c>
      <c r="H23" s="32" t="inlineStr">
        <is>
          <t>Latón forjado</t>
        </is>
      </c>
      <c r="I23" s="17" t="inlineStr">
        <is>
          <t>75 × 75 × 17,6</t>
        </is>
      </c>
      <c r="J23" s="32" t="inlineStr">
        <is>
          <t>Incluido en válvula HZ</t>
        </is>
      </c>
      <c r="K23" s="32" t="inlineStr">
        <is>
          <t>No</t>
        </is>
      </c>
      <c r="L23" s="17" t="n"/>
      <c r="M23" s="17" t="n"/>
      <c r="N23" s="17" t="inlineStr">
        <is>
          <t>13 carga de polvo y N₂: armado de válvula</t>
        </is>
      </c>
      <c r="O23" s="17" t="n"/>
      <c r="P23" s="32" t="inlineStr">
        <is>
          <t>P</t>
        </is>
      </c>
      <c r="Q23" s="32" t="inlineStr">
        <is>
          <t>FL_DES_ABC_70kg</t>
        </is>
      </c>
      <c r="R23" s="17" t="n"/>
    </row>
    <row r="24" outlineLevel="1">
      <c r="A24" s="32" t="n">
        <v>2</v>
      </c>
      <c r="B24" s="32" t="inlineStr">
        <is>
          <t>ABC70-16</t>
        </is>
      </c>
      <c r="C24" s="17" t="inlineStr">
        <is>
          <t xml:space="preserve">        Collarín de válvula</t>
        </is>
      </c>
      <c r="D24" s="32" t="n">
        <v>1</v>
      </c>
      <c r="E24" s="32" t="inlineStr">
        <is>
          <t>u</t>
        </is>
      </c>
      <c r="F24" s="33" t="n">
        <v>0.189</v>
      </c>
      <c r="G24" s="33">
        <f>D24*F24</f>
        <v/>
      </c>
      <c r="H24" s="32" t="inlineStr">
        <is>
          <t>Latón forjado</t>
        </is>
      </c>
      <c r="I24" s="17" t="inlineStr">
        <is>
          <t>83 × 83 × 12</t>
        </is>
      </c>
      <c r="J24" s="32" t="inlineStr">
        <is>
          <t>Incluido en válvula HZ</t>
        </is>
      </c>
      <c r="K24" s="32" t="inlineStr">
        <is>
          <t>No</t>
        </is>
      </c>
      <c r="L24" s="17" t="n"/>
      <c r="M24" s="17" t="n"/>
      <c r="N24" s="17" t="inlineStr">
        <is>
          <t>13 carga de polvo y N₂: armado de válvula</t>
        </is>
      </c>
      <c r="O24" s="17" t="n"/>
      <c r="P24" s="32" t="inlineStr">
        <is>
          <t>P</t>
        </is>
      </c>
      <c r="Q24" s="32" t="inlineStr">
        <is>
          <t>FL_DES_ABC_70kg</t>
        </is>
      </c>
      <c r="R24" s="17" t="n"/>
    </row>
    <row r="25" outlineLevel="1">
      <c r="A25" s="32" t="n">
        <v>2</v>
      </c>
      <c r="B25" s="32" t="inlineStr">
        <is>
          <t>ABC70-17</t>
        </is>
      </c>
      <c r="C25" s="17" t="inlineStr">
        <is>
          <t xml:space="preserve">        Cuerpo de válvula</t>
        </is>
      </c>
      <c r="D25" s="32" t="n">
        <v>1</v>
      </c>
      <c r="E25" s="32" t="inlineStr">
        <is>
          <t>u</t>
        </is>
      </c>
      <c r="F25" s="33" t="n">
        <v>0.9186</v>
      </c>
      <c r="G25" s="33">
        <f>D25*F25</f>
        <v/>
      </c>
      <c r="H25" s="32" t="inlineStr">
        <is>
          <t>Latón forjado</t>
        </is>
      </c>
      <c r="I25" s="17" t="inlineStr">
        <is>
          <t>68 × 67 × 44</t>
        </is>
      </c>
      <c r="J25" s="32" t="inlineStr">
        <is>
          <t>Incluido en válvula HZ</t>
        </is>
      </c>
      <c r="K25" s="32" t="inlineStr">
        <is>
          <t>No</t>
        </is>
      </c>
      <c r="L25" s="17" t="n"/>
      <c r="M25" s="17" t="n"/>
      <c r="N25" s="17" t="inlineStr">
        <is>
          <t>13 carga de polvo y N₂: armado de válvula</t>
        </is>
      </c>
      <c r="O25" s="17" t="n"/>
      <c r="P25" s="32" t="inlineStr">
        <is>
          <t>P</t>
        </is>
      </c>
      <c r="Q25" s="32" t="inlineStr">
        <is>
          <t>FL_DES_ABC_70kg</t>
        </is>
      </c>
      <c r="R25" s="17" t="n"/>
    </row>
    <row r="26" outlineLevel="1">
      <c r="A26" s="41" t="n">
        <v>2</v>
      </c>
      <c r="B26" s="41" t="inlineStr">
        <is>
          <t>ABC70-18</t>
        </is>
      </c>
      <c r="C26" s="42" t="inlineStr">
        <is>
          <t xml:space="preserve">        Manómetro</t>
        </is>
      </c>
      <c r="D26" s="41" t="n">
        <v>1</v>
      </c>
      <c r="E26" s="41" t="inlineStr">
        <is>
          <t>u</t>
        </is>
      </c>
      <c r="F26" s="43" t="n"/>
      <c r="G26" s="43" t="n"/>
      <c r="H26" s="41" t="inlineStr">
        <is>
          <t>Comercial</t>
        </is>
      </c>
      <c r="I26" s="42" t="inlineStr">
        <is>
          <t>Ø47 esfera, rango 0-3,5 MPa, sector verde en 1,4</t>
        </is>
      </c>
      <c r="J26" s="41" t="inlineStr">
        <is>
          <t>Compra</t>
        </is>
      </c>
      <c r="K26" s="41" t="inlineStr">
        <is>
          <t>Sí</t>
        </is>
      </c>
      <c r="L26" s="42" t="inlineStr">
        <is>
          <t>Yukon / MatafuegosYa S.R.L.</t>
        </is>
      </c>
      <c r="M26" s="42" t="inlineStr">
        <is>
          <t>Matafuegos Iglesias</t>
        </is>
      </c>
      <c r="N26" s="42" t="inlineStr">
        <is>
          <t>13 carga de polvo y N₂: armado de válvula</t>
        </is>
      </c>
      <c r="O26" s="42" t="inlineStr">
        <is>
          <t>IRAM 3533</t>
        </is>
      </c>
      <c r="P26" s="41" t="inlineStr">
        <is>
          <t>P</t>
        </is>
      </c>
      <c r="Q26" s="41" t="inlineStr">
        <is>
          <t>FL_DES_ABC_70kg</t>
        </is>
      </c>
      <c r="R26" s="42" t="inlineStr">
        <is>
          <t>Pieza comercial; sello IRAM 3533; peso: completar con la ficha del proveedor (no afecta el MRP)</t>
        </is>
      </c>
    </row>
    <row r="27" outlineLevel="1">
      <c r="A27" s="32" t="n">
        <v>2</v>
      </c>
      <c r="B27" s="32" t="inlineStr">
        <is>
          <t>ABC70-19</t>
        </is>
      </c>
      <c r="C27" s="17" t="inlineStr">
        <is>
          <t xml:space="preserve">        Vástago</t>
        </is>
      </c>
      <c r="D27" s="32" t="n">
        <v>1</v>
      </c>
      <c r="E27" s="32" t="inlineStr">
        <is>
          <t>u</t>
        </is>
      </c>
      <c r="F27" s="33" t="n">
        <v>0.0313</v>
      </c>
      <c r="G27" s="33">
        <f>D27*F27</f>
        <v/>
      </c>
      <c r="H27" s="32" t="inlineStr">
        <is>
          <t>Latón</t>
        </is>
      </c>
      <c r="I27" s="17" t="inlineStr">
        <is>
          <t>38,8 × 20 × 20</t>
        </is>
      </c>
      <c r="J27" s="32" t="inlineStr">
        <is>
          <t>Incluido en válvula HZ</t>
        </is>
      </c>
      <c r="K27" s="32" t="inlineStr">
        <is>
          <t>No</t>
        </is>
      </c>
      <c r="L27" s="17" t="n"/>
      <c r="M27" s="17" t="n"/>
      <c r="N27" s="17" t="inlineStr">
        <is>
          <t>13 carga de polvo y N₂: armado de válvula</t>
        </is>
      </c>
      <c r="O27" s="17" t="n"/>
      <c r="P27" s="32" t="inlineStr">
        <is>
          <t>P</t>
        </is>
      </c>
      <c r="Q27" s="32" t="inlineStr">
        <is>
          <t>FL_DES_ABC_70kg</t>
        </is>
      </c>
      <c r="R27" s="17" t="inlineStr">
        <is>
          <t>con junta tórica</t>
        </is>
      </c>
    </row>
    <row r="28" outlineLevel="1">
      <c r="A28" s="32" t="n">
        <v>2</v>
      </c>
      <c r="B28" s="32" t="inlineStr">
        <is>
          <t>ABC70-20</t>
        </is>
      </c>
      <c r="C28" s="17" t="inlineStr">
        <is>
          <t xml:space="preserve">        Resorte de válvula</t>
        </is>
      </c>
      <c r="D28" s="32" t="n">
        <v>1</v>
      </c>
      <c r="E28" s="32" t="inlineStr">
        <is>
          <t>u</t>
        </is>
      </c>
      <c r="F28" s="33" t="n">
        <v>0.0094</v>
      </c>
      <c r="G28" s="33">
        <f>D28*F28</f>
        <v/>
      </c>
      <c r="H28" s="32" t="inlineStr">
        <is>
          <t>Alambre acero inox. AISI 302</t>
        </is>
      </c>
      <c r="I28" s="17" t="inlineStr">
        <is>
          <t>35 × 27 × 27</t>
        </is>
      </c>
      <c r="J28" s="32" t="inlineStr">
        <is>
          <t>Incluido en válvula HZ</t>
        </is>
      </c>
      <c r="K28" s="32" t="inlineStr">
        <is>
          <t>No</t>
        </is>
      </c>
      <c r="L28" s="17" t="n"/>
      <c r="M28" s="17" t="n"/>
      <c r="N28" s="17" t="inlineStr">
        <is>
          <t>13 carga de polvo y N₂: armado de válvula</t>
        </is>
      </c>
      <c r="O28" s="17" t="n"/>
      <c r="P28" s="32" t="inlineStr">
        <is>
          <t>P</t>
        </is>
      </c>
      <c r="Q28" s="32" t="inlineStr">
        <is>
          <t>FL_DES_ABC_70kg</t>
        </is>
      </c>
      <c r="R28" s="17" t="inlineStr">
        <is>
          <t>cierre del vástago</t>
        </is>
      </c>
    </row>
    <row r="29" outlineLevel="1">
      <c r="A29" s="32" t="n">
        <v>2</v>
      </c>
      <c r="B29" s="32" t="inlineStr">
        <is>
          <t>ABC70-21</t>
        </is>
      </c>
      <c r="C29" s="17" t="inlineStr">
        <is>
          <t xml:space="preserve">        Palanca de accionamiento</t>
        </is>
      </c>
      <c r="D29" s="32" t="n">
        <v>1</v>
      </c>
      <c r="E29" s="32" t="inlineStr">
        <is>
          <t>u</t>
        </is>
      </c>
      <c r="F29" s="33" t="n">
        <v>0.313</v>
      </c>
      <c r="G29" s="33">
        <f>D29*F29</f>
        <v/>
      </c>
      <c r="H29" s="32" t="inlineStr">
        <is>
          <t>Planchuela acero SAE 1010 10 × 16 pintada</t>
        </is>
      </c>
      <c r="I29" s="17" t="inlineStr">
        <is>
          <t>168,8 × 44 × 40,9</t>
        </is>
      </c>
      <c r="J29" s="32" t="inlineStr">
        <is>
          <t>Incluido en válvula HZ</t>
        </is>
      </c>
      <c r="K29" s="32" t="inlineStr">
        <is>
          <t>No</t>
        </is>
      </c>
      <c r="L29" s="17" t="n"/>
      <c r="M29" s="17" t="n"/>
      <c r="N29" s="17" t="inlineStr">
        <is>
          <t>13 carga de polvo y N₂: armado de válvula</t>
        </is>
      </c>
      <c r="O29" s="17" t="n"/>
      <c r="P29" s="32" t="inlineStr">
        <is>
          <t>P</t>
        </is>
      </c>
      <c r="Q29" s="32" t="inlineStr">
        <is>
          <t>FL_DES_ABC_70kg</t>
        </is>
      </c>
      <c r="R29" s="17" t="n"/>
    </row>
    <row r="30" outlineLevel="1">
      <c r="A30" s="32" t="n">
        <v>2</v>
      </c>
      <c r="B30" s="32" t="inlineStr">
        <is>
          <t>ABC70-22</t>
        </is>
      </c>
      <c r="C30" s="17" t="inlineStr">
        <is>
          <t xml:space="preserve">        Eje de palanca</t>
        </is>
      </c>
      <c r="D30" s="32" t="n">
        <v>1</v>
      </c>
      <c r="E30" s="32" t="inlineStr">
        <is>
          <t>u</t>
        </is>
      </c>
      <c r="F30" s="33" t="n">
        <v>0.0187</v>
      </c>
      <c r="G30" s="33">
        <f>D30*F30</f>
        <v/>
      </c>
      <c r="H30" s="32" t="inlineStr">
        <is>
          <t>Acero inox. AISI 304</t>
        </is>
      </c>
      <c r="I30" s="17" t="inlineStr">
        <is>
          <t>47 × 8 × 8</t>
        </is>
      </c>
      <c r="J30" s="32" t="inlineStr">
        <is>
          <t>Incluido en válvula HZ</t>
        </is>
      </c>
      <c r="K30" s="32" t="inlineStr">
        <is>
          <t>No</t>
        </is>
      </c>
      <c r="L30" s="17" t="n"/>
      <c r="M30" s="17" t="n"/>
      <c r="N30" s="17" t="inlineStr">
        <is>
          <t>13 carga de polvo y N₂: armado de válvula</t>
        </is>
      </c>
      <c r="O30" s="17" t="n"/>
      <c r="P30" s="32" t="inlineStr">
        <is>
          <t>P</t>
        </is>
      </c>
      <c r="Q30" s="32" t="inlineStr">
        <is>
          <t>FL_DES_ABC_70kg</t>
        </is>
      </c>
      <c r="R30" s="17" t="n"/>
    </row>
    <row r="31" outlineLevel="1">
      <c r="A31" s="32" t="n">
        <v>2</v>
      </c>
      <c r="B31" s="32" t="inlineStr">
        <is>
          <t>ABC70-23</t>
        </is>
      </c>
      <c r="C31" s="17" t="inlineStr">
        <is>
          <t xml:space="preserve">        Pasador de seguridad</t>
        </is>
      </c>
      <c r="D31" s="32" t="n">
        <v>1</v>
      </c>
      <c r="E31" s="32" t="inlineStr">
        <is>
          <t>u</t>
        </is>
      </c>
      <c r="F31" s="33" t="n">
        <v>0.0061</v>
      </c>
      <c r="G31" s="33">
        <f>D31*F31</f>
        <v/>
      </c>
      <c r="H31" s="32" t="inlineStr">
        <is>
          <t>Alambre acero inox. AISI 304</t>
        </is>
      </c>
      <c r="I31" s="17" t="inlineStr">
        <is>
          <t>54,4 × 21 × 20,8</t>
        </is>
      </c>
      <c r="J31" s="32" t="inlineStr">
        <is>
          <t>Incluido en válvula HZ</t>
        </is>
      </c>
      <c r="K31" s="32" t="inlineStr">
        <is>
          <t>No</t>
        </is>
      </c>
      <c r="L31" s="17" t="n"/>
      <c r="M31" s="17" t="n"/>
      <c r="N31" s="17" t="inlineStr">
        <is>
          <t>13 carga de polvo y N₂: armado de válvula</t>
        </is>
      </c>
      <c r="O31" s="17" t="n"/>
      <c r="P31" s="32" t="inlineStr">
        <is>
          <t>P</t>
        </is>
      </c>
      <c r="Q31" s="32" t="inlineStr">
        <is>
          <t>FL_DES_ABC_70kg</t>
        </is>
      </c>
      <c r="R31" s="17" t="inlineStr">
        <is>
          <t>con precinto</t>
        </is>
      </c>
    </row>
    <row r="32" outlineLevel="1">
      <c r="A32" s="32" t="n">
        <v>2</v>
      </c>
      <c r="B32" s="32" t="inlineStr">
        <is>
          <t>ABC70-24</t>
        </is>
      </c>
      <c r="C32" s="17" t="inlineStr">
        <is>
          <t xml:space="preserve">        Caño de pesca (sifón)</t>
        </is>
      </c>
      <c r="D32" s="32" t="n">
        <v>1</v>
      </c>
      <c r="E32" s="32" t="inlineStr">
        <is>
          <t>u</t>
        </is>
      </c>
      <c r="F32" s="33" t="n">
        <v>0.2185</v>
      </c>
      <c r="G32" s="33">
        <f>D32*F32</f>
        <v/>
      </c>
      <c r="H32" s="32" t="inlineStr">
        <is>
          <t>Tubo PVC rígido</t>
        </is>
      </c>
      <c r="I32" s="17" t="inlineStr">
        <is>
          <t>Ø24 × 924,3 de largo</t>
        </is>
      </c>
      <c r="J32" s="32" t="inlineStr">
        <is>
          <t>Incluido en válvula HZ</t>
        </is>
      </c>
      <c r="K32" s="32" t="inlineStr">
        <is>
          <t>No</t>
        </is>
      </c>
      <c r="L32" s="17" t="n"/>
      <c r="M32" s="17" t="n"/>
      <c r="N32" s="17" t="inlineStr">
        <is>
          <t>13 carga de polvo y N₂: armado de válvula</t>
        </is>
      </c>
      <c r="O32" s="17" t="n"/>
      <c r="P32" s="32" t="inlineStr">
        <is>
          <t>P</t>
        </is>
      </c>
      <c r="Q32" s="32" t="inlineStr">
        <is>
          <t>FL_DES_ABC_70kg</t>
        </is>
      </c>
      <c r="R32" s="17" t="n"/>
    </row>
    <row r="33" outlineLevel="1">
      <c r="A33" s="32" t="n">
        <v>2</v>
      </c>
      <c r="B33" s="32" t="inlineStr">
        <is>
          <t>ABC70-36</t>
        </is>
      </c>
      <c r="C33" s="17" t="inlineStr">
        <is>
          <t xml:space="preserve">        Junta tórica de asiento</t>
        </is>
      </c>
      <c r="D33" s="32" t="n">
        <v>1</v>
      </c>
      <c r="E33" s="32" t="inlineStr">
        <is>
          <t>u</t>
        </is>
      </c>
      <c r="F33" s="33" t="n">
        <v>0.0025</v>
      </c>
      <c r="G33" s="33">
        <f>D33*F33</f>
        <v/>
      </c>
      <c r="H33" s="32" t="inlineStr">
        <is>
          <t>NBR 70 Shore A</t>
        </is>
      </c>
      <c r="I33" s="17" t="inlineStr">
        <is>
          <t>Ø78 ext. × cordón 3</t>
        </is>
      </c>
      <c r="J33" s="32" t="inlineStr">
        <is>
          <t>Compra</t>
        </is>
      </c>
      <c r="K33" s="32" t="inlineStr">
        <is>
          <t>Sí</t>
        </is>
      </c>
      <c r="L33" s="17" t="inlineStr">
        <is>
          <t>Argensold</t>
        </is>
      </c>
      <c r="M33" s="17" t="inlineStr">
        <is>
          <t>Matafuegos Iglesias</t>
        </is>
      </c>
      <c r="N33" s="17" t="inlineStr">
        <is>
          <t>13 carga de polvo y N₂: armado de válvula</t>
        </is>
      </c>
      <c r="O33" s="17" t="n"/>
      <c r="P33" s="32" t="inlineStr">
        <is>
          <t>P</t>
        </is>
      </c>
      <c r="Q33" s="32" t="inlineStr">
        <is>
          <t>FL_DES_ABC_70kg</t>
        </is>
      </c>
      <c r="R33" s="17" t="inlineStr">
        <is>
          <t>cambio c/recarga</t>
        </is>
      </c>
    </row>
    <row r="34" outlineLevel="1">
      <c r="A34" s="32" t="n">
        <v>2</v>
      </c>
      <c r="B34" s="32" t="inlineStr">
        <is>
          <t>ABC70-K2</t>
        </is>
      </c>
      <c r="C34" s="17" t="inlineStr">
        <is>
          <t xml:space="preserve">        Válvula HZ armada de carro 50-70-100 kg</t>
        </is>
      </c>
      <c r="D34" s="32" t="n">
        <v>1</v>
      </c>
      <c r="E34" s="32" t="inlineStr">
        <is>
          <t>u</t>
        </is>
      </c>
      <c r="F34" s="33" t="n"/>
      <c r="G34" s="33" t="n"/>
      <c r="H34" s="32" t="inlineStr">
        <is>
          <t>Latón forjado (HZ)</t>
        </is>
      </c>
      <c r="I34" s="17" t="inlineStr">
        <is>
          <t>rosca RBSP 2 1/2"-11 h</t>
        </is>
      </c>
      <c r="J34" s="32" t="inlineStr">
        <is>
          <t>Compra</t>
        </is>
      </c>
      <c r="K34" s="32" t="inlineStr">
        <is>
          <t>Sí</t>
        </is>
      </c>
      <c r="L34" s="17" t="inlineStr">
        <is>
          <t>Polvex S.R.L. / Sancibrao</t>
        </is>
      </c>
      <c r="M34" s="17" t="inlineStr">
        <is>
          <t>Mozart S.R.L.</t>
        </is>
      </c>
      <c r="N34" s="17" t="inlineStr">
        <is>
          <t>19 Ensamblaje de válvula</t>
        </is>
      </c>
      <c r="O34" s="17" t="inlineStr">
        <is>
          <t>IRAM 3523 3.3</t>
        </is>
      </c>
      <c r="P34" s="32" t="inlineStr">
        <is>
          <t>Q</t>
        </is>
      </c>
      <c r="Q34" s="32" t="inlineStr">
        <is>
          <t>FL_DES_ABC_70kg</t>
        </is>
      </c>
      <c r="R34" s="17" t="inlineStr">
        <is>
          <t>Lista de precios HZ (Q-AGENTES); plano Fadesa usa válvula HZ (R-FADESA). Trae las piezas marcadas «Incluido en válvula HZ»</t>
        </is>
      </c>
    </row>
    <row r="35" outlineLevel="1">
      <c r="A35" s="32" t="n">
        <v>2</v>
      </c>
      <c r="B35" s="32" t="inlineStr">
        <is>
          <t>ABC70-V2</t>
        </is>
      </c>
      <c r="C35" s="17" t="inlineStr">
        <is>
          <t xml:space="preserve">        Resorte de retorno del vástago</t>
        </is>
      </c>
      <c r="D35" s="32" t="n">
        <v>1</v>
      </c>
      <c r="E35" s="32" t="inlineStr">
        <is>
          <t>u</t>
        </is>
      </c>
      <c r="F35" s="33" t="n"/>
      <c r="G35" s="33" t="n"/>
      <c r="H35" s="32" t="inlineStr">
        <is>
          <t>Acero para resortes</t>
        </is>
      </c>
      <c r="I35" s="17" t="inlineStr">
        <is>
          <t>incluido en la válvula</t>
        </is>
      </c>
      <c r="J35" s="32" t="inlineStr">
        <is>
          <t>Incluido en válvula HZ</t>
        </is>
      </c>
      <c r="K35" s="32" t="inlineStr">
        <is>
          <t>No</t>
        </is>
      </c>
      <c r="L35" s="17" t="n"/>
      <c r="M35" s="17" t="n"/>
      <c r="N35" s="17" t="inlineStr">
        <is>
          <t>19 Ensamblaje</t>
        </is>
      </c>
      <c r="O35" s="17" t="n"/>
      <c r="P35" s="32" t="inlineStr">
        <is>
          <t>Q</t>
        </is>
      </c>
      <c r="Q35" s="32" t="n"/>
      <c r="R35" s="17" t="inlineStr">
        <is>
          <t>Lista de precios HZ: válvula «c/resorte» (Q-AGENTES)</t>
        </is>
      </c>
    </row>
    <row r="36" outlineLevel="1">
      <c r="A36" s="32" t="n">
        <v>2</v>
      </c>
      <c r="B36" s="32" t="inlineStr">
        <is>
          <t>ABC70-V3</t>
        </is>
      </c>
      <c r="C36" s="17" t="inlineStr">
        <is>
          <t xml:space="preserve">        Junta tórica del vástago</t>
        </is>
      </c>
      <c r="D36" s="32" t="n">
        <v>1</v>
      </c>
      <c r="E36" s="32" t="inlineStr">
        <is>
          <t>u</t>
        </is>
      </c>
      <c r="F36" s="33" t="n"/>
      <c r="G36" s="33" t="n"/>
      <c r="H36" s="32" t="inlineStr">
        <is>
          <t>NBR 70 Shore A</t>
        </is>
      </c>
      <c r="I36" s="17" t="inlineStr">
        <is>
          <t>incluida en la válvula</t>
        </is>
      </c>
      <c r="J36" s="32" t="inlineStr">
        <is>
          <t>Incluido en válvula HZ</t>
        </is>
      </c>
      <c r="K36" s="32" t="inlineStr">
        <is>
          <t>No</t>
        </is>
      </c>
      <c r="L36" s="17" t="n"/>
      <c r="M36" s="17" t="n"/>
      <c r="N36" s="17" t="inlineStr">
        <is>
          <t>19 Ensamblaje</t>
        </is>
      </c>
      <c r="O36" s="17" t="n"/>
      <c r="P36" s="32" t="inlineStr">
        <is>
          <t>P</t>
        </is>
      </c>
      <c r="Q36" s="32" t="n"/>
      <c r="R36" s="17" t="inlineStr">
        <is>
          <t>Figura en el plano como «vástago con junta tórica»</t>
        </is>
      </c>
    </row>
    <row r="37">
      <c r="A37" s="29" t="n">
        <v>1</v>
      </c>
      <c r="B37" s="29" t="inlineStr">
        <is>
          <t>ABC70-S3</t>
        </is>
      </c>
      <c r="C37" s="30" t="inlineStr">
        <is>
          <t xml:space="preserve">    Dispositivo de descarga</t>
        </is>
      </c>
      <c r="D37" s="29" t="n">
        <v>1</v>
      </c>
      <c r="E37" s="29" t="inlineStr">
        <is>
          <t>u</t>
        </is>
      </c>
      <c r="F37" s="31" t="n"/>
      <c r="G37" s="31">
        <f>G38+G39+G40+G41+G42</f>
        <v/>
      </c>
      <c r="H37" s="29" t="n"/>
      <c r="I37" s="30" t="n"/>
      <c r="J37" s="29" t="inlineStr">
        <is>
          <t>Compra / armado</t>
        </is>
      </c>
      <c r="K37" s="29" t="n"/>
      <c r="L37" s="30" t="n"/>
      <c r="M37" s="30" t="n"/>
      <c r="N37" s="30" t="n"/>
      <c r="O37" s="30" t="n"/>
      <c r="P37" s="29" t="inlineStr">
        <is>
          <t>P</t>
        </is>
      </c>
      <c r="Q37" s="29" t="inlineStr">
        <is>
          <t>FL_DES_ABC_70kg</t>
        </is>
      </c>
      <c r="R37" s="30" t="n"/>
    </row>
    <row r="38" outlineLevel="1">
      <c r="A38" s="32" t="n">
        <v>2</v>
      </c>
      <c r="B38" s="32" t="inlineStr">
        <is>
          <t>ABC70-25</t>
        </is>
      </c>
      <c r="C38" s="17" t="inlineStr">
        <is>
          <t xml:space="preserve">        Racor de manguera</t>
        </is>
      </c>
      <c r="D38" s="32" t="n">
        <v>1</v>
      </c>
      <c r="E38" s="32" t="inlineStr">
        <is>
          <t>u</t>
        </is>
      </c>
      <c r="F38" s="33" t="n">
        <v>0.0612</v>
      </c>
      <c r="G38" s="33">
        <f>D38*F38</f>
        <v/>
      </c>
      <c r="H38" s="32" t="inlineStr">
        <is>
          <t>Latón</t>
        </is>
      </c>
      <c r="I38" s="17" t="inlineStr">
        <is>
          <t>24 × 24 × 16</t>
        </is>
      </c>
      <c r="J38" s="32" t="inlineStr">
        <is>
          <t>Compra</t>
        </is>
      </c>
      <c r="K38" s="32" t="inlineStr">
        <is>
          <t>Sí</t>
        </is>
      </c>
      <c r="L38" s="17" t="inlineStr">
        <is>
          <t>Yukon / MatafuegosYa S.R.L.</t>
        </is>
      </c>
      <c r="M38" s="17" t="inlineStr">
        <is>
          <t>Matafuegos Iglesias</t>
        </is>
      </c>
      <c r="N38" s="17" t="inlineStr">
        <is>
          <t>Después de 12 pintura: manguera, válvula esférica y tobera</t>
        </is>
      </c>
      <c r="O38" s="17" t="n"/>
      <c r="P38" s="32" t="inlineStr">
        <is>
          <t>P</t>
        </is>
      </c>
      <c r="Q38" s="32" t="inlineStr">
        <is>
          <t>FL_DES_ABC_70kg</t>
        </is>
      </c>
      <c r="R38" s="17" t="n"/>
    </row>
    <row r="39" outlineLevel="1">
      <c r="A39" s="32" t="n">
        <v>2</v>
      </c>
      <c r="B39" s="32" t="inlineStr">
        <is>
          <t>ABC70-26</t>
        </is>
      </c>
      <c r="C39" s="17" t="inlineStr">
        <is>
          <t xml:space="preserve">        Manguera (tramo enrollado)</t>
        </is>
      </c>
      <c r="D39" s="32" t="n">
        <v>1</v>
      </c>
      <c r="E39" s="32" t="inlineStr">
        <is>
          <t>u</t>
        </is>
      </c>
      <c r="F39" s="33" t="n">
        <v>1.4128</v>
      </c>
      <c r="G39" s="33">
        <f>D39*F39</f>
        <v/>
      </c>
      <c r="H39" s="32" t="inlineStr">
        <is>
          <t>Caucho sintético</t>
        </is>
      </c>
      <c r="I39" s="17" t="inlineStr">
        <is>
          <t>Ø23,5 × 4.241 de largo desarrollado: lazo vertical de 2 vueltas alrededor de los flejes, por afuera de las patas y detrás de las orejas</t>
        </is>
      </c>
      <c r="J39" s="32" t="inlineStr">
        <is>
          <t>Compra</t>
        </is>
      </c>
      <c r="K39" s="32" t="inlineStr">
        <is>
          <t>Sí</t>
        </is>
      </c>
      <c r="L39" s="17" t="inlineStr">
        <is>
          <t>Yukon / MatafuegosYa S.R.L.</t>
        </is>
      </c>
      <c r="M39" s="17" t="inlineStr">
        <is>
          <t>Matafuegos Iglesias</t>
        </is>
      </c>
      <c r="N39" s="17" t="inlineStr">
        <is>
          <t>Después de 12 pintura: manguera, válvula esférica y tobera</t>
        </is>
      </c>
      <c r="O39" s="17" t="n"/>
      <c r="P39" s="32" t="inlineStr">
        <is>
          <t>P</t>
        </is>
      </c>
      <c r="Q39" s="32" t="inlineStr">
        <is>
          <t>FL_DES_ABC_70kg</t>
        </is>
      </c>
      <c r="R39" s="17" t="n"/>
    </row>
    <row r="40" outlineLevel="1">
      <c r="A40" s="32" t="n">
        <v>2</v>
      </c>
      <c r="B40" s="32" t="inlineStr">
        <is>
          <t>ABC70-27</t>
        </is>
      </c>
      <c r="C40" s="17" t="inlineStr">
        <is>
          <t xml:space="preserve">        Manguera</t>
        </is>
      </c>
      <c r="D40" s="32" t="n">
        <v>1</v>
      </c>
      <c r="E40" s="32" t="inlineStr">
        <is>
          <t>u</t>
        </is>
      </c>
      <c r="F40" s="33" t="n">
        <v>0.2539</v>
      </c>
      <c r="G40" s="33">
        <f>D40*F40</f>
        <v/>
      </c>
      <c r="H40" s="32" t="inlineStr">
        <is>
          <t>Caucho sintético</t>
        </is>
      </c>
      <c r="I40" s="17" t="inlineStr">
        <is>
          <t>Ø23,5 × 762 de largo desarrollado</t>
        </is>
      </c>
      <c r="J40" s="32" t="inlineStr">
        <is>
          <t>Compra</t>
        </is>
      </c>
      <c r="K40" s="32" t="inlineStr">
        <is>
          <t>Sí</t>
        </is>
      </c>
      <c r="L40" s="17" t="inlineStr">
        <is>
          <t>Yukon / MatafuegosYa S.R.L.</t>
        </is>
      </c>
      <c r="M40" s="17" t="inlineStr">
        <is>
          <t>Matafuegos Iglesias</t>
        </is>
      </c>
      <c r="N40" s="17" t="inlineStr">
        <is>
          <t>Después de 12 pintura: manguera, válvula esférica y tobera</t>
        </is>
      </c>
      <c r="O40" s="17" t="n"/>
      <c r="P40" s="32" t="inlineStr">
        <is>
          <t>P</t>
        </is>
      </c>
      <c r="Q40" s="32" t="inlineStr">
        <is>
          <t>FL_DES_ABC_70kg</t>
        </is>
      </c>
      <c r="R40" s="17" t="n"/>
    </row>
    <row r="41" outlineLevel="1">
      <c r="A41" s="32" t="n">
        <v>2</v>
      </c>
      <c r="B41" s="32" t="inlineStr">
        <is>
          <t>ABC70-29</t>
        </is>
      </c>
      <c r="C41" s="17" t="inlineStr">
        <is>
          <t xml:space="preserve">        Válvula esférica</t>
        </is>
      </c>
      <c r="D41" s="32" t="n">
        <v>1</v>
      </c>
      <c r="E41" s="32" t="inlineStr">
        <is>
          <t>u</t>
        </is>
      </c>
      <c r="F41" s="33" t="n">
        <v>0.3502</v>
      </c>
      <c r="G41" s="33">
        <f>D41*F41</f>
        <v/>
      </c>
      <c r="H41" s="32" t="inlineStr">
        <is>
          <t>Latón cromado</t>
        </is>
      </c>
      <c r="I41" s="17" t="inlineStr">
        <is>
          <t>cuerpo Ø40 × 56 con hexágonos 46, paso total, rosca a la manga y a la tobera; palanca 105 con empuñadura (cerrada: atravesada al caño)</t>
        </is>
      </c>
      <c r="J41" s="32" t="inlineStr">
        <is>
          <t>Compra</t>
        </is>
      </c>
      <c r="K41" s="32" t="inlineStr">
        <is>
          <t>Sí</t>
        </is>
      </c>
      <c r="L41" s="17" t="inlineStr">
        <is>
          <t>Yukon / MatafuegosYa S.R.L.</t>
        </is>
      </c>
      <c r="M41" s="17" t="inlineStr">
        <is>
          <t>Matafuegos Iglesias</t>
        </is>
      </c>
      <c r="N41" s="17" t="inlineStr">
        <is>
          <t>Después de 12 pintura: manguera, válvula esférica y tobera</t>
        </is>
      </c>
      <c r="O41" s="17" t="n"/>
      <c r="P41" s="32" t="inlineStr">
        <is>
          <t>P</t>
        </is>
      </c>
      <c r="Q41" s="32" t="inlineStr">
        <is>
          <t>FL_DES_ABC_70kg</t>
        </is>
      </c>
      <c r="R41" s="17" t="n"/>
    </row>
    <row r="42" outlineLevel="1">
      <c r="A42" s="32" t="n">
        <v>2</v>
      </c>
      <c r="B42" s="32" t="inlineStr">
        <is>
          <t>ABC70-30</t>
        </is>
      </c>
      <c r="C42" s="17" t="inlineStr">
        <is>
          <t xml:space="preserve">        Tobera campana</t>
        </is>
      </c>
      <c r="D42" s="32" t="n">
        <v>1</v>
      </c>
      <c r="E42" s="32" t="inlineStr">
        <is>
          <t>u</t>
        </is>
      </c>
      <c r="F42" s="33" t="n">
        <v>0.07969999999999999</v>
      </c>
      <c r="G42" s="33">
        <f>D42*F42</f>
        <v/>
      </c>
      <c r="H42" s="32" t="inlineStr">
        <is>
          <t>Polipropileno</t>
        </is>
      </c>
      <c r="I42" s="17" t="inlineStr">
        <is>
          <t>204,6 × 74 × 68</t>
        </is>
      </c>
      <c r="J42" s="32" t="inlineStr">
        <is>
          <t>Compra</t>
        </is>
      </c>
      <c r="K42" s="32" t="inlineStr">
        <is>
          <t>Sí</t>
        </is>
      </c>
      <c r="L42" s="17" t="inlineStr">
        <is>
          <t>Yukon / MatafuegosYa S.R.L.</t>
        </is>
      </c>
      <c r="M42" s="17" t="inlineStr">
        <is>
          <t>Matafuegos Iglesias</t>
        </is>
      </c>
      <c r="N42" s="17" t="inlineStr">
        <is>
          <t>Después de 12 pintura: manguera, válvula esférica y tobera</t>
        </is>
      </c>
      <c r="O42" s="17" t="n"/>
      <c r="P42" s="32" t="inlineStr">
        <is>
          <t>P</t>
        </is>
      </c>
      <c r="Q42" s="32" t="inlineStr">
        <is>
          <t>FL_DES_ABC_70kg</t>
        </is>
      </c>
      <c r="R42" s="17" t="n"/>
    </row>
    <row r="43">
      <c r="A43" s="29" t="n">
        <v>1</v>
      </c>
      <c r="B43" s="29" t="inlineStr">
        <is>
          <t>ABC70-S4</t>
        </is>
      </c>
      <c r="C43" s="30" t="inlineStr">
        <is>
          <t xml:space="preserve">    Carro (tren rodante soldado y ruedas)</t>
        </is>
      </c>
      <c r="D43" s="29" t="n">
        <v>1</v>
      </c>
      <c r="E43" s="29" t="inlineStr">
        <is>
          <t>u</t>
        </is>
      </c>
      <c r="F43" s="31" t="n"/>
      <c r="G43" s="31">
        <f>G44+G45+G46+G48+G49+G50+G52+G53+G54+G56</f>
        <v/>
      </c>
      <c r="H43" s="29" t="n"/>
      <c r="I43" s="30" t="n"/>
      <c r="J43" s="29" t="inlineStr">
        <is>
          <t>Fabricación</t>
        </is>
      </c>
      <c r="K43" s="29" t="n"/>
      <c r="L43" s="30" t="n"/>
      <c r="M43" s="30" t="n"/>
      <c r="N43" s="30" t="n"/>
      <c r="O43" s="30" t="inlineStr">
        <is>
          <t>IRAM 3550 3.12 y 4.8 (ruedas ≥ Ø300 × 50)</t>
        </is>
      </c>
      <c r="P43" s="29" t="inlineStr">
        <is>
          <t>P</t>
        </is>
      </c>
      <c r="Q43" s="29" t="inlineStr">
        <is>
          <t>FL_DES_ABC_70kg</t>
        </is>
      </c>
      <c r="R43" s="30" t="n"/>
    </row>
    <row r="44" outlineLevel="1">
      <c r="A44" s="32" t="n">
        <v>2</v>
      </c>
      <c r="B44" s="32" t="inlineStr">
        <is>
          <t>ABC70-06</t>
        </is>
      </c>
      <c r="C44" s="17" t="inlineStr">
        <is>
          <t xml:space="preserve">        Pata delantera</t>
        </is>
      </c>
      <c r="D44" s="32" t="n">
        <v>1</v>
      </c>
      <c r="E44" s="32" t="inlineStr">
        <is>
          <t>u</t>
        </is>
      </c>
      <c r="F44" s="33" t="n">
        <v>0.1965</v>
      </c>
      <c r="G44" s="33">
        <f>D44*F44</f>
        <v/>
      </c>
      <c r="H44" s="32" t="inlineStr">
        <is>
          <t>Chapa LAC 3,2 (orilla de la hoja de 25 kg)</t>
        </is>
      </c>
      <c r="I44" s="17" t="inlineStr">
        <is>
          <t>planchuela 100 × 80 × e3,2, de canto en el frente del fondo, atravesada; borde de abajo = línea del piso</t>
        </is>
      </c>
      <c r="J44" s="32" t="inlineStr">
        <is>
          <t>Fabricación</t>
        </is>
      </c>
      <c r="K44" s="32" t="inlineStr">
        <is>
          <t>No</t>
        </is>
      </c>
      <c r="L44" s="17" t="n"/>
      <c r="M44" s="17" t="n"/>
      <c r="N44" s="17" t="inlineStr">
        <is>
          <t>8.1 fabricación de accesorios (orillas / caño / barra) -&gt; 8 soldadura MAG al recipiente, antes de la PH (IRAM 3550 6.1.1)</t>
        </is>
      </c>
      <c r="O44" s="17" t="n"/>
      <c r="P44" s="32" t="inlineStr">
        <is>
          <t>P</t>
        </is>
      </c>
      <c r="Q44" s="32" t="inlineStr">
        <is>
          <t>FL_DES_ABC_70kg</t>
        </is>
      </c>
      <c r="R44" s="17" t="inlineStr">
        <is>
          <t>Proceso FLAMA de carros: 80 × 60 (25 y 50 kg) y 100 × 80 (70 y 100 kg), de la orilla de 3,2 de la hoja de 25 kg (sin compra); se suelda con filete de los dos lados en el tramo central</t>
        </is>
      </c>
    </row>
    <row r="45" outlineLevel="1">
      <c r="A45" s="32" t="n">
        <v>2</v>
      </c>
      <c r="B45" s="32" t="inlineStr">
        <is>
          <t>ABC70-07</t>
        </is>
      </c>
      <c r="C45" s="17" t="inlineStr">
        <is>
          <t xml:space="preserve">        Triángulos con V (2)</t>
        </is>
      </c>
      <c r="D45" s="32" t="n">
        <v>1</v>
      </c>
      <c r="E45" s="32" t="inlineStr">
        <is>
          <t>u</t>
        </is>
      </c>
      <c r="F45" s="33" t="n">
        <v>0.297</v>
      </c>
      <c r="G45" s="33">
        <f>D45*F45</f>
        <v/>
      </c>
      <c r="H45" s="32" t="inlineStr">
        <is>
          <t>Chapa LAC 4,75 (orilla)</t>
        </is>
      </c>
      <c r="I45" s="17" t="inlineStr">
        <is>
          <t>2 triángulos con V de 90° hacia atrás, chapa e4,75, cateto vertical 100 de canto contra el cuerpo; separados 203 (± 101,5 en recta), borde de abajo a 20 de la costura del fondo; el caño apoya en la V</t>
        </is>
      </c>
      <c r="J45" s="32" t="inlineStr">
        <is>
          <t>Fabricación</t>
        </is>
      </c>
      <c r="K45" s="32" t="inlineStr">
        <is>
          <t>No</t>
        </is>
      </c>
      <c r="L45" s="17" t="n"/>
      <c r="M45" s="17" t="n"/>
      <c r="N45" s="17" t="inlineStr">
        <is>
          <t>8.1 fabricación de accesorios (orillas / caño / barra) -&gt; 8 soldadura MAG al recipiente, antes de la PH (IRAM 3550 6.1.1)</t>
        </is>
      </c>
      <c r="O45" s="17" t="n"/>
      <c r="P45" s="32" t="inlineStr">
        <is>
          <t>P</t>
        </is>
      </c>
      <c r="Q45" s="32" t="inlineStr">
        <is>
          <t>FL_DES_ABC_70kg</t>
        </is>
      </c>
      <c r="R45"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46" outlineLevel="1">
      <c r="A46" s="32" t="n">
        <v>2</v>
      </c>
      <c r="B46" s="32" t="inlineStr">
        <is>
          <t>ABC70-08</t>
        </is>
      </c>
      <c r="C46" s="17" t="inlineStr">
        <is>
          <t xml:space="preserve">        Caño del eje</t>
        </is>
      </c>
      <c r="D46" s="32" t="n">
        <v>1</v>
      </c>
      <c r="E46" s="32" t="inlineStr">
        <is>
          <t>u</t>
        </is>
      </c>
      <c r="F46" s="33" t="n">
        <v>0.5780999999999999</v>
      </c>
      <c r="G46" s="33">
        <f>D46*F46</f>
        <v/>
      </c>
      <c r="H46" s="32" t="inlineStr">
        <is>
          <t>Caño acero SAE 1010 1¼" × 2,0</t>
        </is>
      </c>
      <c r="I46" s="17" t="inlineStr">
        <is>
          <t>caño 1¼" (Ø31,75) × 2 × 394 de largo, con marca de la mitad; apoyado en la V de los triángulos a 20 del cuerpo, no gira; adentro pasa el eje Ø25,4</t>
        </is>
      </c>
      <c r="J46" s="32" t="inlineStr">
        <is>
          <t>Fabricación</t>
        </is>
      </c>
      <c r="K46" s="32" t="inlineStr">
        <is>
          <t>No</t>
        </is>
      </c>
      <c r="L46" s="17" t="n"/>
      <c r="M46" s="17" t="n"/>
      <c r="N46" s="17" t="inlineStr">
        <is>
          <t>8.1 fabricación de accesorios (orillas / caño / barra) -&gt; 8 soldadura MAG al recipiente, antes de la PH (IRAM 3550 6.1.1)</t>
        </is>
      </c>
      <c r="O46" s="17" t="n"/>
      <c r="P46" s="32" t="inlineStr">
        <is>
          <t>P</t>
        </is>
      </c>
      <c r="Q46" s="32" t="inlineStr">
        <is>
          <t>FL_DES_ABC_70kg</t>
        </is>
      </c>
      <c r="R46" s="17" t="inlineStr">
        <is>
          <t>Proceso FLAMA de carros, puesto 8 (kit del 8.1): medidas y posición de la tabla del puesto; se suelda antes de la prueba hidráulica (IRAM 3550 6.1.1)</t>
        </is>
      </c>
    </row>
    <row r="47" outlineLevel="2">
      <c r="A47" s="34" t="n">
        <v>3</v>
      </c>
      <c r="B47" s="34" t="inlineStr">
        <is>
          <t>MP-PORTAEJE</t>
        </is>
      </c>
      <c r="C47" s="35" t="inlineStr">
        <is>
          <t xml:space="preserve">            Caño SAE 1010 1¼" × 2,0 (tramo de barra de 6 m)</t>
        </is>
      </c>
      <c r="D47" s="34" t="n">
        <v>0.06569999999999999</v>
      </c>
      <c r="E47" s="34" t="inlineStr">
        <is>
          <t>barra</t>
        </is>
      </c>
      <c r="F47" s="36" t="n">
        <v>8.804</v>
      </c>
      <c r="G47" s="36">
        <f>D47*F47</f>
        <v/>
      </c>
      <c r="H47" s="34" t="inlineStr">
        <is>
          <t>Caño acero SAE 1010 1¼" × 2,0</t>
        </is>
      </c>
      <c r="I47" s="35" t="inlineStr">
        <is>
          <t>394 mm por pieza (kg por barra de 6 m)</t>
        </is>
      </c>
      <c r="J47" s="34" t="inlineStr">
        <is>
          <t>Compra</t>
        </is>
      </c>
      <c r="K47" s="34" t="inlineStr">
        <is>
          <t>Sí</t>
        </is>
      </c>
      <c r="L47" s="35" t="inlineStr">
        <is>
          <t>Metalpri / Prilux</t>
        </is>
      </c>
      <c r="M47" s="35" t="inlineStr">
        <is>
          <t>Comercial MID</t>
        </is>
      </c>
      <c r="N47" s="35" t="inlineStr">
        <is>
          <t>Corte en sierra</t>
        </is>
      </c>
      <c r="O47" s="35" t="n"/>
      <c r="P47" s="34" t="inlineStr">
        <is>
          <t>C</t>
        </is>
      </c>
      <c r="Q47" s="34" t="n"/>
      <c r="R47" s="35" t="inlineStr">
        <is>
          <t>Largo para la trocha del ancho de la hoja de especificaciones (kit 8.1), con marca de la mitad</t>
        </is>
      </c>
    </row>
    <row r="48" outlineLevel="1">
      <c r="A48" s="32" t="n">
        <v>2</v>
      </c>
      <c r="B48" s="32" t="inlineStr">
        <is>
          <t>ABC70-09</t>
        </is>
      </c>
      <c r="C48" s="17" t="inlineStr">
        <is>
          <t xml:space="preserve">        Neumático macizo</t>
        </is>
      </c>
      <c r="D48" s="32" t="n">
        <v>2</v>
      </c>
      <c r="E48" s="32" t="inlineStr">
        <is>
          <t>u</t>
        </is>
      </c>
      <c r="F48" s="33" t="n">
        <v>3.3361</v>
      </c>
      <c r="G48" s="33">
        <f>D48*F48</f>
        <v/>
      </c>
      <c r="H48" s="32" t="inlineStr">
        <is>
          <t>Caucho</t>
        </is>
      </c>
      <c r="I48" s="17" t="inlineStr">
        <is>
          <t>Ø350 × 60 de ancho</t>
        </is>
      </c>
      <c r="J48" s="32" t="inlineStr">
        <is>
          <t>Compra</t>
        </is>
      </c>
      <c r="K48" s="32" t="inlineStr">
        <is>
          <t>Sí</t>
        </is>
      </c>
      <c r="L48" s="17" t="inlineStr">
        <is>
          <t>Ruedar</t>
        </is>
      </c>
      <c r="M48" s="17" t="inlineStr">
        <is>
          <t>Escanort S.A.</t>
        </is>
      </c>
      <c r="N48" s="17" t="inlineStr">
        <is>
          <t>Después de 12 pintura: ruedas montadas sobre el eje</t>
        </is>
      </c>
      <c r="O48" s="17" t="n"/>
      <c r="P48" s="32" t="inlineStr">
        <is>
          <t>P</t>
        </is>
      </c>
      <c r="Q48" s="32" t="inlineStr">
        <is>
          <t>FL_DES_ABC_70kg</t>
        </is>
      </c>
      <c r="R48" s="17" t="inlineStr">
        <is>
          <t>llanta de chapa; IRAM 3550 4.8: Ø ≥ 300 y ancho ≥ 50</t>
        </is>
      </c>
    </row>
    <row r="49" outlineLevel="1">
      <c r="A49" s="32" t="n">
        <v>2</v>
      </c>
      <c r="B49" s="32" t="inlineStr">
        <is>
          <t>ABC70-10</t>
        </is>
      </c>
      <c r="C49" s="17" t="inlineStr">
        <is>
          <t xml:space="preserve">        Llanta con cubo</t>
        </is>
      </c>
      <c r="D49" s="32" t="n">
        <v>2</v>
      </c>
      <c r="E49" s="32" t="inlineStr">
        <is>
          <t>u</t>
        </is>
      </c>
      <c r="F49" s="33" t="n">
        <v>2.6069</v>
      </c>
      <c r="G49" s="33">
        <f>D49*F49</f>
        <v/>
      </c>
      <c r="H49" s="32" t="inlineStr">
        <is>
          <t>Chapa acero SAE 1010</t>
        </is>
      </c>
      <c r="I49" s="17" t="inlineStr">
        <is>
          <t>Ø252 × 60 de ancho</t>
        </is>
      </c>
      <c r="J49" s="32" t="inlineStr">
        <is>
          <t>Incluido en rueda</t>
        </is>
      </c>
      <c r="K49" s="32" t="inlineStr">
        <is>
          <t>No</t>
        </is>
      </c>
      <c r="L49" s="17" t="n"/>
      <c r="M49" s="17" t="n"/>
      <c r="N49" s="17" t="inlineStr">
        <is>
          <t>Después de 12 pintura: ruedas montadas sobre el eje</t>
        </is>
      </c>
      <c r="O49" s="17" t="n"/>
      <c r="P49" s="32" t="inlineStr">
        <is>
          <t>P</t>
        </is>
      </c>
      <c r="Q49" s="32" t="inlineStr">
        <is>
          <t>FL_DES_ABC_70kg</t>
        </is>
      </c>
      <c r="R49" s="17" t="n"/>
    </row>
    <row r="50" outlineLevel="1">
      <c r="A50" s="32" t="n">
        <v>2</v>
      </c>
      <c r="B50" s="32" t="inlineStr">
        <is>
          <t>ABC70-11</t>
        </is>
      </c>
      <c r="C50" s="17" t="inlineStr">
        <is>
          <t xml:space="preserve">        Eje de ruedas</t>
        </is>
      </c>
      <c r="D50" s="32" t="n">
        <v>1</v>
      </c>
      <c r="E50" s="32" t="inlineStr">
        <is>
          <t>u</t>
        </is>
      </c>
      <c r="F50" s="33" t="n">
        <v>2.1811</v>
      </c>
      <c r="G50" s="33">
        <f>D50*F50</f>
        <v/>
      </c>
      <c r="H50" s="32" t="inlineStr">
        <is>
          <t>Barra acero SAE 1045 Ø25.4</t>
        </is>
      </c>
      <c r="I50" s="17" t="inlineStr">
        <is>
          <t>barra trefilada 1" (Ø25,4) × 550 de largo, con agujero Ø4,6 en cada punta para el pasador (montaje final)</t>
        </is>
      </c>
      <c r="J50" s="32" t="inlineStr">
        <is>
          <t>Fabricación</t>
        </is>
      </c>
      <c r="K50" s="32" t="inlineStr">
        <is>
          <t>No</t>
        </is>
      </c>
      <c r="L50" s="17" t="n"/>
      <c r="M50" s="17" t="n"/>
      <c r="N50" s="17" t="inlineStr">
        <is>
          <t>8.1 corte de barra -&gt; 8 soldadura de soportes</t>
        </is>
      </c>
      <c r="O50" s="17" t="n"/>
      <c r="P50" s="32" t="inlineStr">
        <is>
          <t>P</t>
        </is>
      </c>
      <c r="Q50" s="32" t="inlineStr">
        <is>
          <t>FL_DES_ABC_70kg</t>
        </is>
      </c>
      <c r="R50" s="17" t="inlineStr">
        <is>
          <t>Montaje final, después de la pintura, con las ruedas (proceso de carros, puesto 8)</t>
        </is>
      </c>
    </row>
    <row r="51" outlineLevel="2">
      <c r="A51" s="34" t="n">
        <v>3</v>
      </c>
      <c r="B51" s="34" t="inlineStr">
        <is>
          <t>MP-EJE</t>
        </is>
      </c>
      <c r="C51" s="35" t="inlineStr">
        <is>
          <t xml:space="preserve">            Barra trefilada SAE 1045 1" (tramo de barra de 6 m)</t>
        </is>
      </c>
      <c r="D51" s="34" t="n">
        <v>0.0917</v>
      </c>
      <c r="E51" s="34" t="inlineStr">
        <is>
          <t>barra</t>
        </is>
      </c>
      <c r="F51" s="36" t="n">
        <v>23.866</v>
      </c>
      <c r="G51" s="36">
        <f>D51*F51</f>
        <v/>
      </c>
      <c r="H51" s="34" t="inlineStr">
        <is>
          <t>Barra trefilada SAE 1045 1"</t>
        </is>
      </c>
      <c r="I51" s="35" t="inlineStr">
        <is>
          <t>550 mm por pieza (kg por barra de 6 m)</t>
        </is>
      </c>
      <c r="J51" s="34" t="inlineStr">
        <is>
          <t>Compra</t>
        </is>
      </c>
      <c r="K51" s="34" t="inlineStr">
        <is>
          <t>Sí</t>
        </is>
      </c>
      <c r="L51" s="35" t="inlineStr">
        <is>
          <t>Vladimirsky</t>
        </is>
      </c>
      <c r="M51" s="35" t="inlineStr">
        <is>
          <t>Hierros Parrotta</t>
        </is>
      </c>
      <c r="N51" s="35" t="inlineStr">
        <is>
          <t>Corte en sierra</t>
        </is>
      </c>
      <c r="O51" s="35" t="n"/>
      <c r="P51" s="34" t="inlineStr">
        <is>
          <t>C</t>
        </is>
      </c>
      <c r="Q51" s="34" t="n"/>
      <c r="R51" s="35" t="n"/>
    </row>
    <row r="52" outlineLevel="1">
      <c r="A52" s="32" t="n">
        <v>2</v>
      </c>
      <c r="B52" s="32" t="inlineStr">
        <is>
          <t>ABC70-12</t>
        </is>
      </c>
      <c r="C52" s="17" t="inlineStr">
        <is>
          <t xml:space="preserve">        Arandelas de tope (4)</t>
        </is>
      </c>
      <c r="D52" s="32" t="n">
        <v>1</v>
      </c>
      <c r="E52" s="32" t="inlineStr">
        <is>
          <t>u</t>
        </is>
      </c>
      <c r="F52" s="33" t="n">
        <v>0.0891</v>
      </c>
      <c r="G52" s="33">
        <f>D52*F52</f>
        <v/>
      </c>
      <c r="H52" s="32" t="inlineStr">
        <is>
          <t>Acero SAE 1010 Ø40 × 4</t>
        </is>
      </c>
      <c r="I52" s="17" t="inlineStr">
        <is>
          <t>4 × Ø40 × Ø26,4 × 4 (a cada lado de cada rueda)</t>
        </is>
      </c>
      <c r="J52" s="32" t="inlineStr">
        <is>
          <t>Compra</t>
        </is>
      </c>
      <c r="K52" s="32" t="inlineStr">
        <is>
          <t>Sí</t>
        </is>
      </c>
      <c r="L52" s="17" t="inlineStr">
        <is>
          <t>Hierros Parrotta</t>
        </is>
      </c>
      <c r="M52" s="17" t="inlineStr">
        <is>
          <t>-</t>
        </is>
      </c>
      <c r="N52" s="17" t="inlineStr">
        <is>
          <t>Después de 12 pintura: ruedas montadas sobre el eje</t>
        </is>
      </c>
      <c r="O52" s="17" t="n"/>
      <c r="P52" s="32" t="inlineStr">
        <is>
          <t>P</t>
        </is>
      </c>
      <c r="Q52" s="32" t="inlineStr">
        <is>
          <t>FL_DES_ABC_70kg</t>
        </is>
      </c>
      <c r="R52" s="17" t="inlineStr">
        <is>
          <t>Montaje final, después de la pintura, con las ruedas (proceso de carros, puesto 8)</t>
        </is>
      </c>
    </row>
    <row r="53" outlineLevel="1">
      <c r="A53" s="32" t="n">
        <v>2</v>
      </c>
      <c r="B53" s="32" t="inlineStr">
        <is>
          <t>ABC70-13</t>
        </is>
      </c>
      <c r="C53" s="17" t="inlineStr">
        <is>
          <t xml:space="preserve">        Pasadores del eje (2)</t>
        </is>
      </c>
      <c r="D53" s="32" t="n">
        <v>1</v>
      </c>
      <c r="E53" s="32" t="inlineStr">
        <is>
          <t>u</t>
        </is>
      </c>
      <c r="F53" s="33" t="n">
        <v>0.0132</v>
      </c>
      <c r="G53" s="33">
        <f>D53*F53</f>
        <v/>
      </c>
      <c r="H53" s="32" t="inlineStr">
        <is>
          <t>Pasador partido acero Ø4 × 40</t>
        </is>
      </c>
      <c r="I53" s="17" t="inlineStr">
        <is>
          <t>2 pasadores partidos Ø4 × 40, uno en cada punta del eje, por fuera de la arandela</t>
        </is>
      </c>
      <c r="J53" s="32" t="inlineStr">
        <is>
          <t>Compra</t>
        </is>
      </c>
      <c r="K53" s="32" t="inlineStr">
        <is>
          <t>Sí</t>
        </is>
      </c>
      <c r="L53" s="17" t="inlineStr">
        <is>
          <t>Hierros Parrotta</t>
        </is>
      </c>
      <c r="M53" s="17" t="inlineStr">
        <is>
          <t>-</t>
        </is>
      </c>
      <c r="N53" s="17" t="inlineStr">
        <is>
          <t>Después de 12 pintura: ruedas montadas sobre el eje</t>
        </is>
      </c>
      <c r="O53" s="17" t="n"/>
      <c r="P53" s="32" t="inlineStr">
        <is>
          <t>P</t>
        </is>
      </c>
      <c r="Q53" s="32" t="inlineStr">
        <is>
          <t>FL_DES_ABC_70kg</t>
        </is>
      </c>
      <c r="R53" s="17" t="inlineStr">
        <is>
          <t>Montaje final, después de la pintura, con las ruedas (proceso de carros, puesto 8)</t>
        </is>
      </c>
    </row>
    <row r="54" outlineLevel="1">
      <c r="A54" s="32" t="n">
        <v>2</v>
      </c>
      <c r="B54" s="32" t="inlineStr">
        <is>
          <t>ABC70-14</t>
        </is>
      </c>
      <c r="C54" s="17" t="inlineStr">
        <is>
          <t xml:space="preserve">        Manija del carro</t>
        </is>
      </c>
      <c r="D54" s="32" t="n">
        <v>1</v>
      </c>
      <c r="E54" s="32" t="inlineStr">
        <is>
          <t>u</t>
        </is>
      </c>
      <c r="F54" s="33" t="n">
        <v>1.5927</v>
      </c>
      <c r="G54" s="33">
        <f>D54*F54</f>
        <v/>
      </c>
      <c r="H54" s="32" t="inlineStr">
        <is>
          <t>Caño acero SAE 1010 1" × 2,0</t>
        </is>
      </c>
      <c r="I54" s="17" t="inlineStr">
        <is>
          <t>caño 1" (Ø25,4) × 2,0, corte 1.480 (desarrollado del modelo 1.472); puntas aplastadas en lengüetas 40 × 60 × 4 soldadas a los costados, borde de abajo 200 bajo la costura de la cúpula; 2 curvas de 90° y 2 de 30° (doblez a 975 del piso), puño hacia atrás a 1.170</t>
        </is>
      </c>
      <c r="J54" s="32" t="inlineStr">
        <is>
          <t>Fabricación</t>
        </is>
      </c>
      <c r="K54" s="32" t="inlineStr">
        <is>
          <t>No</t>
        </is>
      </c>
      <c r="L54" s="17" t="n"/>
      <c r="M54" s="17" t="n"/>
      <c r="N54" s="17" t="inlineStr">
        <is>
          <t>8.1 fabricación de accesorios (orillas / caño / barra) -&gt; 8 soldadura MAG al recipiente, antes de la PH (IRAM 3550 6.1.1)</t>
        </is>
      </c>
      <c r="O54" s="17" t="n"/>
      <c r="P54" s="32" t="inlineStr">
        <is>
          <t>P</t>
        </is>
      </c>
      <c r="Q54" s="32" t="inlineStr">
        <is>
          <t>FL_DES_ABC_70kg</t>
        </is>
      </c>
      <c r="R54"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55" outlineLevel="2">
      <c r="A55" s="34" t="n">
        <v>3</v>
      </c>
      <c r="B55" s="34" t="inlineStr">
        <is>
          <t>MP-CANO-CARRO</t>
        </is>
      </c>
      <c r="C55" s="35" t="inlineStr">
        <is>
          <t xml:space="preserve">            Caño SAE 1010 1" × 2,0 (tramo de barra de 6 m)</t>
        </is>
      </c>
      <c r="D55" s="34" t="n">
        <v>0.2467</v>
      </c>
      <c r="E55" s="34" t="inlineStr">
        <is>
          <t>barra</t>
        </is>
      </c>
      <c r="F55" s="36" t="n">
        <v>6.925</v>
      </c>
      <c r="G55" s="36">
        <f>D55*F55</f>
        <v/>
      </c>
      <c r="H55" s="34" t="inlineStr">
        <is>
          <t>Caño acero SAE 1010 1" × 2,0</t>
        </is>
      </c>
      <c r="I55" s="35" t="inlineStr">
        <is>
          <t>1.480 mm por pieza (kg por barra de 6 m)</t>
        </is>
      </c>
      <c r="J55" s="34" t="inlineStr">
        <is>
          <t>Compra</t>
        </is>
      </c>
      <c r="K55" s="34" t="inlineStr">
        <is>
          <t>Sí</t>
        </is>
      </c>
      <c r="L55" s="35" t="inlineStr">
        <is>
          <t>Metalpri / Prilux</t>
        </is>
      </c>
      <c r="M55" s="35" t="inlineStr">
        <is>
          <t>Comercial MID</t>
        </is>
      </c>
      <c r="N55" s="35" t="inlineStr">
        <is>
          <t>Corte en sierra</t>
        </is>
      </c>
      <c r="O55" s="35" t="n"/>
      <c r="P55" s="34" t="inlineStr">
        <is>
          <t>C</t>
        </is>
      </c>
      <c r="Q55" s="34" t="n"/>
      <c r="R55" s="35" t="inlineStr">
        <is>
          <t>Largo de corte = desarrollo del modelo a 10 mm (kit del puesto 8.1), con las lengüetas a aplastar</t>
        </is>
      </c>
    </row>
    <row r="56" outlineLevel="1">
      <c r="A56" s="32" t="n">
        <v>2</v>
      </c>
      <c r="B56" s="32" t="inlineStr">
        <is>
          <t>ABC70-28</t>
        </is>
      </c>
      <c r="C56" s="17" t="inlineStr">
        <is>
          <t xml:space="preserve">        Flejes del soporte de manga (2)</t>
        </is>
      </c>
      <c r="D56" s="32" t="n">
        <v>1</v>
      </c>
      <c r="E56" s="32" t="inlineStr">
        <is>
          <t>u</t>
        </is>
      </c>
      <c r="F56" s="33" t="n">
        <v>0.8774</v>
      </c>
      <c r="G56" s="33">
        <f>D56*F56</f>
        <v/>
      </c>
      <c r="H56" s="32" t="inlineStr">
        <is>
          <t>Chapa LAC 3,2 × 40 plegada</t>
        </is>
      </c>
      <c r="I56" s="17" t="inlineStr">
        <is>
          <t>2 flejes iguales 40 × 3,2 de 425 de corte, 4 dobleces de 90° (U abierta hacia afuera): base 250 por fuera, soldada al cuerpo por el centro, patas 80 (hasta delante de la última vuelta) y orejas 20 hacia los costados; superior a 40 bajo la costura de la cúpula, inferior a 40 sobre la del fondo; la manga pasa por afuera de las patas y detrás de las orejas</t>
        </is>
      </c>
      <c r="J56" s="32" t="inlineStr">
        <is>
          <t>Fabricación</t>
        </is>
      </c>
      <c r="K56" s="32" t="inlineStr">
        <is>
          <t>No</t>
        </is>
      </c>
      <c r="L56" s="17" t="n"/>
      <c r="M56" s="17" t="n"/>
      <c r="N56" s="17" t="inlineStr">
        <is>
          <t>8.1 fabricación de accesorios (orillas / caño / barra) -&gt; 8 soldadura MAG al recipiente, antes de la PH (IRAM 3550 6.1.1)</t>
        </is>
      </c>
      <c r="O56" s="17" t="n"/>
      <c r="P56" s="32" t="inlineStr">
        <is>
          <t>P</t>
        </is>
      </c>
      <c r="Q56" s="32" t="inlineStr">
        <is>
          <t>FL_DES_ABC_70kg</t>
        </is>
      </c>
      <c r="R56" s="17" t="inlineStr">
        <is>
          <t>Proceso FLAMA de carros, puesto 8 (kit del 8.1): medidas y posición de la tabla del puesto; se suelda antes de la prueba hidráulica (IRAM 3550 6.1.1); chapa de las orillas del corte (sin compra)</t>
        </is>
      </c>
    </row>
    <row r="57">
      <c r="A57" s="29" t="n">
        <v>1</v>
      </c>
      <c r="B57" s="29" t="inlineStr">
        <is>
          <t>ABC70-S5</t>
        </is>
      </c>
      <c r="C57" s="30" t="inlineStr">
        <is>
          <t xml:space="preserve">    Carga: agente extintor y gas impulsor</t>
        </is>
      </c>
      <c r="D57" s="29" t="n">
        <v>1</v>
      </c>
      <c r="E57" s="29" t="inlineStr">
        <is>
          <t>u</t>
        </is>
      </c>
      <c r="F57" s="31" t="n"/>
      <c r="G57" s="31">
        <f>G58+G59</f>
        <v/>
      </c>
      <c r="H57" s="29" t="n"/>
      <c r="I57" s="30" t="n"/>
      <c r="J57" s="29" t="inlineStr">
        <is>
          <t>Carga en planta</t>
        </is>
      </c>
      <c r="K57" s="29" t="n"/>
      <c r="L57" s="30" t="n"/>
      <c r="M57" s="30" t="n"/>
      <c r="N57" s="30" t="inlineStr">
        <is>
          <t>18 Carga de polvo (T01) / C8 (T02)</t>
        </is>
      </c>
      <c r="O57" s="30" t="n"/>
      <c r="P57" s="29" t="n"/>
      <c r="Q57" s="29" t="n"/>
      <c r="R57" s="30" t="n"/>
    </row>
    <row r="58" outlineLevel="1">
      <c r="A58" s="32" t="n">
        <v>2</v>
      </c>
      <c r="B58" s="32" t="inlineStr">
        <is>
          <t>ABC70-A1</t>
        </is>
      </c>
      <c r="C58" s="17" t="inlineStr">
        <is>
          <t xml:space="preserve">        Polvo químico seco ABC 90 (Sello IRAM 3569)</t>
        </is>
      </c>
      <c r="D58" s="32" t="n">
        <v>70</v>
      </c>
      <c r="E58" s="32" t="inlineStr">
        <is>
          <t>kg</t>
        </is>
      </c>
      <c r="F58" s="33" t="n">
        <v>1</v>
      </c>
      <c r="G58" s="33">
        <f>D58*F58</f>
        <v/>
      </c>
      <c r="H58" s="32" t="inlineStr">
        <is>
          <t>Polvo químico seco ABC 90 (Sello IRAM 3569)</t>
        </is>
      </c>
      <c r="I58" s="17" t="inlineStr">
        <is>
          <t>nominal 70 kg; tolerancia ± 3 % (IRAM 3517-2:2020 tabla 3)</t>
        </is>
      </c>
      <c r="J58" s="32" t="inlineStr">
        <is>
          <t>Compra</t>
        </is>
      </c>
      <c r="K58" s="32" t="inlineStr">
        <is>
          <t>Sí</t>
        </is>
      </c>
      <c r="L58" s="17" t="inlineStr">
        <is>
          <t>DEM S.A. (DEMSA)</t>
        </is>
      </c>
      <c r="M58" s="17" t="inlineStr">
        <is>
          <t>Polvex S.R.L. / Sancibrao</t>
        </is>
      </c>
      <c r="N58" s="17" t="inlineStr">
        <is>
          <t>SP-1 almacén previo a la carga</t>
        </is>
      </c>
      <c r="O58" s="17" t="inlineStr">
        <is>
          <t>IRAM 3569</t>
        </is>
      </c>
      <c r="P58" s="32" t="inlineStr">
        <is>
          <t>N</t>
        </is>
      </c>
      <c r="Q58" s="32" t="n"/>
      <c r="R58" s="17" t="inlineStr">
        <is>
          <t>Composición declarada del polvo ABC 90: MAP 90 % (IRAM 3569: 85,5-94,5 %) = 63 kg MAP + 4,9 kg sulfato de amonio + 2,1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59" outlineLevel="1">
      <c r="A59" s="37" t="n">
        <v>2</v>
      </c>
      <c r="B59" s="37" t="inlineStr">
        <is>
          <t>ABC70-A2</t>
        </is>
      </c>
      <c r="C59" s="18" t="inlineStr">
        <is>
          <t xml:space="preserve">        Gas impulsor: N₂</t>
        </is>
      </c>
      <c r="D59" s="37" t="n">
        <v>0.5581</v>
      </c>
      <c r="E59" s="37" t="inlineStr">
        <is>
          <t>kg</t>
        </is>
      </c>
      <c r="F59" s="38" t="n">
        <v>1</v>
      </c>
      <c r="G59" s="38">
        <f>D59*F59</f>
        <v/>
      </c>
      <c r="H59" s="37" t="inlineStr">
        <is>
          <t>N₂</t>
        </is>
      </c>
      <c r="I59" s="18" t="inlineStr">
        <is>
          <t>446,7 L normales para 1,4 MPa a 20 °C en 32,36 dm³ libres</t>
        </is>
      </c>
      <c r="J59" s="37" t="inlineStr">
        <is>
          <t>Compra</t>
        </is>
      </c>
      <c r="K59" s="37" t="inlineStr">
        <is>
          <t>Sí</t>
        </is>
      </c>
      <c r="L59" s="18" t="inlineStr">
        <is>
          <t>Air Liquide Argentina - sucursal Piñeyro</t>
        </is>
      </c>
      <c r="M59" s="18" t="inlineStr">
        <is>
          <t>Gogniat</t>
        </is>
      </c>
      <c r="N59" s="18" t="inlineStr">
        <is>
          <t>20 Presurización (T05) / C10</t>
        </is>
      </c>
      <c r="O59" s="18" t="inlineStr">
        <is>
          <t>IRAM 3517-2 9.4.9 (tabla 2) · IRAM 3523 2.3 y 3.10</t>
        </is>
      </c>
      <c r="P59" s="37" t="inlineStr">
        <is>
          <t>C</t>
        </is>
      </c>
      <c r="Q59" s="37" t="n"/>
      <c r="R59" s="18" t="inlineStr">
        <is>
          <t>N₂ ≥ 99,8 %, H₂O ≤ 40 ppm (Q-N2, Air Liquide) · volumen libre con ρ empacada mínima 1,1 kg/dm³ (NOM-104-STPS-2001); confirmar con descarga ≥ 85 % (IRAM 3523 4.9.1)</t>
        </is>
      </c>
    </row>
    <row r="60">
      <c r="A60" s="29" t="n">
        <v>1</v>
      </c>
      <c r="B60" s="29" t="inlineStr">
        <is>
          <t>ABC70-S6</t>
        </is>
      </c>
      <c r="C60" s="30" t="inlineStr">
        <is>
          <t xml:space="preserve">    Identificación y precinto</t>
        </is>
      </c>
      <c r="D60" s="29" t="n">
        <v>1</v>
      </c>
      <c r="E60" s="29" t="inlineStr">
        <is>
          <t>u</t>
        </is>
      </c>
      <c r="F60" s="31" t="n"/>
      <c r="G60" s="31">
        <f>G61+G62+G63+G64+G65+G66+G67</f>
        <v/>
      </c>
      <c r="H60" s="29" t="n"/>
      <c r="I60" s="30" t="n"/>
      <c r="J60" s="29" t="inlineStr">
        <is>
          <t>Compra</t>
        </is>
      </c>
      <c r="K60" s="29" t="n"/>
      <c r="L60" s="30" t="n"/>
      <c r="M60" s="30" t="n"/>
      <c r="N60" s="30" t="inlineStr">
        <is>
          <t>22 Etiquetado (T07)</t>
        </is>
      </c>
      <c r="O60" s="30" t="n"/>
      <c r="P60" s="29" t="n"/>
      <c r="Q60" s="29" t="n"/>
      <c r="R60" s="30" t="n"/>
    </row>
    <row r="61" outlineLevel="1">
      <c r="A61" s="32" t="n">
        <v>2</v>
      </c>
      <c r="B61" s="32" t="inlineStr">
        <is>
          <t>ABC70-31</t>
        </is>
      </c>
      <c r="C61" s="17" t="inlineStr">
        <is>
          <t xml:space="preserve">        Etiqueta / placa de características</t>
        </is>
      </c>
      <c r="D61" s="32" t="n">
        <v>1</v>
      </c>
      <c r="E61" s="32" t="inlineStr">
        <is>
          <t>u</t>
        </is>
      </c>
      <c r="F61" s="33" t="n">
        <v>0.06610000000000001</v>
      </c>
      <c r="G61" s="33">
        <f>D61*F61</f>
        <v/>
      </c>
      <c r="H61" s="32" t="inlineStr">
        <is>
          <t>Vinilo autoadhesivo laminado</t>
        </is>
      </c>
      <c r="I61" s="17" t="inlineStr">
        <is>
          <t>736 × 214 (desarrollo × alto: panel central 108° + 2 alas laterales), e ≈ 0,3, laminado UV</t>
        </is>
      </c>
      <c r="J61" s="32" t="inlineStr">
        <is>
          <t>Compra</t>
        </is>
      </c>
      <c r="K61" s="32" t="inlineStr">
        <is>
          <t>Sí</t>
        </is>
      </c>
      <c r="L61" s="17" t="inlineStr">
        <is>
          <t>Astuprint</t>
        </is>
      </c>
      <c r="M61" s="17" t="inlineStr">
        <is>
          <t>Multilabel Argentina S.A.</t>
        </is>
      </c>
      <c r="N61" s="17" t="inlineStr">
        <is>
          <t>22 Etiquetado (T07)</t>
        </is>
      </c>
      <c r="O61" s="17" t="inlineStr">
        <is>
          <t>IRAM 3534 · IRAM 3550 cap. 5 · relevamiento de mercado</t>
        </is>
      </c>
      <c r="P61" s="32" t="inlineStr">
        <is>
          <t>P</t>
        </is>
      </c>
      <c r="Q61" s="32" t="inlineStr">
        <is>
          <t>FL_DES_ABC_70kg</t>
        </is>
      </c>
      <c r="R61" s="17" t="inlineStr">
        <is>
          <t>IRAM 3534</t>
        </is>
      </c>
    </row>
    <row r="62" outlineLevel="1">
      <c r="A62" s="32" t="n">
        <v>2</v>
      </c>
      <c r="B62" s="32" t="inlineStr">
        <is>
          <t>ABC70-32</t>
        </is>
      </c>
      <c r="C62" s="17" t="inlineStr">
        <is>
          <t xml:space="preserve">        Oblea de fabricación (PBA)</t>
        </is>
      </c>
      <c r="D62" s="32" t="n">
        <v>1</v>
      </c>
      <c r="E62" s="32" t="inlineStr">
        <is>
          <t>u</t>
        </is>
      </c>
      <c r="F62" s="33" t="n">
        <v>0.0009</v>
      </c>
      <c r="G62" s="33">
        <f>D62*F62</f>
        <v/>
      </c>
      <c r="H62" s="32" t="inlineStr">
        <is>
          <t>Papel de seguridad autodestructible</t>
        </is>
      </c>
      <c r="I62" s="17" t="inlineStr">
        <is>
          <t>Ø46 (Res. OPDS 522/07), numerada, autodestructible</t>
        </is>
      </c>
      <c r="J62" s="32" t="inlineStr">
        <is>
          <t>Compra</t>
        </is>
      </c>
      <c r="K62" s="32" t="inlineStr">
        <is>
          <t>Sí</t>
        </is>
      </c>
      <c r="L62" s="17" t="inlineStr">
        <is>
          <t>Ministerio de Ambiente PBA (ex OPDS)</t>
        </is>
      </c>
      <c r="M62" s="17" t="inlineStr">
        <is>
          <t>-</t>
        </is>
      </c>
      <c r="N62" s="17" t="inlineStr">
        <is>
          <t>22 Etiquetado (T07)</t>
        </is>
      </c>
      <c r="O62" s="17" t="inlineStr">
        <is>
          <t>Res. OPDS 522/07 anexos 1, 2 y 6</t>
        </is>
      </c>
      <c r="P62" s="32" t="inlineStr">
        <is>
          <t>P</t>
        </is>
      </c>
      <c r="Q62" s="32" t="inlineStr">
        <is>
          <t>FL_DES_ABC_70kg</t>
        </is>
      </c>
      <c r="R62" s="17" t="inlineStr">
        <is>
          <t>Res. 522/07</t>
        </is>
      </c>
    </row>
    <row r="63" outlineLevel="1">
      <c r="A63" s="32" t="n">
        <v>2</v>
      </c>
      <c r="B63" s="32" t="inlineStr">
        <is>
          <t>ABC70-33</t>
        </is>
      </c>
      <c r="C63" s="17" t="inlineStr">
        <is>
          <t xml:space="preserve">        Estampilla IRAM de conformidad</t>
        </is>
      </c>
      <c r="D63" s="32" t="n">
        <v>1</v>
      </c>
      <c r="E63" s="32" t="inlineStr">
        <is>
          <t>u</t>
        </is>
      </c>
      <c r="F63" s="33" t="n">
        <v>0.001</v>
      </c>
      <c r="G63" s="33">
        <f>D63*F63</f>
        <v/>
      </c>
      <c r="H63" s="32" t="inlineStr">
        <is>
          <t>Provista por IRAM (Anexo R)</t>
        </is>
      </c>
      <c r="I63" s="17" t="inlineStr">
        <is>
          <t>60 × 40</t>
        </is>
      </c>
      <c r="J63" s="32" t="inlineStr">
        <is>
          <t>Compra</t>
        </is>
      </c>
      <c r="K63" s="32" t="inlineStr">
        <is>
          <t>Sí</t>
        </is>
      </c>
      <c r="L63" s="17" t="inlineStr">
        <is>
          <t>IRAM - Instituto Argentino de Normalización</t>
        </is>
      </c>
      <c r="M63" s="17" t="inlineStr">
        <is>
          <t>-</t>
        </is>
      </c>
      <c r="N63" s="17" t="inlineStr">
        <is>
          <t>22 Etiquetado (T07)</t>
        </is>
      </c>
      <c r="O63" s="17" t="inlineStr">
        <is>
          <t>IRAM Anexo R (DC-PG-129)</t>
        </is>
      </c>
      <c r="P63" s="32" t="inlineStr">
        <is>
          <t>P</t>
        </is>
      </c>
      <c r="Q63" s="32" t="inlineStr">
        <is>
          <t>FL_DES_ABC_70kg</t>
        </is>
      </c>
      <c r="R63" s="17" t="inlineStr">
        <is>
          <t>numerada</t>
        </is>
      </c>
    </row>
    <row r="64" outlineLevel="1">
      <c r="A64" s="32" t="n">
        <v>2</v>
      </c>
      <c r="B64" s="32" t="inlineStr">
        <is>
          <t>ABC70-34</t>
        </is>
      </c>
      <c r="C64" s="17" t="inlineStr">
        <is>
          <t xml:space="preserve">        Tarjeta de identificación AGC (CABA)</t>
        </is>
      </c>
      <c r="D64" s="32" t="n">
        <v>1</v>
      </c>
      <c r="E64" s="32" t="inlineStr">
        <is>
          <t>u</t>
        </is>
      </c>
      <c r="F64" s="33" t="n">
        <v>0.0032</v>
      </c>
      <c r="G64" s="33">
        <f>D64*F64</f>
        <v/>
      </c>
      <c r="H64" s="32" t="inlineStr">
        <is>
          <t>Etiqueta autoadhesiva emitida por la AGC</t>
        </is>
      </c>
      <c r="I64" s="17" t="inlineStr">
        <is>
          <t>140 × 55</t>
        </is>
      </c>
      <c r="J64" s="32" t="inlineStr">
        <is>
          <t>Compra</t>
        </is>
      </c>
      <c r="K64" s="32" t="inlineStr">
        <is>
          <t>Sí</t>
        </is>
      </c>
      <c r="L64" s="17" t="inlineStr">
        <is>
          <t>Agencia Gubernamental de Control (CABA)</t>
        </is>
      </c>
      <c r="M64" s="17" t="inlineStr">
        <is>
          <t>-</t>
        </is>
      </c>
      <c r="N64" s="17" t="inlineStr">
        <is>
          <t>22 Etiquetado (T07)</t>
        </is>
      </c>
      <c r="O64" s="17" t="inlineStr">
        <is>
          <t>Ordenanza 40.473 art. 6 · Res. AGC 32/15</t>
        </is>
      </c>
      <c r="P64" s="32" t="inlineStr">
        <is>
          <t>P</t>
        </is>
      </c>
      <c r="Q64" s="32" t="inlineStr">
        <is>
          <t>FL_DES_ABC_70kg</t>
        </is>
      </c>
      <c r="R64" s="17" t="inlineStr">
        <is>
          <t>sólo destino CABA</t>
        </is>
      </c>
    </row>
    <row r="65" outlineLevel="1">
      <c r="A65" s="32" t="n">
        <v>2</v>
      </c>
      <c r="B65" s="32" t="inlineStr">
        <is>
          <t>ABC70-35</t>
        </is>
      </c>
      <c r="C65" s="17" t="inlineStr">
        <is>
          <t xml:space="preserve">        Etiqueta de n° de serie GS1</t>
        </is>
      </c>
      <c r="D65" s="32" t="n">
        <v>1</v>
      </c>
      <c r="E65" s="32" t="inlineStr">
        <is>
          <t>u</t>
        </is>
      </c>
      <c r="F65" s="33" t="n">
        <v>0.0005</v>
      </c>
      <c r="G65" s="33">
        <f>D65*F65</f>
        <v/>
      </c>
      <c r="H65" s="32" t="inlineStr">
        <is>
          <t>Poliéster autoadhesivo impreso térmico</t>
        </is>
      </c>
      <c r="I65" s="17" t="inlineStr">
        <is>
          <t>45 × 25</t>
        </is>
      </c>
      <c r="J65" s="32" t="inlineStr">
        <is>
          <t>Compra</t>
        </is>
      </c>
      <c r="K65" s="32" t="inlineStr">
        <is>
          <t>Sí</t>
        </is>
      </c>
      <c r="L65" s="17" t="inlineStr">
        <is>
          <t>Astuprint</t>
        </is>
      </c>
      <c r="M65" s="17" t="inlineStr">
        <is>
          <t>GS1 Argentina</t>
        </is>
      </c>
      <c r="N65" s="17" t="inlineStr">
        <is>
          <t>22 Etiquetado (T07)</t>
        </is>
      </c>
      <c r="O65" s="17" t="inlineStr">
        <is>
          <t>GS1 Argentina (GTIN 779) · trazabilidad IRAM 3523 5.1</t>
        </is>
      </c>
      <c r="P65" s="32" t="inlineStr">
        <is>
          <t>P</t>
        </is>
      </c>
      <c r="Q65" s="32" t="inlineStr">
        <is>
          <t>FL_DES_ABC_70kg</t>
        </is>
      </c>
      <c r="R65" s="17" t="inlineStr">
        <is>
          <t>QR GTIN + serie</t>
        </is>
      </c>
    </row>
    <row r="66" outlineLevel="1">
      <c r="A66" s="32" t="n">
        <v>2</v>
      </c>
      <c r="B66" s="32" t="inlineStr">
        <is>
          <t>ABC70-37</t>
        </is>
      </c>
      <c r="C66" s="17" t="inlineStr">
        <is>
          <t xml:space="preserve">        Faja de garantía válvula-cuello</t>
        </is>
      </c>
      <c r="D66" s="32" t="n">
        <v>1</v>
      </c>
      <c r="E66" s="32" t="inlineStr">
        <is>
          <t>u</t>
        </is>
      </c>
      <c r="F66" s="33" t="n">
        <v>0.0004</v>
      </c>
      <c r="G66" s="33">
        <f>D66*F66</f>
        <v/>
      </c>
      <c r="H66" s="32" t="inlineStr">
        <is>
          <t>Vinilo destructible rayado rojo/blanco</t>
        </is>
      </c>
      <c r="I66" s="17" t="inlineStr">
        <is>
          <t>30 × 47 (ancho × largo desarrollado), pegada sobre la unión: cuerpo de la válvula, tuerca y cuello</t>
        </is>
      </c>
      <c r="J66" s="32" t="inlineStr">
        <is>
          <t>Compra</t>
        </is>
      </c>
      <c r="K66" s="32" t="inlineStr">
        <is>
          <t>Sí</t>
        </is>
      </c>
      <c r="L66" s="17" t="inlineStr">
        <is>
          <t>Astuprint</t>
        </is>
      </c>
      <c r="M66" s="17" t="inlineStr">
        <is>
          <t>Multilabel Argentina S.A.</t>
        </is>
      </c>
      <c r="N66" s="17" t="inlineStr">
        <is>
          <t>22 Etiquetado (T07)</t>
        </is>
      </c>
      <c r="O66" s="17" t="inlineStr">
        <is>
          <t>Sin norma: práctica de mercado (garantía de fábrica)</t>
        </is>
      </c>
      <c r="P66" s="32" t="inlineStr">
        <is>
          <t>P</t>
        </is>
      </c>
      <c r="Q66" s="32" t="inlineStr">
        <is>
          <t>FL_DES_ABC_70kg</t>
        </is>
      </c>
      <c r="R66" s="17" t="inlineStr">
        <is>
          <t>nuevo sin abrir</t>
        </is>
      </c>
    </row>
    <row r="67" outlineLevel="1">
      <c r="A67" s="32" t="n">
        <v>2</v>
      </c>
      <c r="B67" s="32" t="inlineStr">
        <is>
          <t>ABC70-38</t>
        </is>
      </c>
      <c r="C67" s="17" t="inlineStr">
        <is>
          <t xml:space="preserve">        Precinto de fábrica</t>
        </is>
      </c>
      <c r="D67" s="32" t="n">
        <v>1</v>
      </c>
      <c r="E67" s="32" t="inlineStr">
        <is>
          <t>u</t>
        </is>
      </c>
      <c r="F67" s="33" t="n">
        <v>0.0002</v>
      </c>
      <c r="G67" s="33">
        <f>D67*F67</f>
        <v/>
      </c>
      <c r="H67" s="32" t="inlineStr">
        <is>
          <t>Polipropileno color</t>
        </is>
      </c>
      <c r="I67" s="17" t="inlineStr">
        <is>
          <t>Ø5 × 10, numerado, rotura 30-50 N</t>
        </is>
      </c>
      <c r="J67" s="32" t="inlineStr">
        <is>
          <t>Compra</t>
        </is>
      </c>
      <c r="K67" s="32" t="inlineStr">
        <is>
          <t>Sí</t>
        </is>
      </c>
      <c r="L67" s="17" t="inlineStr">
        <is>
          <t>SonFuertes (vía Papelera Damián)</t>
        </is>
      </c>
      <c r="M67" s="17" t="inlineStr">
        <is>
          <t>Precinter S.R.L.</t>
        </is>
      </c>
      <c r="N67" s="17" t="inlineStr">
        <is>
          <t>20 Presurización (T05)</t>
        </is>
      </c>
      <c r="O67" s="17" t="inlineStr">
        <is>
          <t>IRAM 3523 3.3.2 · IRAM 3517-2:2020 9.4.13</t>
        </is>
      </c>
      <c r="P67" s="32" t="inlineStr">
        <is>
          <t>P</t>
        </is>
      </c>
      <c r="Q67" s="32" t="inlineStr">
        <is>
          <t>FL_DES_ABC_70kg</t>
        </is>
      </c>
      <c r="R67" s="17" t="inlineStr">
        <is>
          <t>id. FLAMA y lote</t>
        </is>
      </c>
    </row>
    <row r="68">
      <c r="A68" s="29" t="n">
        <v>1</v>
      </c>
      <c r="B68" s="29" t="inlineStr">
        <is>
          <t>ABC70-S7</t>
        </is>
      </c>
      <c r="C68" s="30" t="inlineStr">
        <is>
          <t xml:space="preserve">    Embalaje</t>
        </is>
      </c>
      <c r="D68" s="29" t="n">
        <v>1</v>
      </c>
      <c r="E68" s="29" t="inlineStr">
        <is>
          <t>u</t>
        </is>
      </c>
      <c r="F68" s="31" t="n"/>
      <c r="G68" s="31">
        <f>G71</f>
        <v/>
      </c>
      <c r="H68" s="29" t="n"/>
      <c r="I68" s="30" t="n"/>
      <c r="J68" s="29" t="inlineStr">
        <is>
          <t>Compra</t>
        </is>
      </c>
      <c r="K68" s="29" t="n"/>
      <c r="L68" s="30" t="n"/>
      <c r="M68" s="30" t="n"/>
      <c r="N68" s="30" t="inlineStr">
        <is>
          <t>23 Embalaje -&gt; 24 envolvedora (T11)</t>
        </is>
      </c>
      <c r="O68" s="30" t="n"/>
      <c r="P68" s="29" t="n"/>
      <c r="Q68" s="29" t="n"/>
      <c r="R68" s="30" t="n"/>
    </row>
    <row r="69" outlineLevel="1">
      <c r="A69" s="32" t="n">
        <v>2</v>
      </c>
      <c r="B69" s="32" t="inlineStr">
        <is>
          <t>ABC70-E1</t>
        </is>
      </c>
      <c r="C69" s="17" t="inlineStr">
        <is>
          <t xml:space="preserve">        Esquineros y funda de polietileno</t>
        </is>
      </c>
      <c r="D69" s="32" t="n">
        <v>1</v>
      </c>
      <c r="E69" s="32" t="inlineStr">
        <is>
          <t>jgo</t>
        </is>
      </c>
      <c r="F69" s="33" t="n"/>
      <c r="G69" s="33" t="n"/>
      <c r="H69" s="32" t="inlineStr">
        <is>
          <t>PE / cartón</t>
        </is>
      </c>
      <c r="I69" s="17" t="inlineStr">
        <is>
          <t>a medida de la envolvente del plano</t>
        </is>
      </c>
      <c r="J69" s="32" t="inlineStr">
        <is>
          <t>Compra</t>
        </is>
      </c>
      <c r="K69" s="32" t="inlineStr">
        <is>
          <t>Sí</t>
        </is>
      </c>
      <c r="L69" s="17" t="inlineStr">
        <is>
          <t>MV Embalajes</t>
        </is>
      </c>
      <c r="M69" s="17" t="inlineStr">
        <is>
          <t>Embalpack</t>
        </is>
      </c>
      <c r="N69" s="17" t="inlineStr">
        <is>
          <t>23 Embalaje</t>
        </is>
      </c>
      <c r="O69" s="17" t="n"/>
      <c r="P69" s="32" t="inlineStr">
        <is>
          <t>P</t>
        </is>
      </c>
      <c r="Q69" s="32" t="n"/>
      <c r="R69" s="17" t="inlineStr">
        <is>
          <t>Medida del plano</t>
        </is>
      </c>
    </row>
    <row r="70" outlineLevel="1">
      <c r="A70" s="32" t="n">
        <v>2</v>
      </c>
      <c r="B70" s="32" t="inlineStr">
        <is>
          <t>ABC70-E3</t>
        </is>
      </c>
      <c r="C70" s="17" t="inlineStr">
        <is>
          <t xml:space="preserve">        Pallet 1200 × 1000 (fracción)</t>
        </is>
      </c>
      <c r="D70" s="32" t="n">
        <v>0.5</v>
      </c>
      <c r="E70" s="32" t="inlineStr">
        <is>
          <t>u</t>
        </is>
      </c>
      <c r="F70" s="33" t="n"/>
      <c r="G70" s="33" t="n"/>
      <c r="H70" s="32" t="inlineStr">
        <is>
          <t>Madera</t>
        </is>
      </c>
      <c r="I70" s="17" t="inlineStr">
        <is>
          <t>2 u por pallet</t>
        </is>
      </c>
      <c r="J70" s="32" t="inlineStr">
        <is>
          <t>Compra</t>
        </is>
      </c>
      <c r="K70" s="32" t="inlineStr">
        <is>
          <t>Sí</t>
        </is>
      </c>
      <c r="L70" s="17" t="inlineStr">
        <is>
          <t>IndusPallets</t>
        </is>
      </c>
      <c r="M70" s="17" t="inlineStr">
        <is>
          <t>-</t>
        </is>
      </c>
      <c r="N70" s="17" t="inlineStr">
        <is>
          <t>23 Embalaje</t>
        </is>
      </c>
      <c r="O70" s="17" t="n"/>
      <c r="P70" s="32" t="inlineStr">
        <is>
          <t>C</t>
        </is>
      </c>
      <c r="Q70" s="32" t="n"/>
      <c r="R70" s="17" t="inlineStr">
        <is>
          <t>u por pallet = acomodo de la caja (plano) en 1200 × 1000 × 1450 de alto</t>
        </is>
      </c>
    </row>
    <row r="71" outlineLevel="1">
      <c r="A71" s="37" t="n">
        <v>2</v>
      </c>
      <c r="B71" s="37" t="inlineStr">
        <is>
          <t>ABC70-E4</t>
        </is>
      </c>
      <c r="C71" s="18" t="inlineStr">
        <is>
          <t xml:space="preserve">        Film stretch (fracción del pallet)</t>
        </is>
      </c>
      <c r="D71" s="37" t="n">
        <v>0.06</v>
      </c>
      <c r="E71" s="37" t="inlineStr">
        <is>
          <t>kg</t>
        </is>
      </c>
      <c r="F71" s="38" t="n">
        <v>1</v>
      </c>
      <c r="G71" s="38">
        <f>D71*F71</f>
        <v/>
      </c>
      <c r="H71" s="37" t="inlineStr">
        <is>
          <t>PE lineal 23 µm</t>
        </is>
      </c>
      <c r="I71" s="18" t="inlineStr">
        <is>
          <t>0,12 kg por pallet / 2 u</t>
        </is>
      </c>
      <c r="J71" s="37" t="inlineStr">
        <is>
          <t>Compra</t>
        </is>
      </c>
      <c r="K71" s="37" t="inlineStr">
        <is>
          <t>Sí</t>
        </is>
      </c>
      <c r="L71" s="18" t="inlineStr">
        <is>
          <t>MV Embalajes</t>
        </is>
      </c>
      <c r="M71" s="18" t="inlineStr">
        <is>
          <t>Embalpack</t>
        </is>
      </c>
      <c r="N71" s="18" t="inlineStr">
        <is>
          <t>24 Envolvedora (T11)</t>
        </is>
      </c>
      <c r="O71" s="18" t="n"/>
      <c r="P71" s="37" t="inlineStr">
        <is>
          <t>C</t>
        </is>
      </c>
      <c r="Q71" s="37" t="n"/>
      <c r="R7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2" outlineLevel="1">
      <c r="A72" s="32" t="n">
        <v>2</v>
      </c>
      <c r="B72" s="32" t="inlineStr">
        <is>
          <t>ABC70-E5</t>
        </is>
      </c>
      <c r="C72" s="17" t="inlineStr">
        <is>
          <t xml:space="preserve">        Etiqueta de pallet (lote y destino, fracción)</t>
        </is>
      </c>
      <c r="D72" s="32" t="n">
        <v>0.5</v>
      </c>
      <c r="E72" s="32" t="inlineStr">
        <is>
          <t>u</t>
        </is>
      </c>
      <c r="F72" s="33" t="n"/>
      <c r="G72" s="33" t="n"/>
      <c r="H72" s="32" t="inlineStr">
        <is>
          <t>Papel térmico</t>
        </is>
      </c>
      <c r="I72" s="17" t="inlineStr">
        <is>
          <t>100 × 150</t>
        </is>
      </c>
      <c r="J72" s="32" t="inlineStr">
        <is>
          <t>Compra</t>
        </is>
      </c>
      <c r="K72" s="32" t="inlineStr">
        <is>
          <t>Sí</t>
        </is>
      </c>
      <c r="L72" s="17" t="inlineStr">
        <is>
          <t>Astuprint</t>
        </is>
      </c>
      <c r="M72" s="17" t="inlineStr">
        <is>
          <t>Multilabel Argentina S.A.</t>
        </is>
      </c>
      <c r="N72" s="17" t="inlineStr">
        <is>
          <t>24 Envolvedora</t>
        </is>
      </c>
      <c r="O72" s="17" t="n"/>
      <c r="P72" s="32" t="inlineStr">
        <is>
          <t>C</t>
        </is>
      </c>
      <c r="Q72" s="32" t="n"/>
      <c r="R72" s="17" t="n"/>
    </row>
  </sheetData>
  <autoFilter ref="A10:R72"/>
  <pageMargins left="0.75" right="0.75" top="1" bottom="1" header="0.5" footer="0.5"/>
  <pageSetup orientation="landscape" fitToHeight="0" fitToWidth="1"/>
</worksheet>
</file>

<file path=xl/worksheets/sheet32.xml><?xml version="1.0" encoding="utf-8"?>
<worksheet xmlns="http://schemas.openxmlformats.org/spreadsheetml/2006/main">
  <sheetPr>
    <tabColor rgb="007F1D1D"/>
    <outlinePr summaryBelow="0" summaryRight="1"/>
    <pageSetUpPr fitToPage="1"/>
  </sheetPr>
  <dimension ref="A1:R72"/>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FL_MAT_ABC_100kg</t>
        </is>
      </c>
    </row>
    <row r="2">
      <c r="A2" s="58" t="inlineStr">
        <is>
          <t>Extintor ABC 100 kg sobre ruedas</t>
        </is>
      </c>
    </row>
    <row r="3">
      <c r="A3" s="2" t="inlineStr">
        <is>
          <t>Plano de origen</t>
        </is>
      </c>
      <c r="C3" t="inlineStr">
        <is>
          <t>FL_MAT_ABC_100kg  (4 láminas)</t>
        </is>
      </c>
      <c r="E3" s="2" t="inlineStr">
        <is>
          <t>Peso vacío S1-S4 (kg)</t>
        </is>
      </c>
      <c r="G3" s="59">
        <f>G12+G22+G37+G43</f>
        <v/>
      </c>
    </row>
    <row r="4">
      <c r="A4" s="2" t="inlineStr">
        <is>
          <t>Plano de despiece</t>
        </is>
      </c>
      <c r="C4" t="inlineStr">
        <is>
          <t>FL_DES_ABC_100kg (salida/despiece/)</t>
        </is>
      </c>
      <c r="E4" s="2" t="inlineStr">
        <is>
          <t>Peso cargado S1-S6 (kg)</t>
        </is>
      </c>
      <c r="G4" s="59">
        <f>G12+G22+G37+G43+G57+G60</f>
        <v/>
      </c>
    </row>
    <row r="5">
      <c r="A5" s="2" t="inlineStr">
        <is>
          <t>Norma del producto</t>
        </is>
      </c>
      <c r="C5" t="inlineStr">
        <is>
          <t>IRAM 3550</t>
        </is>
      </c>
      <c r="E5" s="2" t="inlineStr">
        <is>
          <t>Peso con soporte y embalaje (kg)</t>
        </is>
      </c>
      <c r="G5" s="59">
        <f>G12+G22+G37+G43+G57+G60+G68</f>
        <v/>
      </c>
    </row>
    <row r="6">
      <c r="A6" s="2" t="inlineStr">
        <is>
          <t>Fabricación</t>
        </is>
      </c>
      <c r="C6" t="inlineStr">
        <is>
          <t>Fabricación propia</t>
        </is>
      </c>
      <c r="E6" s="2" t="inlineStr">
        <is>
          <t>Desvío cargado vs referencia</t>
        </is>
      </c>
      <c r="G6" s="24">
        <f>G4/C7-1</f>
        <v/>
      </c>
    </row>
    <row r="7">
      <c r="A7" s="2" t="inlineStr">
        <is>
          <t>Peso cargado de referencia (kg)</t>
        </is>
      </c>
      <c r="C7" t="n">
        <v>187.6</v>
      </c>
      <c r="E7" s="60" t="inlineStr">
        <is>
          <t>Referencia: Plano Fadesa «Extintor rodante 100 kg R1»</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FL_MAT_ABC_100kg</t>
        </is>
      </c>
      <c r="C11" s="27" t="inlineStr">
        <is>
          <t>Extintor ABC 100 kg sobre ruedas</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FL_MAT_ABC_100kg</t>
        </is>
      </c>
      <c r="R11" s="27" t="inlineStr">
        <is>
          <t>Fabricación propia</t>
        </is>
      </c>
    </row>
    <row r="12">
      <c r="A12" s="29" t="n">
        <v>1</v>
      </c>
      <c r="B12" s="29" t="inlineStr">
        <is>
          <t>FL_REC_ABC_100kg</t>
        </is>
      </c>
      <c r="C12" s="30" t="inlineStr">
        <is>
          <t xml:space="preserve">    Recipiente (cilindro)</t>
        </is>
      </c>
      <c r="D12" s="29" t="n">
        <v>1</v>
      </c>
      <c r="E12" s="29" t="inlineStr">
        <is>
          <t>u</t>
        </is>
      </c>
      <c r="F12" s="31" t="n"/>
      <c r="G12" s="31">
        <f>G13+G15+G16+G17+G18+G19</f>
        <v/>
      </c>
      <c r="H12" s="29" t="n"/>
      <c r="I12" s="30" t="n"/>
      <c r="J12" s="29" t="inlineStr">
        <is>
          <t>Fabricación</t>
        </is>
      </c>
      <c r="K12" s="29" t="n"/>
      <c r="L12" s="30" t="n"/>
      <c r="M12" s="30" t="n"/>
      <c r="N12" s="30" t="n"/>
      <c r="O12" s="30" t="inlineStr">
        <is>
          <t>IRAM 3523 / 3550 (recipiente)</t>
        </is>
      </c>
      <c r="P12" s="29" t="inlineStr">
        <is>
          <t>P</t>
        </is>
      </c>
      <c r="Q12" s="29" t="inlineStr">
        <is>
          <t>FL_REC_ABC_100kg</t>
        </is>
      </c>
      <c r="R12" s="30" t="n"/>
    </row>
    <row r="13" outlineLevel="1">
      <c r="A13" s="32" t="n">
        <v>2</v>
      </c>
      <c r="B13" s="32" t="inlineStr">
        <is>
          <t>ABC100-01</t>
        </is>
      </c>
      <c r="C13" s="17" t="inlineStr">
        <is>
          <t xml:space="preserve">        Cuerpo (virola)</t>
        </is>
      </c>
      <c r="D13" s="32" t="n">
        <v>1</v>
      </c>
      <c r="E13" s="32" t="inlineStr">
        <is>
          <t>u</t>
        </is>
      </c>
      <c r="F13" s="33" t="n">
        <v>40.6161</v>
      </c>
      <c r="G13" s="33">
        <f>D13*F13</f>
        <v/>
      </c>
      <c r="H13" s="32" t="inlineStr">
        <is>
          <t>Chapa LAC IRAM-IAS U 500-04 e=4,75</t>
        </is>
      </c>
      <c r="I13" s="17" t="inlineStr">
        <is>
          <t>Ø390 × e4,75 × 900 de alto; desarrollo 1.210,3 × 900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O13" s="17" t="n"/>
      <c r="P13" s="32" t="inlineStr">
        <is>
          <t>P</t>
        </is>
      </c>
      <c r="Q13" s="32" t="inlineStr">
        <is>
          <t>FL_DES_ABC_100kg</t>
        </is>
      </c>
      <c r="R13" s="17" t="inlineStr">
        <is>
          <t>costura long. MAG</t>
        </is>
      </c>
    </row>
    <row r="14" outlineLevel="2">
      <c r="A14" s="34" t="n">
        <v>3</v>
      </c>
      <c r="B14" s="34" t="inlineStr">
        <is>
          <t>MP-HOJA</t>
        </is>
      </c>
      <c r="C14" s="35" t="inlineStr">
        <is>
          <t xml:space="preserve">            Recorte de hoja LAC 1500 × 3000 e=4,75</t>
        </is>
      </c>
      <c r="D14" s="34" t="n">
        <v>1</v>
      </c>
      <c r="E14" s="34" t="inlineStr">
        <is>
          <t>u</t>
        </is>
      </c>
      <c r="F14" s="36" t="n">
        <v>51.355</v>
      </c>
      <c r="G14" s="36">
        <f>D14*F14</f>
        <v/>
      </c>
      <c r="H14" s="34" t="inlineStr">
        <is>
          <t>Chapa LAC IRAM-IAS U 500-04 LAC</t>
        </is>
      </c>
      <c r="I14" s="35" t="inlineStr">
        <is>
          <t>900 × 1.212 (aprovech. 79,2 %)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ABC100-02</t>
        </is>
      </c>
      <c r="C15" s="17" t="inlineStr">
        <is>
          <t xml:space="preserve">        Cúpula</t>
        </is>
      </c>
      <c r="D15" s="32" t="n">
        <v>1</v>
      </c>
      <c r="E15" s="32" t="inlineStr">
        <is>
          <t>u</t>
        </is>
      </c>
      <c r="F15" s="33" t="n">
        <v>7.1038</v>
      </c>
      <c r="G15" s="33">
        <f>D15*F15</f>
        <v/>
      </c>
      <c r="H15" s="32" t="inlineStr">
        <is>
          <t>Chapa LAC IRAM-IAS U 500-04 e=4,75</t>
        </is>
      </c>
      <c r="I15" s="17" t="inlineStr">
        <is>
          <t>Ø390 × e4,75 × 137,3 de alto; disco Ø507,3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 -&gt; 11 marcado (estampado en arco junto al cuello)</t>
        </is>
      </c>
      <c r="O15" s="17" t="n"/>
      <c r="P15" s="32" t="inlineStr">
        <is>
          <t>P</t>
        </is>
      </c>
      <c r="Q15" s="32" t="inlineStr">
        <is>
          <t>FL_DES_ABC_100kg</t>
        </is>
      </c>
      <c r="R15" s="17" t="inlineStr">
        <is>
          <t>embutida</t>
        </is>
      </c>
    </row>
    <row r="16" outlineLevel="1">
      <c r="A16" s="32" t="n">
        <v>2</v>
      </c>
      <c r="B16" s="32" t="inlineStr">
        <is>
          <t>ABC100-03</t>
        </is>
      </c>
      <c r="C16" s="17" t="inlineStr">
        <is>
          <t xml:space="preserve">        Fondo</t>
        </is>
      </c>
      <c r="D16" s="32" t="n">
        <v>1</v>
      </c>
      <c r="E16" s="32" t="inlineStr">
        <is>
          <t>u</t>
        </is>
      </c>
      <c r="F16" s="33" t="n">
        <v>7.4086</v>
      </c>
      <c r="G16" s="33">
        <f>D16*F16</f>
        <v/>
      </c>
      <c r="H16" s="32" t="inlineStr">
        <is>
          <t>Chapa LAC IRAM-IAS U 500-04 e=4,75</t>
        </is>
      </c>
      <c r="I16" s="17" t="inlineStr">
        <is>
          <t>Ø390 × e4,75 × 139,8 de alto; disco Ø518,1</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FL_DES_ABC_100kg</t>
        </is>
      </c>
      <c r="R16" s="17" t="inlineStr">
        <is>
          <t>embutido</t>
        </is>
      </c>
    </row>
    <row r="17" outlineLevel="1">
      <c r="A17" s="32" t="n">
        <v>2</v>
      </c>
      <c r="B17" s="32" t="inlineStr">
        <is>
          <t>ABC100-04</t>
        </is>
      </c>
      <c r="C17" s="17" t="inlineStr">
        <is>
          <t xml:space="preserve">        Cuello roscado</t>
        </is>
      </c>
      <c r="D17" s="32" t="n">
        <v>1</v>
      </c>
      <c r="E17" s="32" t="inlineStr">
        <is>
          <t>u</t>
        </is>
      </c>
      <c r="F17" s="33" t="n">
        <v>0.6198</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FL_DES_ABC_100kg</t>
        </is>
      </c>
      <c r="R17" s="17" t="inlineStr">
        <is>
          <t>RBSP 2 1/2"-11 h</t>
        </is>
      </c>
    </row>
    <row r="18" outlineLevel="1">
      <c r="A18" s="32" t="n">
        <v>2</v>
      </c>
      <c r="B18" s="32" t="inlineStr">
        <is>
          <t>ABC100-05</t>
        </is>
      </c>
      <c r="C18" s="17" t="inlineStr">
        <is>
          <t xml:space="preserve">        Placas de refuerzo (2)</t>
        </is>
      </c>
      <c r="D18" s="32" t="n">
        <v>1</v>
      </c>
      <c r="E18" s="32" t="inlineStr">
        <is>
          <t>u</t>
        </is>
      </c>
      <c r="F18" s="33" t="n">
        <v>1.5106</v>
      </c>
      <c r="G18" s="33">
        <f>D18*F18</f>
        <v/>
      </c>
      <c r="H18" s="32" t="inlineStr">
        <is>
          <t>Chapa LAC 4,75 curvada a Ø380</t>
        </is>
      </c>
      <c r="I18" s="17" t="inlineStr">
        <is>
          <t>2 × 200 × 100 × 4,75 curvadas a Ø380, a 100 mm de cada boca</t>
        </is>
      </c>
      <c r="J18" s="32" t="inlineStr">
        <is>
          <t>Fabricación</t>
        </is>
      </c>
      <c r="K18" s="32" t="inlineStr">
        <is>
          <t>No</t>
        </is>
      </c>
      <c r="L18" s="17" t="n"/>
      <c r="M18" s="17" t="n"/>
      <c r="N18" s="17" t="inlineStr">
        <is>
          <t>2 Tira de orilla 200 × 900 -&gt; 3 rolado a Ø380 -&gt; corte con amoladora -&gt; 4 punteo interior (4 esquinas)</t>
        </is>
      </c>
      <c r="O18" s="17" t="n"/>
      <c r="P18" s="32" t="inlineStr">
        <is>
          <t>P</t>
        </is>
      </c>
      <c r="Q18" s="32" t="inlineStr">
        <is>
          <t>FL_DES_ABC_100kg</t>
        </is>
      </c>
      <c r="R18" s="17" t="inlineStr">
        <is>
          <t>Proceso FLAMA de carros: por dentro sobre la costura longitudinal, una en cada extremo a 100 mm de la boca; salen de las orillas de 4,75 (sin compra)</t>
        </is>
      </c>
    </row>
    <row r="19" outlineLevel="1">
      <c r="A19" s="37" t="n">
        <v>2</v>
      </c>
      <c r="B19" s="37" t="inlineStr">
        <is>
          <t>ABC100-C1</t>
        </is>
      </c>
      <c r="C19" s="18" t="inlineStr">
        <is>
          <t xml:space="preserve">        Alambre MAG ER70S-6 Ø1,0 (AWS A5.18)</t>
        </is>
      </c>
      <c r="D19" s="37" t="n">
        <v>1.0956</v>
      </c>
      <c r="E19" s="37" t="inlineStr">
        <is>
          <t>kg</t>
        </is>
      </c>
      <c r="F19" s="38" t="n">
        <v>0.95</v>
      </c>
      <c r="G19" s="38">
        <f>D19*F19</f>
        <v/>
      </c>
      <c r="H19" s="37" t="inlineStr">
        <is>
          <t>ER70S-6</t>
        </is>
      </c>
      <c r="I19" s="18" t="inlineStr">
        <is>
          <t>metal depositado de los cordones del plano 1.041 g / rendimiento 0,95</t>
        </is>
      </c>
      <c r="J19" s="37" t="inlineStr">
        <is>
          <t>Compra</t>
        </is>
      </c>
      <c r="K19" s="37" t="inlineStr">
        <is>
          <t>Sí</t>
        </is>
      </c>
      <c r="L19" s="18" t="inlineStr">
        <is>
          <t>Conarco (ESAB Argentina)</t>
        </is>
      </c>
      <c r="M19" s="18" t="inlineStr">
        <is>
          <t>-</t>
        </is>
      </c>
      <c r="N19" s="18" t="inlineStr">
        <is>
          <t>5 sold. long. / 6 cupla / 7 circunferencial</t>
        </is>
      </c>
      <c r="O19" s="18" t="inlineStr">
        <is>
          <t>IRAM 3523 3.2.4.2 · IRAM 3550 4.1.2</t>
        </is>
      </c>
      <c r="P19" s="37" t="inlineStr">
        <is>
          <t>C</t>
        </is>
      </c>
      <c r="Q19" s="37" t="n"/>
      <c r="R1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0" outlineLevel="1">
      <c r="A20" s="37" t="n">
        <v>2</v>
      </c>
      <c r="B20" s="37" t="inlineStr">
        <is>
          <t>ABC100-C2</t>
        </is>
      </c>
      <c r="C20" s="18" t="inlineStr">
        <is>
          <t xml:space="preserve">        Gas de protección MAG Arcal 21 / ARCAL Speed (Ar + 8 % CO₂, M20)</t>
        </is>
      </c>
      <c r="D20" s="37" t="n">
        <v>84.59999999999999</v>
      </c>
      <c r="E20" s="37" t="inlineStr">
        <is>
          <t>L</t>
        </is>
      </c>
      <c r="F20" s="38" t="n"/>
      <c r="G20" s="38" t="n"/>
      <c r="H20" s="37" t="inlineStr">
        <is>
          <t>EN ISO 14175 M20-ArC-8</t>
        </is>
      </c>
      <c r="I20" s="18" t="inlineStr">
        <is>
          <t>14 L/min × 6,04 min de arco (cordones 3.627 mm: long. 900 + circ. 2.450 + cuello 276, a 600 mm/min)</t>
        </is>
      </c>
      <c r="J20" s="37" t="inlineStr">
        <is>
          <t>Compra</t>
        </is>
      </c>
      <c r="K20" s="37" t="inlineStr">
        <is>
          <t>Sí</t>
        </is>
      </c>
      <c r="L20" s="18" t="inlineStr">
        <is>
          <t>Air Liquide Argentina - sucursal Piñeyro</t>
        </is>
      </c>
      <c r="M20" s="18" t="inlineStr">
        <is>
          <t>Gogniat</t>
        </is>
      </c>
      <c r="N20" s="18" t="inlineStr">
        <is>
          <t>Colector SC</t>
        </is>
      </c>
      <c r="O20" s="18" t="inlineStr">
        <is>
          <t>IRAM 3523 3.2.4.2 · IRAM 3550 3.2.2.2</t>
        </is>
      </c>
      <c r="P20" s="37" t="inlineStr">
        <is>
          <t>C</t>
        </is>
      </c>
      <c r="Q20" s="37" t="n"/>
      <c r="R2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1" outlineLevel="1">
      <c r="A21" s="32" t="n">
        <v>2</v>
      </c>
      <c r="B21" s="32" t="inlineStr">
        <is>
          <t>ABC100-C4</t>
        </is>
      </c>
      <c r="C21" s="17" t="inlineStr">
        <is>
          <t xml:space="preserve">        Servicio de pintura en polvo al horno, rojo 03-1-050 (con preparación por quemado)</t>
        </is>
      </c>
      <c r="D21" s="32" t="n">
        <v>1</v>
      </c>
      <c r="E21" s="32" t="inlineStr">
        <is>
          <t>u</t>
        </is>
      </c>
      <c r="F21" s="33" t="n"/>
      <c r="G21" s="33" t="n"/>
      <c r="H21" s="32" t="inlineStr">
        <is>
          <t>Servicio tercerizado</t>
        </is>
      </c>
      <c r="I21" s="17" t="inlineStr">
        <is>
          <t>superficie exterior 1,478 m²</t>
        </is>
      </c>
      <c r="J21" s="32" t="inlineStr">
        <is>
          <t>Compra (servicio)</t>
        </is>
      </c>
      <c r="K21" s="32" t="inlineStr">
        <is>
          <t>Sí</t>
        </is>
      </c>
      <c r="L21" s="17" t="inlineStr">
        <is>
          <t>Pintor de carros (cotización por mensaje)</t>
        </is>
      </c>
      <c r="M21" s="17" t="inlineStr">
        <is>
          <t>Prymax</t>
        </is>
      </c>
      <c r="N21" s="17" t="inlineStr">
        <is>
          <t>17 Pintura tercerizada</t>
        </is>
      </c>
      <c r="O21" s="17" t="inlineStr">
        <is>
          <t>IRAM 3523 5.3 / IRAM 3550 3.11 · IRAM 121</t>
        </is>
      </c>
      <c r="P21" s="32" t="inlineStr">
        <is>
          <t>Q</t>
        </is>
      </c>
      <c r="Q21" s="32" t="n"/>
      <c r="R21" s="17" t="inlineStr">
        <is>
          <t>Q-CARROS (precio por carro); exigir informe de niebla salina del sistema de pintura; tercerización aceptada por el Ministerio (Res. 349/07 art. 18)</t>
        </is>
      </c>
    </row>
    <row r="22">
      <c r="A22" s="29" t="n">
        <v>1</v>
      </c>
      <c r="B22" s="29" t="inlineStr">
        <is>
          <t>ABC100-S2</t>
        </is>
      </c>
      <c r="C22" s="30" t="inlineStr">
        <is>
          <t xml:space="preserve">    Conjunto de válvula</t>
        </is>
      </c>
      <c r="D22" s="29" t="n">
        <v>1</v>
      </c>
      <c r="E22" s="29" t="inlineStr">
        <is>
          <t>u</t>
        </is>
      </c>
      <c r="F22" s="31" t="n"/>
      <c r="G22" s="31">
        <f>G23+G24+G25+G27+G28+G29+G30+G31+G32+G33</f>
        <v/>
      </c>
      <c r="H22" s="29" t="n"/>
      <c r="I22" s="30" t="n"/>
      <c r="J22" s="29" t="inlineStr">
        <is>
          <t>Compra / armado</t>
        </is>
      </c>
      <c r="K22" s="29" t="n"/>
      <c r="L22" s="30" t="n"/>
      <c r="M22" s="30" t="n"/>
      <c r="N22" s="30" t="n"/>
      <c r="O22" s="30" t="inlineStr">
        <is>
          <t>Manómetro IRAM 3533</t>
        </is>
      </c>
      <c r="P22" s="29" t="inlineStr">
        <is>
          <t>P</t>
        </is>
      </c>
      <c r="Q22" s="29" t="inlineStr">
        <is>
          <t>FL_DES_ABC_100kg</t>
        </is>
      </c>
      <c r="R22" s="30" t="n"/>
    </row>
    <row r="23" outlineLevel="1">
      <c r="A23" s="32" t="n">
        <v>2</v>
      </c>
      <c r="B23" s="32" t="inlineStr">
        <is>
          <t>ABC100-15</t>
        </is>
      </c>
      <c r="C23" s="17" t="inlineStr">
        <is>
          <t xml:space="preserve">        Espiga roscada</t>
        </is>
      </c>
      <c r="D23" s="32" t="n">
        <v>1</v>
      </c>
      <c r="E23" s="32" t="inlineStr">
        <is>
          <t>u</t>
        </is>
      </c>
      <c r="F23" s="33" t="n">
        <v>0.1296</v>
      </c>
      <c r="G23" s="33">
        <f>D23*F23</f>
        <v/>
      </c>
      <c r="H23" s="32" t="inlineStr">
        <is>
          <t>Latón forjado</t>
        </is>
      </c>
      <c r="I23" s="17" t="inlineStr">
        <is>
          <t>75 × 75 × 17,6</t>
        </is>
      </c>
      <c r="J23" s="32" t="inlineStr">
        <is>
          <t>Incluido en válvula HZ</t>
        </is>
      </c>
      <c r="K23" s="32" t="inlineStr">
        <is>
          <t>No</t>
        </is>
      </c>
      <c r="L23" s="17" t="n"/>
      <c r="M23" s="17" t="n"/>
      <c r="N23" s="17" t="inlineStr">
        <is>
          <t>13 carga de polvo y N₂: armado de válvula</t>
        </is>
      </c>
      <c r="O23" s="17" t="n"/>
      <c r="P23" s="32" t="inlineStr">
        <is>
          <t>P</t>
        </is>
      </c>
      <c r="Q23" s="32" t="inlineStr">
        <is>
          <t>FL_DES_ABC_100kg</t>
        </is>
      </c>
      <c r="R23" s="17" t="n"/>
    </row>
    <row r="24" outlineLevel="1">
      <c r="A24" s="32" t="n">
        <v>2</v>
      </c>
      <c r="B24" s="32" t="inlineStr">
        <is>
          <t>ABC100-16</t>
        </is>
      </c>
      <c r="C24" s="17" t="inlineStr">
        <is>
          <t xml:space="preserve">        Collarín de válvula</t>
        </is>
      </c>
      <c r="D24" s="32" t="n">
        <v>1</v>
      </c>
      <c r="E24" s="32" t="inlineStr">
        <is>
          <t>u</t>
        </is>
      </c>
      <c r="F24" s="33" t="n">
        <v>0.189</v>
      </c>
      <c r="G24" s="33">
        <f>D24*F24</f>
        <v/>
      </c>
      <c r="H24" s="32" t="inlineStr">
        <is>
          <t>Latón forjado</t>
        </is>
      </c>
      <c r="I24" s="17" t="inlineStr">
        <is>
          <t>83 × 83 × 12</t>
        </is>
      </c>
      <c r="J24" s="32" t="inlineStr">
        <is>
          <t>Incluido en válvula HZ</t>
        </is>
      </c>
      <c r="K24" s="32" t="inlineStr">
        <is>
          <t>No</t>
        </is>
      </c>
      <c r="L24" s="17" t="n"/>
      <c r="M24" s="17" t="n"/>
      <c r="N24" s="17" t="inlineStr">
        <is>
          <t>13 carga de polvo y N₂: armado de válvula</t>
        </is>
      </c>
      <c r="O24" s="17" t="n"/>
      <c r="P24" s="32" t="inlineStr">
        <is>
          <t>P</t>
        </is>
      </c>
      <c r="Q24" s="32" t="inlineStr">
        <is>
          <t>FL_DES_ABC_100kg</t>
        </is>
      </c>
      <c r="R24" s="17" t="n"/>
    </row>
    <row r="25" outlineLevel="1">
      <c r="A25" s="32" t="n">
        <v>2</v>
      </c>
      <c r="B25" s="32" t="inlineStr">
        <is>
          <t>ABC100-17</t>
        </is>
      </c>
      <c r="C25" s="17" t="inlineStr">
        <is>
          <t xml:space="preserve">        Cuerpo de válvula</t>
        </is>
      </c>
      <c r="D25" s="32" t="n">
        <v>1</v>
      </c>
      <c r="E25" s="32" t="inlineStr">
        <is>
          <t>u</t>
        </is>
      </c>
      <c r="F25" s="33" t="n">
        <v>0.9186</v>
      </c>
      <c r="G25" s="33">
        <f>D25*F25</f>
        <v/>
      </c>
      <c r="H25" s="32" t="inlineStr">
        <is>
          <t>Latón forjado</t>
        </is>
      </c>
      <c r="I25" s="17" t="inlineStr">
        <is>
          <t>68 × 67 × 44</t>
        </is>
      </c>
      <c r="J25" s="32" t="inlineStr">
        <is>
          <t>Incluido en válvula HZ</t>
        </is>
      </c>
      <c r="K25" s="32" t="inlineStr">
        <is>
          <t>No</t>
        </is>
      </c>
      <c r="L25" s="17" t="n"/>
      <c r="M25" s="17" t="n"/>
      <c r="N25" s="17" t="inlineStr">
        <is>
          <t>13 carga de polvo y N₂: armado de válvula</t>
        </is>
      </c>
      <c r="O25" s="17" t="n"/>
      <c r="P25" s="32" t="inlineStr">
        <is>
          <t>P</t>
        </is>
      </c>
      <c r="Q25" s="32" t="inlineStr">
        <is>
          <t>FL_DES_ABC_100kg</t>
        </is>
      </c>
      <c r="R25" s="17" t="n"/>
    </row>
    <row r="26" outlineLevel="1">
      <c r="A26" s="41" t="n">
        <v>2</v>
      </c>
      <c r="B26" s="41" t="inlineStr">
        <is>
          <t>ABC100-18</t>
        </is>
      </c>
      <c r="C26" s="42" t="inlineStr">
        <is>
          <t xml:space="preserve">        Manómetro</t>
        </is>
      </c>
      <c r="D26" s="41" t="n">
        <v>1</v>
      </c>
      <c r="E26" s="41" t="inlineStr">
        <is>
          <t>u</t>
        </is>
      </c>
      <c r="F26" s="43" t="n"/>
      <c r="G26" s="43" t="n"/>
      <c r="H26" s="41" t="inlineStr">
        <is>
          <t>Comercial</t>
        </is>
      </c>
      <c r="I26" s="42" t="inlineStr">
        <is>
          <t>Ø47 esfera, rango 0-3,5 MPa, sector verde en 1,4</t>
        </is>
      </c>
      <c r="J26" s="41" t="inlineStr">
        <is>
          <t>Compra</t>
        </is>
      </c>
      <c r="K26" s="41" t="inlineStr">
        <is>
          <t>Sí</t>
        </is>
      </c>
      <c r="L26" s="42" t="inlineStr">
        <is>
          <t>Yukon / MatafuegosYa S.R.L.</t>
        </is>
      </c>
      <c r="M26" s="42" t="inlineStr">
        <is>
          <t>Matafuegos Iglesias</t>
        </is>
      </c>
      <c r="N26" s="42" t="inlineStr">
        <is>
          <t>13 carga de polvo y N₂: armado de válvula</t>
        </is>
      </c>
      <c r="O26" s="42" t="inlineStr">
        <is>
          <t>IRAM 3533</t>
        </is>
      </c>
      <c r="P26" s="41" t="inlineStr">
        <is>
          <t>P</t>
        </is>
      </c>
      <c r="Q26" s="41" t="inlineStr">
        <is>
          <t>FL_DES_ABC_100kg</t>
        </is>
      </c>
      <c r="R26" s="42" t="inlineStr">
        <is>
          <t>Pieza comercial; sello IRAM 3533; peso: completar con la ficha del proveedor (no afecta el MRP)</t>
        </is>
      </c>
    </row>
    <row r="27" outlineLevel="1">
      <c r="A27" s="32" t="n">
        <v>2</v>
      </c>
      <c r="B27" s="32" t="inlineStr">
        <is>
          <t>ABC100-19</t>
        </is>
      </c>
      <c r="C27" s="17" t="inlineStr">
        <is>
          <t xml:space="preserve">        Vástago</t>
        </is>
      </c>
      <c r="D27" s="32" t="n">
        <v>1</v>
      </c>
      <c r="E27" s="32" t="inlineStr">
        <is>
          <t>u</t>
        </is>
      </c>
      <c r="F27" s="33" t="n">
        <v>0.0313</v>
      </c>
      <c r="G27" s="33">
        <f>D27*F27</f>
        <v/>
      </c>
      <c r="H27" s="32" t="inlineStr">
        <is>
          <t>Latón</t>
        </is>
      </c>
      <c r="I27" s="17" t="inlineStr">
        <is>
          <t>38,8 × 20 × 20</t>
        </is>
      </c>
      <c r="J27" s="32" t="inlineStr">
        <is>
          <t>Incluido en válvula HZ</t>
        </is>
      </c>
      <c r="K27" s="32" t="inlineStr">
        <is>
          <t>No</t>
        </is>
      </c>
      <c r="L27" s="17" t="n"/>
      <c r="M27" s="17" t="n"/>
      <c r="N27" s="17" t="inlineStr">
        <is>
          <t>13 carga de polvo y N₂: armado de válvula</t>
        </is>
      </c>
      <c r="O27" s="17" t="n"/>
      <c r="P27" s="32" t="inlineStr">
        <is>
          <t>P</t>
        </is>
      </c>
      <c r="Q27" s="32" t="inlineStr">
        <is>
          <t>FL_DES_ABC_100kg</t>
        </is>
      </c>
      <c r="R27" s="17" t="inlineStr">
        <is>
          <t>con junta tórica</t>
        </is>
      </c>
    </row>
    <row r="28" outlineLevel="1">
      <c r="A28" s="32" t="n">
        <v>2</v>
      </c>
      <c r="B28" s="32" t="inlineStr">
        <is>
          <t>ABC100-20</t>
        </is>
      </c>
      <c r="C28" s="17" t="inlineStr">
        <is>
          <t xml:space="preserve">        Resorte de válvula</t>
        </is>
      </c>
      <c r="D28" s="32" t="n">
        <v>1</v>
      </c>
      <c r="E28" s="32" t="inlineStr">
        <is>
          <t>u</t>
        </is>
      </c>
      <c r="F28" s="33" t="n">
        <v>0.0094</v>
      </c>
      <c r="G28" s="33">
        <f>D28*F28</f>
        <v/>
      </c>
      <c r="H28" s="32" t="inlineStr">
        <is>
          <t>Alambre acero inox. AISI 302</t>
        </is>
      </c>
      <c r="I28" s="17" t="inlineStr">
        <is>
          <t>35 × 27 × 27</t>
        </is>
      </c>
      <c r="J28" s="32" t="inlineStr">
        <is>
          <t>Incluido en válvula HZ</t>
        </is>
      </c>
      <c r="K28" s="32" t="inlineStr">
        <is>
          <t>No</t>
        </is>
      </c>
      <c r="L28" s="17" t="n"/>
      <c r="M28" s="17" t="n"/>
      <c r="N28" s="17" t="inlineStr">
        <is>
          <t>13 carga de polvo y N₂: armado de válvula</t>
        </is>
      </c>
      <c r="O28" s="17" t="n"/>
      <c r="P28" s="32" t="inlineStr">
        <is>
          <t>P</t>
        </is>
      </c>
      <c r="Q28" s="32" t="inlineStr">
        <is>
          <t>FL_DES_ABC_100kg</t>
        </is>
      </c>
      <c r="R28" s="17" t="inlineStr">
        <is>
          <t>cierre del vástago</t>
        </is>
      </c>
    </row>
    <row r="29" outlineLevel="1">
      <c r="A29" s="32" t="n">
        <v>2</v>
      </c>
      <c r="B29" s="32" t="inlineStr">
        <is>
          <t>ABC100-21</t>
        </is>
      </c>
      <c r="C29" s="17" t="inlineStr">
        <is>
          <t xml:space="preserve">        Palanca de accionamiento</t>
        </is>
      </c>
      <c r="D29" s="32" t="n">
        <v>1</v>
      </c>
      <c r="E29" s="32" t="inlineStr">
        <is>
          <t>u</t>
        </is>
      </c>
      <c r="F29" s="33" t="n">
        <v>0.313</v>
      </c>
      <c r="G29" s="33">
        <f>D29*F29</f>
        <v/>
      </c>
      <c r="H29" s="32" t="inlineStr">
        <is>
          <t>Planchuela acero SAE 1010 10 × 16 pintada</t>
        </is>
      </c>
      <c r="I29" s="17" t="inlineStr">
        <is>
          <t>168,8 × 44 × 40,9</t>
        </is>
      </c>
      <c r="J29" s="32" t="inlineStr">
        <is>
          <t>Incluido en válvula HZ</t>
        </is>
      </c>
      <c r="K29" s="32" t="inlineStr">
        <is>
          <t>No</t>
        </is>
      </c>
      <c r="L29" s="17" t="n"/>
      <c r="M29" s="17" t="n"/>
      <c r="N29" s="17" t="inlineStr">
        <is>
          <t>13 carga de polvo y N₂: armado de válvula</t>
        </is>
      </c>
      <c r="O29" s="17" t="n"/>
      <c r="P29" s="32" t="inlineStr">
        <is>
          <t>P</t>
        </is>
      </c>
      <c r="Q29" s="32" t="inlineStr">
        <is>
          <t>FL_DES_ABC_100kg</t>
        </is>
      </c>
      <c r="R29" s="17" t="n"/>
    </row>
    <row r="30" outlineLevel="1">
      <c r="A30" s="32" t="n">
        <v>2</v>
      </c>
      <c r="B30" s="32" t="inlineStr">
        <is>
          <t>ABC100-22</t>
        </is>
      </c>
      <c r="C30" s="17" t="inlineStr">
        <is>
          <t xml:space="preserve">        Eje de palanca</t>
        </is>
      </c>
      <c r="D30" s="32" t="n">
        <v>1</v>
      </c>
      <c r="E30" s="32" t="inlineStr">
        <is>
          <t>u</t>
        </is>
      </c>
      <c r="F30" s="33" t="n">
        <v>0.0187</v>
      </c>
      <c r="G30" s="33">
        <f>D30*F30</f>
        <v/>
      </c>
      <c r="H30" s="32" t="inlineStr">
        <is>
          <t>Acero inox. AISI 304</t>
        </is>
      </c>
      <c r="I30" s="17" t="inlineStr">
        <is>
          <t>47 × 8 × 8</t>
        </is>
      </c>
      <c r="J30" s="32" t="inlineStr">
        <is>
          <t>Incluido en válvula HZ</t>
        </is>
      </c>
      <c r="K30" s="32" t="inlineStr">
        <is>
          <t>No</t>
        </is>
      </c>
      <c r="L30" s="17" t="n"/>
      <c r="M30" s="17" t="n"/>
      <c r="N30" s="17" t="inlineStr">
        <is>
          <t>13 carga de polvo y N₂: armado de válvula</t>
        </is>
      </c>
      <c r="O30" s="17" t="n"/>
      <c r="P30" s="32" t="inlineStr">
        <is>
          <t>P</t>
        </is>
      </c>
      <c r="Q30" s="32" t="inlineStr">
        <is>
          <t>FL_DES_ABC_100kg</t>
        </is>
      </c>
      <c r="R30" s="17" t="n"/>
    </row>
    <row r="31" outlineLevel="1">
      <c r="A31" s="32" t="n">
        <v>2</v>
      </c>
      <c r="B31" s="32" t="inlineStr">
        <is>
          <t>ABC100-23</t>
        </is>
      </c>
      <c r="C31" s="17" t="inlineStr">
        <is>
          <t xml:space="preserve">        Pasador de seguridad</t>
        </is>
      </c>
      <c r="D31" s="32" t="n">
        <v>1</v>
      </c>
      <c r="E31" s="32" t="inlineStr">
        <is>
          <t>u</t>
        </is>
      </c>
      <c r="F31" s="33" t="n">
        <v>0.0061</v>
      </c>
      <c r="G31" s="33">
        <f>D31*F31</f>
        <v/>
      </c>
      <c r="H31" s="32" t="inlineStr">
        <is>
          <t>Alambre acero inox. AISI 304</t>
        </is>
      </c>
      <c r="I31" s="17" t="inlineStr">
        <is>
          <t>54,4 × 21 × 20,8</t>
        </is>
      </c>
      <c r="J31" s="32" t="inlineStr">
        <is>
          <t>Incluido en válvula HZ</t>
        </is>
      </c>
      <c r="K31" s="32" t="inlineStr">
        <is>
          <t>No</t>
        </is>
      </c>
      <c r="L31" s="17" t="n"/>
      <c r="M31" s="17" t="n"/>
      <c r="N31" s="17" t="inlineStr">
        <is>
          <t>13 carga de polvo y N₂: armado de válvula</t>
        </is>
      </c>
      <c r="O31" s="17" t="n"/>
      <c r="P31" s="32" t="inlineStr">
        <is>
          <t>P</t>
        </is>
      </c>
      <c r="Q31" s="32" t="inlineStr">
        <is>
          <t>FL_DES_ABC_100kg</t>
        </is>
      </c>
      <c r="R31" s="17" t="inlineStr">
        <is>
          <t>con precinto</t>
        </is>
      </c>
    </row>
    <row r="32" outlineLevel="1">
      <c r="A32" s="32" t="n">
        <v>2</v>
      </c>
      <c r="B32" s="32" t="inlineStr">
        <is>
          <t>ABC100-24</t>
        </is>
      </c>
      <c r="C32" s="17" t="inlineStr">
        <is>
          <t xml:space="preserve">        Caño de pesca (sifón)</t>
        </is>
      </c>
      <c r="D32" s="32" t="n">
        <v>1</v>
      </c>
      <c r="E32" s="32" t="inlineStr">
        <is>
          <t>u</t>
        </is>
      </c>
      <c r="F32" s="33" t="n">
        <v>0.2705</v>
      </c>
      <c r="G32" s="33">
        <f>D32*F32</f>
        <v/>
      </c>
      <c r="H32" s="32" t="inlineStr">
        <is>
          <t>Tubo PVC rígido</t>
        </is>
      </c>
      <c r="I32" s="17" t="inlineStr">
        <is>
          <t>Ø24 × 1.144,3 de largo</t>
        </is>
      </c>
      <c r="J32" s="32" t="inlineStr">
        <is>
          <t>Incluido en válvula HZ</t>
        </is>
      </c>
      <c r="K32" s="32" t="inlineStr">
        <is>
          <t>No</t>
        </is>
      </c>
      <c r="L32" s="17" t="n"/>
      <c r="M32" s="17" t="n"/>
      <c r="N32" s="17" t="inlineStr">
        <is>
          <t>13 carga de polvo y N₂: armado de válvula</t>
        </is>
      </c>
      <c r="O32" s="17" t="n"/>
      <c r="P32" s="32" t="inlineStr">
        <is>
          <t>P</t>
        </is>
      </c>
      <c r="Q32" s="32" t="inlineStr">
        <is>
          <t>FL_DES_ABC_100kg</t>
        </is>
      </c>
      <c r="R32" s="17" t="n"/>
    </row>
    <row r="33" outlineLevel="1">
      <c r="A33" s="32" t="n">
        <v>2</v>
      </c>
      <c r="B33" s="32" t="inlineStr">
        <is>
          <t>ABC100-36</t>
        </is>
      </c>
      <c r="C33" s="17" t="inlineStr">
        <is>
          <t xml:space="preserve">        Junta tórica de asiento</t>
        </is>
      </c>
      <c r="D33" s="32" t="n">
        <v>1</v>
      </c>
      <c r="E33" s="32" t="inlineStr">
        <is>
          <t>u</t>
        </is>
      </c>
      <c r="F33" s="33" t="n">
        <v>0.0025</v>
      </c>
      <c r="G33" s="33">
        <f>D33*F33</f>
        <v/>
      </c>
      <c r="H33" s="32" t="inlineStr">
        <is>
          <t>NBR 70 Shore A</t>
        </is>
      </c>
      <c r="I33" s="17" t="inlineStr">
        <is>
          <t>Ø78 ext. × cordón 3</t>
        </is>
      </c>
      <c r="J33" s="32" t="inlineStr">
        <is>
          <t>Compra</t>
        </is>
      </c>
      <c r="K33" s="32" t="inlineStr">
        <is>
          <t>Sí</t>
        </is>
      </c>
      <c r="L33" s="17" t="inlineStr">
        <is>
          <t>Argensold</t>
        </is>
      </c>
      <c r="M33" s="17" t="inlineStr">
        <is>
          <t>Matafuegos Iglesias</t>
        </is>
      </c>
      <c r="N33" s="17" t="inlineStr">
        <is>
          <t>13 carga de polvo y N₂: armado de válvula</t>
        </is>
      </c>
      <c r="O33" s="17" t="n"/>
      <c r="P33" s="32" t="inlineStr">
        <is>
          <t>P</t>
        </is>
      </c>
      <c r="Q33" s="32" t="inlineStr">
        <is>
          <t>FL_DES_ABC_100kg</t>
        </is>
      </c>
      <c r="R33" s="17" t="inlineStr">
        <is>
          <t>cambio c/recarga</t>
        </is>
      </c>
    </row>
    <row r="34" outlineLevel="1">
      <c r="A34" s="32" t="n">
        <v>2</v>
      </c>
      <c r="B34" s="32" t="inlineStr">
        <is>
          <t>ABC100-K2</t>
        </is>
      </c>
      <c r="C34" s="17" t="inlineStr">
        <is>
          <t xml:space="preserve">        Válvula HZ armada de carro 50-70-100 kg</t>
        </is>
      </c>
      <c r="D34" s="32" t="n">
        <v>1</v>
      </c>
      <c r="E34" s="32" t="inlineStr">
        <is>
          <t>u</t>
        </is>
      </c>
      <c r="F34" s="33" t="n"/>
      <c r="G34" s="33" t="n"/>
      <c r="H34" s="32" t="inlineStr">
        <is>
          <t>Latón forjado (HZ)</t>
        </is>
      </c>
      <c r="I34" s="17" t="inlineStr">
        <is>
          <t>rosca RBSP 2 1/2"-11 h</t>
        </is>
      </c>
      <c r="J34" s="32" t="inlineStr">
        <is>
          <t>Compra</t>
        </is>
      </c>
      <c r="K34" s="32" t="inlineStr">
        <is>
          <t>Sí</t>
        </is>
      </c>
      <c r="L34" s="17" t="inlineStr">
        <is>
          <t>Polvex S.R.L. / Sancibrao</t>
        </is>
      </c>
      <c r="M34" s="17" t="inlineStr">
        <is>
          <t>Mozart S.R.L.</t>
        </is>
      </c>
      <c r="N34" s="17" t="inlineStr">
        <is>
          <t>19 Ensamblaje de válvula</t>
        </is>
      </c>
      <c r="O34" s="17" t="inlineStr">
        <is>
          <t>IRAM 3523 3.3</t>
        </is>
      </c>
      <c r="P34" s="32" t="inlineStr">
        <is>
          <t>Q</t>
        </is>
      </c>
      <c r="Q34" s="32" t="inlineStr">
        <is>
          <t>FL_DES_ABC_100kg</t>
        </is>
      </c>
      <c r="R34" s="17" t="inlineStr">
        <is>
          <t>Lista de precios HZ (Q-AGENTES); plano Fadesa usa válvula HZ (R-FADESA). Trae las piezas marcadas «Incluido en válvula HZ»</t>
        </is>
      </c>
    </row>
    <row r="35" outlineLevel="1">
      <c r="A35" s="32" t="n">
        <v>2</v>
      </c>
      <c r="B35" s="32" t="inlineStr">
        <is>
          <t>ABC100-V2</t>
        </is>
      </c>
      <c r="C35" s="17" t="inlineStr">
        <is>
          <t xml:space="preserve">        Resorte de retorno del vástago</t>
        </is>
      </c>
      <c r="D35" s="32" t="n">
        <v>1</v>
      </c>
      <c r="E35" s="32" t="inlineStr">
        <is>
          <t>u</t>
        </is>
      </c>
      <c r="F35" s="33" t="n"/>
      <c r="G35" s="33" t="n"/>
      <c r="H35" s="32" t="inlineStr">
        <is>
          <t>Acero para resortes</t>
        </is>
      </c>
      <c r="I35" s="17" t="inlineStr">
        <is>
          <t>incluido en la válvula</t>
        </is>
      </c>
      <c r="J35" s="32" t="inlineStr">
        <is>
          <t>Incluido en válvula HZ</t>
        </is>
      </c>
      <c r="K35" s="32" t="inlineStr">
        <is>
          <t>No</t>
        </is>
      </c>
      <c r="L35" s="17" t="n"/>
      <c r="M35" s="17" t="n"/>
      <c r="N35" s="17" t="inlineStr">
        <is>
          <t>19 Ensamblaje</t>
        </is>
      </c>
      <c r="O35" s="17" t="n"/>
      <c r="P35" s="32" t="inlineStr">
        <is>
          <t>Q</t>
        </is>
      </c>
      <c r="Q35" s="32" t="n"/>
      <c r="R35" s="17" t="inlineStr">
        <is>
          <t>Lista de precios HZ: válvula «c/resorte» (Q-AGENTES)</t>
        </is>
      </c>
    </row>
    <row r="36" outlineLevel="1">
      <c r="A36" s="32" t="n">
        <v>2</v>
      </c>
      <c r="B36" s="32" t="inlineStr">
        <is>
          <t>ABC100-V3</t>
        </is>
      </c>
      <c r="C36" s="17" t="inlineStr">
        <is>
          <t xml:space="preserve">        Junta tórica del vástago</t>
        </is>
      </c>
      <c r="D36" s="32" t="n">
        <v>1</v>
      </c>
      <c r="E36" s="32" t="inlineStr">
        <is>
          <t>u</t>
        </is>
      </c>
      <c r="F36" s="33" t="n"/>
      <c r="G36" s="33" t="n"/>
      <c r="H36" s="32" t="inlineStr">
        <is>
          <t>NBR 70 Shore A</t>
        </is>
      </c>
      <c r="I36" s="17" t="inlineStr">
        <is>
          <t>incluida en la válvula</t>
        </is>
      </c>
      <c r="J36" s="32" t="inlineStr">
        <is>
          <t>Incluido en válvula HZ</t>
        </is>
      </c>
      <c r="K36" s="32" t="inlineStr">
        <is>
          <t>No</t>
        </is>
      </c>
      <c r="L36" s="17" t="n"/>
      <c r="M36" s="17" t="n"/>
      <c r="N36" s="17" t="inlineStr">
        <is>
          <t>19 Ensamblaje</t>
        </is>
      </c>
      <c r="O36" s="17" t="n"/>
      <c r="P36" s="32" t="inlineStr">
        <is>
          <t>P</t>
        </is>
      </c>
      <c r="Q36" s="32" t="n"/>
      <c r="R36" s="17" t="inlineStr">
        <is>
          <t>Figura en el plano como «vástago con junta tórica»</t>
        </is>
      </c>
    </row>
    <row r="37">
      <c r="A37" s="29" t="n">
        <v>1</v>
      </c>
      <c r="B37" s="29" t="inlineStr">
        <is>
          <t>ABC100-S3</t>
        </is>
      </c>
      <c r="C37" s="30" t="inlineStr">
        <is>
          <t xml:space="preserve">    Dispositivo de descarga</t>
        </is>
      </c>
      <c r="D37" s="29" t="n">
        <v>1</v>
      </c>
      <c r="E37" s="29" t="inlineStr">
        <is>
          <t>u</t>
        </is>
      </c>
      <c r="F37" s="31" t="n"/>
      <c r="G37" s="31">
        <f>G38+G39+G40+G41+G42</f>
        <v/>
      </c>
      <c r="H37" s="29" t="n"/>
      <c r="I37" s="30" t="n"/>
      <c r="J37" s="29" t="inlineStr">
        <is>
          <t>Compra / armado</t>
        </is>
      </c>
      <c r="K37" s="29" t="n"/>
      <c r="L37" s="30" t="n"/>
      <c r="M37" s="30" t="n"/>
      <c r="N37" s="30" t="n"/>
      <c r="O37" s="30" t="n"/>
      <c r="P37" s="29" t="inlineStr">
        <is>
          <t>P</t>
        </is>
      </c>
      <c r="Q37" s="29" t="inlineStr">
        <is>
          <t>FL_DES_ABC_100kg</t>
        </is>
      </c>
      <c r="R37" s="30" t="n"/>
    </row>
    <row r="38" outlineLevel="1">
      <c r="A38" s="32" t="n">
        <v>2</v>
      </c>
      <c r="B38" s="32" t="inlineStr">
        <is>
          <t>ABC100-25</t>
        </is>
      </c>
      <c r="C38" s="17" t="inlineStr">
        <is>
          <t xml:space="preserve">        Racor de manguera</t>
        </is>
      </c>
      <c r="D38" s="32" t="n">
        <v>1</v>
      </c>
      <c r="E38" s="32" t="inlineStr">
        <is>
          <t>u</t>
        </is>
      </c>
      <c r="F38" s="33" t="n">
        <v>0.0612</v>
      </c>
      <c r="G38" s="33">
        <f>D38*F38</f>
        <v/>
      </c>
      <c r="H38" s="32" t="inlineStr">
        <is>
          <t>Latón</t>
        </is>
      </c>
      <c r="I38" s="17" t="inlineStr">
        <is>
          <t>24 × 24 × 16</t>
        </is>
      </c>
      <c r="J38" s="32" t="inlineStr">
        <is>
          <t>Compra</t>
        </is>
      </c>
      <c r="K38" s="32" t="inlineStr">
        <is>
          <t>Sí</t>
        </is>
      </c>
      <c r="L38" s="17" t="inlineStr">
        <is>
          <t>Yukon / MatafuegosYa S.R.L.</t>
        </is>
      </c>
      <c r="M38" s="17" t="inlineStr">
        <is>
          <t>Matafuegos Iglesias</t>
        </is>
      </c>
      <c r="N38" s="17" t="inlineStr">
        <is>
          <t>Después de 12 pintura: manguera, válvula esférica y tobera</t>
        </is>
      </c>
      <c r="O38" s="17" t="n"/>
      <c r="P38" s="32" t="inlineStr">
        <is>
          <t>P</t>
        </is>
      </c>
      <c r="Q38" s="32" t="inlineStr">
        <is>
          <t>FL_DES_ABC_100kg</t>
        </is>
      </c>
      <c r="R38" s="17" t="n"/>
    </row>
    <row r="39" outlineLevel="1">
      <c r="A39" s="32" t="n">
        <v>2</v>
      </c>
      <c r="B39" s="32" t="inlineStr">
        <is>
          <t>ABC100-26</t>
        </is>
      </c>
      <c r="C39" s="17" t="inlineStr">
        <is>
          <t xml:space="preserve">        Manguera (tramo enrollado)</t>
        </is>
      </c>
      <c r="D39" s="32" t="n">
        <v>1</v>
      </c>
      <c r="E39" s="32" t="inlineStr">
        <is>
          <t>u</t>
        </is>
      </c>
      <c r="F39" s="33" t="n">
        <v>3.6666</v>
      </c>
      <c r="G39" s="33">
        <f>D39*F39</f>
        <v/>
      </c>
      <c r="H39" s="32" t="inlineStr">
        <is>
          <t>Caucho sintético</t>
        </is>
      </c>
      <c r="I39" s="17" t="inlineStr">
        <is>
          <t>Ø23,5 × 11.007 de largo desarrollado: lazo vertical de 4 vueltas alrededor de los flejes, por afuera de las patas y detrás de las orejas</t>
        </is>
      </c>
      <c r="J39" s="32" t="inlineStr">
        <is>
          <t>Compra</t>
        </is>
      </c>
      <c r="K39" s="32" t="inlineStr">
        <is>
          <t>Sí</t>
        </is>
      </c>
      <c r="L39" s="17" t="inlineStr">
        <is>
          <t>Yukon / MatafuegosYa S.R.L.</t>
        </is>
      </c>
      <c r="M39" s="17" t="inlineStr">
        <is>
          <t>Matafuegos Iglesias</t>
        </is>
      </c>
      <c r="N39" s="17" t="inlineStr">
        <is>
          <t>Después de 12 pintura: manguera, válvula esférica y tobera</t>
        </is>
      </c>
      <c r="O39" s="17" t="n"/>
      <c r="P39" s="32" t="inlineStr">
        <is>
          <t>P</t>
        </is>
      </c>
      <c r="Q39" s="32" t="inlineStr">
        <is>
          <t>FL_DES_ABC_100kg</t>
        </is>
      </c>
      <c r="R39" s="17" t="n"/>
    </row>
    <row r="40" outlineLevel="1">
      <c r="A40" s="32" t="n">
        <v>2</v>
      </c>
      <c r="B40" s="32" t="inlineStr">
        <is>
          <t>ABC100-27</t>
        </is>
      </c>
      <c r="C40" s="17" t="inlineStr">
        <is>
          <t xml:space="preserve">        Manguera</t>
        </is>
      </c>
      <c r="D40" s="32" t="n">
        <v>1</v>
      </c>
      <c r="E40" s="32" t="inlineStr">
        <is>
          <t>u</t>
        </is>
      </c>
      <c r="F40" s="33" t="n">
        <v>0.3438</v>
      </c>
      <c r="G40" s="33">
        <f>D40*F40</f>
        <v/>
      </c>
      <c r="H40" s="32" t="inlineStr">
        <is>
          <t>Caucho sintético</t>
        </is>
      </c>
      <c r="I40" s="17" t="inlineStr">
        <is>
          <t>Ø23,5 × 1.032 de largo desarrollado</t>
        </is>
      </c>
      <c r="J40" s="32" t="inlineStr">
        <is>
          <t>Compra</t>
        </is>
      </c>
      <c r="K40" s="32" t="inlineStr">
        <is>
          <t>Sí</t>
        </is>
      </c>
      <c r="L40" s="17" t="inlineStr">
        <is>
          <t>Yukon / MatafuegosYa S.R.L.</t>
        </is>
      </c>
      <c r="M40" s="17" t="inlineStr">
        <is>
          <t>Matafuegos Iglesias</t>
        </is>
      </c>
      <c r="N40" s="17" t="inlineStr">
        <is>
          <t>Después de 12 pintura: manguera, válvula esférica y tobera</t>
        </is>
      </c>
      <c r="O40" s="17" t="n"/>
      <c r="P40" s="32" t="inlineStr">
        <is>
          <t>P</t>
        </is>
      </c>
      <c r="Q40" s="32" t="inlineStr">
        <is>
          <t>FL_DES_ABC_100kg</t>
        </is>
      </c>
      <c r="R40" s="17" t="n"/>
    </row>
    <row r="41" outlineLevel="1">
      <c r="A41" s="32" t="n">
        <v>2</v>
      </c>
      <c r="B41" s="32" t="inlineStr">
        <is>
          <t>ABC100-29</t>
        </is>
      </c>
      <c r="C41" s="17" t="inlineStr">
        <is>
          <t xml:space="preserve">        Válvula esférica</t>
        </is>
      </c>
      <c r="D41" s="32" t="n">
        <v>1</v>
      </c>
      <c r="E41" s="32" t="inlineStr">
        <is>
          <t>u</t>
        </is>
      </c>
      <c r="F41" s="33" t="n">
        <v>0.3502</v>
      </c>
      <c r="G41" s="33">
        <f>D41*F41</f>
        <v/>
      </c>
      <c r="H41" s="32" t="inlineStr">
        <is>
          <t>Latón cromado</t>
        </is>
      </c>
      <c r="I41" s="17" t="inlineStr">
        <is>
          <t>cuerpo Ø40 × 56 con hexágonos 46, paso total, rosca a la manga y a la tobera; palanca 105 con empuñadura (cerrada: atravesada al caño)</t>
        </is>
      </c>
      <c r="J41" s="32" t="inlineStr">
        <is>
          <t>Compra</t>
        </is>
      </c>
      <c r="K41" s="32" t="inlineStr">
        <is>
          <t>Sí</t>
        </is>
      </c>
      <c r="L41" s="17" t="inlineStr">
        <is>
          <t>Yukon / MatafuegosYa S.R.L.</t>
        </is>
      </c>
      <c r="M41" s="17" t="inlineStr">
        <is>
          <t>Matafuegos Iglesias</t>
        </is>
      </c>
      <c r="N41" s="17" t="inlineStr">
        <is>
          <t>Después de 12 pintura: manguera, válvula esférica y tobera</t>
        </is>
      </c>
      <c r="O41" s="17" t="n"/>
      <c r="P41" s="32" t="inlineStr">
        <is>
          <t>P</t>
        </is>
      </c>
      <c r="Q41" s="32" t="inlineStr">
        <is>
          <t>FL_DES_ABC_100kg</t>
        </is>
      </c>
      <c r="R41" s="17" t="n"/>
    </row>
    <row r="42" outlineLevel="1">
      <c r="A42" s="32" t="n">
        <v>2</v>
      </c>
      <c r="B42" s="32" t="inlineStr">
        <is>
          <t>ABC100-30</t>
        </is>
      </c>
      <c r="C42" s="17" t="inlineStr">
        <is>
          <t xml:space="preserve">        Tobera campana</t>
        </is>
      </c>
      <c r="D42" s="32" t="n">
        <v>1</v>
      </c>
      <c r="E42" s="32" t="inlineStr">
        <is>
          <t>u</t>
        </is>
      </c>
      <c r="F42" s="33" t="n">
        <v>0.07969999999999999</v>
      </c>
      <c r="G42" s="33">
        <f>D42*F42</f>
        <v/>
      </c>
      <c r="H42" s="32" t="inlineStr">
        <is>
          <t>Polipropileno</t>
        </is>
      </c>
      <c r="I42" s="17" t="inlineStr">
        <is>
          <t>205,9 × 106,3 × 68</t>
        </is>
      </c>
      <c r="J42" s="32" t="inlineStr">
        <is>
          <t>Compra</t>
        </is>
      </c>
      <c r="K42" s="32" t="inlineStr">
        <is>
          <t>Sí</t>
        </is>
      </c>
      <c r="L42" s="17" t="inlineStr">
        <is>
          <t>Yukon / MatafuegosYa S.R.L.</t>
        </is>
      </c>
      <c r="M42" s="17" t="inlineStr">
        <is>
          <t>Matafuegos Iglesias</t>
        </is>
      </c>
      <c r="N42" s="17" t="inlineStr">
        <is>
          <t>Después de 12 pintura: manguera, válvula esférica y tobera</t>
        </is>
      </c>
      <c r="O42" s="17" t="n"/>
      <c r="P42" s="32" t="inlineStr">
        <is>
          <t>P</t>
        </is>
      </c>
      <c r="Q42" s="32" t="inlineStr">
        <is>
          <t>FL_DES_ABC_100kg</t>
        </is>
      </c>
      <c r="R42" s="17" t="n"/>
    </row>
    <row r="43">
      <c r="A43" s="29" t="n">
        <v>1</v>
      </c>
      <c r="B43" s="29" t="inlineStr">
        <is>
          <t>ABC100-S4</t>
        </is>
      </c>
      <c r="C43" s="30" t="inlineStr">
        <is>
          <t xml:space="preserve">    Carro (tren rodante soldado y ruedas)</t>
        </is>
      </c>
      <c r="D43" s="29" t="n">
        <v>1</v>
      </c>
      <c r="E43" s="29" t="inlineStr">
        <is>
          <t>u</t>
        </is>
      </c>
      <c r="F43" s="31" t="n"/>
      <c r="G43" s="31">
        <f>G44+G45+G46+G48+G49+G50+G52+G53+G54+G56</f>
        <v/>
      </c>
      <c r="H43" s="29" t="n"/>
      <c r="I43" s="30" t="n"/>
      <c r="J43" s="29" t="inlineStr">
        <is>
          <t>Fabricación</t>
        </is>
      </c>
      <c r="K43" s="29" t="n"/>
      <c r="L43" s="30" t="n"/>
      <c r="M43" s="30" t="n"/>
      <c r="N43" s="30" t="n"/>
      <c r="O43" s="30" t="inlineStr">
        <is>
          <t>IRAM 3550 3.12 y 4.8 (ruedas ≥ Ø300 × 50)</t>
        </is>
      </c>
      <c r="P43" s="29" t="inlineStr">
        <is>
          <t>P</t>
        </is>
      </c>
      <c r="Q43" s="29" t="inlineStr">
        <is>
          <t>FL_DES_ABC_100kg</t>
        </is>
      </c>
      <c r="R43" s="30" t="n"/>
    </row>
    <row r="44" outlineLevel="1">
      <c r="A44" s="32" t="n">
        <v>2</v>
      </c>
      <c r="B44" s="32" t="inlineStr">
        <is>
          <t>ABC100-06</t>
        </is>
      </c>
      <c r="C44" s="17" t="inlineStr">
        <is>
          <t xml:space="preserve">        Pata delantera</t>
        </is>
      </c>
      <c r="D44" s="32" t="n">
        <v>1</v>
      </c>
      <c r="E44" s="32" t="inlineStr">
        <is>
          <t>u</t>
        </is>
      </c>
      <c r="F44" s="33" t="n">
        <v>0.1983</v>
      </c>
      <c r="G44" s="33">
        <f>D44*F44</f>
        <v/>
      </c>
      <c r="H44" s="32" t="inlineStr">
        <is>
          <t>Chapa LAC 3,2 (orilla de la hoja de 25 kg)</t>
        </is>
      </c>
      <c r="I44" s="17" t="inlineStr">
        <is>
          <t>planchuela 100 × 80 × e3,2, de canto en el frente del fondo, atravesada; borde de abajo = línea del piso</t>
        </is>
      </c>
      <c r="J44" s="32" t="inlineStr">
        <is>
          <t>Fabricación</t>
        </is>
      </c>
      <c r="K44" s="32" t="inlineStr">
        <is>
          <t>No</t>
        </is>
      </c>
      <c r="L44" s="17" t="n"/>
      <c r="M44" s="17" t="n"/>
      <c r="N44" s="17" t="inlineStr">
        <is>
          <t>8.1 fabricación de accesorios (orillas / caño / barra) -&gt; 8 soldadura MAG al recipiente, antes de la PH (IRAM 3550 6.1.1)</t>
        </is>
      </c>
      <c r="O44" s="17" t="n"/>
      <c r="P44" s="32" t="inlineStr">
        <is>
          <t>P</t>
        </is>
      </c>
      <c r="Q44" s="32" t="inlineStr">
        <is>
          <t>FL_DES_ABC_100kg</t>
        </is>
      </c>
      <c r="R44" s="17" t="inlineStr">
        <is>
          <t>Proceso FLAMA de carros: 80 × 60 (25 y 50 kg) y 100 × 80 (70 y 100 kg), de la orilla de 3,2 de la hoja de 25 kg (sin compra); se suelda con filete de los dos lados en el tramo central</t>
        </is>
      </c>
    </row>
    <row r="45" outlineLevel="1">
      <c r="A45" s="32" t="n">
        <v>2</v>
      </c>
      <c r="B45" s="32" t="inlineStr">
        <is>
          <t>ABC100-07</t>
        </is>
      </c>
      <c r="C45" s="17" t="inlineStr">
        <is>
          <t xml:space="preserve">        Triángulos con V (2)</t>
        </is>
      </c>
      <c r="D45" s="32" t="n">
        <v>1</v>
      </c>
      <c r="E45" s="32" t="inlineStr">
        <is>
          <t>u</t>
        </is>
      </c>
      <c r="F45" s="33" t="n">
        <v>0.297</v>
      </c>
      <c r="G45" s="33">
        <f>D45*F45</f>
        <v/>
      </c>
      <c r="H45" s="32" t="inlineStr">
        <is>
          <t>Chapa LAC 4,75 (orilla)</t>
        </is>
      </c>
      <c r="I45" s="17" t="inlineStr">
        <is>
          <t>2 triángulos con V de 90° hacia atrás, chapa e4,75, cateto vertical 100 de canto contra el cuerpo; separados 203 (± 101,5 en recta), borde de abajo a 20 de la costura del fondo; el caño apoya en la V</t>
        </is>
      </c>
      <c r="J45" s="32" t="inlineStr">
        <is>
          <t>Fabricación</t>
        </is>
      </c>
      <c r="K45" s="32" t="inlineStr">
        <is>
          <t>No</t>
        </is>
      </c>
      <c r="L45" s="17" t="n"/>
      <c r="M45" s="17" t="n"/>
      <c r="N45" s="17" t="inlineStr">
        <is>
          <t>8.1 fabricación de accesorios (orillas / caño / barra) -&gt; 8 soldadura MAG al recipiente, antes de la PH (IRAM 3550 6.1.1)</t>
        </is>
      </c>
      <c r="O45" s="17" t="n"/>
      <c r="P45" s="32" t="inlineStr">
        <is>
          <t>P</t>
        </is>
      </c>
      <c r="Q45" s="32" t="inlineStr">
        <is>
          <t>FL_DES_ABC_100kg</t>
        </is>
      </c>
      <c r="R45" s="17" t="inlineStr">
        <is>
          <t>Proceso FLAMA de carros, puesto 8 (kit del 8.1): medidas y posición de la tabla del puesto; se suelda antes de la prueba hidráulica (IRAM 3550 6.1.1); chapa de las orillas del corte (sin compra); un cordón de cada lado; el caño se suelda en los dos flancos de cada V, de las dos caras</t>
        </is>
      </c>
    </row>
    <row r="46" outlineLevel="1">
      <c r="A46" s="32" t="n">
        <v>2</v>
      </c>
      <c r="B46" s="32" t="inlineStr">
        <is>
          <t>ABC100-08</t>
        </is>
      </c>
      <c r="C46" s="17" t="inlineStr">
        <is>
          <t xml:space="preserve">        Caño del eje</t>
        </is>
      </c>
      <c r="D46" s="32" t="n">
        <v>1</v>
      </c>
      <c r="E46" s="32" t="inlineStr">
        <is>
          <t>u</t>
        </is>
      </c>
      <c r="F46" s="33" t="n">
        <v>0.7249</v>
      </c>
      <c r="G46" s="33">
        <f>D46*F46</f>
        <v/>
      </c>
      <c r="H46" s="32" t="inlineStr">
        <is>
          <t>Caño acero SAE 1010 1¼" × 2,0</t>
        </is>
      </c>
      <c r="I46" s="17" t="inlineStr">
        <is>
          <t>caño 1¼" (Ø31,75) × 2 × 494 de largo, con marca de la mitad; apoyado en la V de los triángulos a 20 del cuerpo, no gira; adentro pasa el eje Ø25,4</t>
        </is>
      </c>
      <c r="J46" s="32" t="inlineStr">
        <is>
          <t>Fabricación</t>
        </is>
      </c>
      <c r="K46" s="32" t="inlineStr">
        <is>
          <t>No</t>
        </is>
      </c>
      <c r="L46" s="17" t="n"/>
      <c r="M46" s="17" t="n"/>
      <c r="N46" s="17" t="inlineStr">
        <is>
          <t>8.1 fabricación de accesorios (orillas / caño / barra) -&gt; 8 soldadura MAG al recipiente, antes de la PH (IRAM 3550 6.1.1)</t>
        </is>
      </c>
      <c r="O46" s="17" t="n"/>
      <c r="P46" s="32" t="inlineStr">
        <is>
          <t>P</t>
        </is>
      </c>
      <c r="Q46" s="32" t="inlineStr">
        <is>
          <t>FL_DES_ABC_100kg</t>
        </is>
      </c>
      <c r="R46" s="17" t="inlineStr">
        <is>
          <t>Proceso FLAMA de carros, puesto 8 (kit del 8.1): medidas y posición de la tabla del puesto; se suelda antes de la prueba hidráulica (IRAM 3550 6.1.1)</t>
        </is>
      </c>
    </row>
    <row r="47" outlineLevel="2">
      <c r="A47" s="34" t="n">
        <v>3</v>
      </c>
      <c r="B47" s="34" t="inlineStr">
        <is>
          <t>MP-PORTAEJE</t>
        </is>
      </c>
      <c r="C47" s="35" t="inlineStr">
        <is>
          <t xml:space="preserve">            Caño SAE 1010 1¼" × 2,0 (tramo de barra de 6 m)</t>
        </is>
      </c>
      <c r="D47" s="34" t="n">
        <v>0.0823</v>
      </c>
      <c r="E47" s="34" t="inlineStr">
        <is>
          <t>barra</t>
        </is>
      </c>
      <c r="F47" s="36" t="n">
        <v>8.804</v>
      </c>
      <c r="G47" s="36">
        <f>D47*F47</f>
        <v/>
      </c>
      <c r="H47" s="34" t="inlineStr">
        <is>
          <t>Caño acero SAE 1010 1¼" × 2,0</t>
        </is>
      </c>
      <c r="I47" s="35" t="inlineStr">
        <is>
          <t>494 mm por pieza (kg por barra de 6 m)</t>
        </is>
      </c>
      <c r="J47" s="34" t="inlineStr">
        <is>
          <t>Compra</t>
        </is>
      </c>
      <c r="K47" s="34" t="inlineStr">
        <is>
          <t>Sí</t>
        </is>
      </c>
      <c r="L47" s="35" t="inlineStr">
        <is>
          <t>Metalpri / Prilux</t>
        </is>
      </c>
      <c r="M47" s="35" t="inlineStr">
        <is>
          <t>Comercial MID</t>
        </is>
      </c>
      <c r="N47" s="35" t="inlineStr">
        <is>
          <t>Corte en sierra</t>
        </is>
      </c>
      <c r="O47" s="35" t="n"/>
      <c r="P47" s="34" t="inlineStr">
        <is>
          <t>C</t>
        </is>
      </c>
      <c r="Q47" s="34" t="n"/>
      <c r="R47" s="35" t="inlineStr">
        <is>
          <t>Largo para la trocha del ancho de la hoja de especificaciones (kit 8.1), con marca de la mitad</t>
        </is>
      </c>
    </row>
    <row r="48" outlineLevel="1">
      <c r="A48" s="32" t="n">
        <v>2</v>
      </c>
      <c r="B48" s="32" t="inlineStr">
        <is>
          <t>ABC100-09</t>
        </is>
      </c>
      <c r="C48" s="17" t="inlineStr">
        <is>
          <t xml:space="preserve">        Neumático macizo</t>
        </is>
      </c>
      <c r="D48" s="32" t="n">
        <v>2</v>
      </c>
      <c r="E48" s="32" t="inlineStr">
        <is>
          <t>u</t>
        </is>
      </c>
      <c r="F48" s="33" t="n">
        <v>4.3574</v>
      </c>
      <c r="G48" s="33">
        <f>D48*F48</f>
        <v/>
      </c>
      <c r="H48" s="32" t="inlineStr">
        <is>
          <t>Caucho</t>
        </is>
      </c>
      <c r="I48" s="17" t="inlineStr">
        <is>
          <t>Ø400 × 60 de ancho</t>
        </is>
      </c>
      <c r="J48" s="32" t="inlineStr">
        <is>
          <t>Compra</t>
        </is>
      </c>
      <c r="K48" s="32" t="inlineStr">
        <is>
          <t>Sí</t>
        </is>
      </c>
      <c r="L48" s="17" t="inlineStr">
        <is>
          <t>Escanort S.A.</t>
        </is>
      </c>
      <c r="M48" s="17" t="inlineStr">
        <is>
          <t>Ruedar</t>
        </is>
      </c>
      <c r="N48" s="17" t="inlineStr">
        <is>
          <t>Después de 12 pintura: ruedas montadas sobre el eje</t>
        </is>
      </c>
      <c r="O48" s="17" t="n"/>
      <c r="P48" s="32" t="inlineStr">
        <is>
          <t>P</t>
        </is>
      </c>
      <c r="Q48" s="32" t="inlineStr">
        <is>
          <t>FL_DES_ABC_100kg</t>
        </is>
      </c>
      <c r="R48" s="17" t="inlineStr">
        <is>
          <t>llanta de chapa; IRAM 3550 4.8: Ø ≥ 300 y ancho ≥ 50</t>
        </is>
      </c>
    </row>
    <row r="49" outlineLevel="1">
      <c r="A49" s="32" t="n">
        <v>2</v>
      </c>
      <c r="B49" s="32" t="inlineStr">
        <is>
          <t>ABC100-10</t>
        </is>
      </c>
      <c r="C49" s="17" t="inlineStr">
        <is>
          <t xml:space="preserve">        Llanta con cubo</t>
        </is>
      </c>
      <c r="D49" s="32" t="n">
        <v>2</v>
      </c>
      <c r="E49" s="32" t="inlineStr">
        <is>
          <t>u</t>
        </is>
      </c>
      <c r="F49" s="33" t="n">
        <v>2.9979</v>
      </c>
      <c r="G49" s="33">
        <f>D49*F49</f>
        <v/>
      </c>
      <c r="H49" s="32" t="inlineStr">
        <is>
          <t>Chapa acero SAE 1010</t>
        </is>
      </c>
      <c r="I49" s="17" t="inlineStr">
        <is>
          <t>Ø288 × 60 de ancho</t>
        </is>
      </c>
      <c r="J49" s="32" t="inlineStr">
        <is>
          <t>Incluido en rueda</t>
        </is>
      </c>
      <c r="K49" s="32" t="inlineStr">
        <is>
          <t>No</t>
        </is>
      </c>
      <c r="L49" s="17" t="n"/>
      <c r="M49" s="17" t="n"/>
      <c r="N49" s="17" t="inlineStr">
        <is>
          <t>Después de 12 pintura: ruedas montadas sobre el eje</t>
        </is>
      </c>
      <c r="O49" s="17" t="n"/>
      <c r="P49" s="32" t="inlineStr">
        <is>
          <t>P</t>
        </is>
      </c>
      <c r="Q49" s="32" t="inlineStr">
        <is>
          <t>FL_DES_ABC_100kg</t>
        </is>
      </c>
      <c r="R49" s="17" t="n"/>
    </row>
    <row r="50" outlineLevel="1">
      <c r="A50" s="32" t="n">
        <v>2</v>
      </c>
      <c r="B50" s="32" t="inlineStr">
        <is>
          <t>ABC100-11</t>
        </is>
      </c>
      <c r="C50" s="17" t="inlineStr">
        <is>
          <t xml:space="preserve">        Eje de ruedas</t>
        </is>
      </c>
      <c r="D50" s="32" t="n">
        <v>1</v>
      </c>
      <c r="E50" s="32" t="inlineStr">
        <is>
          <t>u</t>
        </is>
      </c>
      <c r="F50" s="33" t="n">
        <v>2.5789</v>
      </c>
      <c r="G50" s="33">
        <f>D50*F50</f>
        <v/>
      </c>
      <c r="H50" s="32" t="inlineStr">
        <is>
          <t>Barra acero SAE 1045 Ø25.4</t>
        </is>
      </c>
      <c r="I50" s="17" t="inlineStr">
        <is>
          <t>barra trefilada 1" (Ø25,4) × 650 de largo, con agujero Ø4,6 en cada punta para el pasador (montaje final)</t>
        </is>
      </c>
      <c r="J50" s="32" t="inlineStr">
        <is>
          <t>Fabricación</t>
        </is>
      </c>
      <c r="K50" s="32" t="inlineStr">
        <is>
          <t>No</t>
        </is>
      </c>
      <c r="L50" s="17" t="n"/>
      <c r="M50" s="17" t="n"/>
      <c r="N50" s="17" t="inlineStr">
        <is>
          <t>8.1 corte de barra -&gt; 8 soldadura de soportes</t>
        </is>
      </c>
      <c r="O50" s="17" t="n"/>
      <c r="P50" s="32" t="inlineStr">
        <is>
          <t>P</t>
        </is>
      </c>
      <c r="Q50" s="32" t="inlineStr">
        <is>
          <t>FL_DES_ABC_100kg</t>
        </is>
      </c>
      <c r="R50" s="17" t="inlineStr">
        <is>
          <t>Montaje final, después de la pintura, con las ruedas (proceso de carros, puesto 8)</t>
        </is>
      </c>
    </row>
    <row r="51" outlineLevel="2">
      <c r="A51" s="34" t="n">
        <v>3</v>
      </c>
      <c r="B51" s="34" t="inlineStr">
        <is>
          <t>MP-EJE</t>
        </is>
      </c>
      <c r="C51" s="35" t="inlineStr">
        <is>
          <t xml:space="preserve">            Barra trefilada SAE 1045 1" (tramo de barra de 6 m)</t>
        </is>
      </c>
      <c r="D51" s="34" t="n">
        <v>0.1083</v>
      </c>
      <c r="E51" s="34" t="inlineStr">
        <is>
          <t>barra</t>
        </is>
      </c>
      <c r="F51" s="36" t="n">
        <v>23.866</v>
      </c>
      <c r="G51" s="36">
        <f>D51*F51</f>
        <v/>
      </c>
      <c r="H51" s="34" t="inlineStr">
        <is>
          <t>Barra trefilada SAE 1045 1"</t>
        </is>
      </c>
      <c r="I51" s="35" t="inlineStr">
        <is>
          <t>650 mm por pieza (kg por barra de 6 m)</t>
        </is>
      </c>
      <c r="J51" s="34" t="inlineStr">
        <is>
          <t>Compra</t>
        </is>
      </c>
      <c r="K51" s="34" t="inlineStr">
        <is>
          <t>Sí</t>
        </is>
      </c>
      <c r="L51" s="35" t="inlineStr">
        <is>
          <t>Vladimirsky</t>
        </is>
      </c>
      <c r="M51" s="35" t="inlineStr">
        <is>
          <t>Hierros Parrotta</t>
        </is>
      </c>
      <c r="N51" s="35" t="inlineStr">
        <is>
          <t>Corte en sierra</t>
        </is>
      </c>
      <c r="O51" s="35" t="n"/>
      <c r="P51" s="34" t="inlineStr">
        <is>
          <t>C</t>
        </is>
      </c>
      <c r="Q51" s="34" t="n"/>
      <c r="R51" s="35" t="n"/>
    </row>
    <row r="52" outlineLevel="1">
      <c r="A52" s="32" t="n">
        <v>2</v>
      </c>
      <c r="B52" s="32" t="inlineStr">
        <is>
          <t>ABC100-12</t>
        </is>
      </c>
      <c r="C52" s="17" t="inlineStr">
        <is>
          <t xml:space="preserve">        Arandelas de tope (4)</t>
        </is>
      </c>
      <c r="D52" s="32" t="n">
        <v>1</v>
      </c>
      <c r="E52" s="32" t="inlineStr">
        <is>
          <t>u</t>
        </is>
      </c>
      <c r="F52" s="33" t="n">
        <v>0.0891</v>
      </c>
      <c r="G52" s="33">
        <f>D52*F52</f>
        <v/>
      </c>
      <c r="H52" s="32" t="inlineStr">
        <is>
          <t>Acero SAE 1010 Ø40 × 4</t>
        </is>
      </c>
      <c r="I52" s="17" t="inlineStr">
        <is>
          <t>4 × Ø40 × Ø26,4 × 4 (a cada lado de cada rueda)</t>
        </is>
      </c>
      <c r="J52" s="32" t="inlineStr">
        <is>
          <t>Compra</t>
        </is>
      </c>
      <c r="K52" s="32" t="inlineStr">
        <is>
          <t>Sí</t>
        </is>
      </c>
      <c r="L52" s="17" t="inlineStr">
        <is>
          <t>Hierros Parrotta</t>
        </is>
      </c>
      <c r="M52" s="17" t="inlineStr">
        <is>
          <t>-</t>
        </is>
      </c>
      <c r="N52" s="17" t="inlineStr">
        <is>
          <t>Después de 12 pintura: ruedas montadas sobre el eje</t>
        </is>
      </c>
      <c r="O52" s="17" t="n"/>
      <c r="P52" s="32" t="inlineStr">
        <is>
          <t>P</t>
        </is>
      </c>
      <c r="Q52" s="32" t="inlineStr">
        <is>
          <t>FL_DES_ABC_100kg</t>
        </is>
      </c>
      <c r="R52" s="17" t="inlineStr">
        <is>
          <t>Montaje final, después de la pintura, con las ruedas (proceso de carros, puesto 8)</t>
        </is>
      </c>
    </row>
    <row r="53" outlineLevel="1">
      <c r="A53" s="32" t="n">
        <v>2</v>
      </c>
      <c r="B53" s="32" t="inlineStr">
        <is>
          <t>ABC100-13</t>
        </is>
      </c>
      <c r="C53" s="17" t="inlineStr">
        <is>
          <t xml:space="preserve">        Pasadores del eje (2)</t>
        </is>
      </c>
      <c r="D53" s="32" t="n">
        <v>1</v>
      </c>
      <c r="E53" s="32" t="inlineStr">
        <is>
          <t>u</t>
        </is>
      </c>
      <c r="F53" s="33" t="n">
        <v>0.0132</v>
      </c>
      <c r="G53" s="33">
        <f>D53*F53</f>
        <v/>
      </c>
      <c r="H53" s="32" t="inlineStr">
        <is>
          <t>Pasador partido acero Ø4 × 40</t>
        </is>
      </c>
      <c r="I53" s="17" t="inlineStr">
        <is>
          <t>2 pasadores partidos Ø4 × 40, uno en cada punta del eje, por fuera de la arandela</t>
        </is>
      </c>
      <c r="J53" s="32" t="inlineStr">
        <is>
          <t>Compra</t>
        </is>
      </c>
      <c r="K53" s="32" t="inlineStr">
        <is>
          <t>Sí</t>
        </is>
      </c>
      <c r="L53" s="17" t="inlineStr">
        <is>
          <t>Hierros Parrotta</t>
        </is>
      </c>
      <c r="M53" s="17" t="inlineStr">
        <is>
          <t>-</t>
        </is>
      </c>
      <c r="N53" s="17" t="inlineStr">
        <is>
          <t>Después de 12 pintura: ruedas montadas sobre el eje</t>
        </is>
      </c>
      <c r="O53" s="17" t="n"/>
      <c r="P53" s="32" t="inlineStr">
        <is>
          <t>P</t>
        </is>
      </c>
      <c r="Q53" s="32" t="inlineStr">
        <is>
          <t>FL_DES_ABC_100kg</t>
        </is>
      </c>
      <c r="R53" s="17" t="inlineStr">
        <is>
          <t>Montaje final, después de la pintura, con las ruedas (proceso de carros, puesto 8)</t>
        </is>
      </c>
    </row>
    <row r="54" outlineLevel="1">
      <c r="A54" s="32" t="n">
        <v>2</v>
      </c>
      <c r="B54" s="32" t="inlineStr">
        <is>
          <t>ABC100-14</t>
        </is>
      </c>
      <c r="C54" s="17" t="inlineStr">
        <is>
          <t xml:space="preserve">        Manija del carro</t>
        </is>
      </c>
      <c r="D54" s="32" t="n">
        <v>1</v>
      </c>
      <c r="E54" s="32" t="inlineStr">
        <is>
          <t>u</t>
        </is>
      </c>
      <c r="F54" s="33" t="n">
        <v>1.4658</v>
      </c>
      <c r="G54" s="33">
        <f>D54*F54</f>
        <v/>
      </c>
      <c r="H54" s="32" t="inlineStr">
        <is>
          <t>Caño acero SAE 1010 1" × 2,0</t>
        </is>
      </c>
      <c r="I54" s="17" t="inlineStr">
        <is>
          <t>caño 1" (Ø25,4) × 2,0, corte 1.370 (desarrollado del modelo 1.362); puntas aplastadas en lengüetas 40 × 60 × 4 soldadas a los costados, borde de abajo 200 bajo la costura de la cúpula; 2 curvas de 90° y 2 de 30° (doblez a 1.165 del piso), puño hacia atrás a 1.360</t>
        </is>
      </c>
      <c r="J54" s="32" t="inlineStr">
        <is>
          <t>Fabricación</t>
        </is>
      </c>
      <c r="K54" s="32" t="inlineStr">
        <is>
          <t>No</t>
        </is>
      </c>
      <c r="L54" s="17" t="n"/>
      <c r="M54" s="17" t="n"/>
      <c r="N54" s="17" t="inlineStr">
        <is>
          <t>8.1 fabricación de accesorios (orillas / caño / barra) -&gt; 8 soldadura MAG al recipiente, antes de la PH (IRAM 3550 6.1.1)</t>
        </is>
      </c>
      <c r="O54" s="17" t="n"/>
      <c r="P54" s="32" t="inlineStr">
        <is>
          <t>P</t>
        </is>
      </c>
      <c r="Q54" s="32" t="inlineStr">
        <is>
          <t>FL_DES_ABC_100kg</t>
        </is>
      </c>
      <c r="R54" s="17" t="inlineStr">
        <is>
          <t>Proceso FLAMA de carros, puesto 8 (kit del 8.1): medidas y posición de la tabla del puesto; se suelda antes de la prueba hidráulica (IRAM 3550 6.1.1); las puntas se aplastan en lengüetas de 40 × 60 que se sueldan a los costados del cuerpo (filete en los dos lados largos y abajo; sin orejas)</t>
        </is>
      </c>
    </row>
    <row r="55" outlineLevel="2">
      <c r="A55" s="34" t="n">
        <v>3</v>
      </c>
      <c r="B55" s="34" t="inlineStr">
        <is>
          <t>MP-CANO-CARRO</t>
        </is>
      </c>
      <c r="C55" s="35" t="inlineStr">
        <is>
          <t xml:space="preserve">            Caño SAE 1010 1" × 2,0 (tramo de barra de 6 m)</t>
        </is>
      </c>
      <c r="D55" s="34" t="n">
        <v>0.2283</v>
      </c>
      <c r="E55" s="34" t="inlineStr">
        <is>
          <t>barra</t>
        </is>
      </c>
      <c r="F55" s="36" t="n">
        <v>6.925</v>
      </c>
      <c r="G55" s="36">
        <f>D55*F55</f>
        <v/>
      </c>
      <c r="H55" s="34" t="inlineStr">
        <is>
          <t>Caño acero SAE 1010 1" × 2,0</t>
        </is>
      </c>
      <c r="I55" s="35" t="inlineStr">
        <is>
          <t>1.370 mm por pieza (kg por barra de 6 m)</t>
        </is>
      </c>
      <c r="J55" s="34" t="inlineStr">
        <is>
          <t>Compra</t>
        </is>
      </c>
      <c r="K55" s="34" t="inlineStr">
        <is>
          <t>Sí</t>
        </is>
      </c>
      <c r="L55" s="35" t="inlineStr">
        <is>
          <t>Metalpri / Prilux</t>
        </is>
      </c>
      <c r="M55" s="35" t="inlineStr">
        <is>
          <t>Comercial MID</t>
        </is>
      </c>
      <c r="N55" s="35" t="inlineStr">
        <is>
          <t>Corte en sierra</t>
        </is>
      </c>
      <c r="O55" s="35" t="n"/>
      <c r="P55" s="34" t="inlineStr">
        <is>
          <t>C</t>
        </is>
      </c>
      <c r="Q55" s="34" t="n"/>
      <c r="R55" s="35" t="inlineStr">
        <is>
          <t>Largo de corte = desarrollo del modelo a 10 mm (kit del puesto 8.1), con las lengüetas a aplastar</t>
        </is>
      </c>
    </row>
    <row r="56" outlineLevel="1">
      <c r="A56" s="32" t="n">
        <v>2</v>
      </c>
      <c r="B56" s="32" t="inlineStr">
        <is>
          <t>ABC100-28</t>
        </is>
      </c>
      <c r="C56" s="17" t="inlineStr">
        <is>
          <t xml:space="preserve">        Flejes del soporte de manga (3)</t>
        </is>
      </c>
      <c r="D56" s="32" t="n">
        <v>1</v>
      </c>
      <c r="E56" s="32" t="inlineStr">
        <is>
          <t>u</t>
        </is>
      </c>
      <c r="F56" s="33" t="n">
        <v>1.8531</v>
      </c>
      <c r="G56" s="33">
        <f>D56*F56</f>
        <v/>
      </c>
      <c r="H56" s="32" t="inlineStr">
        <is>
          <t>Chapa LAC 3,2 × 40 plegada</t>
        </is>
      </c>
      <c r="I56" s="17" t="inlineStr">
        <is>
          <t>3 flejes iguales 40 × 3,2 de 601 de corte, 4 dobleces de 90° (U abierta hacia afuera): base 328 por fuera, soldada al cuerpo por el centro, patas 129 (hasta delante de la última vuelta) y orejas 20 hacia los costados; superior a 40 bajo la costura de la cúpula, inferior a 40 sobre la del fondo; el del medio, con las orejas hacia adentro: la manga pasa por adentro de sus patas, el paquete se cierra y los 12 m quedan tensados sin pandearse; la manga pasa por afuera de las patas y detrás de las orejas</t>
        </is>
      </c>
      <c r="J56" s="32" t="inlineStr">
        <is>
          <t>Fabricación</t>
        </is>
      </c>
      <c r="K56" s="32" t="inlineStr">
        <is>
          <t>No</t>
        </is>
      </c>
      <c r="L56" s="17" t="n"/>
      <c r="M56" s="17" t="n"/>
      <c r="N56" s="17" t="inlineStr">
        <is>
          <t>8.1 fabricación de accesorios (orillas / caño / barra) -&gt; 8 soldadura MAG al recipiente, antes de la PH (IRAM 3550 6.1.1)</t>
        </is>
      </c>
      <c r="O56" s="17" t="n"/>
      <c r="P56" s="32" t="inlineStr">
        <is>
          <t>P</t>
        </is>
      </c>
      <c r="Q56" s="32" t="inlineStr">
        <is>
          <t>FL_DES_ABC_100kg</t>
        </is>
      </c>
      <c r="R56" s="17" t="inlineStr">
        <is>
          <t>Proceso FLAMA de carros, puesto 8 (kit del 8.1): medidas y posición de la tabla del puesto; se suelda antes de la prueba hidráulica (IRAM 3550 6.1.1); chapa de las orillas del corte (sin compra)</t>
        </is>
      </c>
    </row>
    <row r="57">
      <c r="A57" s="29" t="n">
        <v>1</v>
      </c>
      <c r="B57" s="29" t="inlineStr">
        <is>
          <t>ABC100-S5</t>
        </is>
      </c>
      <c r="C57" s="30" t="inlineStr">
        <is>
          <t xml:space="preserve">    Carga: agente extintor y gas impulsor</t>
        </is>
      </c>
      <c r="D57" s="29" t="n">
        <v>1</v>
      </c>
      <c r="E57" s="29" t="inlineStr">
        <is>
          <t>u</t>
        </is>
      </c>
      <c r="F57" s="31" t="n"/>
      <c r="G57" s="31">
        <f>G58+G59</f>
        <v/>
      </c>
      <c r="H57" s="29" t="n"/>
      <c r="I57" s="30" t="n"/>
      <c r="J57" s="29" t="inlineStr">
        <is>
          <t>Carga en planta</t>
        </is>
      </c>
      <c r="K57" s="29" t="n"/>
      <c r="L57" s="30" t="n"/>
      <c r="M57" s="30" t="n"/>
      <c r="N57" s="30" t="inlineStr">
        <is>
          <t>18 Carga de polvo (T01) / C8 (T02)</t>
        </is>
      </c>
      <c r="O57" s="30" t="n"/>
      <c r="P57" s="29" t="n"/>
      <c r="Q57" s="29" t="n"/>
      <c r="R57" s="30" t="n"/>
    </row>
    <row r="58" outlineLevel="1">
      <c r="A58" s="32" t="n">
        <v>2</v>
      </c>
      <c r="B58" s="32" t="inlineStr">
        <is>
          <t>ABC100-A1</t>
        </is>
      </c>
      <c r="C58" s="17" t="inlineStr">
        <is>
          <t xml:space="preserve">        Polvo químico seco ABC 90 (Sello IRAM 3569)</t>
        </is>
      </c>
      <c r="D58" s="32" t="n">
        <v>100</v>
      </c>
      <c r="E58" s="32" t="inlineStr">
        <is>
          <t>kg</t>
        </is>
      </c>
      <c r="F58" s="33" t="n">
        <v>1</v>
      </c>
      <c r="G58" s="33">
        <f>D58*F58</f>
        <v/>
      </c>
      <c r="H58" s="32" t="inlineStr">
        <is>
          <t>Polvo químico seco ABC 90 (Sello IRAM 3569)</t>
        </is>
      </c>
      <c r="I58" s="17" t="inlineStr">
        <is>
          <t>nominal 100 kg; tolerancia ± 3 % (IRAM 3517-2:2020 tabla 3)</t>
        </is>
      </c>
      <c r="J58" s="32" t="inlineStr">
        <is>
          <t>Compra</t>
        </is>
      </c>
      <c r="K58" s="32" t="inlineStr">
        <is>
          <t>Sí</t>
        </is>
      </c>
      <c r="L58" s="17" t="inlineStr">
        <is>
          <t>DEM S.A. (DEMSA)</t>
        </is>
      </c>
      <c r="M58" s="17" t="inlineStr">
        <is>
          <t>Polvex S.R.L. / Sancibrao</t>
        </is>
      </c>
      <c r="N58" s="17" t="inlineStr">
        <is>
          <t>SP-1 almacén previo a la carga</t>
        </is>
      </c>
      <c r="O58" s="17" t="inlineStr">
        <is>
          <t>IRAM 3569</t>
        </is>
      </c>
      <c r="P58" s="32" t="inlineStr">
        <is>
          <t>N</t>
        </is>
      </c>
      <c r="Q58" s="32" t="n"/>
      <c r="R58" s="17" t="inlineStr">
        <is>
          <t>Composición declarada del polvo ABC 90: MAP 90 % (IRAM 3569: 85,5-94,5 %) = 90 kg MAP + 7 kg sulfato de amonio + 3 kg aditivos · potencial de referencia - (licencia Drago con DEM-60/90, L-DRAGO) · Decisión: DEMSA principal (sello IRAM 3569 y potencial de referencia); Polvex/Sancibrao alternativa sujeta a sello IRAM 3569 y ensayo de tipo de FLAMA (IRAM 3542/3543) · Lote único por extintor; prohibido mezclar ABC con BC (3517-2 9.9.1.6)</t>
        </is>
      </c>
    </row>
    <row r="59" outlineLevel="1">
      <c r="A59" s="37" t="n">
        <v>2</v>
      </c>
      <c r="B59" s="37" t="inlineStr">
        <is>
          <t>ABC100-A2</t>
        </is>
      </c>
      <c r="C59" s="18" t="inlineStr">
        <is>
          <t xml:space="preserve">        Gas impulsor: N₂</t>
        </is>
      </c>
      <c r="D59" s="37" t="n">
        <v>0.5189</v>
      </c>
      <c r="E59" s="37" t="inlineStr">
        <is>
          <t>kg</t>
        </is>
      </c>
      <c r="F59" s="38" t="n">
        <v>1</v>
      </c>
      <c r="G59" s="38">
        <f>D59*F59</f>
        <v/>
      </c>
      <c r="H59" s="37" t="inlineStr">
        <is>
          <t>N₂</t>
        </is>
      </c>
      <c r="I59" s="18" t="inlineStr">
        <is>
          <t>415,4 L normales para 1,4 MPa a 20 °C en 30,09 dm³ libres</t>
        </is>
      </c>
      <c r="J59" s="37" t="inlineStr">
        <is>
          <t>Compra</t>
        </is>
      </c>
      <c r="K59" s="37" t="inlineStr">
        <is>
          <t>Sí</t>
        </is>
      </c>
      <c r="L59" s="18" t="inlineStr">
        <is>
          <t>Air Liquide Argentina - sucursal Piñeyro</t>
        </is>
      </c>
      <c r="M59" s="18" t="inlineStr">
        <is>
          <t>Gogniat</t>
        </is>
      </c>
      <c r="N59" s="18" t="inlineStr">
        <is>
          <t>20 Presurización (T05) / C10</t>
        </is>
      </c>
      <c r="O59" s="18" t="inlineStr">
        <is>
          <t>IRAM 3517-2 9.4.9 (tabla 2) · IRAM 3523 2.3 y 3.10</t>
        </is>
      </c>
      <c r="P59" s="37" t="inlineStr">
        <is>
          <t>C</t>
        </is>
      </c>
      <c r="Q59" s="37" t="n"/>
      <c r="R59" s="18" t="inlineStr">
        <is>
          <t>N₂ ≥ 99,8 %, H₂O ≤ 40 ppm (Q-N2, Air Liquide) · volumen libre con ρ empacada mínima 1,1 kg/dm³ (NOM-104-STPS-2001); confirmar con descarga ≥ 85 % (IRAM 3523 4.9.1)</t>
        </is>
      </c>
    </row>
    <row r="60">
      <c r="A60" s="29" t="n">
        <v>1</v>
      </c>
      <c r="B60" s="29" t="inlineStr">
        <is>
          <t>ABC100-S6</t>
        </is>
      </c>
      <c r="C60" s="30" t="inlineStr">
        <is>
          <t xml:space="preserve">    Identificación y precinto</t>
        </is>
      </c>
      <c r="D60" s="29" t="n">
        <v>1</v>
      </c>
      <c r="E60" s="29" t="inlineStr">
        <is>
          <t>u</t>
        </is>
      </c>
      <c r="F60" s="31" t="n"/>
      <c r="G60" s="31">
        <f>G61+G62+G63+G64+G65+G66+G67</f>
        <v/>
      </c>
      <c r="H60" s="29" t="n"/>
      <c r="I60" s="30" t="n"/>
      <c r="J60" s="29" t="inlineStr">
        <is>
          <t>Compra</t>
        </is>
      </c>
      <c r="K60" s="29" t="n"/>
      <c r="L60" s="30" t="n"/>
      <c r="M60" s="30" t="n"/>
      <c r="N60" s="30" t="inlineStr">
        <is>
          <t>22 Etiquetado (T07)</t>
        </is>
      </c>
      <c r="O60" s="30" t="n"/>
      <c r="P60" s="29" t="n"/>
      <c r="Q60" s="29" t="n"/>
      <c r="R60" s="30" t="n"/>
    </row>
    <row r="61" outlineLevel="1">
      <c r="A61" s="32" t="n">
        <v>2</v>
      </c>
      <c r="B61" s="32" t="inlineStr">
        <is>
          <t>ABC100-31</t>
        </is>
      </c>
      <c r="C61" s="17" t="inlineStr">
        <is>
          <t xml:space="preserve">        Etiqueta / placa de características</t>
        </is>
      </c>
      <c r="D61" s="32" t="n">
        <v>1</v>
      </c>
      <c r="E61" s="32" t="inlineStr">
        <is>
          <t>u</t>
        </is>
      </c>
      <c r="F61" s="33" t="n">
        <v>0.06610000000000001</v>
      </c>
      <c r="G61" s="33">
        <f>D61*F61</f>
        <v/>
      </c>
      <c r="H61" s="32" t="inlineStr">
        <is>
          <t>Vinilo autoadhesivo laminado</t>
        </is>
      </c>
      <c r="I61" s="17" t="inlineStr">
        <is>
          <t>736 × 214 (desarrollo × alto: panel central 108° + 2 alas laterales), e ≈ 0,3, laminado UV</t>
        </is>
      </c>
      <c r="J61" s="32" t="inlineStr">
        <is>
          <t>Compra</t>
        </is>
      </c>
      <c r="K61" s="32" t="inlineStr">
        <is>
          <t>Sí</t>
        </is>
      </c>
      <c r="L61" s="17" t="inlineStr">
        <is>
          <t>Astuprint</t>
        </is>
      </c>
      <c r="M61" s="17" t="inlineStr">
        <is>
          <t>Multilabel Argentina S.A.</t>
        </is>
      </c>
      <c r="N61" s="17" t="inlineStr">
        <is>
          <t>22 Etiquetado (T07)</t>
        </is>
      </c>
      <c r="O61" s="17" t="inlineStr">
        <is>
          <t>IRAM 3534 · IRAM 3550 cap. 5 · relevamiento de mercado</t>
        </is>
      </c>
      <c r="P61" s="32" t="inlineStr">
        <is>
          <t>P</t>
        </is>
      </c>
      <c r="Q61" s="32" t="inlineStr">
        <is>
          <t>FL_DES_ABC_100kg</t>
        </is>
      </c>
      <c r="R61" s="17" t="inlineStr">
        <is>
          <t>IRAM 3534</t>
        </is>
      </c>
    </row>
    <row r="62" outlineLevel="1">
      <c r="A62" s="32" t="n">
        <v>2</v>
      </c>
      <c r="B62" s="32" t="inlineStr">
        <is>
          <t>ABC100-32</t>
        </is>
      </c>
      <c r="C62" s="17" t="inlineStr">
        <is>
          <t xml:space="preserve">        Oblea de fabricación (PBA)</t>
        </is>
      </c>
      <c r="D62" s="32" t="n">
        <v>1</v>
      </c>
      <c r="E62" s="32" t="inlineStr">
        <is>
          <t>u</t>
        </is>
      </c>
      <c r="F62" s="33" t="n">
        <v>0.0009</v>
      </c>
      <c r="G62" s="33">
        <f>D62*F62</f>
        <v/>
      </c>
      <c r="H62" s="32" t="inlineStr">
        <is>
          <t>Papel de seguridad autodestructible</t>
        </is>
      </c>
      <c r="I62" s="17" t="inlineStr">
        <is>
          <t>Ø46 (Res. OPDS 522/07), numerada, autodestructible</t>
        </is>
      </c>
      <c r="J62" s="32" t="inlineStr">
        <is>
          <t>Compra</t>
        </is>
      </c>
      <c r="K62" s="32" t="inlineStr">
        <is>
          <t>Sí</t>
        </is>
      </c>
      <c r="L62" s="17" t="inlineStr">
        <is>
          <t>Ministerio de Ambiente PBA (ex OPDS)</t>
        </is>
      </c>
      <c r="M62" s="17" t="inlineStr">
        <is>
          <t>-</t>
        </is>
      </c>
      <c r="N62" s="17" t="inlineStr">
        <is>
          <t>22 Etiquetado (T07)</t>
        </is>
      </c>
      <c r="O62" s="17" t="inlineStr">
        <is>
          <t>Res. OPDS 522/07 anexos 1, 2 y 6</t>
        </is>
      </c>
      <c r="P62" s="32" t="inlineStr">
        <is>
          <t>P</t>
        </is>
      </c>
      <c r="Q62" s="32" t="inlineStr">
        <is>
          <t>FL_DES_ABC_100kg</t>
        </is>
      </c>
      <c r="R62" s="17" t="inlineStr">
        <is>
          <t>Res. 522/07</t>
        </is>
      </c>
    </row>
    <row r="63" outlineLevel="1">
      <c r="A63" s="32" t="n">
        <v>2</v>
      </c>
      <c r="B63" s="32" t="inlineStr">
        <is>
          <t>ABC100-33</t>
        </is>
      </c>
      <c r="C63" s="17" t="inlineStr">
        <is>
          <t xml:space="preserve">        Estampilla IRAM de conformidad</t>
        </is>
      </c>
      <c r="D63" s="32" t="n">
        <v>1</v>
      </c>
      <c r="E63" s="32" t="inlineStr">
        <is>
          <t>u</t>
        </is>
      </c>
      <c r="F63" s="33" t="n">
        <v>0.001</v>
      </c>
      <c r="G63" s="33">
        <f>D63*F63</f>
        <v/>
      </c>
      <c r="H63" s="32" t="inlineStr">
        <is>
          <t>Provista por IRAM (Anexo R)</t>
        </is>
      </c>
      <c r="I63" s="17" t="inlineStr">
        <is>
          <t>60 × 40</t>
        </is>
      </c>
      <c r="J63" s="32" t="inlineStr">
        <is>
          <t>Compra</t>
        </is>
      </c>
      <c r="K63" s="32" t="inlineStr">
        <is>
          <t>Sí</t>
        </is>
      </c>
      <c r="L63" s="17" t="inlineStr">
        <is>
          <t>IRAM - Instituto Argentino de Normalización</t>
        </is>
      </c>
      <c r="M63" s="17" t="inlineStr">
        <is>
          <t>-</t>
        </is>
      </c>
      <c r="N63" s="17" t="inlineStr">
        <is>
          <t>22 Etiquetado (T07)</t>
        </is>
      </c>
      <c r="O63" s="17" t="inlineStr">
        <is>
          <t>IRAM Anexo R (DC-PG-129)</t>
        </is>
      </c>
      <c r="P63" s="32" t="inlineStr">
        <is>
          <t>P</t>
        </is>
      </c>
      <c r="Q63" s="32" t="inlineStr">
        <is>
          <t>FL_DES_ABC_100kg</t>
        </is>
      </c>
      <c r="R63" s="17" t="inlineStr">
        <is>
          <t>numerada</t>
        </is>
      </c>
    </row>
    <row r="64" outlineLevel="1">
      <c r="A64" s="32" t="n">
        <v>2</v>
      </c>
      <c r="B64" s="32" t="inlineStr">
        <is>
          <t>ABC100-34</t>
        </is>
      </c>
      <c r="C64" s="17" t="inlineStr">
        <is>
          <t xml:space="preserve">        Tarjeta de identificación AGC (CABA)</t>
        </is>
      </c>
      <c r="D64" s="32" t="n">
        <v>1</v>
      </c>
      <c r="E64" s="32" t="inlineStr">
        <is>
          <t>u</t>
        </is>
      </c>
      <c r="F64" s="33" t="n">
        <v>0.0032</v>
      </c>
      <c r="G64" s="33">
        <f>D64*F64</f>
        <v/>
      </c>
      <c r="H64" s="32" t="inlineStr">
        <is>
          <t>Etiqueta autoadhesiva emitida por la AGC</t>
        </is>
      </c>
      <c r="I64" s="17" t="inlineStr">
        <is>
          <t>140 × 55</t>
        </is>
      </c>
      <c r="J64" s="32" t="inlineStr">
        <is>
          <t>Compra</t>
        </is>
      </c>
      <c r="K64" s="32" t="inlineStr">
        <is>
          <t>Sí</t>
        </is>
      </c>
      <c r="L64" s="17" t="inlineStr">
        <is>
          <t>Agencia Gubernamental de Control (CABA)</t>
        </is>
      </c>
      <c r="M64" s="17" t="inlineStr">
        <is>
          <t>-</t>
        </is>
      </c>
      <c r="N64" s="17" t="inlineStr">
        <is>
          <t>22 Etiquetado (T07)</t>
        </is>
      </c>
      <c r="O64" s="17" t="inlineStr">
        <is>
          <t>Ordenanza 40.473 art. 6 · Res. AGC 32/15</t>
        </is>
      </c>
      <c r="P64" s="32" t="inlineStr">
        <is>
          <t>P</t>
        </is>
      </c>
      <c r="Q64" s="32" t="inlineStr">
        <is>
          <t>FL_DES_ABC_100kg</t>
        </is>
      </c>
      <c r="R64" s="17" t="inlineStr">
        <is>
          <t>sólo destino CABA</t>
        </is>
      </c>
    </row>
    <row r="65" outlineLevel="1">
      <c r="A65" s="32" t="n">
        <v>2</v>
      </c>
      <c r="B65" s="32" t="inlineStr">
        <is>
          <t>ABC100-35</t>
        </is>
      </c>
      <c r="C65" s="17" t="inlineStr">
        <is>
          <t xml:space="preserve">        Etiqueta de n° de serie GS1</t>
        </is>
      </c>
      <c r="D65" s="32" t="n">
        <v>1</v>
      </c>
      <c r="E65" s="32" t="inlineStr">
        <is>
          <t>u</t>
        </is>
      </c>
      <c r="F65" s="33" t="n">
        <v>0.0005</v>
      </c>
      <c r="G65" s="33">
        <f>D65*F65</f>
        <v/>
      </c>
      <c r="H65" s="32" t="inlineStr">
        <is>
          <t>Poliéster autoadhesivo impreso térmico</t>
        </is>
      </c>
      <c r="I65" s="17" t="inlineStr">
        <is>
          <t>45 × 25</t>
        </is>
      </c>
      <c r="J65" s="32" t="inlineStr">
        <is>
          <t>Compra</t>
        </is>
      </c>
      <c r="K65" s="32" t="inlineStr">
        <is>
          <t>Sí</t>
        </is>
      </c>
      <c r="L65" s="17" t="inlineStr">
        <is>
          <t>Astuprint</t>
        </is>
      </c>
      <c r="M65" s="17" t="inlineStr">
        <is>
          <t>GS1 Argentina</t>
        </is>
      </c>
      <c r="N65" s="17" t="inlineStr">
        <is>
          <t>22 Etiquetado (T07)</t>
        </is>
      </c>
      <c r="O65" s="17" t="inlineStr">
        <is>
          <t>GS1 Argentina (GTIN 779) · trazabilidad IRAM 3523 5.1</t>
        </is>
      </c>
      <c r="P65" s="32" t="inlineStr">
        <is>
          <t>P</t>
        </is>
      </c>
      <c r="Q65" s="32" t="inlineStr">
        <is>
          <t>FL_DES_ABC_100kg</t>
        </is>
      </c>
      <c r="R65" s="17" t="inlineStr">
        <is>
          <t>QR GTIN + serie</t>
        </is>
      </c>
    </row>
    <row r="66" outlineLevel="1">
      <c r="A66" s="32" t="n">
        <v>2</v>
      </c>
      <c r="B66" s="32" t="inlineStr">
        <is>
          <t>ABC100-37</t>
        </is>
      </c>
      <c r="C66" s="17" t="inlineStr">
        <is>
          <t xml:space="preserve">        Faja de garantía válvula-cuello</t>
        </is>
      </c>
      <c r="D66" s="32" t="n">
        <v>1</v>
      </c>
      <c r="E66" s="32" t="inlineStr">
        <is>
          <t>u</t>
        </is>
      </c>
      <c r="F66" s="33" t="n">
        <v>0.0004</v>
      </c>
      <c r="G66" s="33">
        <f>D66*F66</f>
        <v/>
      </c>
      <c r="H66" s="32" t="inlineStr">
        <is>
          <t>Vinilo destructible rayado rojo/blanco</t>
        </is>
      </c>
      <c r="I66" s="17" t="inlineStr">
        <is>
          <t>30 × 47 (ancho × largo desarrollado), pegada sobre la unión: cuerpo de la válvula, tuerca y cuello</t>
        </is>
      </c>
      <c r="J66" s="32" t="inlineStr">
        <is>
          <t>Compra</t>
        </is>
      </c>
      <c r="K66" s="32" t="inlineStr">
        <is>
          <t>Sí</t>
        </is>
      </c>
      <c r="L66" s="17" t="inlineStr">
        <is>
          <t>Astuprint</t>
        </is>
      </c>
      <c r="M66" s="17" t="inlineStr">
        <is>
          <t>Multilabel Argentina S.A.</t>
        </is>
      </c>
      <c r="N66" s="17" t="inlineStr">
        <is>
          <t>22 Etiquetado (T07)</t>
        </is>
      </c>
      <c r="O66" s="17" t="inlineStr">
        <is>
          <t>Sin norma: práctica de mercado (garantía de fábrica)</t>
        </is>
      </c>
      <c r="P66" s="32" t="inlineStr">
        <is>
          <t>P</t>
        </is>
      </c>
      <c r="Q66" s="32" t="inlineStr">
        <is>
          <t>FL_DES_ABC_100kg</t>
        </is>
      </c>
      <c r="R66" s="17" t="inlineStr">
        <is>
          <t>nuevo sin abrir</t>
        </is>
      </c>
    </row>
    <row r="67" outlineLevel="1">
      <c r="A67" s="32" t="n">
        <v>2</v>
      </c>
      <c r="B67" s="32" t="inlineStr">
        <is>
          <t>ABC100-38</t>
        </is>
      </c>
      <c r="C67" s="17" t="inlineStr">
        <is>
          <t xml:space="preserve">        Precinto de fábrica</t>
        </is>
      </c>
      <c r="D67" s="32" t="n">
        <v>1</v>
      </c>
      <c r="E67" s="32" t="inlineStr">
        <is>
          <t>u</t>
        </is>
      </c>
      <c r="F67" s="33" t="n">
        <v>0.0002</v>
      </c>
      <c r="G67" s="33">
        <f>D67*F67</f>
        <v/>
      </c>
      <c r="H67" s="32" t="inlineStr">
        <is>
          <t>Polipropileno color</t>
        </is>
      </c>
      <c r="I67" s="17" t="inlineStr">
        <is>
          <t>Ø5 × 10, numerado, rotura 30-50 N</t>
        </is>
      </c>
      <c r="J67" s="32" t="inlineStr">
        <is>
          <t>Compra</t>
        </is>
      </c>
      <c r="K67" s="32" t="inlineStr">
        <is>
          <t>Sí</t>
        </is>
      </c>
      <c r="L67" s="17" t="inlineStr">
        <is>
          <t>SonFuertes (vía Papelera Damián)</t>
        </is>
      </c>
      <c r="M67" s="17" t="inlineStr">
        <is>
          <t>Precinter S.R.L.</t>
        </is>
      </c>
      <c r="N67" s="17" t="inlineStr">
        <is>
          <t>20 Presurización (T05)</t>
        </is>
      </c>
      <c r="O67" s="17" t="inlineStr">
        <is>
          <t>IRAM 3523 3.3.2 · IRAM 3517-2:2020 9.4.13</t>
        </is>
      </c>
      <c r="P67" s="32" t="inlineStr">
        <is>
          <t>P</t>
        </is>
      </c>
      <c r="Q67" s="32" t="inlineStr">
        <is>
          <t>FL_DES_ABC_100kg</t>
        </is>
      </c>
      <c r="R67" s="17" t="inlineStr">
        <is>
          <t>id. FLAMA y lote</t>
        </is>
      </c>
    </row>
    <row r="68">
      <c r="A68" s="29" t="n">
        <v>1</v>
      </c>
      <c r="B68" s="29" t="inlineStr">
        <is>
          <t>ABC100-S7</t>
        </is>
      </c>
      <c r="C68" s="30" t="inlineStr">
        <is>
          <t xml:space="preserve">    Embalaje</t>
        </is>
      </c>
      <c r="D68" s="29" t="n">
        <v>1</v>
      </c>
      <c r="E68" s="29" t="inlineStr">
        <is>
          <t>u</t>
        </is>
      </c>
      <c r="F68" s="31" t="n"/>
      <c r="G68" s="31">
        <f>G71</f>
        <v/>
      </c>
      <c r="H68" s="29" t="n"/>
      <c r="I68" s="30" t="n"/>
      <c r="J68" s="29" t="inlineStr">
        <is>
          <t>Compra</t>
        </is>
      </c>
      <c r="K68" s="29" t="n"/>
      <c r="L68" s="30" t="n"/>
      <c r="M68" s="30" t="n"/>
      <c r="N68" s="30" t="inlineStr">
        <is>
          <t>23 Embalaje -&gt; 24 envolvedora (T11)</t>
        </is>
      </c>
      <c r="O68" s="30" t="n"/>
      <c r="P68" s="29" t="n"/>
      <c r="Q68" s="29" t="n"/>
      <c r="R68" s="30" t="n"/>
    </row>
    <row r="69" outlineLevel="1">
      <c r="A69" s="32" t="n">
        <v>2</v>
      </c>
      <c r="B69" s="32" t="inlineStr">
        <is>
          <t>ABC100-E1</t>
        </is>
      </c>
      <c r="C69" s="17" t="inlineStr">
        <is>
          <t xml:space="preserve">        Esquineros y funda de polietileno</t>
        </is>
      </c>
      <c r="D69" s="32" t="n">
        <v>1</v>
      </c>
      <c r="E69" s="32" t="inlineStr">
        <is>
          <t>jgo</t>
        </is>
      </c>
      <c r="F69" s="33" t="n"/>
      <c r="G69" s="33" t="n"/>
      <c r="H69" s="32" t="inlineStr">
        <is>
          <t>PE / cartón</t>
        </is>
      </c>
      <c r="I69" s="17" t="inlineStr">
        <is>
          <t>a medida de la envolvente del plano</t>
        </is>
      </c>
      <c r="J69" s="32" t="inlineStr">
        <is>
          <t>Compra</t>
        </is>
      </c>
      <c r="K69" s="32" t="inlineStr">
        <is>
          <t>Sí</t>
        </is>
      </c>
      <c r="L69" s="17" t="inlineStr">
        <is>
          <t>MV Embalajes</t>
        </is>
      </c>
      <c r="M69" s="17" t="inlineStr">
        <is>
          <t>Embalpack</t>
        </is>
      </c>
      <c r="N69" s="17" t="inlineStr">
        <is>
          <t>23 Embalaje</t>
        </is>
      </c>
      <c r="O69" s="17" t="n"/>
      <c r="P69" s="32" t="inlineStr">
        <is>
          <t>P</t>
        </is>
      </c>
      <c r="Q69" s="32" t="n"/>
      <c r="R69" s="17" t="inlineStr">
        <is>
          <t>Medida del plano</t>
        </is>
      </c>
    </row>
    <row r="70" outlineLevel="1">
      <c r="A70" s="32" t="n">
        <v>2</v>
      </c>
      <c r="B70" s="32" t="inlineStr">
        <is>
          <t>ABC100-E3</t>
        </is>
      </c>
      <c r="C70" s="17" t="inlineStr">
        <is>
          <t xml:space="preserve">        Pallet 1200 × 1000 (fracción)</t>
        </is>
      </c>
      <c r="D70" s="32" t="n">
        <v>1</v>
      </c>
      <c r="E70" s="32" t="inlineStr">
        <is>
          <t>u</t>
        </is>
      </c>
      <c r="F70" s="33" t="n"/>
      <c r="G70" s="33" t="n"/>
      <c r="H70" s="32" t="inlineStr">
        <is>
          <t>Madera</t>
        </is>
      </c>
      <c r="I70" s="17" t="inlineStr">
        <is>
          <t>1 u por pallet</t>
        </is>
      </c>
      <c r="J70" s="32" t="inlineStr">
        <is>
          <t>Compra</t>
        </is>
      </c>
      <c r="K70" s="32" t="inlineStr">
        <is>
          <t>Sí</t>
        </is>
      </c>
      <c r="L70" s="17" t="inlineStr">
        <is>
          <t>IndusPallets</t>
        </is>
      </c>
      <c r="M70" s="17" t="inlineStr">
        <is>
          <t>-</t>
        </is>
      </c>
      <c r="N70" s="17" t="inlineStr">
        <is>
          <t>23 Embalaje</t>
        </is>
      </c>
      <c r="O70" s="17" t="n"/>
      <c r="P70" s="32" t="inlineStr">
        <is>
          <t>C</t>
        </is>
      </c>
      <c r="Q70" s="32" t="n"/>
      <c r="R70" s="17" t="inlineStr">
        <is>
          <t>u por pallet = acomodo de la caja (plano) en 1200 × 1000 × 1450 de alto</t>
        </is>
      </c>
    </row>
    <row r="71" outlineLevel="1">
      <c r="A71" s="37" t="n">
        <v>2</v>
      </c>
      <c r="B71" s="37" t="inlineStr">
        <is>
          <t>ABC100-E4</t>
        </is>
      </c>
      <c r="C71" s="18" t="inlineStr">
        <is>
          <t xml:space="preserve">        Film stretch (fracción del pallet)</t>
        </is>
      </c>
      <c r="D71" s="37" t="n">
        <v>0.12</v>
      </c>
      <c r="E71" s="37" t="inlineStr">
        <is>
          <t>kg</t>
        </is>
      </c>
      <c r="F71" s="38" t="n">
        <v>1</v>
      </c>
      <c r="G71" s="38">
        <f>D71*F71</f>
        <v/>
      </c>
      <c r="H71" s="37" t="inlineStr">
        <is>
          <t>PE lineal 23 µm</t>
        </is>
      </c>
      <c r="I71" s="18" t="inlineStr">
        <is>
          <t>0,12 kg por pallet / 1 u</t>
        </is>
      </c>
      <c r="J71" s="37" t="inlineStr">
        <is>
          <t>Compra</t>
        </is>
      </c>
      <c r="K71" s="37" t="inlineStr">
        <is>
          <t>Sí</t>
        </is>
      </c>
      <c r="L71" s="18" t="inlineStr">
        <is>
          <t>MV Embalajes</t>
        </is>
      </c>
      <c r="M71" s="18" t="inlineStr">
        <is>
          <t>Embalpack</t>
        </is>
      </c>
      <c r="N71" s="18" t="inlineStr">
        <is>
          <t>24 Envolvedora (T11)</t>
        </is>
      </c>
      <c r="O71" s="18" t="n"/>
      <c r="P71" s="37" t="inlineStr">
        <is>
          <t>C</t>
        </is>
      </c>
      <c r="Q71" s="37" t="n"/>
      <c r="R7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72" outlineLevel="1">
      <c r="A72" s="32" t="n">
        <v>2</v>
      </c>
      <c r="B72" s="32" t="inlineStr">
        <is>
          <t>ABC100-E5</t>
        </is>
      </c>
      <c r="C72" s="17" t="inlineStr">
        <is>
          <t xml:space="preserve">        Etiqueta de pallet (lote y destino, fracción)</t>
        </is>
      </c>
      <c r="D72" s="32" t="n">
        <v>1</v>
      </c>
      <c r="E72" s="32" t="inlineStr">
        <is>
          <t>u</t>
        </is>
      </c>
      <c r="F72" s="33" t="n"/>
      <c r="G72" s="33" t="n"/>
      <c r="H72" s="32" t="inlineStr">
        <is>
          <t>Papel térmico</t>
        </is>
      </c>
      <c r="I72" s="17" t="inlineStr">
        <is>
          <t>100 × 150</t>
        </is>
      </c>
      <c r="J72" s="32" t="inlineStr">
        <is>
          <t>Compra</t>
        </is>
      </c>
      <c r="K72" s="32" t="inlineStr">
        <is>
          <t>Sí</t>
        </is>
      </c>
      <c r="L72" s="17" t="inlineStr">
        <is>
          <t>Astuprint</t>
        </is>
      </c>
      <c r="M72" s="17" t="inlineStr">
        <is>
          <t>Multilabel Argentina S.A.</t>
        </is>
      </c>
      <c r="N72" s="17" t="inlineStr">
        <is>
          <t>24 Envolvedora</t>
        </is>
      </c>
      <c r="O72" s="17" t="n"/>
      <c r="P72" s="32" t="inlineStr">
        <is>
          <t>C</t>
        </is>
      </c>
      <c r="Q72" s="32" t="n"/>
      <c r="R72" s="17" t="n"/>
    </row>
  </sheetData>
  <autoFilter ref="A10:R72"/>
  <pageMargins left="0.75" right="0.75" top="1" bottom="1" header="0.5" footer="0.5"/>
  <pageSetup orientation="landscape" fitToHeight="0" fitToWidth="1"/>
</worksheet>
</file>

<file path=xl/worksheets/sheet33.xml><?xml version="1.0" encoding="utf-8"?>
<worksheet xmlns="http://schemas.openxmlformats.org/spreadsheetml/2006/main">
  <sheetPr>
    <tabColor rgb="001F4E79"/>
    <outlinePr summaryBelow="0" summaryRight="1"/>
    <pageSetUpPr fitToPage="1"/>
  </sheetPr>
  <dimension ref="A1:R35"/>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FL_REC_ABC_1kg</t>
        </is>
      </c>
    </row>
    <row r="2">
      <c r="A2" s="58" t="inlineStr">
        <is>
          <t>Cilindro (recipiente) ABC 1 kg - repuesto vacío sin válvula</t>
        </is>
      </c>
    </row>
    <row r="3">
      <c r="A3" s="2" t="inlineStr">
        <is>
          <t>Plano de origen</t>
        </is>
      </c>
      <c r="C3" t="inlineStr">
        <is>
          <t>FL_REC_ABC_1kg  (recipiente para venta suelta)</t>
        </is>
      </c>
      <c r="E3" s="2" t="inlineStr">
        <is>
          <t>Peso vacío S1-S4 (kg)</t>
        </is>
      </c>
      <c r="G3" s="59">
        <f>G12</f>
        <v/>
      </c>
    </row>
    <row r="4">
      <c r="A4" s="2" t="inlineStr">
        <is>
          <t>Plano de despiece</t>
        </is>
      </c>
      <c r="C4" t="inlineStr">
        <is>
          <t>FL_REC_ABC_1kg hoja 3</t>
        </is>
      </c>
      <c r="E4" s="2" t="inlineStr">
        <is>
          <t>Peso cargado S1-S6 (kg)</t>
        </is>
      </c>
      <c r="G4" s="59">
        <f>G12</f>
        <v/>
      </c>
    </row>
    <row r="5">
      <c r="A5" s="2" t="inlineStr">
        <is>
          <t>Norma del producto</t>
        </is>
      </c>
      <c r="C5" t="inlineStr">
        <is>
          <t>IRAM 3523</t>
        </is>
      </c>
      <c r="E5" s="2" t="inlineStr">
        <is>
          <t>Peso con soporte y embalaje (kg)</t>
        </is>
      </c>
      <c r="G5" s="59">
        <f>G12+G28</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FL_REC_ABC_1kg</t>
        </is>
      </c>
      <c r="C11" s="27" t="inlineStr">
        <is>
          <t>Cilindro (recipiente) ABC 1 kg - repuesto vacío sin válvula</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FL_REC_ABC_1kg</t>
        </is>
      </c>
      <c r="R11" s="27" t="inlineStr">
        <is>
          <t>Fabricación propia</t>
        </is>
      </c>
    </row>
    <row r="12">
      <c r="A12" s="29" t="n">
        <v>1</v>
      </c>
      <c r="B12" s="29" t="inlineStr">
        <is>
          <t>ABC1-S1</t>
        </is>
      </c>
      <c r="C12" s="30" t="inlineStr">
        <is>
          <t xml:space="preserve">    Recipiente (cilindro)</t>
        </is>
      </c>
      <c r="D12" s="29" t="n">
        <v>1</v>
      </c>
      <c r="E12" s="29" t="inlineStr">
        <is>
          <t>u</t>
        </is>
      </c>
      <c r="F12" s="31" t="n"/>
      <c r="G12" s="31">
        <f>G13+G15+G17+G19+G20+G27</f>
        <v/>
      </c>
      <c r="H12" s="29" t="n"/>
      <c r="I12" s="30" t="n"/>
      <c r="J12" s="29" t="inlineStr">
        <is>
          <t>Fabricación</t>
        </is>
      </c>
      <c r="K12" s="29" t="n"/>
      <c r="L12" s="30" t="n"/>
      <c r="M12" s="30" t="n"/>
      <c r="N12" s="30" t="n"/>
      <c r="O12" s="30" t="inlineStr">
        <is>
          <t>IRAM 3523 / 3550 (recipiente)</t>
        </is>
      </c>
      <c r="P12" s="29" t="inlineStr">
        <is>
          <t>P</t>
        </is>
      </c>
      <c r="Q12" s="29" t="inlineStr">
        <is>
          <t>FL_DES_ABC_1kg</t>
        </is>
      </c>
      <c r="R12" s="30" t="n"/>
    </row>
    <row r="13" outlineLevel="1">
      <c r="A13" s="32" t="n">
        <v>2</v>
      </c>
      <c r="B13" s="32" t="inlineStr">
        <is>
          <t>ABC1-01</t>
        </is>
      </c>
      <c r="C13" s="17" t="inlineStr">
        <is>
          <t xml:space="preserve">        Cuerpo (virola)</t>
        </is>
      </c>
      <c r="D13" s="32" t="n">
        <v>1</v>
      </c>
      <c r="E13" s="32" t="inlineStr">
        <is>
          <t>u</t>
        </is>
      </c>
      <c r="F13" s="33" t="n">
        <v>0.6072</v>
      </c>
      <c r="G13" s="33">
        <f>D13*F13</f>
        <v/>
      </c>
      <c r="H13" s="32" t="inlineStr">
        <is>
          <t>Caño c-c LF Ø76,2 e=1,25 (SAE 1010)</t>
        </is>
      </c>
      <c r="I13" s="17" t="inlineStr">
        <is>
          <t>Ø76,2 × e1,25 × 263,4 de alto; desarrollo 235,5 × 263,4</t>
        </is>
      </c>
      <c r="J13" s="32" t="inlineStr">
        <is>
          <t>Fabricación</t>
        </is>
      </c>
      <c r="K13" s="32" t="inlineStr">
        <is>
          <t>No</t>
        </is>
      </c>
      <c r="L13" s="17" t="n"/>
      <c r="M13" s="17" t="n"/>
      <c r="N13" s="17" t="inlineStr">
        <is>
          <t>5 Corte láser de caño (M15/M16) -&gt; 9 encastre -&gt; 10 bordoneado (los dos extremos)</t>
        </is>
      </c>
      <c r="O13" s="17" t="n"/>
      <c r="P13" s="32" t="inlineStr">
        <is>
          <t>P</t>
        </is>
      </c>
      <c r="Q13" s="32" t="inlineStr">
        <is>
          <t>FL_DES_ABC_1kg</t>
        </is>
      </c>
      <c r="R13" s="17" t="inlineStr">
        <is>
          <t>costura long. MAG</t>
        </is>
      </c>
    </row>
    <row r="14" outlineLevel="2">
      <c r="A14" s="34" t="n">
        <v>3</v>
      </c>
      <c r="B14" s="34" t="inlineStr">
        <is>
          <t>MP-CANO</t>
        </is>
      </c>
      <c r="C14" s="35" t="inlineStr">
        <is>
          <t xml:space="preserve">            Caño Ø76,2 × 1,25 (tramo de barra de 6 m)</t>
        </is>
      </c>
      <c r="D14" s="34" t="n">
        <v>0.0435</v>
      </c>
      <c r="E14" s="34" t="inlineStr">
        <is>
          <t>barra</t>
        </is>
      </c>
      <c r="F14" s="36" t="n">
        <v>14.288</v>
      </c>
      <c r="G14" s="36">
        <f>D14*F14</f>
        <v/>
      </c>
      <c r="H14" s="34" t="inlineStr">
        <is>
          <t>Caño acero SAE 1010 con costura</t>
        </is>
      </c>
      <c r="I14" s="35" t="inlineStr">
        <is>
          <t>255 mm por cuerpo; 23 cuerpos por barra (kg por barra)</t>
        </is>
      </c>
      <c r="J14" s="34" t="inlineStr">
        <is>
          <t>Compra</t>
        </is>
      </c>
      <c r="K14" s="34" t="inlineStr">
        <is>
          <t>Sí</t>
        </is>
      </c>
      <c r="L14" s="35" t="inlineStr">
        <is>
          <t>Metalpri / Prilux</t>
        </is>
      </c>
      <c r="M14" s="35" t="inlineStr">
        <is>
          <t>Comercial MID</t>
        </is>
      </c>
      <c r="N14" s="35" t="inlineStr">
        <is>
          <t>AL-1T cantiléver</t>
        </is>
      </c>
      <c r="O14" s="35" t="n"/>
      <c r="P14" s="34" t="inlineStr">
        <is>
          <t>L</t>
        </is>
      </c>
      <c r="Q14" s="34" t="inlineStr">
        <is>
          <t>FL_PI_04 h2</t>
        </is>
      </c>
      <c r="R14" s="35" t="n"/>
    </row>
    <row r="15" outlineLevel="1">
      <c r="A15" s="32" t="n">
        <v>2</v>
      </c>
      <c r="B15" s="32" t="inlineStr">
        <is>
          <t>ABC1-02</t>
        </is>
      </c>
      <c r="C15" s="17" t="inlineStr">
        <is>
          <t xml:space="preserve">        Cúpula</t>
        </is>
      </c>
      <c r="D15" s="32" t="n">
        <v>1</v>
      </c>
      <c r="E15" s="32" t="inlineStr">
        <is>
          <t>u</t>
        </is>
      </c>
      <c r="F15" s="33" t="n">
        <v>0.0335</v>
      </c>
      <c r="G15" s="33">
        <f>D15*F15</f>
        <v/>
      </c>
      <c r="H15" s="32" t="inlineStr">
        <is>
          <t>Chapa LAF IRAM-IAS U 500-05 e=0,9</t>
        </is>
      </c>
      <c r="I15" s="17" t="inlineStr">
        <is>
          <t>Ø76,2 × e0,9 × 12,1 de alto; disco Ø108</t>
        </is>
      </c>
      <c r="J15" s="32" t="inlineStr">
        <is>
          <t>Fabricación</t>
        </is>
      </c>
      <c r="K15" s="32" t="inlineStr">
        <is>
          <t>No</t>
        </is>
      </c>
      <c r="L15" s="17" t="n"/>
      <c r="M15" s="17" t="n"/>
      <c r="N15" s="17" t="inlineStr">
        <is>
          <t>6 Desbobinado + embutido (M06-M08) -&gt; numerado de cúpula (micropercusión, en arco junto al cuello) -&gt; 8 soldadura de cuello</t>
        </is>
      </c>
      <c r="O15" s="17" t="n"/>
      <c r="P15" s="32" t="inlineStr">
        <is>
          <t>P</t>
        </is>
      </c>
      <c r="Q15" s="32" t="inlineStr">
        <is>
          <t>FL_DES_ABC_1kg</t>
        </is>
      </c>
      <c r="R15" s="17" t="inlineStr">
        <is>
          <t>embutida</t>
        </is>
      </c>
    </row>
    <row r="16" outlineLevel="2">
      <c r="A16" s="34" t="n">
        <v>3</v>
      </c>
      <c r="B16" s="34" t="inlineStr">
        <is>
          <t>MP-FLEJE</t>
        </is>
      </c>
      <c r="C16" s="35" t="inlineStr">
        <is>
          <t xml:space="preserve">            Fleje e=0,9 × 114 (paso 111)</t>
        </is>
      </c>
      <c r="D16" s="34" t="n">
        <v>0.111</v>
      </c>
      <c r="E16" s="34" t="inlineStr">
        <is>
          <t>m</t>
        </is>
      </c>
      <c r="F16" s="36" t="n">
        <v>0.805</v>
      </c>
      <c r="G16" s="36">
        <f>D16*F16</f>
        <v/>
      </c>
      <c r="H16" s="34" t="inlineStr">
        <is>
          <t>Fleje SAE 1010</t>
        </is>
      </c>
      <c r="I16" s="35" t="inlineStr">
        <is>
          <t>disco Ø108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ABC1-03</t>
        </is>
      </c>
      <c r="C17" s="17" t="inlineStr">
        <is>
          <t xml:space="preserve">        Fondo</t>
        </is>
      </c>
      <c r="D17" s="32" t="n">
        <v>1</v>
      </c>
      <c r="E17" s="32" t="inlineStr">
        <is>
          <t>u</t>
        </is>
      </c>
      <c r="F17" s="33" t="n">
        <v>0.06619999999999999</v>
      </c>
      <c r="G17" s="33">
        <f>D17*F17</f>
        <v/>
      </c>
      <c r="H17" s="32" t="inlineStr">
        <is>
          <t>Chapa LAF IRAM-IAS U 500-05 e=1,25</t>
        </is>
      </c>
      <c r="I17" s="17" t="inlineStr">
        <is>
          <t>Ø76,2 × e1,25 × 22 de alto; disco Ø100</t>
        </is>
      </c>
      <c r="J17" s="32" t="inlineStr">
        <is>
          <t>Fabricación</t>
        </is>
      </c>
      <c r="K17" s="32" t="inlineStr">
        <is>
          <t>No</t>
        </is>
      </c>
      <c r="L17" s="17" t="n"/>
      <c r="M17" s="17" t="n"/>
      <c r="N17" s="17" t="inlineStr">
        <is>
          <t>6 Desbobinado + embutido (M06-M08)</t>
        </is>
      </c>
      <c r="O17" s="17" t="n"/>
      <c r="P17" s="32" t="inlineStr">
        <is>
          <t>P</t>
        </is>
      </c>
      <c r="Q17" s="32" t="inlineStr">
        <is>
          <t>FL_DES_ABC_1kg</t>
        </is>
      </c>
      <c r="R17" s="17" t="inlineStr">
        <is>
          <t>embutido</t>
        </is>
      </c>
    </row>
    <row r="18" outlineLevel="2">
      <c r="A18" s="34" t="n">
        <v>3</v>
      </c>
      <c r="B18" s="34" t="inlineStr">
        <is>
          <t>MP-FLEJE</t>
        </is>
      </c>
      <c r="C18" s="35" t="inlineStr">
        <is>
          <t xml:space="preserve">            Fleje e=1,25 × 106 (paso 103)</t>
        </is>
      </c>
      <c r="D18" s="34" t="n">
        <v>0.103</v>
      </c>
      <c r="E18" s="34" t="inlineStr">
        <is>
          <t>m</t>
        </is>
      </c>
      <c r="F18" s="36" t="n">
        <v>1.04</v>
      </c>
      <c r="G18" s="36">
        <f>D18*F18</f>
        <v/>
      </c>
      <c r="H18" s="34" t="inlineStr">
        <is>
          <t>Fleje SAE 1010</t>
        </is>
      </c>
      <c r="I18" s="35" t="inlineStr">
        <is>
          <t>disco Ø100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ABC1-04</t>
        </is>
      </c>
      <c r="C19" s="17" t="inlineStr">
        <is>
          <t xml:space="preserve">        Cuello roscado</t>
        </is>
      </c>
      <c r="D19" s="32" t="n">
        <v>1</v>
      </c>
      <c r="E19" s="32" t="inlineStr">
        <is>
          <t>u</t>
        </is>
      </c>
      <c r="F19" s="33" t="n">
        <v>0.0358</v>
      </c>
      <c r="G19" s="33">
        <f>D19*F19</f>
        <v/>
      </c>
      <c r="H19" s="32" t="inlineStr">
        <is>
          <t>Acero SAE 1010</t>
        </is>
      </c>
      <c r="I19" s="17" t="inlineStr">
        <is>
          <t>Ø29 × 12,5 de alto, rosca M22x1,5, asiento Ø26</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FL_DES_ABC_1kg</t>
        </is>
      </c>
      <c r="R19" s="17" t="inlineStr">
        <is>
          <t>M22x1,5</t>
        </is>
      </c>
    </row>
    <row r="20" outlineLevel="1">
      <c r="A20" s="37" t="n">
        <v>2</v>
      </c>
      <c r="B20" s="37" t="inlineStr">
        <is>
          <t>ABC1-C1</t>
        </is>
      </c>
      <c r="C20" s="18" t="inlineStr">
        <is>
          <t xml:space="preserve">        Alambre MAG ER70S-6 Ø0,9 (AWS A5.18)</t>
        </is>
      </c>
      <c r="D20" s="37" t="n">
        <v>0.0146</v>
      </c>
      <c r="E20" s="37" t="inlineStr">
        <is>
          <t>kg</t>
        </is>
      </c>
      <c r="F20" s="38" t="n">
        <v>0.95</v>
      </c>
      <c r="G20" s="38">
        <f>D20*F20</f>
        <v/>
      </c>
      <c r="H20" s="37" t="inlineStr">
        <is>
          <t>ER70S-6</t>
        </is>
      </c>
      <c r="I20" s="18" t="inlineStr">
        <is>
          <t>metal depositado de los cordones del plano 14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ABC1-C2</t>
        </is>
      </c>
      <c r="C21" s="18" t="inlineStr">
        <is>
          <t xml:space="preserve">        Gas de protección MAG Arcal 21 / ARCAL Speed (Ar + 8 % CO₂, M20)</t>
        </is>
      </c>
      <c r="D21" s="37" t="n">
        <v>13.3</v>
      </c>
      <c r="E21" s="37" t="inlineStr">
        <is>
          <t>L</t>
        </is>
      </c>
      <c r="F21" s="38" t="n"/>
      <c r="G21" s="38" t="n"/>
      <c r="H21" s="37" t="inlineStr">
        <is>
          <t>EN ISO 14175 M20-ArC-8</t>
        </is>
      </c>
      <c r="I21" s="18" t="inlineStr">
        <is>
          <t>14 L/min × 0,95 min de arco (cordones 570 mm: long. 0 + circ. 479 + cuello 91,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9" t="n">
        <v>2</v>
      </c>
      <c r="B22" s="39" t="inlineStr">
        <is>
          <t>ABC1-C3</t>
        </is>
      </c>
      <c r="C22" s="19" t="inlineStr">
        <is>
          <t xml:space="preserve">        Granalla de acero S330 / S390 (ISO 11124-3, SAE J444)</t>
        </is>
      </c>
      <c r="D22" s="39" t="n">
        <v>0.08</v>
      </c>
      <c r="E22" s="39" t="inlineStr">
        <is>
          <t>kg</t>
        </is>
      </c>
      <c r="F22" s="40" t="n"/>
      <c r="G22" s="40" t="n"/>
      <c r="H22" s="39" t="inlineStr">
        <is>
          <t>Granalla esférica alto C</t>
        </is>
      </c>
      <c r="I22" s="19" t="inlineStr">
        <is>
          <t>0,073 m² a Sa 2½ (ISO 8501-1); 3,4 kg/h ÷ 42,5 u/h</t>
        </is>
      </c>
      <c r="J22" s="39" t="inlineStr">
        <is>
          <t>Compra</t>
        </is>
      </c>
      <c r="K22" s="39" t="inlineStr">
        <is>
          <t>Sí</t>
        </is>
      </c>
      <c r="L22" s="19" t="inlineStr">
        <is>
          <t>CyM Materiales</t>
        </is>
      </c>
      <c r="M22" s="19" t="inlineStr">
        <is>
          <t>Roca Ingeniería</t>
        </is>
      </c>
      <c r="N22" s="19" t="inlineStr">
        <is>
          <t>14 Granallado (B08)</t>
        </is>
      </c>
      <c r="O22" s="19" t="inlineStr">
        <is>
          <t>DOC-01</t>
        </is>
      </c>
      <c r="P22" s="39" t="inlineStr">
        <is>
          <t>C</t>
        </is>
      </c>
      <c r="Q22" s="39" t="n"/>
      <c r="R22" s="19" t="inlineStr">
        <is>
          <t>Consumo (desgaste) por turbina ≈ HP / 2 lb/h (The Fabricator, «aspectos básicos del granallado por turbina»): G-100 con 2 × 7,5 HP = 7,5 lb/h = 3,4 kg/h; ritmo 340 u por turno (Getweld) = 42,5 u/h. OJO: Ø76,2 fuera del rango de la Airblast G-100 (Ø80-200): definir soporte o equipo</t>
        </is>
      </c>
    </row>
    <row r="23" outlineLevel="1">
      <c r="A23" s="32" t="n">
        <v>2</v>
      </c>
      <c r="B23" s="32" t="inlineStr">
        <is>
          <t>ABC1-C4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0,073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outlineLevel="1">
      <c r="A24" s="39" t="n">
        <v>2</v>
      </c>
      <c r="B24" s="39" t="inlineStr">
        <is>
          <t>ABC1-T1</t>
        </is>
      </c>
      <c r="C24" s="19" t="inlineStr">
        <is>
          <t xml:space="preserve">        Tapón protector de rosca del cuello</t>
        </is>
      </c>
      <c r="D24" s="39" t="n">
        <v>1</v>
      </c>
      <c r="E24" s="39" t="inlineStr">
        <is>
          <t>u</t>
        </is>
      </c>
      <c r="F24" s="40" t="n"/>
      <c r="G24" s="40" t="n"/>
      <c r="H24" s="39" t="inlineStr">
        <is>
          <t>Polietileno</t>
        </is>
      </c>
      <c r="I24" s="19" t="inlineStr">
        <is>
          <t>para rosca M22x1,5 (plano FL_REC_ABC_1kg hoja 3, R4)</t>
        </is>
      </c>
      <c r="J24" s="39" t="inlineStr">
        <is>
          <t>Compra</t>
        </is>
      </c>
      <c r="K24" s="39" t="inlineStr">
        <is>
          <t>Sí</t>
        </is>
      </c>
      <c r="L24" s="19" t="inlineStr">
        <is>
          <t>-</t>
        </is>
      </c>
      <c r="M24" s="19" t="inlineStr">
        <is>
          <t>-</t>
        </is>
      </c>
      <c r="N24" s="19" t="inlineStr">
        <is>
          <t>Embalaje</t>
        </is>
      </c>
      <c r="O24" s="19" t="n"/>
      <c r="P24" s="39" t="inlineStr">
        <is>
          <t>P</t>
        </is>
      </c>
      <c r="Q24" s="39" t="n"/>
      <c r="R24" s="19" t="n"/>
    </row>
    <row r="25" outlineLevel="1">
      <c r="A25" s="32" t="n">
        <v>2</v>
      </c>
      <c r="B25" s="32" t="inlineStr">
        <is>
          <t>ABC1-T2</t>
        </is>
      </c>
      <c r="C25" s="17" t="inlineStr">
        <is>
          <t xml:space="preserve">        Marcado del recipiente: estampado en la cúpula, en arco junto al cuello (puesto de numerado de cúpula)</t>
        </is>
      </c>
      <c r="D25" s="32" t="n">
        <v>1</v>
      </c>
      <c r="E25" s="32" t="inlineStr">
        <is>
          <t>u</t>
        </is>
      </c>
      <c r="F25" s="33" t="n"/>
      <c r="G25" s="33" t="n"/>
      <c r="H25" s="32" t="inlineStr">
        <is>
          <t>-</t>
        </is>
      </c>
      <c r="I25" s="17" t="inlineStr">
        <is>
          <t>Fabricante, n° de serie, año; en arco junto al cuello, letra 5 mm; cuño DPS 15 × 7 junto al n°</t>
        </is>
      </c>
      <c r="J25" s="32" t="inlineStr">
        <is>
          <t>Proceso</t>
        </is>
      </c>
      <c r="K25" s="32" t="inlineStr">
        <is>
          <t>No</t>
        </is>
      </c>
      <c r="L25" s="17" t="n"/>
      <c r="M25" s="17" t="n"/>
      <c r="N25" s="17" t="inlineStr">
        <is>
          <t>Marcado</t>
        </is>
      </c>
      <c r="O25" s="17" t="inlineStr">
        <is>
          <t>IRAM 3523 5.1 · Res. 349/07 anexo IV</t>
        </is>
      </c>
      <c r="P25" s="32" t="inlineStr">
        <is>
          <t>N</t>
        </is>
      </c>
      <c r="Q25" s="32" t="n"/>
      <c r="R25" s="17" t="n"/>
    </row>
    <row r="26" outlineLevel="1">
      <c r="A26" s="32" t="n">
        <v>2</v>
      </c>
      <c r="B26" s="32" t="inlineStr">
        <is>
          <t>ABC1-T3</t>
        </is>
      </c>
      <c r="C26" s="17" t="inlineStr">
        <is>
          <t xml:space="preserve">        Etiqueta de identificación del cilindro suelto</t>
        </is>
      </c>
      <c r="D26" s="32" t="n">
        <v>1</v>
      </c>
      <c r="E26" s="32" t="inlineStr">
        <is>
          <t>u</t>
        </is>
      </c>
      <c r="F26" s="33" t="n"/>
      <c r="G26" s="33" t="n"/>
      <c r="H26" s="32" t="inlineStr">
        <is>
          <t>Poliéster autoadhesivo removible</t>
        </is>
      </c>
      <c r="I26" s="17" t="inlineStr">
        <is>
          <t>100 × 60, impresión térmica, QR GS1</t>
        </is>
      </c>
      <c r="J26" s="32" t="inlineStr">
        <is>
          <t>Compra</t>
        </is>
      </c>
      <c r="K26" s="32" t="inlineStr">
        <is>
          <t>Sí</t>
        </is>
      </c>
      <c r="L26" s="17" t="inlineStr">
        <is>
          <t>Astuprint</t>
        </is>
      </c>
      <c r="M26" s="17" t="inlineStr">
        <is>
          <t>GS1 Argentina</t>
        </is>
      </c>
      <c r="N26" s="17" t="inlineStr">
        <is>
          <t>Etiquetado</t>
        </is>
      </c>
      <c r="O26" s="17" t="n"/>
      <c r="P26" s="32" t="inlineStr">
        <is>
          <t>P</t>
        </is>
      </c>
      <c r="Q26" s="32" t="inlineStr">
        <is>
          <t>FL_REC_ABC_1kg hoja 3</t>
        </is>
      </c>
      <c r="R26" s="17" t="n"/>
    </row>
    <row r="27" outlineLevel="1">
      <c r="A27" s="32" t="n">
        <v>2</v>
      </c>
      <c r="B27" s="32" t="inlineStr">
        <is>
          <t>ABC1-T4</t>
        </is>
      </c>
      <c r="C27" s="17" t="inlineStr">
        <is>
          <t xml:space="preserve">        Protocolo de ensayo hidrostático (certificado que acompaña)</t>
        </is>
      </c>
      <c r="D27" s="32" t="n">
        <v>1</v>
      </c>
      <c r="E27" s="32" t="inlineStr">
        <is>
          <t>u</t>
        </is>
      </c>
      <c r="F27" s="33" t="n">
        <v>0.005</v>
      </c>
      <c r="G27" s="33">
        <f>D27*F27</f>
        <v/>
      </c>
      <c r="H27" s="32" t="inlineStr">
        <is>
          <t>Papel</t>
        </is>
      </c>
      <c r="I27" s="17" t="inlineStr">
        <is>
          <t>A5</t>
        </is>
      </c>
      <c r="J27" s="32" t="inlineStr">
        <is>
          <t>Proceso</t>
        </is>
      </c>
      <c r="K27" s="32" t="inlineStr">
        <is>
          <t>No</t>
        </is>
      </c>
      <c r="L27" s="17" t="n"/>
      <c r="M27" s="17" t="n"/>
      <c r="N27" s="17" t="inlineStr">
        <is>
          <t>Control de calidad</t>
        </is>
      </c>
      <c r="O27" s="17" t="inlineStr">
        <is>
          <t>IRAM 3523 4.1 y cap. 6 · IRAM 2587</t>
        </is>
      </c>
      <c r="P27" s="32" t="inlineStr">
        <is>
          <t>N</t>
        </is>
      </c>
      <c r="Q27" s="32" t="inlineStr">
        <is>
          <t>FL_REC_ABC_1kg hoja 3</t>
        </is>
      </c>
      <c r="R27" s="17" t="n"/>
    </row>
    <row r="28">
      <c r="A28" s="29" t="n">
        <v>1</v>
      </c>
      <c r="B28" s="29" t="inlineStr">
        <is>
          <t>ABC1-S7</t>
        </is>
      </c>
      <c r="C28" s="30" t="inlineStr">
        <is>
          <t xml:space="preserve">    Embalaje</t>
        </is>
      </c>
      <c r="D28" s="29" t="n">
        <v>1</v>
      </c>
      <c r="E28" s="29" t="inlineStr">
        <is>
          <t>u</t>
        </is>
      </c>
      <c r="F28" s="31" t="n"/>
      <c r="G28" s="31">
        <f>G31</f>
        <v/>
      </c>
      <c r="H28" s="29" t="n"/>
      <c r="I28" s="30" t="n"/>
      <c r="J28" s="29" t="inlineStr">
        <is>
          <t>Compra</t>
        </is>
      </c>
      <c r="K28" s="29" t="n"/>
      <c r="L28" s="30" t="n"/>
      <c r="M28" s="30" t="n"/>
      <c r="N28" s="30" t="inlineStr">
        <is>
          <t>23 Embalaje -&gt; 24 envolvedora (T11)</t>
        </is>
      </c>
      <c r="O28" s="30" t="n"/>
      <c r="P28" s="29" t="n"/>
      <c r="Q28" s="29" t="n"/>
      <c r="R28" s="30" t="n"/>
    </row>
    <row r="29" outlineLevel="1">
      <c r="A29" s="32" t="n">
        <v>2</v>
      </c>
      <c r="B29" s="32" t="inlineStr">
        <is>
          <t>ABC1-E1</t>
        </is>
      </c>
      <c r="C29" s="17" t="inlineStr">
        <is>
          <t xml:space="preserve">        Caja de cartón corrugado simple</t>
        </is>
      </c>
      <c r="D29" s="32" t="n">
        <v>1</v>
      </c>
      <c r="E29" s="32" t="inlineStr">
        <is>
          <t>u</t>
        </is>
      </c>
      <c r="F29" s="33" t="n"/>
      <c r="G29" s="33" t="n"/>
      <c r="H29" s="32" t="inlineStr">
        <is>
          <t>Cartón corrugado</t>
        </is>
      </c>
      <c r="I29" s="17" t="inlineStr">
        <is>
          <t>106 × 106 × 318 interior (envolvente del plano + 15 por lado)</t>
        </is>
      </c>
      <c r="J29" s="32" t="inlineStr">
        <is>
          <t>Compra</t>
        </is>
      </c>
      <c r="K29" s="32" t="inlineStr">
        <is>
          <t>Sí</t>
        </is>
      </c>
      <c r="L29" s="17" t="inlineStr">
        <is>
          <t>Maxipack</t>
        </is>
      </c>
      <c r="M29" s="17" t="inlineStr">
        <is>
          <t>Cartocan</t>
        </is>
      </c>
      <c r="N29" s="17" t="inlineStr">
        <is>
          <t>23 Embalaje</t>
        </is>
      </c>
      <c r="O29" s="17" t="n"/>
      <c r="P29" s="32" t="inlineStr">
        <is>
          <t>P</t>
        </is>
      </c>
      <c r="Q29" s="32" t="n"/>
      <c r="R29" s="17" t="inlineStr">
        <is>
          <t>Medida del plano</t>
        </is>
      </c>
    </row>
    <row r="30" outlineLevel="1">
      <c r="A30" s="32" t="n">
        <v>2</v>
      </c>
      <c r="B30" s="32" t="inlineStr">
        <is>
          <t>ABC1-E3</t>
        </is>
      </c>
      <c r="C30" s="17" t="inlineStr">
        <is>
          <t xml:space="preserve">        Pallet 1200 × 1000 (fracción)</t>
        </is>
      </c>
      <c r="D30" s="32" t="n">
        <v>0.0025</v>
      </c>
      <c r="E30" s="32" t="inlineStr">
        <is>
          <t>u</t>
        </is>
      </c>
      <c r="F30" s="33" t="n"/>
      <c r="G30" s="33" t="n"/>
      <c r="H30" s="32" t="inlineStr">
        <is>
          <t>Madera</t>
        </is>
      </c>
      <c r="I30" s="17" t="inlineStr">
        <is>
          <t>396 u por pallet</t>
        </is>
      </c>
      <c r="J30" s="32" t="inlineStr">
        <is>
          <t>Compra</t>
        </is>
      </c>
      <c r="K30" s="32" t="inlineStr">
        <is>
          <t>Sí</t>
        </is>
      </c>
      <c r="L30" s="17" t="inlineStr">
        <is>
          <t>IndusPallets</t>
        </is>
      </c>
      <c r="M30" s="17" t="inlineStr">
        <is>
          <t>-</t>
        </is>
      </c>
      <c r="N30" s="17" t="inlineStr">
        <is>
          <t>23 Embalaje</t>
        </is>
      </c>
      <c r="O30" s="17" t="n"/>
      <c r="P30" s="32" t="inlineStr">
        <is>
          <t>C</t>
        </is>
      </c>
      <c r="Q30" s="32" t="n"/>
      <c r="R30" s="17" t="inlineStr">
        <is>
          <t>u por pallet = acomodo de la caja (plano) en 1200 × 1000 × 1450 de alto</t>
        </is>
      </c>
    </row>
    <row r="31" outlineLevel="1">
      <c r="A31" s="37" t="n">
        <v>2</v>
      </c>
      <c r="B31" s="37" t="inlineStr">
        <is>
          <t>ABC1-E4</t>
        </is>
      </c>
      <c r="C31" s="18" t="inlineStr">
        <is>
          <t xml:space="preserve">        Film stretch (fracción del pallet)</t>
        </is>
      </c>
      <c r="D31" s="37" t="n">
        <v>0.0003</v>
      </c>
      <c r="E31" s="37" t="inlineStr">
        <is>
          <t>kg</t>
        </is>
      </c>
      <c r="F31" s="38" t="n">
        <v>1</v>
      </c>
      <c r="G31" s="38">
        <f>D31*F31</f>
        <v/>
      </c>
      <c r="H31" s="37" t="inlineStr">
        <is>
          <t>PE lineal 23 µm</t>
        </is>
      </c>
      <c r="I31" s="18" t="inlineStr">
        <is>
          <t>0,12 kg por pallet / 396 u</t>
        </is>
      </c>
      <c r="J31" s="37" t="inlineStr">
        <is>
          <t>Compra</t>
        </is>
      </c>
      <c r="K31" s="37" t="inlineStr">
        <is>
          <t>Sí</t>
        </is>
      </c>
      <c r="L31" s="18" t="inlineStr">
        <is>
          <t>MV Embalajes</t>
        </is>
      </c>
      <c r="M31" s="18" t="inlineStr">
        <is>
          <t>Embalpack</t>
        </is>
      </c>
      <c r="N31" s="18" t="inlineStr">
        <is>
          <t>24 Envolvedora (T11)</t>
        </is>
      </c>
      <c r="O31" s="18" t="n"/>
      <c r="P31" s="37" t="inlineStr">
        <is>
          <t>C</t>
        </is>
      </c>
      <c r="Q31" s="37" t="n"/>
      <c r="R3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2" outlineLevel="1">
      <c r="A32" s="32" t="n">
        <v>2</v>
      </c>
      <c r="B32" s="32" t="inlineStr">
        <is>
          <t>ABC1-E5</t>
        </is>
      </c>
      <c r="C32" s="17" t="inlineStr">
        <is>
          <t xml:space="preserve">        Etiqueta de pallet (lote y destino, fracción)</t>
        </is>
      </c>
      <c r="D32" s="32" t="n">
        <v>0.0025</v>
      </c>
      <c r="E32" s="32" t="inlineStr">
        <is>
          <t>u</t>
        </is>
      </c>
      <c r="F32" s="33" t="n"/>
      <c r="G32" s="33" t="n"/>
      <c r="H32" s="32" t="inlineStr">
        <is>
          <t>Papel térmico</t>
        </is>
      </c>
      <c r="I32" s="17" t="inlineStr">
        <is>
          <t>100 × 150</t>
        </is>
      </c>
      <c r="J32" s="32" t="inlineStr">
        <is>
          <t>Compra</t>
        </is>
      </c>
      <c r="K32" s="32" t="inlineStr">
        <is>
          <t>Sí</t>
        </is>
      </c>
      <c r="L32" s="17" t="inlineStr">
        <is>
          <t>Astuprint</t>
        </is>
      </c>
      <c r="M32" s="17" t="inlineStr">
        <is>
          <t>Multilabel Argentina S.A.</t>
        </is>
      </c>
      <c r="N32" s="17" t="inlineStr">
        <is>
          <t>24 Envolvedora</t>
        </is>
      </c>
      <c r="O32" s="17" t="n"/>
      <c r="P32" s="32" t="inlineStr">
        <is>
          <t>C</t>
        </is>
      </c>
      <c r="Q32" s="32" t="n"/>
      <c r="R32" s="17" t="n"/>
    </row>
    <row r="33" outlineLevel="1">
      <c r="A33" s="37" t="n">
        <v>2</v>
      </c>
      <c r="B33" s="37" t="inlineStr">
        <is>
          <t>ABC1-E6</t>
        </is>
      </c>
      <c r="C33" s="18" t="inlineStr">
        <is>
          <t xml:space="preserve">        Cinta de embalaje PP 48 mm (cierre de la caja)</t>
        </is>
      </c>
      <c r="D33" s="37" t="n">
        <v>0.492</v>
      </c>
      <c r="E33" s="37" t="inlineStr">
        <is>
          <t>m</t>
        </is>
      </c>
      <c r="F33" s="38" t="n"/>
      <c r="G33" s="38" t="n"/>
      <c r="H33" s="37" t="inlineStr">
        <is>
          <t>Polipropileno con adhesivo acrílico</t>
        </is>
      </c>
      <c r="I33" s="18" t="inlineStr">
        <is>
          <t>cierre en I arriba y abajo: 2 × (106 + 2 × 70 de solapa)</t>
        </is>
      </c>
      <c r="J33" s="37" t="inlineStr">
        <is>
          <t>Compra</t>
        </is>
      </c>
      <c r="K33" s="37" t="inlineStr">
        <is>
          <t>Sí</t>
        </is>
      </c>
      <c r="L33" s="18" t="inlineStr">
        <is>
          <t>MV Embalajes</t>
        </is>
      </c>
      <c r="M33" s="18" t="inlineStr">
        <is>
          <t>Embalpack</t>
        </is>
      </c>
      <c r="N33" s="18" t="inlineStr">
        <is>
          <t>23 Embalaje</t>
        </is>
      </c>
      <c r="O33" s="18" t="n"/>
      <c r="P33" s="37" t="inlineStr">
        <is>
          <t>C</t>
        </is>
      </c>
      <c r="Q33" s="37" t="n"/>
      <c r="R33" s="18" t="inlineStr">
        <is>
          <t>Solapa de 70 mm por lado: práctica de cierre de cajas (medir en la línea)</t>
        </is>
      </c>
    </row>
    <row r="34" outlineLevel="1">
      <c r="A34" s="32" t="n">
        <v>2</v>
      </c>
      <c r="B34" s="32" t="inlineStr">
        <is>
          <t>ABC1-E7</t>
        </is>
      </c>
      <c r="C34" s="17" t="inlineStr">
        <is>
          <t xml:space="preserve">        Esquineros de cartón 50 × 50 × 1200 (fracción del pallet)</t>
        </is>
      </c>
      <c r="D34" s="32" t="n">
        <v>0.0101</v>
      </c>
      <c r="E34" s="32" t="inlineStr">
        <is>
          <t>u</t>
        </is>
      </c>
      <c r="F34" s="33" t="n"/>
      <c r="G34" s="33" t="n"/>
      <c r="H34" s="32" t="inlineStr">
        <is>
          <t>Cartón</t>
        </is>
      </c>
      <c r="I34" s="17" t="inlineStr">
        <is>
          <t>4 por pallet / 396 u</t>
        </is>
      </c>
      <c r="J34" s="32" t="inlineStr">
        <is>
          <t>Compra</t>
        </is>
      </c>
      <c r="K34" s="32" t="inlineStr">
        <is>
          <t>Sí</t>
        </is>
      </c>
      <c r="L34" s="17" t="inlineStr">
        <is>
          <t>Maxipack</t>
        </is>
      </c>
      <c r="M34" s="17" t="inlineStr">
        <is>
          <t>Cartocan</t>
        </is>
      </c>
      <c r="N34" s="17" t="inlineStr">
        <is>
          <t>24 Envolvedora (T11)</t>
        </is>
      </c>
      <c r="O34" s="17" t="n"/>
      <c r="P34" s="32" t="inlineStr">
        <is>
          <t>C</t>
        </is>
      </c>
      <c r="Q34" s="32" t="n"/>
      <c r="R34" s="17" t="inlineStr">
        <is>
          <t>Planilla MP-64</t>
        </is>
      </c>
    </row>
    <row r="35" outlineLevel="1">
      <c r="A35" s="32" t="n">
        <v>2</v>
      </c>
      <c r="B35" s="32" t="inlineStr">
        <is>
          <t>ABC1-E8</t>
        </is>
      </c>
      <c r="C35" s="17" t="inlineStr">
        <is>
          <t xml:space="preserve">        Separador de capa de cartón 1200 × 1000 (fracción del pallet)</t>
        </is>
      </c>
      <c r="D35" s="32" t="n">
        <v>0.0076</v>
      </c>
      <c r="E35" s="32" t="inlineStr">
        <is>
          <t>u</t>
        </is>
      </c>
      <c r="F35" s="33" t="n"/>
      <c r="G35" s="33" t="n"/>
      <c r="H35" s="32" t="inlineStr">
        <is>
          <t>Cartón</t>
        </is>
      </c>
      <c r="I35" s="17" t="inlineStr">
        <is>
          <t>4 capas → 3 separadores por pallet / 396 u</t>
        </is>
      </c>
      <c r="J35" s="32" t="inlineStr">
        <is>
          <t>Compra</t>
        </is>
      </c>
      <c r="K35" s="32" t="inlineStr">
        <is>
          <t>Sí</t>
        </is>
      </c>
      <c r="L35" s="17" t="inlineStr">
        <is>
          <t>Maxipack</t>
        </is>
      </c>
      <c r="M35" s="17" t="inlineStr">
        <is>
          <t>Cartocan</t>
        </is>
      </c>
      <c r="N35" s="17" t="inlineStr">
        <is>
          <t>23 Embalaje</t>
        </is>
      </c>
      <c r="O35" s="17" t="n"/>
      <c r="P35" s="32" t="inlineStr">
        <is>
          <t>C</t>
        </is>
      </c>
      <c r="Q35" s="32" t="n"/>
      <c r="R35" s="17" t="inlineStr">
        <is>
          <t>Planilla MP-61</t>
        </is>
      </c>
    </row>
  </sheetData>
  <autoFilter ref="A10:R35"/>
  <pageMargins left="0.75" right="0.75" top="1" bottom="1" header="0.5" footer="0.5"/>
  <pageSetup orientation="landscape" fitToHeight="0" fitToWidth="1"/>
</worksheet>
</file>

<file path=xl/worksheets/sheet34.xml><?xml version="1.0" encoding="utf-8"?>
<worksheet xmlns="http://schemas.openxmlformats.org/spreadsheetml/2006/main">
  <sheetPr>
    <tabColor rgb="001F4E79"/>
    <outlinePr summaryBelow="0" summaryRight="1"/>
    <pageSetUpPr fitToPage="1"/>
  </sheetPr>
  <dimension ref="A1:R35"/>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FL_REC_ABC_2.5kg</t>
        </is>
      </c>
    </row>
    <row r="2">
      <c r="A2" s="58" t="inlineStr">
        <is>
          <t>Cilindro (recipiente) ABC 2,5 kg - repuesto vacío sin válvula</t>
        </is>
      </c>
    </row>
    <row r="3">
      <c r="A3" s="2" t="inlineStr">
        <is>
          <t>Plano de origen</t>
        </is>
      </c>
      <c r="C3" t="inlineStr">
        <is>
          <t>FL_REC_ABC_2.5kg  (recipiente para venta suelta)</t>
        </is>
      </c>
      <c r="E3" s="2" t="inlineStr">
        <is>
          <t>Peso vacío S1-S4 (kg)</t>
        </is>
      </c>
      <c r="G3" s="59">
        <f>G12</f>
        <v/>
      </c>
    </row>
    <row r="4">
      <c r="A4" s="2" t="inlineStr">
        <is>
          <t>Plano de despiece</t>
        </is>
      </c>
      <c r="C4" t="inlineStr">
        <is>
          <t>FL_REC_ABC_2.5kg hoja 3</t>
        </is>
      </c>
      <c r="E4" s="2" t="inlineStr">
        <is>
          <t>Peso cargado S1-S6 (kg)</t>
        </is>
      </c>
      <c r="G4" s="59">
        <f>G12</f>
        <v/>
      </c>
    </row>
    <row r="5">
      <c r="A5" s="2" t="inlineStr">
        <is>
          <t>Norma del producto</t>
        </is>
      </c>
      <c r="C5" t="inlineStr">
        <is>
          <t>IRAM 3523</t>
        </is>
      </c>
      <c r="E5" s="2" t="inlineStr">
        <is>
          <t>Peso con soporte y embalaje (kg)</t>
        </is>
      </c>
      <c r="G5" s="59">
        <f>G12+G28</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FL_REC_ABC_2.5kg</t>
        </is>
      </c>
      <c r="C11" s="27" t="inlineStr">
        <is>
          <t>Cilindro (recipiente) ABC 2,5 kg - repuesto vacío sin válvula</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FL_REC_ABC_2.5kg</t>
        </is>
      </c>
      <c r="R11" s="27" t="inlineStr">
        <is>
          <t>Fabricación propia</t>
        </is>
      </c>
    </row>
    <row r="12">
      <c r="A12" s="29" t="n">
        <v>1</v>
      </c>
      <c r="B12" s="29" t="inlineStr">
        <is>
          <t>ABC2.5-S1</t>
        </is>
      </c>
      <c r="C12" s="30" t="inlineStr">
        <is>
          <t xml:space="preserve">    Recipiente (cilindro)</t>
        </is>
      </c>
      <c r="D12" s="29" t="n">
        <v>1</v>
      </c>
      <c r="E12" s="29" t="inlineStr">
        <is>
          <t>u</t>
        </is>
      </c>
      <c r="F12" s="31" t="n"/>
      <c r="G12" s="31">
        <f>G13+G15+G17+G19+G20+G27</f>
        <v/>
      </c>
      <c r="H12" s="29" t="n"/>
      <c r="I12" s="30" t="n"/>
      <c r="J12" s="29" t="inlineStr">
        <is>
          <t>Fabricación</t>
        </is>
      </c>
      <c r="K12" s="29" t="n"/>
      <c r="L12" s="30" t="n"/>
      <c r="M12" s="30" t="n"/>
      <c r="N12" s="30" t="n"/>
      <c r="O12" s="30" t="inlineStr">
        <is>
          <t>IRAM 3523 / 3550 (recipiente)</t>
        </is>
      </c>
      <c r="P12" s="29" t="inlineStr">
        <is>
          <t>P</t>
        </is>
      </c>
      <c r="Q12" s="29" t="inlineStr">
        <is>
          <t>FL_DES_ABC_2.5kg</t>
        </is>
      </c>
      <c r="R12" s="30" t="n"/>
    </row>
    <row r="13" outlineLevel="1">
      <c r="A13" s="32" t="n">
        <v>2</v>
      </c>
      <c r="B13" s="32" t="inlineStr">
        <is>
          <t>ABC2.5-01</t>
        </is>
      </c>
      <c r="C13" s="17" t="inlineStr">
        <is>
          <t xml:space="preserve">        Cuerpo (virola)</t>
        </is>
      </c>
      <c r="D13" s="32" t="n">
        <v>1</v>
      </c>
      <c r="E13" s="32" t="inlineStr">
        <is>
          <t>u</t>
        </is>
      </c>
      <c r="F13" s="33" t="n">
        <v>1.011</v>
      </c>
      <c r="G13" s="33">
        <f>D13*F13</f>
        <v/>
      </c>
      <c r="H13" s="32" t="inlineStr">
        <is>
          <t>Chapa LAF IRAM-IAS U 500-05 e=1,25</t>
        </is>
      </c>
      <c r="I13" s="17" t="inlineStr">
        <is>
          <t>Ø124 × e1,25 × 267,4 de alto; desarrollo 385,6 × 267,4</t>
        </is>
      </c>
      <c r="J13" s="32" t="inlineStr">
        <is>
          <t>Fabricación</t>
        </is>
      </c>
      <c r="K13" s="32" t="inlineStr">
        <is>
          <t>No</t>
        </is>
      </c>
      <c r="L13" s="17" t="n"/>
      <c r="M13" s="17" t="n"/>
      <c r="N13" s="17" t="inlineStr">
        <is>
          <t>1 Guillotina -&gt; 3 cilindrado -&gt; 4 soldadura longitudinal -&gt; 9 encastre del fondo -&gt; 10 bordoneado</t>
        </is>
      </c>
      <c r="O13" s="17" t="n"/>
      <c r="P13" s="32" t="inlineStr">
        <is>
          <t>P</t>
        </is>
      </c>
      <c r="Q13" s="32" t="inlineStr">
        <is>
          <t>FL_DES_ABC_2.5kg</t>
        </is>
      </c>
      <c r="R13" s="17" t="inlineStr">
        <is>
          <t>costura long. MAG</t>
        </is>
      </c>
    </row>
    <row r="14" outlineLevel="2">
      <c r="A14" s="34" t="n">
        <v>3</v>
      </c>
      <c r="B14" s="34" t="inlineStr">
        <is>
          <t>MP-HOJA</t>
        </is>
      </c>
      <c r="C14" s="35" t="inlineStr">
        <is>
          <t xml:space="preserve">            Recorte de hoja LAF 1220 × 2440 e=1,25</t>
        </is>
      </c>
      <c r="D14" s="34" t="n">
        <v>1</v>
      </c>
      <c r="E14" s="34" t="inlineStr">
        <is>
          <t>u</t>
        </is>
      </c>
      <c r="F14" s="36" t="n">
        <v>1.082</v>
      </c>
      <c r="G14" s="36">
        <f>D14*F14</f>
        <v/>
      </c>
      <c r="H14" s="34" t="inlineStr">
        <is>
          <t>Chapa LAF IRAM-IAS U 500-05 LAF</t>
        </is>
      </c>
      <c r="I14" s="35" t="inlineStr">
        <is>
          <t>385,5 × 269,5 (aprovech. 94,2 %)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ABC2.5-02</t>
        </is>
      </c>
      <c r="C15" s="17" t="inlineStr">
        <is>
          <t xml:space="preserve">        Cúpula</t>
        </is>
      </c>
      <c r="D15" s="32" t="n">
        <v>1</v>
      </c>
      <c r="E15" s="32" t="inlineStr">
        <is>
          <t>u</t>
        </is>
      </c>
      <c r="F15" s="33" t="n">
        <v>0.1734</v>
      </c>
      <c r="G15" s="33">
        <f>D15*F15</f>
        <v/>
      </c>
      <c r="H15" s="32" t="inlineStr">
        <is>
          <t>Chapa LAF IRAM-IAS U 500-05 e=1,25</t>
        </is>
      </c>
      <c r="I15" s="17" t="inlineStr">
        <is>
          <t>Ø124 × e1,25 × 38,1 de alto; disco Ø179</t>
        </is>
      </c>
      <c r="J15" s="32" t="inlineStr">
        <is>
          <t>Fabricación</t>
        </is>
      </c>
      <c r="K15" s="32" t="inlineStr">
        <is>
          <t>No</t>
        </is>
      </c>
      <c r="L15" s="17" t="n"/>
      <c r="M15" s="17" t="n"/>
      <c r="N15" s="17" t="inlineStr">
        <is>
          <t>6 Desbobinado + embutido (M06-M08) -&gt; numerado de cúpula (micropercusión, en arco junto al cuello) -&gt; 8 soldadura de cuello</t>
        </is>
      </c>
      <c r="O15" s="17" t="n"/>
      <c r="P15" s="32" t="inlineStr">
        <is>
          <t>P</t>
        </is>
      </c>
      <c r="Q15" s="32" t="inlineStr">
        <is>
          <t>FL_DES_ABC_2.5kg</t>
        </is>
      </c>
      <c r="R15" s="17" t="inlineStr">
        <is>
          <t>embutida</t>
        </is>
      </c>
    </row>
    <row r="16" outlineLevel="2">
      <c r="A16" s="34" t="n">
        <v>3</v>
      </c>
      <c r="B16" s="34" t="inlineStr">
        <is>
          <t>MP-FLEJE</t>
        </is>
      </c>
      <c r="C16" s="35" t="inlineStr">
        <is>
          <t xml:space="preserve">            Fleje e=1,25 × 200 (paso 182)</t>
        </is>
      </c>
      <c r="D16" s="34" t="n">
        <v>0.182</v>
      </c>
      <c r="E16" s="34" t="inlineStr">
        <is>
          <t>m</t>
        </is>
      </c>
      <c r="F16" s="36" t="n">
        <v>1.962</v>
      </c>
      <c r="G16" s="36">
        <f>D16*F16</f>
        <v/>
      </c>
      <c r="H16" s="34" t="inlineStr">
        <is>
          <t>Fleje SAE 1010</t>
        </is>
      </c>
      <c r="I16" s="35" t="inlineStr">
        <is>
          <t>disco Ø179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ABC2.5-03</t>
        </is>
      </c>
      <c r="C17" s="17" t="inlineStr">
        <is>
          <t xml:space="preserve">        Fondo</t>
        </is>
      </c>
      <c r="D17" s="32" t="n">
        <v>1</v>
      </c>
      <c r="E17" s="32" t="inlineStr">
        <is>
          <t>u</t>
        </is>
      </c>
      <c r="F17" s="33" t="n">
        <v>0.1657</v>
      </c>
      <c r="G17" s="33">
        <f>D17*F17</f>
        <v/>
      </c>
      <c r="H17" s="32" t="inlineStr">
        <is>
          <t>Chapa LAF IRAM-IAS U 500-05 e=1,25</t>
        </is>
      </c>
      <c r="I17" s="17" t="inlineStr">
        <is>
          <t>Ø124 × e1,25 × 20,5 de alto; disco Ø148</t>
        </is>
      </c>
      <c r="J17" s="32" t="inlineStr">
        <is>
          <t>Fabricación</t>
        </is>
      </c>
      <c r="K17" s="32" t="inlineStr">
        <is>
          <t>No</t>
        </is>
      </c>
      <c r="L17" s="17" t="n"/>
      <c r="M17" s="17" t="n"/>
      <c r="N17" s="17" t="inlineStr">
        <is>
          <t>6 Desbobinado + embutido (M06-M08)</t>
        </is>
      </c>
      <c r="O17" s="17" t="n"/>
      <c r="P17" s="32" t="inlineStr">
        <is>
          <t>P</t>
        </is>
      </c>
      <c r="Q17" s="32" t="inlineStr">
        <is>
          <t>FL_DES_ABC_2.5kg</t>
        </is>
      </c>
      <c r="R17" s="17" t="inlineStr">
        <is>
          <t>embutido</t>
        </is>
      </c>
    </row>
    <row r="18" outlineLevel="2">
      <c r="A18" s="34" t="n">
        <v>3</v>
      </c>
      <c r="B18" s="34" t="inlineStr">
        <is>
          <t>MP-FLEJE</t>
        </is>
      </c>
      <c r="C18" s="35" t="inlineStr">
        <is>
          <t xml:space="preserve">            Fleje e=1,25 × 200 (paso 151)</t>
        </is>
      </c>
      <c r="D18" s="34" t="n">
        <v>0.151</v>
      </c>
      <c r="E18" s="34" t="inlineStr">
        <is>
          <t>m</t>
        </is>
      </c>
      <c r="F18" s="36" t="n">
        <v>1.962</v>
      </c>
      <c r="G18" s="36">
        <f>D18*F18</f>
        <v/>
      </c>
      <c r="H18" s="34" t="inlineStr">
        <is>
          <t>Fleje SAE 1010</t>
        </is>
      </c>
      <c r="I18" s="35" t="inlineStr">
        <is>
          <t>disco Ø148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ABC2.5-04</t>
        </is>
      </c>
      <c r="C19" s="17" t="inlineStr">
        <is>
          <t xml:space="preserve">        Cuello roscado</t>
        </is>
      </c>
      <c r="D19" s="32" t="n">
        <v>1</v>
      </c>
      <c r="E19" s="32" t="inlineStr">
        <is>
          <t>u</t>
        </is>
      </c>
      <c r="F19" s="33" t="n">
        <v>0.0545</v>
      </c>
      <c r="G19" s="33">
        <f>D19*F19</f>
        <v/>
      </c>
      <c r="H19" s="32" t="inlineStr">
        <is>
          <t>Acero SAE 1010</t>
        </is>
      </c>
      <c r="I19" s="17" t="inlineStr">
        <is>
          <t>Ø37 × 14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FL_DES_ABC_2.5kg</t>
        </is>
      </c>
      <c r="R19" s="17" t="inlineStr">
        <is>
          <t>M30x1,5</t>
        </is>
      </c>
    </row>
    <row r="20" outlineLevel="1">
      <c r="A20" s="37" t="n">
        <v>2</v>
      </c>
      <c r="B20" s="37" t="inlineStr">
        <is>
          <t>ABC2.5-C1</t>
        </is>
      </c>
      <c r="C20" s="18" t="inlineStr">
        <is>
          <t xml:space="preserve">        Alambre MAG ER70S-6 Ø0,9 (AWS A5.18)</t>
        </is>
      </c>
      <c r="D20" s="37" t="n">
        <v>0.0292</v>
      </c>
      <c r="E20" s="37" t="inlineStr">
        <is>
          <t>kg</t>
        </is>
      </c>
      <c r="F20" s="38" t="n">
        <v>0.95</v>
      </c>
      <c r="G20" s="38">
        <f>D20*F20</f>
        <v/>
      </c>
      <c r="H20" s="37" t="inlineStr">
        <is>
          <t>ER70S-6</t>
        </is>
      </c>
      <c r="I20" s="18" t="inlineStr">
        <is>
          <t>metal depositado de los cordones del plano 28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ABC2.5-C2</t>
        </is>
      </c>
      <c r="C21" s="18" t="inlineStr">
        <is>
          <t xml:space="preserve">        Gas de protección MAG Arcal 21 / ARCAL Speed (Ar + 8 % CO₂, M20)</t>
        </is>
      </c>
      <c r="D21" s="37" t="n">
        <v>27.1</v>
      </c>
      <c r="E21" s="37" t="inlineStr">
        <is>
          <t>L</t>
        </is>
      </c>
      <c r="F21" s="38" t="n"/>
      <c r="G21" s="38" t="n"/>
      <c r="H21" s="37" t="inlineStr">
        <is>
          <t>EN ISO 14175 M20-ArC-8</t>
        </is>
      </c>
      <c r="I21" s="18" t="inlineStr">
        <is>
          <t>14 L/min × 1,94 min de arco (cordones 1.163 mm: long. 267 + circ. 779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ABC2.5-C3</t>
        </is>
      </c>
      <c r="C22" s="18" t="inlineStr">
        <is>
          <t xml:space="preserve">        Granalla de acero S330 / S390 (ISO 11124-3, SAE J444)</t>
        </is>
      </c>
      <c r="D22" s="37" t="n">
        <v>0.08</v>
      </c>
      <c r="E22" s="37" t="inlineStr">
        <is>
          <t>kg</t>
        </is>
      </c>
      <c r="F22" s="38" t="n"/>
      <c r="G22" s="38" t="n"/>
      <c r="H22" s="37" t="inlineStr">
        <is>
          <t>Granalla esférica alto C</t>
        </is>
      </c>
      <c r="I22" s="18" t="inlineStr">
        <is>
          <t>0,138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ABC2.5-C4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0,138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outlineLevel="1">
      <c r="A24" s="39" t="n">
        <v>2</v>
      </c>
      <c r="B24" s="39" t="inlineStr">
        <is>
          <t>ABC2.5-T1</t>
        </is>
      </c>
      <c r="C24" s="19" t="inlineStr">
        <is>
          <t xml:space="preserve">        Tapón protector de rosca del cuello</t>
        </is>
      </c>
      <c r="D24" s="39" t="n">
        <v>1</v>
      </c>
      <c r="E24" s="39" t="inlineStr">
        <is>
          <t>u</t>
        </is>
      </c>
      <c r="F24" s="40" t="n"/>
      <c r="G24" s="40" t="n"/>
      <c r="H24" s="39" t="inlineStr">
        <is>
          <t>Polietileno</t>
        </is>
      </c>
      <c r="I24" s="19" t="inlineStr">
        <is>
          <t>para rosca M30x1,5 (plano FL_REC_ABC_2.5kg hoja 3, R4)</t>
        </is>
      </c>
      <c r="J24" s="39" t="inlineStr">
        <is>
          <t>Compra</t>
        </is>
      </c>
      <c r="K24" s="39" t="inlineStr">
        <is>
          <t>Sí</t>
        </is>
      </c>
      <c r="L24" s="19" t="inlineStr">
        <is>
          <t>-</t>
        </is>
      </c>
      <c r="M24" s="19" t="inlineStr">
        <is>
          <t>-</t>
        </is>
      </c>
      <c r="N24" s="19" t="inlineStr">
        <is>
          <t>Embalaje</t>
        </is>
      </c>
      <c r="O24" s="19" t="n"/>
      <c r="P24" s="39" t="inlineStr">
        <is>
          <t>P</t>
        </is>
      </c>
      <c r="Q24" s="39" t="n"/>
      <c r="R24" s="19" t="n"/>
    </row>
    <row r="25" outlineLevel="1">
      <c r="A25" s="32" t="n">
        <v>2</v>
      </c>
      <c r="B25" s="32" t="inlineStr">
        <is>
          <t>ABC2.5-T2</t>
        </is>
      </c>
      <c r="C25" s="17" t="inlineStr">
        <is>
          <t xml:space="preserve">        Marcado del recipiente: estampado en la cúpula, en arco junto al cuello (puesto de numerado de cúpula)</t>
        </is>
      </c>
      <c r="D25" s="32" t="n">
        <v>1</v>
      </c>
      <c r="E25" s="32" t="inlineStr">
        <is>
          <t>u</t>
        </is>
      </c>
      <c r="F25" s="33" t="n"/>
      <c r="G25" s="33" t="n"/>
      <c r="H25" s="32" t="inlineStr">
        <is>
          <t>-</t>
        </is>
      </c>
      <c r="I25" s="17" t="inlineStr">
        <is>
          <t>Fabricante, n° de serie, año; en arco junto al cuello, letra 5 mm; cuño DPS 15 × 7 junto al n°</t>
        </is>
      </c>
      <c r="J25" s="32" t="inlineStr">
        <is>
          <t>Proceso</t>
        </is>
      </c>
      <c r="K25" s="32" t="inlineStr">
        <is>
          <t>No</t>
        </is>
      </c>
      <c r="L25" s="17" t="n"/>
      <c r="M25" s="17" t="n"/>
      <c r="N25" s="17" t="inlineStr">
        <is>
          <t>Marcado</t>
        </is>
      </c>
      <c r="O25" s="17" t="inlineStr">
        <is>
          <t>IRAM 3523 5.1 · Res. 349/07 anexo IV</t>
        </is>
      </c>
      <c r="P25" s="32" t="inlineStr">
        <is>
          <t>N</t>
        </is>
      </c>
      <c r="Q25" s="32" t="n"/>
      <c r="R25" s="17" t="n"/>
    </row>
    <row r="26" outlineLevel="1">
      <c r="A26" s="32" t="n">
        <v>2</v>
      </c>
      <c r="B26" s="32" t="inlineStr">
        <is>
          <t>ABC2.5-T3</t>
        </is>
      </c>
      <c r="C26" s="17" t="inlineStr">
        <is>
          <t xml:space="preserve">        Etiqueta de identificación del cilindro suelto</t>
        </is>
      </c>
      <c r="D26" s="32" t="n">
        <v>1</v>
      </c>
      <c r="E26" s="32" t="inlineStr">
        <is>
          <t>u</t>
        </is>
      </c>
      <c r="F26" s="33" t="n"/>
      <c r="G26" s="33" t="n"/>
      <c r="H26" s="32" t="inlineStr">
        <is>
          <t>Poliéster autoadhesivo removible</t>
        </is>
      </c>
      <c r="I26" s="17" t="inlineStr">
        <is>
          <t>100 × 60, impresión térmica, QR GS1</t>
        </is>
      </c>
      <c r="J26" s="32" t="inlineStr">
        <is>
          <t>Compra</t>
        </is>
      </c>
      <c r="K26" s="32" t="inlineStr">
        <is>
          <t>Sí</t>
        </is>
      </c>
      <c r="L26" s="17" t="inlineStr">
        <is>
          <t>Astuprint</t>
        </is>
      </c>
      <c r="M26" s="17" t="inlineStr">
        <is>
          <t>GS1 Argentina</t>
        </is>
      </c>
      <c r="N26" s="17" t="inlineStr">
        <is>
          <t>Etiquetado</t>
        </is>
      </c>
      <c r="O26" s="17" t="n"/>
      <c r="P26" s="32" t="inlineStr">
        <is>
          <t>P</t>
        </is>
      </c>
      <c r="Q26" s="32" t="inlineStr">
        <is>
          <t>FL_REC_ABC_2.5kg hoja 3</t>
        </is>
      </c>
      <c r="R26" s="17" t="n"/>
    </row>
    <row r="27" outlineLevel="1">
      <c r="A27" s="32" t="n">
        <v>2</v>
      </c>
      <c r="B27" s="32" t="inlineStr">
        <is>
          <t>ABC2.5-T4</t>
        </is>
      </c>
      <c r="C27" s="17" t="inlineStr">
        <is>
          <t xml:space="preserve">        Protocolo de ensayo hidrostático (certificado que acompaña)</t>
        </is>
      </c>
      <c r="D27" s="32" t="n">
        <v>1</v>
      </c>
      <c r="E27" s="32" t="inlineStr">
        <is>
          <t>u</t>
        </is>
      </c>
      <c r="F27" s="33" t="n">
        <v>0.005</v>
      </c>
      <c r="G27" s="33">
        <f>D27*F27</f>
        <v/>
      </c>
      <c r="H27" s="32" t="inlineStr">
        <is>
          <t>Papel</t>
        </is>
      </c>
      <c r="I27" s="17" t="inlineStr">
        <is>
          <t>A5</t>
        </is>
      </c>
      <c r="J27" s="32" t="inlineStr">
        <is>
          <t>Proceso</t>
        </is>
      </c>
      <c r="K27" s="32" t="inlineStr">
        <is>
          <t>No</t>
        </is>
      </c>
      <c r="L27" s="17" t="n"/>
      <c r="M27" s="17" t="n"/>
      <c r="N27" s="17" t="inlineStr">
        <is>
          <t>Control de calidad</t>
        </is>
      </c>
      <c r="O27" s="17" t="inlineStr">
        <is>
          <t>IRAM 3523 4.1 y cap. 6 · IRAM 2587</t>
        </is>
      </c>
      <c r="P27" s="32" t="inlineStr">
        <is>
          <t>N</t>
        </is>
      </c>
      <c r="Q27" s="32" t="inlineStr">
        <is>
          <t>FL_REC_ABC_2.5kg hoja 3</t>
        </is>
      </c>
      <c r="R27" s="17" t="n"/>
    </row>
    <row r="28">
      <c r="A28" s="29" t="n">
        <v>1</v>
      </c>
      <c r="B28" s="29" t="inlineStr">
        <is>
          <t>ABC2.5-S7</t>
        </is>
      </c>
      <c r="C28" s="30" t="inlineStr">
        <is>
          <t xml:space="preserve">    Embalaje</t>
        </is>
      </c>
      <c r="D28" s="29" t="n">
        <v>1</v>
      </c>
      <c r="E28" s="29" t="inlineStr">
        <is>
          <t>u</t>
        </is>
      </c>
      <c r="F28" s="31" t="n"/>
      <c r="G28" s="31">
        <f>G31</f>
        <v/>
      </c>
      <c r="H28" s="29" t="n"/>
      <c r="I28" s="30" t="n"/>
      <c r="J28" s="29" t="inlineStr">
        <is>
          <t>Compra</t>
        </is>
      </c>
      <c r="K28" s="29" t="n"/>
      <c r="L28" s="30" t="n"/>
      <c r="M28" s="30" t="n"/>
      <c r="N28" s="30" t="inlineStr">
        <is>
          <t>23 Embalaje -&gt; 24 envolvedora (T11)</t>
        </is>
      </c>
      <c r="O28" s="30" t="n"/>
      <c r="P28" s="29" t="n"/>
      <c r="Q28" s="29" t="n"/>
      <c r="R28" s="30" t="n"/>
    </row>
    <row r="29" outlineLevel="1">
      <c r="A29" s="32" t="n">
        <v>2</v>
      </c>
      <c r="B29" s="32" t="inlineStr">
        <is>
          <t>ABC2.5-E1</t>
        </is>
      </c>
      <c r="C29" s="17" t="inlineStr">
        <is>
          <t xml:space="preserve">        Caja de cartón corrugado simple</t>
        </is>
      </c>
      <c r="D29" s="32" t="n">
        <v>1</v>
      </c>
      <c r="E29" s="32" t="inlineStr">
        <is>
          <t>u</t>
        </is>
      </c>
      <c r="F29" s="33" t="n"/>
      <c r="G29" s="33" t="n"/>
      <c r="H29" s="32" t="inlineStr">
        <is>
          <t>Cartón corrugado</t>
        </is>
      </c>
      <c r="I29" s="17" t="inlineStr">
        <is>
          <t>154 × 154 × 334 interior (envolvente del plano + 15 por lado)</t>
        </is>
      </c>
      <c r="J29" s="32" t="inlineStr">
        <is>
          <t>Compra</t>
        </is>
      </c>
      <c r="K29" s="32" t="inlineStr">
        <is>
          <t>Sí</t>
        </is>
      </c>
      <c r="L29" s="17" t="inlineStr">
        <is>
          <t>Maxipack</t>
        </is>
      </c>
      <c r="M29" s="17" t="inlineStr">
        <is>
          <t>Cartocan</t>
        </is>
      </c>
      <c r="N29" s="17" t="inlineStr">
        <is>
          <t>23 Embalaje</t>
        </is>
      </c>
      <c r="O29" s="17" t="n"/>
      <c r="P29" s="32" t="inlineStr">
        <is>
          <t>P</t>
        </is>
      </c>
      <c r="Q29" s="32" t="n"/>
      <c r="R29" s="17" t="inlineStr">
        <is>
          <t>Medida del plano</t>
        </is>
      </c>
    </row>
    <row r="30" outlineLevel="1">
      <c r="A30" s="32" t="n">
        <v>2</v>
      </c>
      <c r="B30" s="32" t="inlineStr">
        <is>
          <t>ABC2.5-E3</t>
        </is>
      </c>
      <c r="C30" s="17" t="inlineStr">
        <is>
          <t xml:space="preserve">        Pallet 1200 × 1000 (fracción)</t>
        </is>
      </c>
      <c r="D30" s="32" t="n">
        <v>0.006</v>
      </c>
      <c r="E30" s="32" t="inlineStr">
        <is>
          <t>u</t>
        </is>
      </c>
      <c r="F30" s="33" t="n"/>
      <c r="G30" s="33" t="n"/>
      <c r="H30" s="32" t="inlineStr">
        <is>
          <t>Madera</t>
        </is>
      </c>
      <c r="I30" s="17" t="inlineStr">
        <is>
          <t>168 u por pallet</t>
        </is>
      </c>
      <c r="J30" s="32" t="inlineStr">
        <is>
          <t>Compra</t>
        </is>
      </c>
      <c r="K30" s="32" t="inlineStr">
        <is>
          <t>Sí</t>
        </is>
      </c>
      <c r="L30" s="17" t="inlineStr">
        <is>
          <t>IndusPallets</t>
        </is>
      </c>
      <c r="M30" s="17" t="inlineStr">
        <is>
          <t>-</t>
        </is>
      </c>
      <c r="N30" s="17" t="inlineStr">
        <is>
          <t>23 Embalaje</t>
        </is>
      </c>
      <c r="O30" s="17" t="n"/>
      <c r="P30" s="32" t="inlineStr">
        <is>
          <t>C</t>
        </is>
      </c>
      <c r="Q30" s="32" t="n"/>
      <c r="R30" s="17" t="inlineStr">
        <is>
          <t>u por pallet = acomodo de la caja (plano) en 1200 × 1000 × 1450 de alto</t>
        </is>
      </c>
    </row>
    <row r="31" outlineLevel="1">
      <c r="A31" s="37" t="n">
        <v>2</v>
      </c>
      <c r="B31" s="37" t="inlineStr">
        <is>
          <t>ABC2.5-E4</t>
        </is>
      </c>
      <c r="C31" s="18" t="inlineStr">
        <is>
          <t xml:space="preserve">        Film stretch (fracción del pallet)</t>
        </is>
      </c>
      <c r="D31" s="37" t="n">
        <v>0.0007</v>
      </c>
      <c r="E31" s="37" t="inlineStr">
        <is>
          <t>kg</t>
        </is>
      </c>
      <c r="F31" s="38" t="n">
        <v>1</v>
      </c>
      <c r="G31" s="38">
        <f>D31*F31</f>
        <v/>
      </c>
      <c r="H31" s="37" t="inlineStr">
        <is>
          <t>PE lineal 23 µm</t>
        </is>
      </c>
      <c r="I31" s="18" t="inlineStr">
        <is>
          <t>0,12 kg por pallet / 168 u</t>
        </is>
      </c>
      <c r="J31" s="37" t="inlineStr">
        <is>
          <t>Compra</t>
        </is>
      </c>
      <c r="K31" s="37" t="inlineStr">
        <is>
          <t>Sí</t>
        </is>
      </c>
      <c r="L31" s="18" t="inlineStr">
        <is>
          <t>MV Embalajes</t>
        </is>
      </c>
      <c r="M31" s="18" t="inlineStr">
        <is>
          <t>Embalpack</t>
        </is>
      </c>
      <c r="N31" s="18" t="inlineStr">
        <is>
          <t>24 Envolvedora (T11)</t>
        </is>
      </c>
      <c r="O31" s="18" t="n"/>
      <c r="P31" s="37" t="inlineStr">
        <is>
          <t>C</t>
        </is>
      </c>
      <c r="Q31" s="37" t="n"/>
      <c r="R3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2" outlineLevel="1">
      <c r="A32" s="32" t="n">
        <v>2</v>
      </c>
      <c r="B32" s="32" t="inlineStr">
        <is>
          <t>ABC2.5-E5</t>
        </is>
      </c>
      <c r="C32" s="17" t="inlineStr">
        <is>
          <t xml:space="preserve">        Etiqueta de pallet (lote y destino, fracción)</t>
        </is>
      </c>
      <c r="D32" s="32" t="n">
        <v>0.006</v>
      </c>
      <c r="E32" s="32" t="inlineStr">
        <is>
          <t>u</t>
        </is>
      </c>
      <c r="F32" s="33" t="n"/>
      <c r="G32" s="33" t="n"/>
      <c r="H32" s="32" t="inlineStr">
        <is>
          <t>Papel térmico</t>
        </is>
      </c>
      <c r="I32" s="17" t="inlineStr">
        <is>
          <t>100 × 150</t>
        </is>
      </c>
      <c r="J32" s="32" t="inlineStr">
        <is>
          <t>Compra</t>
        </is>
      </c>
      <c r="K32" s="32" t="inlineStr">
        <is>
          <t>Sí</t>
        </is>
      </c>
      <c r="L32" s="17" t="inlineStr">
        <is>
          <t>Astuprint</t>
        </is>
      </c>
      <c r="M32" s="17" t="inlineStr">
        <is>
          <t>Multilabel Argentina S.A.</t>
        </is>
      </c>
      <c r="N32" s="17" t="inlineStr">
        <is>
          <t>24 Envolvedora</t>
        </is>
      </c>
      <c r="O32" s="17" t="n"/>
      <c r="P32" s="32" t="inlineStr">
        <is>
          <t>C</t>
        </is>
      </c>
      <c r="Q32" s="32" t="n"/>
      <c r="R32" s="17" t="n"/>
    </row>
    <row r="33" outlineLevel="1">
      <c r="A33" s="37" t="n">
        <v>2</v>
      </c>
      <c r="B33" s="37" t="inlineStr">
        <is>
          <t>ABC2.5-E6</t>
        </is>
      </c>
      <c r="C33" s="18" t="inlineStr">
        <is>
          <t xml:space="preserve">        Cinta de embalaje PP 48 mm (cierre de la caja)</t>
        </is>
      </c>
      <c r="D33" s="37" t="n">
        <v>0.588</v>
      </c>
      <c r="E33" s="37" t="inlineStr">
        <is>
          <t>m</t>
        </is>
      </c>
      <c r="F33" s="38" t="n"/>
      <c r="G33" s="38" t="n"/>
      <c r="H33" s="37" t="inlineStr">
        <is>
          <t>Polipropileno con adhesivo acrílico</t>
        </is>
      </c>
      <c r="I33" s="18" t="inlineStr">
        <is>
          <t>cierre en I arriba y abajo: 2 × (154 + 2 × 70 de solapa)</t>
        </is>
      </c>
      <c r="J33" s="37" t="inlineStr">
        <is>
          <t>Compra</t>
        </is>
      </c>
      <c r="K33" s="37" t="inlineStr">
        <is>
          <t>Sí</t>
        </is>
      </c>
      <c r="L33" s="18" t="inlineStr">
        <is>
          <t>MV Embalajes</t>
        </is>
      </c>
      <c r="M33" s="18" t="inlineStr">
        <is>
          <t>Embalpack</t>
        </is>
      </c>
      <c r="N33" s="18" t="inlineStr">
        <is>
          <t>23 Embalaje</t>
        </is>
      </c>
      <c r="O33" s="18" t="n"/>
      <c r="P33" s="37" t="inlineStr">
        <is>
          <t>C</t>
        </is>
      </c>
      <c r="Q33" s="37" t="n"/>
      <c r="R33" s="18" t="inlineStr">
        <is>
          <t>Solapa de 70 mm por lado: práctica de cierre de cajas (medir en la línea)</t>
        </is>
      </c>
    </row>
    <row r="34" outlineLevel="1">
      <c r="A34" s="32" t="n">
        <v>2</v>
      </c>
      <c r="B34" s="32" t="inlineStr">
        <is>
          <t>ABC2.5-E7</t>
        </is>
      </c>
      <c r="C34" s="17" t="inlineStr">
        <is>
          <t xml:space="preserve">        Esquineros de cartón 50 × 50 × 1200 (fracción del pallet)</t>
        </is>
      </c>
      <c r="D34" s="32" t="n">
        <v>0.0238</v>
      </c>
      <c r="E34" s="32" t="inlineStr">
        <is>
          <t>u</t>
        </is>
      </c>
      <c r="F34" s="33" t="n"/>
      <c r="G34" s="33" t="n"/>
      <c r="H34" s="32" t="inlineStr">
        <is>
          <t>Cartón</t>
        </is>
      </c>
      <c r="I34" s="17" t="inlineStr">
        <is>
          <t>4 por pallet / 168 u</t>
        </is>
      </c>
      <c r="J34" s="32" t="inlineStr">
        <is>
          <t>Compra</t>
        </is>
      </c>
      <c r="K34" s="32" t="inlineStr">
        <is>
          <t>Sí</t>
        </is>
      </c>
      <c r="L34" s="17" t="inlineStr">
        <is>
          <t>Maxipack</t>
        </is>
      </c>
      <c r="M34" s="17" t="inlineStr">
        <is>
          <t>Cartocan</t>
        </is>
      </c>
      <c r="N34" s="17" t="inlineStr">
        <is>
          <t>24 Envolvedora (T11)</t>
        </is>
      </c>
      <c r="O34" s="17" t="n"/>
      <c r="P34" s="32" t="inlineStr">
        <is>
          <t>C</t>
        </is>
      </c>
      <c r="Q34" s="32" t="n"/>
      <c r="R34" s="17" t="inlineStr">
        <is>
          <t>Planilla MP-64</t>
        </is>
      </c>
    </row>
    <row r="35" outlineLevel="1">
      <c r="A35" s="32" t="n">
        <v>2</v>
      </c>
      <c r="B35" s="32" t="inlineStr">
        <is>
          <t>ABC2.5-E8</t>
        </is>
      </c>
      <c r="C35" s="17" t="inlineStr">
        <is>
          <t xml:space="preserve">        Separador de capa de cartón 1200 × 1000 (fracción del pallet)</t>
        </is>
      </c>
      <c r="D35" s="32" t="n">
        <v>0.0179</v>
      </c>
      <c r="E35" s="32" t="inlineStr">
        <is>
          <t>u</t>
        </is>
      </c>
      <c r="F35" s="33" t="n"/>
      <c r="G35" s="33" t="n"/>
      <c r="H35" s="32" t="inlineStr">
        <is>
          <t>Cartón</t>
        </is>
      </c>
      <c r="I35" s="17" t="inlineStr">
        <is>
          <t>4 capas → 3 separadores por pallet / 168 u</t>
        </is>
      </c>
      <c r="J35" s="32" t="inlineStr">
        <is>
          <t>Compra</t>
        </is>
      </c>
      <c r="K35" s="32" t="inlineStr">
        <is>
          <t>Sí</t>
        </is>
      </c>
      <c r="L35" s="17" t="inlineStr">
        <is>
          <t>Maxipack</t>
        </is>
      </c>
      <c r="M35" s="17" t="inlineStr">
        <is>
          <t>Cartocan</t>
        </is>
      </c>
      <c r="N35" s="17" t="inlineStr">
        <is>
          <t>23 Embalaje</t>
        </is>
      </c>
      <c r="O35" s="17" t="n"/>
      <c r="P35" s="32" t="inlineStr">
        <is>
          <t>C</t>
        </is>
      </c>
      <c r="Q35" s="32" t="n"/>
      <c r="R35" s="17" t="inlineStr">
        <is>
          <t>Planilla MP-61</t>
        </is>
      </c>
    </row>
  </sheetData>
  <autoFilter ref="A10:R35"/>
  <pageMargins left="0.75" right="0.75" top="1" bottom="1" header="0.5" footer="0.5"/>
  <pageSetup orientation="landscape" fitToHeight="0" fitToWidth="1"/>
</worksheet>
</file>

<file path=xl/worksheets/sheet35.xml><?xml version="1.0" encoding="utf-8"?>
<worksheet xmlns="http://schemas.openxmlformats.org/spreadsheetml/2006/main">
  <sheetPr>
    <tabColor rgb="001F4E79"/>
    <outlinePr summaryBelow="0" summaryRight="1"/>
    <pageSetUpPr fitToPage="1"/>
  </sheetPr>
  <dimension ref="A1:R35"/>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FL_REC_ABC_5kg</t>
        </is>
      </c>
    </row>
    <row r="2">
      <c r="A2" s="58" t="inlineStr">
        <is>
          <t>Cilindro (recipiente) ABC 5 kg - repuesto vacío sin válvula</t>
        </is>
      </c>
    </row>
    <row r="3">
      <c r="A3" s="2" t="inlineStr">
        <is>
          <t>Plano de origen</t>
        </is>
      </c>
      <c r="C3" t="inlineStr">
        <is>
          <t>FL_REC_ABC_5kg  (recipiente para venta suelta)</t>
        </is>
      </c>
      <c r="E3" s="2" t="inlineStr">
        <is>
          <t>Peso vacío S1-S4 (kg)</t>
        </is>
      </c>
      <c r="G3" s="59">
        <f>G12</f>
        <v/>
      </c>
    </row>
    <row r="4">
      <c r="A4" s="2" t="inlineStr">
        <is>
          <t>Plano de despiece</t>
        </is>
      </c>
      <c r="C4" t="inlineStr">
        <is>
          <t>FL_REC_ABC_5kg hoja 3</t>
        </is>
      </c>
      <c r="E4" s="2" t="inlineStr">
        <is>
          <t>Peso cargado S1-S6 (kg)</t>
        </is>
      </c>
      <c r="G4" s="59">
        <f>G12</f>
        <v/>
      </c>
    </row>
    <row r="5">
      <c r="A5" s="2" t="inlineStr">
        <is>
          <t>Norma del producto</t>
        </is>
      </c>
      <c r="C5" t="inlineStr">
        <is>
          <t>IRAM 3523</t>
        </is>
      </c>
      <c r="E5" s="2" t="inlineStr">
        <is>
          <t>Peso con soporte y embalaje (kg)</t>
        </is>
      </c>
      <c r="G5" s="59">
        <f>G12+G28</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FL_REC_ABC_5kg</t>
        </is>
      </c>
      <c r="C11" s="27" t="inlineStr">
        <is>
          <t>Cilindro (recipiente) ABC 5 kg - repuesto vacío sin válvula</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FL_REC_ABC_5kg</t>
        </is>
      </c>
      <c r="R11" s="27" t="inlineStr">
        <is>
          <t>Fabricación propia</t>
        </is>
      </c>
    </row>
    <row r="12">
      <c r="A12" s="29" t="n">
        <v>1</v>
      </c>
      <c r="B12" s="29" t="inlineStr">
        <is>
          <t>ABC5-S1</t>
        </is>
      </c>
      <c r="C12" s="30" t="inlineStr">
        <is>
          <t xml:space="preserve">    Recipiente (cilindro)</t>
        </is>
      </c>
      <c r="D12" s="29" t="n">
        <v>1</v>
      </c>
      <c r="E12" s="29" t="inlineStr">
        <is>
          <t>u</t>
        </is>
      </c>
      <c r="F12" s="31" t="n"/>
      <c r="G12" s="31">
        <f>G13+G15+G17+G19+G20+G27</f>
        <v/>
      </c>
      <c r="H12" s="29" t="n"/>
      <c r="I12" s="30" t="n"/>
      <c r="J12" s="29" t="inlineStr">
        <is>
          <t>Fabricación</t>
        </is>
      </c>
      <c r="K12" s="29" t="n"/>
      <c r="L12" s="30" t="n"/>
      <c r="M12" s="30" t="n"/>
      <c r="N12" s="30" t="n"/>
      <c r="O12" s="30" t="inlineStr">
        <is>
          <t>IRAM 3523 / 3550 (recipiente)</t>
        </is>
      </c>
      <c r="P12" s="29" t="inlineStr">
        <is>
          <t>P</t>
        </is>
      </c>
      <c r="Q12" s="29" t="inlineStr">
        <is>
          <t>FL_DES_ABC_5kg</t>
        </is>
      </c>
      <c r="R12" s="30" t="n"/>
    </row>
    <row r="13" outlineLevel="1">
      <c r="A13" s="32" t="n">
        <v>2</v>
      </c>
      <c r="B13" s="32" t="inlineStr">
        <is>
          <t>ABC5-01</t>
        </is>
      </c>
      <c r="C13" s="17" t="inlineStr">
        <is>
          <t xml:space="preserve">        Cuerpo (virola)</t>
        </is>
      </c>
      <c r="D13" s="32" t="n">
        <v>1</v>
      </c>
      <c r="E13" s="32" t="inlineStr">
        <is>
          <t>u</t>
        </is>
      </c>
      <c r="F13" s="33" t="n">
        <v>1.9541</v>
      </c>
      <c r="G13" s="33">
        <f>D13*F13</f>
        <v/>
      </c>
      <c r="H13" s="32" t="inlineStr">
        <is>
          <t>Chapa LAF IRAM-IAS U 500-05 e=1,6</t>
        </is>
      </c>
      <c r="I13" s="17" t="inlineStr">
        <is>
          <t>Ø153 × e1,6 × 327,3 de alto; desarrollo 475,6 × 327,3</t>
        </is>
      </c>
      <c r="J13" s="32" t="inlineStr">
        <is>
          <t>Fabricación</t>
        </is>
      </c>
      <c r="K13" s="32" t="inlineStr">
        <is>
          <t>No</t>
        </is>
      </c>
      <c r="L13" s="17" t="n"/>
      <c r="M13" s="17" t="n"/>
      <c r="N13" s="17" t="inlineStr">
        <is>
          <t>1 Guillotina -&gt; 3 cilindrado -&gt; 4 soldadura longitudinal -&gt; 9 encastre del fondo -&gt; 10 bordoneado</t>
        </is>
      </c>
      <c r="O13" s="17" t="n"/>
      <c r="P13" s="32" t="inlineStr">
        <is>
          <t>P</t>
        </is>
      </c>
      <c r="Q13" s="32" t="inlineStr">
        <is>
          <t>FL_DES_ABC_5kg</t>
        </is>
      </c>
      <c r="R13" s="17" t="inlineStr">
        <is>
          <t>costura long. MAG</t>
        </is>
      </c>
    </row>
    <row r="14" outlineLevel="2">
      <c r="A14" s="34" t="n">
        <v>3</v>
      </c>
      <c r="B14" s="34" t="inlineStr">
        <is>
          <t>MP-HOJA</t>
        </is>
      </c>
      <c r="C14" s="35" t="inlineStr">
        <is>
          <t xml:space="preserve">            Recorte de hoja LAF 1000 × 2000 e=1,6</t>
        </is>
      </c>
      <c r="D14" s="34" t="n">
        <v>1</v>
      </c>
      <c r="E14" s="34" t="inlineStr">
        <is>
          <t>u</t>
        </is>
      </c>
      <c r="F14" s="36" t="n">
        <v>2.092</v>
      </c>
      <c r="G14" s="36">
        <f>D14*F14</f>
        <v/>
      </c>
      <c r="H14" s="34" t="inlineStr">
        <is>
          <t>Chapa LAF IRAM-IAS U 500-05 LAF</t>
        </is>
      </c>
      <c r="I14" s="35" t="inlineStr">
        <is>
          <t>330 × 474,5 (aprovech. 94 %)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ABC5-02</t>
        </is>
      </c>
      <c r="C15" s="17" t="inlineStr">
        <is>
          <t xml:space="preserve">        Cúpula</t>
        </is>
      </c>
      <c r="D15" s="32" t="n">
        <v>1</v>
      </c>
      <c r="E15" s="32" t="inlineStr">
        <is>
          <t>u</t>
        </is>
      </c>
      <c r="F15" s="33" t="n">
        <v>0.3608</v>
      </c>
      <c r="G15" s="33">
        <f>D15*F15</f>
        <v/>
      </c>
      <c r="H15" s="32" t="inlineStr">
        <is>
          <t>Chapa LAF IRAM-IAS U 500-05 e=1,6</t>
        </is>
      </c>
      <c r="I15" s="17" t="inlineStr">
        <is>
          <t>Ø153 × e1,6 × 53,2 de alto; disco Ø221</t>
        </is>
      </c>
      <c r="J15" s="32" t="inlineStr">
        <is>
          <t>Fabricación</t>
        </is>
      </c>
      <c r="K15" s="32" t="inlineStr">
        <is>
          <t>No</t>
        </is>
      </c>
      <c r="L15" s="17" t="n"/>
      <c r="M15" s="17" t="n"/>
      <c r="N15" s="17" t="inlineStr">
        <is>
          <t>6 Desbobinado + embutido (M06-M08) -&gt; numerado de cúpula (micropercusión, en arco junto al cuello) -&gt; 8 soldadura de cuello</t>
        </is>
      </c>
      <c r="O15" s="17" t="n"/>
      <c r="P15" s="32" t="inlineStr">
        <is>
          <t>P</t>
        </is>
      </c>
      <c r="Q15" s="32" t="inlineStr">
        <is>
          <t>FL_DES_ABC_5kg</t>
        </is>
      </c>
      <c r="R15" s="17" t="inlineStr">
        <is>
          <t>embutida</t>
        </is>
      </c>
    </row>
    <row r="16" outlineLevel="2">
      <c r="A16" s="34" t="n">
        <v>3</v>
      </c>
      <c r="B16" s="34" t="inlineStr">
        <is>
          <t>MP-FLEJE</t>
        </is>
      </c>
      <c r="C16" s="35" t="inlineStr">
        <is>
          <t xml:space="preserve">            Fleje e=1,6 × 250 (paso 224)</t>
        </is>
      </c>
      <c r="D16" s="34" t="n">
        <v>0.224</v>
      </c>
      <c r="E16" s="34" t="inlineStr">
        <is>
          <t>m</t>
        </is>
      </c>
      <c r="F16" s="36" t="n">
        <v>3.14</v>
      </c>
      <c r="G16" s="36">
        <f>D16*F16</f>
        <v/>
      </c>
      <c r="H16" s="34" t="inlineStr">
        <is>
          <t>Fleje SAE 1010</t>
        </is>
      </c>
      <c r="I16" s="35" t="inlineStr">
        <is>
          <t>disco Ø221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ABC5-03</t>
        </is>
      </c>
      <c r="C17" s="17" t="inlineStr">
        <is>
          <t xml:space="preserve">        Fondo</t>
        </is>
      </c>
      <c r="D17" s="32" t="n">
        <v>1</v>
      </c>
      <c r="E17" s="32" t="inlineStr">
        <is>
          <t>u</t>
        </is>
      </c>
      <c r="F17" s="33" t="n">
        <v>0.3173</v>
      </c>
      <c r="G17" s="33">
        <f>D17*F17</f>
        <v/>
      </c>
      <c r="H17" s="32" t="inlineStr">
        <is>
          <t>Chapa LAF IRAM-IAS U 500-05 e=1,6</t>
        </is>
      </c>
      <c r="I17" s="17" t="inlineStr">
        <is>
          <t>Ø153 × e1,6 × 26 de alto; disco Ø177</t>
        </is>
      </c>
      <c r="J17" s="32" t="inlineStr">
        <is>
          <t>Fabricación</t>
        </is>
      </c>
      <c r="K17" s="32" t="inlineStr">
        <is>
          <t>No</t>
        </is>
      </c>
      <c r="L17" s="17" t="n"/>
      <c r="M17" s="17" t="n"/>
      <c r="N17" s="17" t="inlineStr">
        <is>
          <t>6 Desbobinado + embutido (M06-M08)</t>
        </is>
      </c>
      <c r="O17" s="17" t="n"/>
      <c r="P17" s="32" t="inlineStr">
        <is>
          <t>P</t>
        </is>
      </c>
      <c r="Q17" s="32" t="inlineStr">
        <is>
          <t>FL_DES_ABC_5kg</t>
        </is>
      </c>
      <c r="R17" s="17" t="inlineStr">
        <is>
          <t>embutido</t>
        </is>
      </c>
    </row>
    <row r="18" outlineLevel="2">
      <c r="A18" s="34" t="n">
        <v>3</v>
      </c>
      <c r="B18" s="34" t="inlineStr">
        <is>
          <t>MP-FLEJE</t>
        </is>
      </c>
      <c r="C18" s="35" t="inlineStr">
        <is>
          <t xml:space="preserve">            Fleje e=1,6 × 200 (paso 180)</t>
        </is>
      </c>
      <c r="D18" s="34" t="n">
        <v>0.18</v>
      </c>
      <c r="E18" s="34" t="inlineStr">
        <is>
          <t>m</t>
        </is>
      </c>
      <c r="F18" s="36" t="n">
        <v>2.512</v>
      </c>
      <c r="G18" s="36">
        <f>D18*F18</f>
        <v/>
      </c>
      <c r="H18" s="34" t="inlineStr">
        <is>
          <t>Fleje SAE 1010</t>
        </is>
      </c>
      <c r="I18" s="35" t="inlineStr">
        <is>
          <t>disco Ø177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ABC5-04</t>
        </is>
      </c>
      <c r="C19" s="17" t="inlineStr">
        <is>
          <t xml:space="preserve">        Cuello roscado</t>
        </is>
      </c>
      <c r="D19" s="32" t="n">
        <v>1</v>
      </c>
      <c r="E19" s="32" t="inlineStr">
        <is>
          <t>u</t>
        </is>
      </c>
      <c r="F19" s="33" t="n">
        <v>0.0589</v>
      </c>
      <c r="G19" s="33">
        <f>D19*F19</f>
        <v/>
      </c>
      <c r="H19" s="32" t="inlineStr">
        <is>
          <t>Acero SAE 1010</t>
        </is>
      </c>
      <c r="I19" s="17" t="inlineStr">
        <is>
          <t>Ø37 × 15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FL_DES_ABC_5kg</t>
        </is>
      </c>
      <c r="R19" s="17" t="inlineStr">
        <is>
          <t>M30x1,5</t>
        </is>
      </c>
    </row>
    <row r="20" outlineLevel="1">
      <c r="A20" s="37" t="n">
        <v>2</v>
      </c>
      <c r="B20" s="37" t="inlineStr">
        <is>
          <t>ABC5-C1</t>
        </is>
      </c>
      <c r="C20" s="18" t="inlineStr">
        <is>
          <t xml:space="preserve">        Alambre MAG ER70S-6 Ø0,9 (AWS A5.18)</t>
        </is>
      </c>
      <c r="D20" s="37" t="n">
        <v>0.0551</v>
      </c>
      <c r="E20" s="37" t="inlineStr">
        <is>
          <t>kg</t>
        </is>
      </c>
      <c r="F20" s="38" t="n">
        <v>0.95</v>
      </c>
      <c r="G20" s="38">
        <f>D20*F20</f>
        <v/>
      </c>
      <c r="H20" s="37" t="inlineStr">
        <is>
          <t>ER70S-6</t>
        </is>
      </c>
      <c r="I20" s="18" t="inlineStr">
        <is>
          <t>metal depositado de los cordones del plano 52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ABC5-C2</t>
        </is>
      </c>
      <c r="C21" s="18" t="inlineStr">
        <is>
          <t xml:space="preserve">        Gas de protección MAG Arcal 21 / ARCAL Speed (Ar + 8 % CO₂, M20)</t>
        </is>
      </c>
      <c r="D21" s="37" t="n">
        <v>32.8</v>
      </c>
      <c r="E21" s="37" t="inlineStr">
        <is>
          <t>L</t>
        </is>
      </c>
      <c r="F21" s="38" t="n"/>
      <c r="G21" s="38" t="n"/>
      <c r="H21" s="37" t="inlineStr">
        <is>
          <t>EN ISO 14175 M20-ArC-8</t>
        </is>
      </c>
      <c r="I21" s="18" t="inlineStr">
        <is>
          <t>14 L/min × 2,34 min de arco (cordones 1.405 mm: long. 327 + circ. 961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ABC5-C3</t>
        </is>
      </c>
      <c r="C22" s="18" t="inlineStr">
        <is>
          <t xml:space="preserve">        Granalla de acero S330 / S390 (ISO 11124-3, SAE J444)</t>
        </is>
      </c>
      <c r="D22" s="37" t="n">
        <v>0.08</v>
      </c>
      <c r="E22" s="37" t="inlineStr">
        <is>
          <t>kg</t>
        </is>
      </c>
      <c r="F22" s="38" t="n"/>
      <c r="G22" s="38" t="n"/>
      <c r="H22" s="37" t="inlineStr">
        <is>
          <t>Granalla esférica alto C</t>
        </is>
      </c>
      <c r="I22" s="18" t="inlineStr">
        <is>
          <t>0,21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ABC5-C4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0,21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outlineLevel="1">
      <c r="A24" s="39" t="n">
        <v>2</v>
      </c>
      <c r="B24" s="39" t="inlineStr">
        <is>
          <t>ABC5-T1</t>
        </is>
      </c>
      <c r="C24" s="19" t="inlineStr">
        <is>
          <t xml:space="preserve">        Tapón protector de rosca del cuello</t>
        </is>
      </c>
      <c r="D24" s="39" t="n">
        <v>1</v>
      </c>
      <c r="E24" s="39" t="inlineStr">
        <is>
          <t>u</t>
        </is>
      </c>
      <c r="F24" s="40" t="n"/>
      <c r="G24" s="40" t="n"/>
      <c r="H24" s="39" t="inlineStr">
        <is>
          <t>Polietileno</t>
        </is>
      </c>
      <c r="I24" s="19" t="inlineStr">
        <is>
          <t>para rosca M30x1,5 (plano FL_REC_ABC_5kg hoja 3, R4)</t>
        </is>
      </c>
      <c r="J24" s="39" t="inlineStr">
        <is>
          <t>Compra</t>
        </is>
      </c>
      <c r="K24" s="39" t="inlineStr">
        <is>
          <t>Sí</t>
        </is>
      </c>
      <c r="L24" s="19" t="inlineStr">
        <is>
          <t>-</t>
        </is>
      </c>
      <c r="M24" s="19" t="inlineStr">
        <is>
          <t>-</t>
        </is>
      </c>
      <c r="N24" s="19" t="inlineStr">
        <is>
          <t>Embalaje</t>
        </is>
      </c>
      <c r="O24" s="19" t="n"/>
      <c r="P24" s="39" t="inlineStr">
        <is>
          <t>P</t>
        </is>
      </c>
      <c r="Q24" s="39" t="n"/>
      <c r="R24" s="19" t="n"/>
    </row>
    <row r="25" outlineLevel="1">
      <c r="A25" s="32" t="n">
        <v>2</v>
      </c>
      <c r="B25" s="32" t="inlineStr">
        <is>
          <t>ABC5-T2</t>
        </is>
      </c>
      <c r="C25" s="17" t="inlineStr">
        <is>
          <t xml:space="preserve">        Marcado del recipiente: estampado en la cúpula, en arco junto al cuello (puesto de numerado de cúpula)</t>
        </is>
      </c>
      <c r="D25" s="32" t="n">
        <v>1</v>
      </c>
      <c r="E25" s="32" t="inlineStr">
        <is>
          <t>u</t>
        </is>
      </c>
      <c r="F25" s="33" t="n"/>
      <c r="G25" s="33" t="n"/>
      <c r="H25" s="32" t="inlineStr">
        <is>
          <t>-</t>
        </is>
      </c>
      <c r="I25" s="17" t="inlineStr">
        <is>
          <t>Fabricante, n° de serie, año; en arco junto al cuello, letra 5 mm; cuño DPS 15 × 7 junto al n°</t>
        </is>
      </c>
      <c r="J25" s="32" t="inlineStr">
        <is>
          <t>Proceso</t>
        </is>
      </c>
      <c r="K25" s="32" t="inlineStr">
        <is>
          <t>No</t>
        </is>
      </c>
      <c r="L25" s="17" t="n"/>
      <c r="M25" s="17" t="n"/>
      <c r="N25" s="17" t="inlineStr">
        <is>
          <t>Marcado</t>
        </is>
      </c>
      <c r="O25" s="17" t="inlineStr">
        <is>
          <t>IRAM 3523 5.1 · Res. 349/07 anexo IV</t>
        </is>
      </c>
      <c r="P25" s="32" t="inlineStr">
        <is>
          <t>N</t>
        </is>
      </c>
      <c r="Q25" s="32" t="n"/>
      <c r="R25" s="17" t="n"/>
    </row>
    <row r="26" outlineLevel="1">
      <c r="A26" s="32" t="n">
        <v>2</v>
      </c>
      <c r="B26" s="32" t="inlineStr">
        <is>
          <t>ABC5-T3</t>
        </is>
      </c>
      <c r="C26" s="17" t="inlineStr">
        <is>
          <t xml:space="preserve">        Etiqueta de identificación del cilindro suelto</t>
        </is>
      </c>
      <c r="D26" s="32" t="n">
        <v>1</v>
      </c>
      <c r="E26" s="32" t="inlineStr">
        <is>
          <t>u</t>
        </is>
      </c>
      <c r="F26" s="33" t="n"/>
      <c r="G26" s="33" t="n"/>
      <c r="H26" s="32" t="inlineStr">
        <is>
          <t>Poliéster autoadhesivo removible</t>
        </is>
      </c>
      <c r="I26" s="17" t="inlineStr">
        <is>
          <t>100 × 60, impresión térmica, QR GS1</t>
        </is>
      </c>
      <c r="J26" s="32" t="inlineStr">
        <is>
          <t>Compra</t>
        </is>
      </c>
      <c r="K26" s="32" t="inlineStr">
        <is>
          <t>Sí</t>
        </is>
      </c>
      <c r="L26" s="17" t="inlineStr">
        <is>
          <t>Astuprint</t>
        </is>
      </c>
      <c r="M26" s="17" t="inlineStr">
        <is>
          <t>GS1 Argentina</t>
        </is>
      </c>
      <c r="N26" s="17" t="inlineStr">
        <is>
          <t>Etiquetado</t>
        </is>
      </c>
      <c r="O26" s="17" t="n"/>
      <c r="P26" s="32" t="inlineStr">
        <is>
          <t>P</t>
        </is>
      </c>
      <c r="Q26" s="32" t="inlineStr">
        <is>
          <t>FL_REC_ABC_5kg hoja 3</t>
        </is>
      </c>
      <c r="R26" s="17" t="n"/>
    </row>
    <row r="27" outlineLevel="1">
      <c r="A27" s="32" t="n">
        <v>2</v>
      </c>
      <c r="B27" s="32" t="inlineStr">
        <is>
          <t>ABC5-T4</t>
        </is>
      </c>
      <c r="C27" s="17" t="inlineStr">
        <is>
          <t xml:space="preserve">        Protocolo de ensayo hidrostático (certificado que acompaña)</t>
        </is>
      </c>
      <c r="D27" s="32" t="n">
        <v>1</v>
      </c>
      <c r="E27" s="32" t="inlineStr">
        <is>
          <t>u</t>
        </is>
      </c>
      <c r="F27" s="33" t="n">
        <v>0.005</v>
      </c>
      <c r="G27" s="33">
        <f>D27*F27</f>
        <v/>
      </c>
      <c r="H27" s="32" t="inlineStr">
        <is>
          <t>Papel</t>
        </is>
      </c>
      <c r="I27" s="17" t="inlineStr">
        <is>
          <t>A5</t>
        </is>
      </c>
      <c r="J27" s="32" t="inlineStr">
        <is>
          <t>Proceso</t>
        </is>
      </c>
      <c r="K27" s="32" t="inlineStr">
        <is>
          <t>No</t>
        </is>
      </c>
      <c r="L27" s="17" t="n"/>
      <c r="M27" s="17" t="n"/>
      <c r="N27" s="17" t="inlineStr">
        <is>
          <t>Control de calidad</t>
        </is>
      </c>
      <c r="O27" s="17" t="inlineStr">
        <is>
          <t>IRAM 3523 4.1 y cap. 6 · IRAM 2587</t>
        </is>
      </c>
      <c r="P27" s="32" t="inlineStr">
        <is>
          <t>N</t>
        </is>
      </c>
      <c r="Q27" s="32" t="inlineStr">
        <is>
          <t>FL_REC_ABC_5kg hoja 3</t>
        </is>
      </c>
      <c r="R27" s="17" t="n"/>
    </row>
    <row r="28">
      <c r="A28" s="29" t="n">
        <v>1</v>
      </c>
      <c r="B28" s="29" t="inlineStr">
        <is>
          <t>ABC5-S7</t>
        </is>
      </c>
      <c r="C28" s="30" t="inlineStr">
        <is>
          <t xml:space="preserve">    Embalaje</t>
        </is>
      </c>
      <c r="D28" s="29" t="n">
        <v>1</v>
      </c>
      <c r="E28" s="29" t="inlineStr">
        <is>
          <t>u</t>
        </is>
      </c>
      <c r="F28" s="31" t="n"/>
      <c r="G28" s="31">
        <f>G31</f>
        <v/>
      </c>
      <c r="H28" s="29" t="n"/>
      <c r="I28" s="30" t="n"/>
      <c r="J28" s="29" t="inlineStr">
        <is>
          <t>Compra</t>
        </is>
      </c>
      <c r="K28" s="29" t="n"/>
      <c r="L28" s="30" t="n"/>
      <c r="M28" s="30" t="n"/>
      <c r="N28" s="30" t="inlineStr">
        <is>
          <t>23 Embalaje -&gt; 24 envolvedora (T11)</t>
        </is>
      </c>
      <c r="O28" s="30" t="n"/>
      <c r="P28" s="29" t="n"/>
      <c r="Q28" s="29" t="n"/>
      <c r="R28" s="30" t="n"/>
    </row>
    <row r="29" outlineLevel="1">
      <c r="A29" s="32" t="n">
        <v>2</v>
      </c>
      <c r="B29" s="32" t="inlineStr">
        <is>
          <t>ABC5-E1</t>
        </is>
      </c>
      <c r="C29" s="17" t="inlineStr">
        <is>
          <t xml:space="preserve">        Caja de cartón corrugado simple</t>
        </is>
      </c>
      <c r="D29" s="32" t="n">
        <v>1</v>
      </c>
      <c r="E29" s="32" t="inlineStr">
        <is>
          <t>u</t>
        </is>
      </c>
      <c r="F29" s="33" t="n"/>
      <c r="G29" s="33" t="n"/>
      <c r="H29" s="32" t="inlineStr">
        <is>
          <t>Cartón corrugado</t>
        </is>
      </c>
      <c r="I29" s="17" t="inlineStr">
        <is>
          <t>183 × 183 × 410 interior (envolvente del plano + 15 por lado)</t>
        </is>
      </c>
      <c r="J29" s="32" t="inlineStr">
        <is>
          <t>Compra</t>
        </is>
      </c>
      <c r="K29" s="32" t="inlineStr">
        <is>
          <t>Sí</t>
        </is>
      </c>
      <c r="L29" s="17" t="inlineStr">
        <is>
          <t>Maxipack</t>
        </is>
      </c>
      <c r="M29" s="17" t="inlineStr">
        <is>
          <t>Cartocan</t>
        </is>
      </c>
      <c r="N29" s="17" t="inlineStr">
        <is>
          <t>23 Embalaje</t>
        </is>
      </c>
      <c r="O29" s="17" t="n"/>
      <c r="P29" s="32" t="inlineStr">
        <is>
          <t>P</t>
        </is>
      </c>
      <c r="Q29" s="32" t="n"/>
      <c r="R29" s="17" t="inlineStr">
        <is>
          <t>Medida del plano</t>
        </is>
      </c>
    </row>
    <row r="30" outlineLevel="1">
      <c r="A30" s="32" t="n">
        <v>2</v>
      </c>
      <c r="B30" s="32" t="inlineStr">
        <is>
          <t>ABC5-E3</t>
        </is>
      </c>
      <c r="C30" s="17" t="inlineStr">
        <is>
          <t xml:space="preserve">        Pallet 1200 × 1000 (fracción)</t>
        </is>
      </c>
      <c r="D30" s="32" t="n">
        <v>0.0111</v>
      </c>
      <c r="E30" s="32" t="inlineStr">
        <is>
          <t>u</t>
        </is>
      </c>
      <c r="F30" s="33" t="n"/>
      <c r="G30" s="33" t="n"/>
      <c r="H30" s="32" t="inlineStr">
        <is>
          <t>Madera</t>
        </is>
      </c>
      <c r="I30" s="17" t="inlineStr">
        <is>
          <t>90 u por pallet</t>
        </is>
      </c>
      <c r="J30" s="32" t="inlineStr">
        <is>
          <t>Compra</t>
        </is>
      </c>
      <c r="K30" s="32" t="inlineStr">
        <is>
          <t>Sí</t>
        </is>
      </c>
      <c r="L30" s="17" t="inlineStr">
        <is>
          <t>IndusPallets</t>
        </is>
      </c>
      <c r="M30" s="17" t="inlineStr">
        <is>
          <t>-</t>
        </is>
      </c>
      <c r="N30" s="17" t="inlineStr">
        <is>
          <t>23 Embalaje</t>
        </is>
      </c>
      <c r="O30" s="17" t="n"/>
      <c r="P30" s="32" t="inlineStr">
        <is>
          <t>C</t>
        </is>
      </c>
      <c r="Q30" s="32" t="n"/>
      <c r="R30" s="17" t="inlineStr">
        <is>
          <t>u por pallet = acomodo de la caja (plano) en 1200 × 1000 × 1450 de alto</t>
        </is>
      </c>
    </row>
    <row r="31" outlineLevel="1">
      <c r="A31" s="37" t="n">
        <v>2</v>
      </c>
      <c r="B31" s="37" t="inlineStr">
        <is>
          <t>ABC5-E4</t>
        </is>
      </c>
      <c r="C31" s="18" t="inlineStr">
        <is>
          <t xml:space="preserve">        Film stretch (fracción del pallet)</t>
        </is>
      </c>
      <c r="D31" s="37" t="n">
        <v>0.0013</v>
      </c>
      <c r="E31" s="37" t="inlineStr">
        <is>
          <t>kg</t>
        </is>
      </c>
      <c r="F31" s="38" t="n">
        <v>1</v>
      </c>
      <c r="G31" s="38">
        <f>D31*F31</f>
        <v/>
      </c>
      <c r="H31" s="37" t="inlineStr">
        <is>
          <t>PE lineal 23 µm</t>
        </is>
      </c>
      <c r="I31" s="18" t="inlineStr">
        <is>
          <t>0,12 kg por pallet / 90 u</t>
        </is>
      </c>
      <c r="J31" s="37" t="inlineStr">
        <is>
          <t>Compra</t>
        </is>
      </c>
      <c r="K31" s="37" t="inlineStr">
        <is>
          <t>Sí</t>
        </is>
      </c>
      <c r="L31" s="18" t="inlineStr">
        <is>
          <t>MV Embalajes</t>
        </is>
      </c>
      <c r="M31" s="18" t="inlineStr">
        <is>
          <t>Embalpack</t>
        </is>
      </c>
      <c r="N31" s="18" t="inlineStr">
        <is>
          <t>24 Envolvedora (T11)</t>
        </is>
      </c>
      <c r="O31" s="18" t="n"/>
      <c r="P31" s="37" t="inlineStr">
        <is>
          <t>C</t>
        </is>
      </c>
      <c r="Q31" s="37" t="n"/>
      <c r="R3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2" outlineLevel="1">
      <c r="A32" s="32" t="n">
        <v>2</v>
      </c>
      <c r="B32" s="32" t="inlineStr">
        <is>
          <t>ABC5-E5</t>
        </is>
      </c>
      <c r="C32" s="17" t="inlineStr">
        <is>
          <t xml:space="preserve">        Etiqueta de pallet (lote y destino, fracción)</t>
        </is>
      </c>
      <c r="D32" s="32" t="n">
        <v>0.0111</v>
      </c>
      <c r="E32" s="32" t="inlineStr">
        <is>
          <t>u</t>
        </is>
      </c>
      <c r="F32" s="33" t="n"/>
      <c r="G32" s="33" t="n"/>
      <c r="H32" s="32" t="inlineStr">
        <is>
          <t>Papel térmico</t>
        </is>
      </c>
      <c r="I32" s="17" t="inlineStr">
        <is>
          <t>100 × 150</t>
        </is>
      </c>
      <c r="J32" s="32" t="inlineStr">
        <is>
          <t>Compra</t>
        </is>
      </c>
      <c r="K32" s="32" t="inlineStr">
        <is>
          <t>Sí</t>
        </is>
      </c>
      <c r="L32" s="17" t="inlineStr">
        <is>
          <t>Astuprint</t>
        </is>
      </c>
      <c r="M32" s="17" t="inlineStr">
        <is>
          <t>Multilabel Argentina S.A.</t>
        </is>
      </c>
      <c r="N32" s="17" t="inlineStr">
        <is>
          <t>24 Envolvedora</t>
        </is>
      </c>
      <c r="O32" s="17" t="n"/>
      <c r="P32" s="32" t="inlineStr">
        <is>
          <t>C</t>
        </is>
      </c>
      <c r="Q32" s="32" t="n"/>
      <c r="R32" s="17" t="n"/>
    </row>
    <row r="33" outlineLevel="1">
      <c r="A33" s="37" t="n">
        <v>2</v>
      </c>
      <c r="B33" s="37" t="inlineStr">
        <is>
          <t>ABC5-E6</t>
        </is>
      </c>
      <c r="C33" s="18" t="inlineStr">
        <is>
          <t xml:space="preserve">        Cinta de embalaje PP 48 mm (cierre de la caja)</t>
        </is>
      </c>
      <c r="D33" s="37" t="n">
        <v>0.646</v>
      </c>
      <c r="E33" s="37" t="inlineStr">
        <is>
          <t>m</t>
        </is>
      </c>
      <c r="F33" s="38" t="n"/>
      <c r="G33" s="38" t="n"/>
      <c r="H33" s="37" t="inlineStr">
        <is>
          <t>Polipropileno con adhesivo acrílico</t>
        </is>
      </c>
      <c r="I33" s="18" t="inlineStr">
        <is>
          <t>cierre en I arriba y abajo: 2 × (183 + 2 × 70 de solapa)</t>
        </is>
      </c>
      <c r="J33" s="37" t="inlineStr">
        <is>
          <t>Compra</t>
        </is>
      </c>
      <c r="K33" s="37" t="inlineStr">
        <is>
          <t>Sí</t>
        </is>
      </c>
      <c r="L33" s="18" t="inlineStr">
        <is>
          <t>MV Embalajes</t>
        </is>
      </c>
      <c r="M33" s="18" t="inlineStr">
        <is>
          <t>Embalpack</t>
        </is>
      </c>
      <c r="N33" s="18" t="inlineStr">
        <is>
          <t>23 Embalaje</t>
        </is>
      </c>
      <c r="O33" s="18" t="n"/>
      <c r="P33" s="37" t="inlineStr">
        <is>
          <t>C</t>
        </is>
      </c>
      <c r="Q33" s="37" t="n"/>
      <c r="R33" s="18" t="inlineStr">
        <is>
          <t>Solapa de 70 mm por lado: práctica de cierre de cajas (medir en la línea)</t>
        </is>
      </c>
    </row>
    <row r="34" outlineLevel="1">
      <c r="A34" s="32" t="n">
        <v>2</v>
      </c>
      <c r="B34" s="32" t="inlineStr">
        <is>
          <t>ABC5-E7</t>
        </is>
      </c>
      <c r="C34" s="17" t="inlineStr">
        <is>
          <t xml:space="preserve">        Esquineros de cartón 50 × 50 × 1200 (fracción del pallet)</t>
        </is>
      </c>
      <c r="D34" s="32" t="n">
        <v>0.0444</v>
      </c>
      <c r="E34" s="32" t="inlineStr">
        <is>
          <t>u</t>
        </is>
      </c>
      <c r="F34" s="33" t="n"/>
      <c r="G34" s="33" t="n"/>
      <c r="H34" s="32" t="inlineStr">
        <is>
          <t>Cartón</t>
        </is>
      </c>
      <c r="I34" s="17" t="inlineStr">
        <is>
          <t>4 por pallet / 90 u</t>
        </is>
      </c>
      <c r="J34" s="32" t="inlineStr">
        <is>
          <t>Compra</t>
        </is>
      </c>
      <c r="K34" s="32" t="inlineStr">
        <is>
          <t>Sí</t>
        </is>
      </c>
      <c r="L34" s="17" t="inlineStr">
        <is>
          <t>Maxipack</t>
        </is>
      </c>
      <c r="M34" s="17" t="inlineStr">
        <is>
          <t>Cartocan</t>
        </is>
      </c>
      <c r="N34" s="17" t="inlineStr">
        <is>
          <t>24 Envolvedora (T11)</t>
        </is>
      </c>
      <c r="O34" s="17" t="n"/>
      <c r="P34" s="32" t="inlineStr">
        <is>
          <t>C</t>
        </is>
      </c>
      <c r="Q34" s="32" t="n"/>
      <c r="R34" s="17" t="inlineStr">
        <is>
          <t>Planilla MP-64</t>
        </is>
      </c>
    </row>
    <row r="35" outlineLevel="1">
      <c r="A35" s="32" t="n">
        <v>2</v>
      </c>
      <c r="B35" s="32" t="inlineStr">
        <is>
          <t>ABC5-E8</t>
        </is>
      </c>
      <c r="C35" s="17" t="inlineStr">
        <is>
          <t xml:space="preserve">        Separador de capa de cartón 1200 × 1000 (fracción del pallet)</t>
        </is>
      </c>
      <c r="D35" s="32" t="n">
        <v>0.0222</v>
      </c>
      <c r="E35" s="32" t="inlineStr">
        <is>
          <t>u</t>
        </is>
      </c>
      <c r="F35" s="33" t="n"/>
      <c r="G35" s="33" t="n"/>
      <c r="H35" s="32" t="inlineStr">
        <is>
          <t>Cartón</t>
        </is>
      </c>
      <c r="I35" s="17" t="inlineStr">
        <is>
          <t>3 capas → 2 separadores por pallet / 90 u</t>
        </is>
      </c>
      <c r="J35" s="32" t="inlineStr">
        <is>
          <t>Compra</t>
        </is>
      </c>
      <c r="K35" s="32" t="inlineStr">
        <is>
          <t>Sí</t>
        </is>
      </c>
      <c r="L35" s="17" t="inlineStr">
        <is>
          <t>Maxipack</t>
        </is>
      </c>
      <c r="M35" s="17" t="inlineStr">
        <is>
          <t>Cartocan</t>
        </is>
      </c>
      <c r="N35" s="17" t="inlineStr">
        <is>
          <t>23 Embalaje</t>
        </is>
      </c>
      <c r="O35" s="17" t="n"/>
      <c r="P35" s="32" t="inlineStr">
        <is>
          <t>C</t>
        </is>
      </c>
      <c r="Q35" s="32" t="n"/>
      <c r="R35" s="17" t="inlineStr">
        <is>
          <t>Planilla MP-61</t>
        </is>
      </c>
    </row>
  </sheetData>
  <autoFilter ref="A10:R35"/>
  <pageMargins left="0.75" right="0.75" top="1" bottom="1" header="0.5" footer="0.5"/>
  <pageSetup orientation="landscape" fitToHeight="0" fitToWidth="1"/>
</worksheet>
</file>

<file path=xl/worksheets/sheet36.xml><?xml version="1.0" encoding="utf-8"?>
<worksheet xmlns="http://schemas.openxmlformats.org/spreadsheetml/2006/main">
  <sheetPr>
    <tabColor rgb="001F4E79"/>
    <outlinePr summaryBelow="0" summaryRight="1"/>
    <pageSetUpPr fitToPage="1"/>
  </sheetPr>
  <dimension ref="A1:R35"/>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FL_REC_ABC_10kg</t>
        </is>
      </c>
    </row>
    <row r="2">
      <c r="A2" s="58" t="inlineStr">
        <is>
          <t>Cilindro (recipiente) ABC 10 kg - repuesto vacío sin válvula</t>
        </is>
      </c>
    </row>
    <row r="3">
      <c r="A3" s="2" t="inlineStr">
        <is>
          <t>Plano de origen</t>
        </is>
      </c>
      <c r="C3" t="inlineStr">
        <is>
          <t>FL_REC_ABC_10kg  (recipiente para venta suelta)</t>
        </is>
      </c>
      <c r="E3" s="2" t="inlineStr">
        <is>
          <t>Peso vacío S1-S4 (kg)</t>
        </is>
      </c>
      <c r="G3" s="59">
        <f>G12</f>
        <v/>
      </c>
    </row>
    <row r="4">
      <c r="A4" s="2" t="inlineStr">
        <is>
          <t>Plano de despiece</t>
        </is>
      </c>
      <c r="C4" t="inlineStr">
        <is>
          <t>FL_REC_ABC_10kg hoja 3</t>
        </is>
      </c>
      <c r="E4" s="2" t="inlineStr">
        <is>
          <t>Peso cargado S1-S6 (kg)</t>
        </is>
      </c>
      <c r="G4" s="59">
        <f>G12</f>
        <v/>
      </c>
    </row>
    <row r="5">
      <c r="A5" s="2" t="inlineStr">
        <is>
          <t>Norma del producto</t>
        </is>
      </c>
      <c r="C5" t="inlineStr">
        <is>
          <t>IRAM 3523</t>
        </is>
      </c>
      <c r="E5" s="2" t="inlineStr">
        <is>
          <t>Peso con soporte y embalaje (kg)</t>
        </is>
      </c>
      <c r="G5" s="59">
        <f>G12+G28</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FL_REC_ABC_10kg</t>
        </is>
      </c>
      <c r="C11" s="27" t="inlineStr">
        <is>
          <t>Cilindro (recipiente) ABC 10 kg - repuesto vacío sin válvula</t>
        </is>
      </c>
      <c r="D11" s="26" t="n">
        <v>1</v>
      </c>
      <c r="E11" s="26" t="inlineStr">
        <is>
          <t>u</t>
        </is>
      </c>
      <c r="F11" s="28" t="n"/>
      <c r="G11" s="28">
        <f>G5</f>
        <v/>
      </c>
      <c r="H11" s="26" t="n"/>
      <c r="I11" s="27" t="n"/>
      <c r="J11" s="26" t="n"/>
      <c r="K11" s="26" t="n"/>
      <c r="L11" s="27" t="n"/>
      <c r="M11" s="27" t="n"/>
      <c r="N11" s="27" t="n"/>
      <c r="O11" s="27" t="inlineStr">
        <is>
          <t>IRAM 3523</t>
        </is>
      </c>
      <c r="P11" s="26" t="inlineStr">
        <is>
          <t>P</t>
        </is>
      </c>
      <c r="Q11" s="26" t="inlineStr">
        <is>
          <t>FL_REC_ABC_10kg</t>
        </is>
      </c>
      <c r="R11" s="27" t="inlineStr">
        <is>
          <t>Fabricación propia</t>
        </is>
      </c>
    </row>
    <row r="12">
      <c r="A12" s="29" t="n">
        <v>1</v>
      </c>
      <c r="B12" s="29" t="inlineStr">
        <is>
          <t>ABC10-S1</t>
        </is>
      </c>
      <c r="C12" s="30" t="inlineStr">
        <is>
          <t xml:space="preserve">    Recipiente (cilindro)</t>
        </is>
      </c>
      <c r="D12" s="29" t="n">
        <v>1</v>
      </c>
      <c r="E12" s="29" t="inlineStr">
        <is>
          <t>u</t>
        </is>
      </c>
      <c r="F12" s="31" t="n"/>
      <c r="G12" s="31">
        <f>G13+G15+G17+G19+G20+G27</f>
        <v/>
      </c>
      <c r="H12" s="29" t="n"/>
      <c r="I12" s="30" t="n"/>
      <c r="J12" s="29" t="inlineStr">
        <is>
          <t>Fabricación</t>
        </is>
      </c>
      <c r="K12" s="29" t="n"/>
      <c r="L12" s="30" t="n"/>
      <c r="M12" s="30" t="n"/>
      <c r="N12" s="30" t="n"/>
      <c r="O12" s="30" t="inlineStr">
        <is>
          <t>IRAM 3523 / 3550 (recipiente)</t>
        </is>
      </c>
      <c r="P12" s="29" t="inlineStr">
        <is>
          <t>P</t>
        </is>
      </c>
      <c r="Q12" s="29" t="inlineStr">
        <is>
          <t>FL_DES_ABC_10kg</t>
        </is>
      </c>
      <c r="R12" s="30" t="n"/>
    </row>
    <row r="13" outlineLevel="1">
      <c r="A13" s="32" t="n">
        <v>2</v>
      </c>
      <c r="B13" s="32" t="inlineStr">
        <is>
          <t>ABC10-01</t>
        </is>
      </c>
      <c r="C13" s="17" t="inlineStr">
        <is>
          <t xml:space="preserve">        Cuerpo (virola)</t>
        </is>
      </c>
      <c r="D13" s="32" t="n">
        <v>1</v>
      </c>
      <c r="E13" s="32" t="inlineStr">
        <is>
          <t>u</t>
        </is>
      </c>
      <c r="F13" s="33" t="n">
        <v>4.3636</v>
      </c>
      <c r="G13" s="33">
        <f>D13*F13</f>
        <v/>
      </c>
      <c r="H13" s="32" t="inlineStr">
        <is>
          <t>Chapa LAF IRAM-IAS U 500-05 e=2</t>
        </is>
      </c>
      <c r="I13" s="17" t="inlineStr">
        <is>
          <t>Ø181,5 × e2 × 493,1 de alto; desarrollo 563,9 × 493,1</t>
        </is>
      </c>
      <c r="J13" s="32" t="inlineStr">
        <is>
          <t>Fabricación</t>
        </is>
      </c>
      <c r="K13" s="32" t="inlineStr">
        <is>
          <t>No</t>
        </is>
      </c>
      <c r="L13" s="17" t="n"/>
      <c r="M13" s="17" t="n"/>
      <c r="N13" s="17" t="inlineStr">
        <is>
          <t>1 Guillotina -&gt; 3 cilindrado -&gt; 4 soldadura longitudinal -&gt; 9 encastre del fondo -&gt; 10 bordoneado</t>
        </is>
      </c>
      <c r="O13" s="17" t="n"/>
      <c r="P13" s="32" t="inlineStr">
        <is>
          <t>P</t>
        </is>
      </c>
      <c r="Q13" s="32" t="inlineStr">
        <is>
          <t>FL_DES_ABC_10kg</t>
        </is>
      </c>
      <c r="R13" s="17" t="inlineStr">
        <is>
          <t>costura long. MAG</t>
        </is>
      </c>
    </row>
    <row r="14" outlineLevel="2">
      <c r="A14" s="34" t="n">
        <v>3</v>
      </c>
      <c r="B14" s="34" t="inlineStr">
        <is>
          <t>MP-HOJA</t>
        </is>
      </c>
      <c r="C14" s="35" t="inlineStr">
        <is>
          <t xml:space="preserve">            Recorte de hoja LAF 1500 × 3000 e=2</t>
        </is>
      </c>
      <c r="D14" s="34" t="n">
        <v>1</v>
      </c>
      <c r="E14" s="34" t="inlineStr">
        <is>
          <t>u</t>
        </is>
      </c>
      <c r="F14" s="36" t="n">
        <v>4.71</v>
      </c>
      <c r="G14" s="36">
        <f>D14*F14</f>
        <v/>
      </c>
      <c r="H14" s="34" t="inlineStr">
        <is>
          <t>Chapa LAF IRAM-IAS U 500-05 LAF</t>
        </is>
      </c>
      <c r="I14" s="35" t="inlineStr">
        <is>
          <t>495 × 563 (aprovech. 92,9 %)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ABC10-02</t>
        </is>
      </c>
      <c r="C15" s="17" t="inlineStr">
        <is>
          <t xml:space="preserve">        Cúpula</t>
        </is>
      </c>
      <c r="D15" s="32" t="n">
        <v>1</v>
      </c>
      <c r="E15" s="32" t="inlineStr">
        <is>
          <t>u</t>
        </is>
      </c>
      <c r="F15" s="33" t="n">
        <v>0.501</v>
      </c>
      <c r="G15" s="33">
        <f>D15*F15</f>
        <v/>
      </c>
      <c r="H15" s="32" t="inlineStr">
        <is>
          <t>Chapa LAF IRAM-IAS U 500-05 e=1,6</t>
        </is>
      </c>
      <c r="I15" s="17" t="inlineStr">
        <is>
          <t>Ø181,5 × e1,6 × 61,4 de alto; disco Ø258</t>
        </is>
      </c>
      <c r="J15" s="32" t="inlineStr">
        <is>
          <t>Fabricación</t>
        </is>
      </c>
      <c r="K15" s="32" t="inlineStr">
        <is>
          <t>No</t>
        </is>
      </c>
      <c r="L15" s="17" t="n"/>
      <c r="M15" s="17" t="n"/>
      <c r="N15" s="17" t="inlineStr">
        <is>
          <t>6 Desbobinado + embutido (M06-M08) -&gt; numerado de cúpula (micropercusión, en arco junto al cuello) -&gt; 8 soldadura de cuello</t>
        </is>
      </c>
      <c r="O15" s="17" t="n"/>
      <c r="P15" s="32" t="inlineStr">
        <is>
          <t>P</t>
        </is>
      </c>
      <c r="Q15" s="32" t="inlineStr">
        <is>
          <t>FL_DES_ABC_10kg</t>
        </is>
      </c>
      <c r="R15" s="17" t="inlineStr">
        <is>
          <t>embutida</t>
        </is>
      </c>
    </row>
    <row r="16" outlineLevel="2">
      <c r="A16" s="34" t="n">
        <v>3</v>
      </c>
      <c r="B16" s="34" t="inlineStr">
        <is>
          <t>MP-FLEJE</t>
        </is>
      </c>
      <c r="C16" s="35" t="inlineStr">
        <is>
          <t xml:space="preserve">            Fleje e=1,6 × 300 (paso 261)</t>
        </is>
      </c>
      <c r="D16" s="34" t="n">
        <v>0.261</v>
      </c>
      <c r="E16" s="34" t="inlineStr">
        <is>
          <t>m</t>
        </is>
      </c>
      <c r="F16" s="36" t="n">
        <v>3.768</v>
      </c>
      <c r="G16" s="36">
        <f>D16*F16</f>
        <v/>
      </c>
      <c r="H16" s="34" t="inlineStr">
        <is>
          <t>Fleje SAE 1010</t>
        </is>
      </c>
      <c r="I16" s="35" t="inlineStr">
        <is>
          <t>disco Ø258 (kg por m de fleje)</t>
        </is>
      </c>
      <c r="J16" s="34" t="inlineStr">
        <is>
          <t>Compra</t>
        </is>
      </c>
      <c r="K16" s="34" t="inlineStr">
        <is>
          <t>Sí</t>
        </is>
      </c>
      <c r="L16" s="35" t="inlineStr">
        <is>
          <t>Pacheco Chapas</t>
        </is>
      </c>
      <c r="M16" s="35" t="inlineStr">
        <is>
          <t>Pradecon S.A.</t>
        </is>
      </c>
      <c r="N16" s="35" t="inlineStr">
        <is>
          <t>AL-1F porta-flejes</t>
        </is>
      </c>
      <c r="O16" s="35" t="n"/>
      <c r="P16" s="34" t="inlineStr">
        <is>
          <t>L</t>
        </is>
      </c>
      <c r="Q16" s="34" t="inlineStr">
        <is>
          <t>FL_PI_04 h2</t>
        </is>
      </c>
      <c r="R16" s="35" t="n"/>
    </row>
    <row r="17" outlineLevel="1">
      <c r="A17" s="32" t="n">
        <v>2</v>
      </c>
      <c r="B17" s="32" t="inlineStr">
        <is>
          <t>ABC10-03</t>
        </is>
      </c>
      <c r="C17" s="17" t="inlineStr">
        <is>
          <t xml:space="preserve">        Fondo</t>
        </is>
      </c>
      <c r="D17" s="32" t="n">
        <v>1</v>
      </c>
      <c r="E17" s="32" t="inlineStr">
        <is>
          <t>u</t>
        </is>
      </c>
      <c r="F17" s="33" t="n">
        <v>0.5084</v>
      </c>
      <c r="G17" s="33">
        <f>D17*F17</f>
        <v/>
      </c>
      <c r="H17" s="32" t="inlineStr">
        <is>
          <t>Chapa LAF IRAM-IAS U 500-05 e=2</t>
        </is>
      </c>
      <c r="I17" s="17" t="inlineStr">
        <is>
          <t>Ø181,5 × e2 × 21,7 de alto; disco Ø205</t>
        </is>
      </c>
      <c r="J17" s="32" t="inlineStr">
        <is>
          <t>Fabricación</t>
        </is>
      </c>
      <c r="K17" s="32" t="inlineStr">
        <is>
          <t>No</t>
        </is>
      </c>
      <c r="L17" s="17" t="n"/>
      <c r="M17" s="17" t="n"/>
      <c r="N17" s="17" t="inlineStr">
        <is>
          <t>6 Desbobinado + embutido (M06-M08)</t>
        </is>
      </c>
      <c r="O17" s="17" t="n"/>
      <c r="P17" s="32" t="inlineStr">
        <is>
          <t>P</t>
        </is>
      </c>
      <c r="Q17" s="32" t="inlineStr">
        <is>
          <t>FL_DES_ABC_10kg</t>
        </is>
      </c>
      <c r="R17" s="17" t="inlineStr">
        <is>
          <t>embutido</t>
        </is>
      </c>
    </row>
    <row r="18" outlineLevel="2">
      <c r="A18" s="34" t="n">
        <v>3</v>
      </c>
      <c r="B18" s="34" t="inlineStr">
        <is>
          <t>MP-FLEJE</t>
        </is>
      </c>
      <c r="C18" s="35" t="inlineStr">
        <is>
          <t xml:space="preserve">            Fleje e=2 × 249 (paso 208)</t>
        </is>
      </c>
      <c r="D18" s="34" t="n">
        <v>0.208</v>
      </c>
      <c r="E18" s="34" t="inlineStr">
        <is>
          <t>m</t>
        </is>
      </c>
      <c r="F18" s="36" t="n">
        <v>3.909</v>
      </c>
      <c r="G18" s="36">
        <f>D18*F18</f>
        <v/>
      </c>
      <c r="H18" s="34" t="inlineStr">
        <is>
          <t>Fleje SAE 1010</t>
        </is>
      </c>
      <c r="I18" s="35" t="inlineStr">
        <is>
          <t>disco Ø205 (kg por m de fleje)</t>
        </is>
      </c>
      <c r="J18" s="34" t="inlineStr">
        <is>
          <t>Compra</t>
        </is>
      </c>
      <c r="K18" s="34" t="inlineStr">
        <is>
          <t>Sí</t>
        </is>
      </c>
      <c r="L18" s="35" t="inlineStr">
        <is>
          <t>Pacheco Chapas</t>
        </is>
      </c>
      <c r="M18" s="35" t="inlineStr">
        <is>
          <t>Pradecon S.A.</t>
        </is>
      </c>
      <c r="N18" s="35" t="inlineStr">
        <is>
          <t>AL-1F porta-flejes</t>
        </is>
      </c>
      <c r="O18" s="35" t="n"/>
      <c r="P18" s="34" t="inlineStr">
        <is>
          <t>L</t>
        </is>
      </c>
      <c r="Q18" s="34" t="inlineStr">
        <is>
          <t>FL_PI_04 h2</t>
        </is>
      </c>
      <c r="R18" s="35" t="n"/>
    </row>
    <row r="19" outlineLevel="1">
      <c r="A19" s="32" t="n">
        <v>2</v>
      </c>
      <c r="B19" s="32" t="inlineStr">
        <is>
          <t>ABC10-04</t>
        </is>
      </c>
      <c r="C19" s="17" t="inlineStr">
        <is>
          <t xml:space="preserve">        Cuello roscado</t>
        </is>
      </c>
      <c r="D19" s="32" t="n">
        <v>1</v>
      </c>
      <c r="E19" s="32" t="inlineStr">
        <is>
          <t>u</t>
        </is>
      </c>
      <c r="F19" s="33" t="n">
        <v>0.0541</v>
      </c>
      <c r="G19" s="33">
        <f>D19*F19</f>
        <v/>
      </c>
      <c r="H19" s="32" t="inlineStr">
        <is>
          <t>Acero SAE 1010</t>
        </is>
      </c>
      <c r="I19" s="17" t="inlineStr">
        <is>
          <t>Ø36,8 × 14 de alto, rosca M30x1,5, asiento Ø35</t>
        </is>
      </c>
      <c r="J19" s="32" t="inlineStr">
        <is>
          <t>Compra (mecanizado, Eli-Met)</t>
        </is>
      </c>
      <c r="K19" s="32" t="inlineStr">
        <is>
          <t>Sí</t>
        </is>
      </c>
      <c r="L19" s="17" t="inlineStr">
        <is>
          <t>Eli-Met</t>
        </is>
      </c>
      <c r="M19" s="17" t="inlineStr">
        <is>
          <t>-</t>
        </is>
      </c>
      <c r="N19" s="17" t="inlineStr">
        <is>
          <t>Compra -&gt; 8 soldadura de cuello</t>
        </is>
      </c>
      <c r="O19" s="17" t="n"/>
      <c r="P19" s="32" t="inlineStr">
        <is>
          <t>P</t>
        </is>
      </c>
      <c r="Q19" s="32" t="inlineStr">
        <is>
          <t>FL_DES_ABC_10kg</t>
        </is>
      </c>
      <c r="R19" s="17" t="inlineStr">
        <is>
          <t>M30x1,5</t>
        </is>
      </c>
    </row>
    <row r="20" outlineLevel="1">
      <c r="A20" s="37" t="n">
        <v>2</v>
      </c>
      <c r="B20" s="37" t="inlineStr">
        <is>
          <t>ABC10-C1</t>
        </is>
      </c>
      <c r="C20" s="18" t="inlineStr">
        <is>
          <t xml:space="preserve">        Alambre MAG ER70S-6 Ø0,9 (AWS A5.18)</t>
        </is>
      </c>
      <c r="D20" s="37" t="n">
        <v>0.0985</v>
      </c>
      <c r="E20" s="37" t="inlineStr">
        <is>
          <t>kg</t>
        </is>
      </c>
      <c r="F20" s="38" t="n">
        <v>0.95</v>
      </c>
      <c r="G20" s="38">
        <f>D20*F20</f>
        <v/>
      </c>
      <c r="H20" s="37" t="inlineStr">
        <is>
          <t>ER70S-6</t>
        </is>
      </c>
      <c r="I20" s="18" t="inlineStr">
        <is>
          <t>metal depositado de los cordones del plano 94 g / rendimiento 0,95</t>
        </is>
      </c>
      <c r="J20" s="37" t="inlineStr">
        <is>
          <t>Compra</t>
        </is>
      </c>
      <c r="K20" s="37" t="inlineStr">
        <is>
          <t>Sí</t>
        </is>
      </c>
      <c r="L20" s="18" t="inlineStr">
        <is>
          <t>Conarco (ESAB Argentina)</t>
        </is>
      </c>
      <c r="M20" s="18" t="inlineStr">
        <is>
          <t>-</t>
        </is>
      </c>
      <c r="N20" s="18" t="inlineStr">
        <is>
          <t>4 sold. long. / 8 cuello / 11 circunferencial</t>
        </is>
      </c>
      <c r="O20" s="18" t="inlineStr">
        <is>
          <t>IRAM 3523 3.2.4.2 · IRAM 3550 4.1.2</t>
        </is>
      </c>
      <c r="P20" s="37" t="inlineStr">
        <is>
          <t>C</t>
        </is>
      </c>
      <c r="Q20" s="37" t="n"/>
      <c r="R20"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1" outlineLevel="1">
      <c r="A21" s="37" t="n">
        <v>2</v>
      </c>
      <c r="B21" s="37" t="inlineStr">
        <is>
          <t>ABC10-C2</t>
        </is>
      </c>
      <c r="C21" s="18" t="inlineStr">
        <is>
          <t xml:space="preserve">        Gas de protección MAG Arcal 21 / ARCAL Speed (Ar + 8 % CO₂, M20)</t>
        </is>
      </c>
      <c r="D21" s="37" t="n">
        <v>40.8</v>
      </c>
      <c r="E21" s="37" t="inlineStr">
        <is>
          <t>L</t>
        </is>
      </c>
      <c r="F21" s="38" t="n"/>
      <c r="G21" s="38" t="n"/>
      <c r="H21" s="37" t="inlineStr">
        <is>
          <t>EN ISO 14175 M20-ArC-8</t>
        </is>
      </c>
      <c r="I21" s="18" t="inlineStr">
        <is>
          <t>14 L/min × 2,92 min de arco (cordones 1.749 mm: long. 493 + circ. 1.140 + cuello 116, a 600 mm/min)</t>
        </is>
      </c>
      <c r="J21" s="37" t="inlineStr">
        <is>
          <t>Compra</t>
        </is>
      </c>
      <c r="K21" s="37" t="inlineStr">
        <is>
          <t>Sí</t>
        </is>
      </c>
      <c r="L21" s="18" t="inlineStr">
        <is>
          <t>Air Liquide Argentina - sucursal Piñeyro</t>
        </is>
      </c>
      <c r="M21" s="18" t="inlineStr">
        <is>
          <t>Gogniat</t>
        </is>
      </c>
      <c r="N21" s="18" t="inlineStr">
        <is>
          <t>Colector SC</t>
        </is>
      </c>
      <c r="O21" s="18" t="inlineStr">
        <is>
          <t>IRAM 3523 3.2.4.2 · IRAM 3550 3.2.2.2</t>
        </is>
      </c>
      <c r="P21" s="37" t="inlineStr">
        <is>
          <t>C</t>
        </is>
      </c>
      <c r="Q21" s="37" t="n"/>
      <c r="R21"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2" outlineLevel="1">
      <c r="A22" s="37" t="n">
        <v>2</v>
      </c>
      <c r="B22" s="37" t="inlineStr">
        <is>
          <t>ABC10-C3</t>
        </is>
      </c>
      <c r="C22" s="18" t="inlineStr">
        <is>
          <t xml:space="preserve">        Granalla de acero S330 / S390 (ISO 11124-3, SAE J444)</t>
        </is>
      </c>
      <c r="D22" s="37" t="n">
        <v>0.08</v>
      </c>
      <c r="E22" s="37" t="inlineStr">
        <is>
          <t>kg</t>
        </is>
      </c>
      <c r="F22" s="38" t="n"/>
      <c r="G22" s="38" t="n"/>
      <c r="H22" s="37" t="inlineStr">
        <is>
          <t>Granalla esférica alto C</t>
        </is>
      </c>
      <c r="I22" s="18" t="inlineStr">
        <is>
          <t>0,35 m² a Sa 2½ (ISO 8501-1); 3,4 kg/h ÷ 42,5 u/h</t>
        </is>
      </c>
      <c r="J22" s="37" t="inlineStr">
        <is>
          <t>Compra</t>
        </is>
      </c>
      <c r="K22" s="37" t="inlineStr">
        <is>
          <t>Sí</t>
        </is>
      </c>
      <c r="L22" s="18" t="inlineStr">
        <is>
          <t>CyM Materiales</t>
        </is>
      </c>
      <c r="M22" s="18" t="inlineStr">
        <is>
          <t>Roca Ingeniería</t>
        </is>
      </c>
      <c r="N22" s="18" t="inlineStr">
        <is>
          <t>14 Granallado (B08)</t>
        </is>
      </c>
      <c r="O22" s="18" t="inlineStr">
        <is>
          <t>DOC-01</t>
        </is>
      </c>
      <c r="P22" s="37" t="inlineStr">
        <is>
          <t>C</t>
        </is>
      </c>
      <c r="Q22" s="37" t="n"/>
      <c r="R22" s="18" t="inlineStr">
        <is>
          <t>Consumo (desgaste) por turbina ≈ HP / 2 lb/h (The Fabricator, «aspectos básicos del granallado por turbina»): G-100 con 2 × 7,5 HP = 7,5 lb/h = 3,4 kg/h; ritmo 340 u por turno (Getweld) = 42,5 u/h.</t>
        </is>
      </c>
    </row>
    <row r="23" outlineLevel="1">
      <c r="A23" s="32" t="n">
        <v>2</v>
      </c>
      <c r="B23" s="32" t="inlineStr">
        <is>
          <t>ABC10-C4</t>
        </is>
      </c>
      <c r="C23" s="17" t="inlineStr">
        <is>
          <t xml:space="preserve">        Servicio de pintura en polvo al horno, rojo 03-1-050</t>
        </is>
      </c>
      <c r="D23" s="32" t="n">
        <v>1</v>
      </c>
      <c r="E23" s="32" t="inlineStr">
        <is>
          <t>u</t>
        </is>
      </c>
      <c r="F23" s="33" t="n"/>
      <c r="G23" s="33" t="n"/>
      <c r="H23" s="32" t="inlineStr">
        <is>
          <t>Servicio tercerizado</t>
        </is>
      </c>
      <c r="I23" s="17" t="inlineStr">
        <is>
          <t>superficie exterior 0,35 m²</t>
        </is>
      </c>
      <c r="J23" s="32" t="inlineStr">
        <is>
          <t>Compra (servicio)</t>
        </is>
      </c>
      <c r="K23" s="32" t="inlineStr">
        <is>
          <t>Sí</t>
        </is>
      </c>
      <c r="L23" s="17" t="inlineStr">
        <is>
          <t>Prymax</t>
        </is>
      </c>
      <c r="M23" s="17" t="inlineStr">
        <is>
          <t>Pintor de carros (cotización por mensaje)</t>
        </is>
      </c>
      <c r="N23" s="17" t="inlineStr">
        <is>
          <t>17 Pintura tercerizada</t>
        </is>
      </c>
      <c r="O23" s="17" t="inlineStr">
        <is>
          <t>IRAM 3523 5.3 / IRAM 3550 3.11 · IRAM 121</t>
        </is>
      </c>
      <c r="P23" s="32" t="inlineStr">
        <is>
          <t>Q</t>
        </is>
      </c>
      <c r="Q23" s="32" t="n"/>
      <c r="R23" s="17" t="inlineStr">
        <is>
          <t>Q-PRYMAX (precio por cilindro); exigir informe de niebla salina del sistema de pintura; tercerización aceptada por el Ministerio (Res. 349/07 art. 18)</t>
        </is>
      </c>
    </row>
    <row r="24" outlineLevel="1">
      <c r="A24" s="39" t="n">
        <v>2</v>
      </c>
      <c r="B24" s="39" t="inlineStr">
        <is>
          <t>ABC10-T1</t>
        </is>
      </c>
      <c r="C24" s="19" t="inlineStr">
        <is>
          <t xml:space="preserve">        Tapón protector de rosca del cuello</t>
        </is>
      </c>
      <c r="D24" s="39" t="n">
        <v>1</v>
      </c>
      <c r="E24" s="39" t="inlineStr">
        <is>
          <t>u</t>
        </is>
      </c>
      <c r="F24" s="40" t="n"/>
      <c r="G24" s="40" t="n"/>
      <c r="H24" s="39" t="inlineStr">
        <is>
          <t>Polietileno</t>
        </is>
      </c>
      <c r="I24" s="19" t="inlineStr">
        <is>
          <t>para rosca M30x1,5 (plano FL_REC_ABC_10kg hoja 3, R4)</t>
        </is>
      </c>
      <c r="J24" s="39" t="inlineStr">
        <is>
          <t>Compra</t>
        </is>
      </c>
      <c r="K24" s="39" t="inlineStr">
        <is>
          <t>Sí</t>
        </is>
      </c>
      <c r="L24" s="19" t="inlineStr">
        <is>
          <t>-</t>
        </is>
      </c>
      <c r="M24" s="19" t="inlineStr">
        <is>
          <t>-</t>
        </is>
      </c>
      <c r="N24" s="19" t="inlineStr">
        <is>
          <t>Embalaje</t>
        </is>
      </c>
      <c r="O24" s="19" t="n"/>
      <c r="P24" s="39" t="inlineStr">
        <is>
          <t>P</t>
        </is>
      </c>
      <c r="Q24" s="39" t="n"/>
      <c r="R24" s="19" t="n"/>
    </row>
    <row r="25" outlineLevel="1">
      <c r="A25" s="32" t="n">
        <v>2</v>
      </c>
      <c r="B25" s="32" t="inlineStr">
        <is>
          <t>ABC10-T2</t>
        </is>
      </c>
      <c r="C25" s="17" t="inlineStr">
        <is>
          <t xml:space="preserve">        Marcado del recipiente: estampado en la cúpula, en arco junto al cuello (puesto de numerado de cúpula)</t>
        </is>
      </c>
      <c r="D25" s="32" t="n">
        <v>1</v>
      </c>
      <c r="E25" s="32" t="inlineStr">
        <is>
          <t>u</t>
        </is>
      </c>
      <c r="F25" s="33" t="n"/>
      <c r="G25" s="33" t="n"/>
      <c r="H25" s="32" t="inlineStr">
        <is>
          <t>-</t>
        </is>
      </c>
      <c r="I25" s="17" t="inlineStr">
        <is>
          <t>Fabricante, n° de serie, año; en arco junto al cuello, letra 5 mm; cuño DPS 15 × 7 junto al n°</t>
        </is>
      </c>
      <c r="J25" s="32" t="inlineStr">
        <is>
          <t>Proceso</t>
        </is>
      </c>
      <c r="K25" s="32" t="inlineStr">
        <is>
          <t>No</t>
        </is>
      </c>
      <c r="L25" s="17" t="n"/>
      <c r="M25" s="17" t="n"/>
      <c r="N25" s="17" t="inlineStr">
        <is>
          <t>Marcado</t>
        </is>
      </c>
      <c r="O25" s="17" t="inlineStr">
        <is>
          <t>IRAM 3523 5.1 · Res. 349/07 anexo IV</t>
        </is>
      </c>
      <c r="P25" s="32" t="inlineStr">
        <is>
          <t>N</t>
        </is>
      </c>
      <c r="Q25" s="32" t="n"/>
      <c r="R25" s="17" t="n"/>
    </row>
    <row r="26" outlineLevel="1">
      <c r="A26" s="32" t="n">
        <v>2</v>
      </c>
      <c r="B26" s="32" t="inlineStr">
        <is>
          <t>ABC10-T3</t>
        </is>
      </c>
      <c r="C26" s="17" t="inlineStr">
        <is>
          <t xml:space="preserve">        Etiqueta de identificación del cilindro suelto</t>
        </is>
      </c>
      <c r="D26" s="32" t="n">
        <v>1</v>
      </c>
      <c r="E26" s="32" t="inlineStr">
        <is>
          <t>u</t>
        </is>
      </c>
      <c r="F26" s="33" t="n"/>
      <c r="G26" s="33" t="n"/>
      <c r="H26" s="32" t="inlineStr">
        <is>
          <t>Poliéster autoadhesivo removible</t>
        </is>
      </c>
      <c r="I26" s="17" t="inlineStr">
        <is>
          <t>100 × 60, impresión térmica, QR GS1</t>
        </is>
      </c>
      <c r="J26" s="32" t="inlineStr">
        <is>
          <t>Compra</t>
        </is>
      </c>
      <c r="K26" s="32" t="inlineStr">
        <is>
          <t>Sí</t>
        </is>
      </c>
      <c r="L26" s="17" t="inlineStr">
        <is>
          <t>Astuprint</t>
        </is>
      </c>
      <c r="M26" s="17" t="inlineStr">
        <is>
          <t>GS1 Argentina</t>
        </is>
      </c>
      <c r="N26" s="17" t="inlineStr">
        <is>
          <t>Etiquetado</t>
        </is>
      </c>
      <c r="O26" s="17" t="n"/>
      <c r="P26" s="32" t="inlineStr">
        <is>
          <t>P</t>
        </is>
      </c>
      <c r="Q26" s="32" t="inlineStr">
        <is>
          <t>FL_REC_ABC_10kg hoja 3</t>
        </is>
      </c>
      <c r="R26" s="17" t="n"/>
    </row>
    <row r="27" outlineLevel="1">
      <c r="A27" s="32" t="n">
        <v>2</v>
      </c>
      <c r="B27" s="32" t="inlineStr">
        <is>
          <t>ABC10-T4</t>
        </is>
      </c>
      <c r="C27" s="17" t="inlineStr">
        <is>
          <t xml:space="preserve">        Protocolo de ensayo hidrostático (certificado que acompaña)</t>
        </is>
      </c>
      <c r="D27" s="32" t="n">
        <v>1</v>
      </c>
      <c r="E27" s="32" t="inlineStr">
        <is>
          <t>u</t>
        </is>
      </c>
      <c r="F27" s="33" t="n">
        <v>0.005</v>
      </c>
      <c r="G27" s="33">
        <f>D27*F27</f>
        <v/>
      </c>
      <c r="H27" s="32" t="inlineStr">
        <is>
          <t>Papel</t>
        </is>
      </c>
      <c r="I27" s="17" t="inlineStr">
        <is>
          <t>A5</t>
        </is>
      </c>
      <c r="J27" s="32" t="inlineStr">
        <is>
          <t>Proceso</t>
        </is>
      </c>
      <c r="K27" s="32" t="inlineStr">
        <is>
          <t>No</t>
        </is>
      </c>
      <c r="L27" s="17" t="n"/>
      <c r="M27" s="17" t="n"/>
      <c r="N27" s="17" t="inlineStr">
        <is>
          <t>Control de calidad</t>
        </is>
      </c>
      <c r="O27" s="17" t="inlineStr">
        <is>
          <t>IRAM 3523 4.1 y cap. 6 · IRAM 2587</t>
        </is>
      </c>
      <c r="P27" s="32" t="inlineStr">
        <is>
          <t>N</t>
        </is>
      </c>
      <c r="Q27" s="32" t="inlineStr">
        <is>
          <t>FL_REC_ABC_10kg hoja 3</t>
        </is>
      </c>
      <c r="R27" s="17" t="n"/>
    </row>
    <row r="28">
      <c r="A28" s="29" t="n">
        <v>1</v>
      </c>
      <c r="B28" s="29" t="inlineStr">
        <is>
          <t>ABC10-S7</t>
        </is>
      </c>
      <c r="C28" s="30" t="inlineStr">
        <is>
          <t xml:space="preserve">    Embalaje</t>
        </is>
      </c>
      <c r="D28" s="29" t="n">
        <v>1</v>
      </c>
      <c r="E28" s="29" t="inlineStr">
        <is>
          <t>u</t>
        </is>
      </c>
      <c r="F28" s="31" t="n"/>
      <c r="G28" s="31">
        <f>G31</f>
        <v/>
      </c>
      <c r="H28" s="29" t="n"/>
      <c r="I28" s="30" t="n"/>
      <c r="J28" s="29" t="inlineStr">
        <is>
          <t>Compra</t>
        </is>
      </c>
      <c r="K28" s="29" t="n"/>
      <c r="L28" s="30" t="n"/>
      <c r="M28" s="30" t="n"/>
      <c r="N28" s="30" t="inlineStr">
        <is>
          <t>23 Embalaje -&gt; 24 envolvedora (T11)</t>
        </is>
      </c>
      <c r="O28" s="30" t="n"/>
      <c r="P28" s="29" t="n"/>
      <c r="Q28" s="29" t="n"/>
      <c r="R28" s="30" t="n"/>
    </row>
    <row r="29" outlineLevel="1">
      <c r="A29" s="32" t="n">
        <v>2</v>
      </c>
      <c r="B29" s="32" t="inlineStr">
        <is>
          <t>ABC10-E1</t>
        </is>
      </c>
      <c r="C29" s="17" t="inlineStr">
        <is>
          <t xml:space="preserve">        Caja de cartón corrugado doble</t>
        </is>
      </c>
      <c r="D29" s="32" t="n">
        <v>1</v>
      </c>
      <c r="E29" s="32" t="inlineStr">
        <is>
          <t>u</t>
        </is>
      </c>
      <c r="F29" s="33" t="n"/>
      <c r="G29" s="33" t="n"/>
      <c r="H29" s="32" t="inlineStr">
        <is>
          <t>Cartón corrugado</t>
        </is>
      </c>
      <c r="I29" s="17" t="inlineStr">
        <is>
          <t>212 × 212 × 582 interior (envolvente del plano + 15 por lado)</t>
        </is>
      </c>
      <c r="J29" s="32" t="inlineStr">
        <is>
          <t>Compra</t>
        </is>
      </c>
      <c r="K29" s="32" t="inlineStr">
        <is>
          <t>Sí</t>
        </is>
      </c>
      <c r="L29" s="17" t="inlineStr">
        <is>
          <t>Maxipack</t>
        </is>
      </c>
      <c r="M29" s="17" t="inlineStr">
        <is>
          <t>Cartocan</t>
        </is>
      </c>
      <c r="N29" s="17" t="inlineStr">
        <is>
          <t>23 Embalaje</t>
        </is>
      </c>
      <c r="O29" s="17" t="n"/>
      <c r="P29" s="32" t="inlineStr">
        <is>
          <t>P</t>
        </is>
      </c>
      <c r="Q29" s="32" t="n"/>
      <c r="R29" s="17" t="inlineStr">
        <is>
          <t>Medida del plano</t>
        </is>
      </c>
    </row>
    <row r="30" outlineLevel="1">
      <c r="A30" s="32" t="n">
        <v>2</v>
      </c>
      <c r="B30" s="32" t="inlineStr">
        <is>
          <t>ABC10-E3</t>
        </is>
      </c>
      <c r="C30" s="17" t="inlineStr">
        <is>
          <t xml:space="preserve">        Pallet 1200 × 1000 (fracción)</t>
        </is>
      </c>
      <c r="D30" s="32" t="n">
        <v>0.025</v>
      </c>
      <c r="E30" s="32" t="inlineStr">
        <is>
          <t>u</t>
        </is>
      </c>
      <c r="F30" s="33" t="n"/>
      <c r="G30" s="33" t="n"/>
      <c r="H30" s="32" t="inlineStr">
        <is>
          <t>Madera</t>
        </is>
      </c>
      <c r="I30" s="17" t="inlineStr">
        <is>
          <t>40 u por pallet</t>
        </is>
      </c>
      <c r="J30" s="32" t="inlineStr">
        <is>
          <t>Compra</t>
        </is>
      </c>
      <c r="K30" s="32" t="inlineStr">
        <is>
          <t>Sí</t>
        </is>
      </c>
      <c r="L30" s="17" t="inlineStr">
        <is>
          <t>IndusPallets</t>
        </is>
      </c>
      <c r="M30" s="17" t="inlineStr">
        <is>
          <t>-</t>
        </is>
      </c>
      <c r="N30" s="17" t="inlineStr">
        <is>
          <t>23 Embalaje</t>
        </is>
      </c>
      <c r="O30" s="17" t="n"/>
      <c r="P30" s="32" t="inlineStr">
        <is>
          <t>C</t>
        </is>
      </c>
      <c r="Q30" s="32" t="n"/>
      <c r="R30" s="17" t="inlineStr">
        <is>
          <t>u por pallet = acomodo de la caja (plano) en 1200 × 1000 × 1450 de alto</t>
        </is>
      </c>
    </row>
    <row r="31" outlineLevel="1">
      <c r="A31" s="37" t="n">
        <v>2</v>
      </c>
      <c r="B31" s="37" t="inlineStr">
        <is>
          <t>ABC10-E4</t>
        </is>
      </c>
      <c r="C31" s="18" t="inlineStr">
        <is>
          <t xml:space="preserve">        Film stretch (fracción del pallet)</t>
        </is>
      </c>
      <c r="D31" s="37" t="n">
        <v>0.003</v>
      </c>
      <c r="E31" s="37" t="inlineStr">
        <is>
          <t>kg</t>
        </is>
      </c>
      <c r="F31" s="38" t="n">
        <v>1</v>
      </c>
      <c r="G31" s="38">
        <f>D31*F31</f>
        <v/>
      </c>
      <c r="H31" s="37" t="inlineStr">
        <is>
          <t>PE lineal 23 µm</t>
        </is>
      </c>
      <c r="I31" s="18" t="inlineStr">
        <is>
          <t>0,12 kg por pallet / 40 u</t>
        </is>
      </c>
      <c r="J31" s="37" t="inlineStr">
        <is>
          <t>Compra</t>
        </is>
      </c>
      <c r="K31" s="37" t="inlineStr">
        <is>
          <t>Sí</t>
        </is>
      </c>
      <c r="L31" s="18" t="inlineStr">
        <is>
          <t>MV Embalajes</t>
        </is>
      </c>
      <c r="M31" s="18" t="inlineStr">
        <is>
          <t>Embalpack</t>
        </is>
      </c>
      <c r="N31" s="18" t="inlineStr">
        <is>
          <t>24 Envolvedora (T11)</t>
        </is>
      </c>
      <c r="O31" s="18" t="n"/>
      <c r="P31" s="37" t="inlineStr">
        <is>
          <t>C</t>
        </is>
      </c>
      <c r="Q31" s="37" t="n"/>
      <c r="R31"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2" outlineLevel="1">
      <c r="A32" s="32" t="n">
        <v>2</v>
      </c>
      <c r="B32" s="32" t="inlineStr">
        <is>
          <t>ABC10-E5</t>
        </is>
      </c>
      <c r="C32" s="17" t="inlineStr">
        <is>
          <t xml:space="preserve">        Etiqueta de pallet (lote y destino, fracción)</t>
        </is>
      </c>
      <c r="D32" s="32" t="n">
        <v>0.025</v>
      </c>
      <c r="E32" s="32" t="inlineStr">
        <is>
          <t>u</t>
        </is>
      </c>
      <c r="F32" s="33" t="n"/>
      <c r="G32" s="33" t="n"/>
      <c r="H32" s="32" t="inlineStr">
        <is>
          <t>Papel térmico</t>
        </is>
      </c>
      <c r="I32" s="17" t="inlineStr">
        <is>
          <t>100 × 150</t>
        </is>
      </c>
      <c r="J32" s="32" t="inlineStr">
        <is>
          <t>Compra</t>
        </is>
      </c>
      <c r="K32" s="32" t="inlineStr">
        <is>
          <t>Sí</t>
        </is>
      </c>
      <c r="L32" s="17" t="inlineStr">
        <is>
          <t>Astuprint</t>
        </is>
      </c>
      <c r="M32" s="17" t="inlineStr">
        <is>
          <t>Multilabel Argentina S.A.</t>
        </is>
      </c>
      <c r="N32" s="17" t="inlineStr">
        <is>
          <t>24 Envolvedora</t>
        </is>
      </c>
      <c r="O32" s="17" t="n"/>
      <c r="P32" s="32" t="inlineStr">
        <is>
          <t>C</t>
        </is>
      </c>
      <c r="Q32" s="32" t="n"/>
      <c r="R32" s="17" t="n"/>
    </row>
    <row r="33" outlineLevel="1">
      <c r="A33" s="37" t="n">
        <v>2</v>
      </c>
      <c r="B33" s="37" t="inlineStr">
        <is>
          <t>ABC10-E6</t>
        </is>
      </c>
      <c r="C33" s="18" t="inlineStr">
        <is>
          <t xml:space="preserve">        Cinta de embalaje PP 48 mm (cierre de la caja)</t>
        </is>
      </c>
      <c r="D33" s="37" t="n">
        <v>0.703</v>
      </c>
      <c r="E33" s="37" t="inlineStr">
        <is>
          <t>m</t>
        </is>
      </c>
      <c r="F33" s="38" t="n"/>
      <c r="G33" s="38" t="n"/>
      <c r="H33" s="37" t="inlineStr">
        <is>
          <t>Polipropileno con adhesivo acrílico</t>
        </is>
      </c>
      <c r="I33" s="18" t="inlineStr">
        <is>
          <t>cierre en I arriba y abajo: 2 × (212 + 2 × 70 de solapa)</t>
        </is>
      </c>
      <c r="J33" s="37" t="inlineStr">
        <is>
          <t>Compra</t>
        </is>
      </c>
      <c r="K33" s="37" t="inlineStr">
        <is>
          <t>Sí</t>
        </is>
      </c>
      <c r="L33" s="18" t="inlineStr">
        <is>
          <t>MV Embalajes</t>
        </is>
      </c>
      <c r="M33" s="18" t="inlineStr">
        <is>
          <t>Embalpack</t>
        </is>
      </c>
      <c r="N33" s="18" t="inlineStr">
        <is>
          <t>23 Embalaje</t>
        </is>
      </c>
      <c r="O33" s="18" t="n"/>
      <c r="P33" s="37" t="inlineStr">
        <is>
          <t>C</t>
        </is>
      </c>
      <c r="Q33" s="37" t="n"/>
      <c r="R33" s="18" t="inlineStr">
        <is>
          <t>Solapa de 70 mm por lado: práctica de cierre de cajas (medir en la línea)</t>
        </is>
      </c>
    </row>
    <row r="34" outlineLevel="1">
      <c r="A34" s="32" t="n">
        <v>2</v>
      </c>
      <c r="B34" s="32" t="inlineStr">
        <is>
          <t>ABC10-E7</t>
        </is>
      </c>
      <c r="C34" s="17" t="inlineStr">
        <is>
          <t xml:space="preserve">        Esquineros de cartón 50 × 50 × 1200 (fracción del pallet)</t>
        </is>
      </c>
      <c r="D34" s="32" t="n">
        <v>0.1</v>
      </c>
      <c r="E34" s="32" t="inlineStr">
        <is>
          <t>u</t>
        </is>
      </c>
      <c r="F34" s="33" t="n"/>
      <c r="G34" s="33" t="n"/>
      <c r="H34" s="32" t="inlineStr">
        <is>
          <t>Cartón</t>
        </is>
      </c>
      <c r="I34" s="17" t="inlineStr">
        <is>
          <t>4 por pallet / 40 u</t>
        </is>
      </c>
      <c r="J34" s="32" t="inlineStr">
        <is>
          <t>Compra</t>
        </is>
      </c>
      <c r="K34" s="32" t="inlineStr">
        <is>
          <t>Sí</t>
        </is>
      </c>
      <c r="L34" s="17" t="inlineStr">
        <is>
          <t>Maxipack</t>
        </is>
      </c>
      <c r="M34" s="17" t="inlineStr">
        <is>
          <t>Cartocan</t>
        </is>
      </c>
      <c r="N34" s="17" t="inlineStr">
        <is>
          <t>24 Envolvedora (T11)</t>
        </is>
      </c>
      <c r="O34" s="17" t="n"/>
      <c r="P34" s="32" t="inlineStr">
        <is>
          <t>C</t>
        </is>
      </c>
      <c r="Q34" s="32" t="n"/>
      <c r="R34" s="17" t="inlineStr">
        <is>
          <t>Planilla MP-64</t>
        </is>
      </c>
    </row>
    <row r="35" outlineLevel="1">
      <c r="A35" s="32" t="n">
        <v>2</v>
      </c>
      <c r="B35" s="32" t="inlineStr">
        <is>
          <t>ABC10-E8</t>
        </is>
      </c>
      <c r="C35" s="17" t="inlineStr">
        <is>
          <t xml:space="preserve">        Separador de capa de cartón 1200 × 1000 (fracción del pallet)</t>
        </is>
      </c>
      <c r="D35" s="32" t="n">
        <v>0.025</v>
      </c>
      <c r="E35" s="32" t="inlineStr">
        <is>
          <t>u</t>
        </is>
      </c>
      <c r="F35" s="33" t="n"/>
      <c r="G35" s="33" t="n"/>
      <c r="H35" s="32" t="inlineStr">
        <is>
          <t>Cartón</t>
        </is>
      </c>
      <c r="I35" s="17" t="inlineStr">
        <is>
          <t>2 capas → 1 separadores por pallet / 40 u</t>
        </is>
      </c>
      <c r="J35" s="32" t="inlineStr">
        <is>
          <t>Compra</t>
        </is>
      </c>
      <c r="K35" s="32" t="inlineStr">
        <is>
          <t>Sí</t>
        </is>
      </c>
      <c r="L35" s="17" t="inlineStr">
        <is>
          <t>Maxipack</t>
        </is>
      </c>
      <c r="M35" s="17" t="inlineStr">
        <is>
          <t>Cartocan</t>
        </is>
      </c>
      <c r="N35" s="17" t="inlineStr">
        <is>
          <t>23 Embalaje</t>
        </is>
      </c>
      <c r="O35" s="17" t="n"/>
      <c r="P35" s="32" t="inlineStr">
        <is>
          <t>C</t>
        </is>
      </c>
      <c r="Q35" s="32" t="n"/>
      <c r="R35" s="17" t="inlineStr">
        <is>
          <t>Planilla MP-61</t>
        </is>
      </c>
    </row>
  </sheetData>
  <autoFilter ref="A10:R35"/>
  <pageMargins left="0.75" right="0.75" top="1" bottom="1" header="0.5" footer="0.5"/>
  <pageSetup orientation="landscape" fitToHeight="0" fitToWidth="1"/>
</worksheet>
</file>

<file path=xl/worksheets/sheet37.xml><?xml version="1.0" encoding="utf-8"?>
<worksheet xmlns="http://schemas.openxmlformats.org/spreadsheetml/2006/main">
  <sheetPr>
    <tabColor rgb="001F4E79"/>
    <outlinePr summaryBelow="0" summaryRight="1"/>
    <pageSetUpPr fitToPage="1"/>
  </sheetPr>
  <dimension ref="A1:R3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FL_REC_ABC_25kg</t>
        </is>
      </c>
    </row>
    <row r="2">
      <c r="A2" s="58" t="inlineStr">
        <is>
          <t>Cilindro (recipiente) ABC 25 kg rodante - repuesto vacío sin válvula</t>
        </is>
      </c>
    </row>
    <row r="3">
      <c r="A3" s="2" t="inlineStr">
        <is>
          <t>Plano de origen</t>
        </is>
      </c>
      <c r="C3" t="inlineStr">
        <is>
          <t>FL_REC_ABC_25kg  (recipiente para venta suelta)</t>
        </is>
      </c>
      <c r="E3" s="2" t="inlineStr">
        <is>
          <t>Peso vacío S1-S4 (kg)</t>
        </is>
      </c>
      <c r="G3" s="59">
        <f>G12</f>
        <v/>
      </c>
    </row>
    <row r="4">
      <c r="A4" s="2" t="inlineStr">
        <is>
          <t>Plano de despiece</t>
        </is>
      </c>
      <c r="C4" t="inlineStr">
        <is>
          <t>FL_REC_ABC_25kg hoja 3</t>
        </is>
      </c>
      <c r="E4" s="2" t="inlineStr">
        <is>
          <t>Peso cargado S1-S6 (kg)</t>
        </is>
      </c>
      <c r="G4" s="59">
        <f>G12</f>
        <v/>
      </c>
    </row>
    <row r="5">
      <c r="A5" s="2" t="inlineStr">
        <is>
          <t>Norma del producto</t>
        </is>
      </c>
      <c r="C5" t="inlineStr">
        <is>
          <t>IRAM 3550</t>
        </is>
      </c>
      <c r="E5" s="2" t="inlineStr">
        <is>
          <t>Peso con soporte y embalaje (kg)</t>
        </is>
      </c>
      <c r="G5" s="59">
        <f>G12+G25</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FL_REC_ABC_25kg</t>
        </is>
      </c>
      <c r="C11" s="27" t="inlineStr">
        <is>
          <t>Cilindro (recipiente) ABC 25 kg rodante - repuesto vacío sin válvula</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FL_REC_ABC_25kg</t>
        </is>
      </c>
      <c r="R11" s="27" t="inlineStr">
        <is>
          <t>Fabricación propia</t>
        </is>
      </c>
    </row>
    <row r="12">
      <c r="A12" s="29" t="n">
        <v>1</v>
      </c>
      <c r="B12" s="29" t="inlineStr">
        <is>
          <t>ABC25-S1</t>
        </is>
      </c>
      <c r="C12" s="30" t="inlineStr">
        <is>
          <t xml:space="preserve">    Recipiente (cilindro)</t>
        </is>
      </c>
      <c r="D12" s="29" t="n">
        <v>1</v>
      </c>
      <c r="E12" s="29" t="inlineStr">
        <is>
          <t>u</t>
        </is>
      </c>
      <c r="F12" s="31" t="n"/>
      <c r="G12" s="31">
        <f>G13+G15+G16+G17+G18+G24</f>
        <v/>
      </c>
      <c r="H12" s="29" t="n"/>
      <c r="I12" s="30" t="n"/>
      <c r="J12" s="29" t="inlineStr">
        <is>
          <t>Fabricación</t>
        </is>
      </c>
      <c r="K12" s="29" t="n"/>
      <c r="L12" s="30" t="n"/>
      <c r="M12" s="30" t="n"/>
      <c r="N12" s="30" t="n"/>
      <c r="O12" s="30" t="inlineStr">
        <is>
          <t>IRAM 3523 / 3550 (recipiente)</t>
        </is>
      </c>
      <c r="P12" s="29" t="inlineStr">
        <is>
          <t>P</t>
        </is>
      </c>
      <c r="Q12" s="29" t="inlineStr">
        <is>
          <t>FL_DES_ABC_25kg</t>
        </is>
      </c>
      <c r="R12" s="30" t="n"/>
    </row>
    <row r="13" outlineLevel="1">
      <c r="A13" s="32" t="n">
        <v>2</v>
      </c>
      <c r="B13" s="32" t="inlineStr">
        <is>
          <t>ABC25-01</t>
        </is>
      </c>
      <c r="C13" s="17" t="inlineStr">
        <is>
          <t xml:space="preserve">        Cuerpo (virola)</t>
        </is>
      </c>
      <c r="D13" s="32" t="n">
        <v>1</v>
      </c>
      <c r="E13" s="32" t="inlineStr">
        <is>
          <t>u</t>
        </is>
      </c>
      <c r="F13" s="33" t="n">
        <v>10.633</v>
      </c>
      <c r="G13" s="33">
        <f>D13*F13</f>
        <v/>
      </c>
      <c r="H13" s="32" t="inlineStr">
        <is>
          <t>Chapa LAC IRAM-IAS U 500-04 e=3,2</t>
        </is>
      </c>
      <c r="I13" s="17" t="inlineStr">
        <is>
          <t>Ø276,5 × e3,2 × 493 de alto; desarrollo 858,6 × 493</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O13" s="17" t="n"/>
      <c r="P13" s="32" t="inlineStr">
        <is>
          <t>P</t>
        </is>
      </c>
      <c r="Q13" s="32" t="inlineStr">
        <is>
          <t>FL_DES_ABC_25kg</t>
        </is>
      </c>
      <c r="R13" s="17" t="inlineStr">
        <is>
          <t>costura long. MAG</t>
        </is>
      </c>
    </row>
    <row r="14" outlineLevel="2">
      <c r="A14" s="34" t="n">
        <v>3</v>
      </c>
      <c r="B14" s="34" t="inlineStr">
        <is>
          <t>MP-HOJA</t>
        </is>
      </c>
      <c r="C14" s="35" t="inlineStr">
        <is>
          <t xml:space="preserve">            Recorte de hoja LAC 1500 × 3000 e=3,2</t>
        </is>
      </c>
      <c r="D14" s="34" t="n">
        <v>1</v>
      </c>
      <c r="E14" s="34" t="inlineStr">
        <is>
          <t>u</t>
        </is>
      </c>
      <c r="F14" s="36" t="n">
        <v>12.558</v>
      </c>
      <c r="G14" s="36">
        <f>D14*F14</f>
        <v/>
      </c>
      <c r="H14" s="34" t="inlineStr">
        <is>
          <t>Chapa LAC IRAM-IAS U 500-04 LAC</t>
        </is>
      </c>
      <c r="I14" s="35" t="inlineStr">
        <is>
          <t>490 × 858 (aprovech. 84,1 %)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ABC25-02</t>
        </is>
      </c>
      <c r="C15" s="17" t="inlineStr">
        <is>
          <t xml:space="preserve">        Cúpula</t>
        </is>
      </c>
      <c r="D15" s="32" t="n">
        <v>1</v>
      </c>
      <c r="E15" s="32" t="inlineStr">
        <is>
          <t>u</t>
        </is>
      </c>
      <c r="F15" s="33" t="n">
        <v>2.3872</v>
      </c>
      <c r="G15" s="33">
        <f>D15*F15</f>
        <v/>
      </c>
      <c r="H15" s="32" t="inlineStr">
        <is>
          <t>Chapa LAC IRAM-IAS U 500-04 e=3,2</t>
        </is>
      </c>
      <c r="I15" s="17" t="inlineStr">
        <is>
          <t>Ø276,5 × e3,2 × 94,4 de alto; disco Ø358,3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 -&gt; 11 marcado (estampado en arco junto al cuello)</t>
        </is>
      </c>
      <c r="O15" s="17" t="n"/>
      <c r="P15" s="32" t="inlineStr">
        <is>
          <t>P</t>
        </is>
      </c>
      <c r="Q15" s="32" t="inlineStr">
        <is>
          <t>FL_DES_ABC_25kg</t>
        </is>
      </c>
      <c r="R15" s="17" t="inlineStr">
        <is>
          <t>embutida</t>
        </is>
      </c>
    </row>
    <row r="16" outlineLevel="1">
      <c r="A16" s="32" t="n">
        <v>2</v>
      </c>
      <c r="B16" s="32" t="inlineStr">
        <is>
          <t>ABC25-03</t>
        </is>
      </c>
      <c r="C16" s="17" t="inlineStr">
        <is>
          <t xml:space="preserve">        Fondo</t>
        </is>
      </c>
      <c r="D16" s="32" t="n">
        <v>1</v>
      </c>
      <c r="E16" s="32" t="inlineStr">
        <is>
          <t>u</t>
        </is>
      </c>
      <c r="F16" s="33" t="n">
        <v>2.4433</v>
      </c>
      <c r="G16" s="33">
        <f>D16*F16</f>
        <v/>
      </c>
      <c r="H16" s="32" t="inlineStr">
        <is>
          <t>Chapa LAC IRAM-IAS U 500-04 e=3,2</t>
        </is>
      </c>
      <c r="I16" s="17" t="inlineStr">
        <is>
          <t>Ø276,5 × e3,2 × 95 de alto; disco Ø362,5</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FL_DES_ABC_25kg</t>
        </is>
      </c>
      <c r="R16" s="17" t="inlineStr">
        <is>
          <t>embutido</t>
        </is>
      </c>
    </row>
    <row r="17" outlineLevel="1">
      <c r="A17" s="32" t="n">
        <v>2</v>
      </c>
      <c r="B17" s="32" t="inlineStr">
        <is>
          <t>ABC25-04</t>
        </is>
      </c>
      <c r="C17" s="17" t="inlineStr">
        <is>
          <t xml:space="preserve">        Cuello roscado</t>
        </is>
      </c>
      <c r="D17" s="32" t="n">
        <v>1</v>
      </c>
      <c r="E17" s="32" t="inlineStr">
        <is>
          <t>u</t>
        </is>
      </c>
      <c r="F17" s="33" t="n">
        <v>0.1326</v>
      </c>
      <c r="G17" s="33">
        <f>D17*F17</f>
        <v/>
      </c>
      <c r="H17" s="32" t="inlineStr">
        <is>
          <t>Acero SAE 1010</t>
        </is>
      </c>
      <c r="I17" s="17" t="inlineStr">
        <is>
          <t>Ø37 × 35 de alto, rosca M30x1,5, asiento Ø35</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FL_DES_ABC_25kg</t>
        </is>
      </c>
      <c r="R17" s="17" t="inlineStr">
        <is>
          <t>M30x1,5</t>
        </is>
      </c>
    </row>
    <row r="18" outlineLevel="1">
      <c r="A18" s="37" t="n">
        <v>2</v>
      </c>
      <c r="B18" s="37" t="inlineStr">
        <is>
          <t>ABC25-C1</t>
        </is>
      </c>
      <c r="C18" s="18" t="inlineStr">
        <is>
          <t xml:space="preserve">        Alambre MAG ER70S-6 Ø1,0 (AWS A5.18)</t>
        </is>
      </c>
      <c r="D18" s="37" t="n">
        <v>0.3431</v>
      </c>
      <c r="E18" s="37" t="inlineStr">
        <is>
          <t>kg</t>
        </is>
      </c>
      <c r="F18" s="38" t="n">
        <v>0.95</v>
      </c>
      <c r="G18" s="38">
        <f>D18*F18</f>
        <v/>
      </c>
      <c r="H18" s="37" t="inlineStr">
        <is>
          <t>ER70S-6</t>
        </is>
      </c>
      <c r="I18" s="18" t="inlineStr">
        <is>
          <t>metal depositado de los cordones del plano 326 g / rendimiento 0,95</t>
        </is>
      </c>
      <c r="J18" s="37" t="inlineStr">
        <is>
          <t>Compra</t>
        </is>
      </c>
      <c r="K18" s="37" t="inlineStr">
        <is>
          <t>Sí</t>
        </is>
      </c>
      <c r="L18" s="18" t="inlineStr">
        <is>
          <t>Conarco (ESAB Argentina)</t>
        </is>
      </c>
      <c r="M18" s="18" t="inlineStr">
        <is>
          <t>-</t>
        </is>
      </c>
      <c r="N18" s="18" t="inlineStr">
        <is>
          <t>5 sold. long. / 6 cupla / 7 circunferencial</t>
        </is>
      </c>
      <c r="O18" s="18" t="inlineStr">
        <is>
          <t>IRAM 3523 3.2.4.2 · IRAM 3550 4.1.2</t>
        </is>
      </c>
      <c r="P18" s="37" t="inlineStr">
        <is>
          <t>C</t>
        </is>
      </c>
      <c r="Q18" s="37" t="n"/>
      <c r="R18"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9" outlineLevel="1">
      <c r="A19" s="37" t="n">
        <v>2</v>
      </c>
      <c r="B19" s="37" t="inlineStr">
        <is>
          <t>ABC25-C2</t>
        </is>
      </c>
      <c r="C19" s="18" t="inlineStr">
        <is>
          <t xml:space="preserve">        Gas de protección MAG Arcal 21 / ARCAL Speed (Ar + 8 % CO₂, M20)</t>
        </is>
      </c>
      <c r="D19" s="37" t="n">
        <v>54.8</v>
      </c>
      <c r="E19" s="37" t="inlineStr">
        <is>
          <t>L</t>
        </is>
      </c>
      <c r="F19" s="38" t="n"/>
      <c r="G19" s="38" t="n"/>
      <c r="H19" s="37" t="inlineStr">
        <is>
          <t>EN ISO 14175 M20-ArC-8</t>
        </is>
      </c>
      <c r="I19" s="18" t="inlineStr">
        <is>
          <t>14 L/min × 3,91 min de arco (cordones 2.347 mm: long. 493 + circ. 1.737 + cuello 116, a 600 mm/min)</t>
        </is>
      </c>
      <c r="J19" s="37" t="inlineStr">
        <is>
          <t>Compra</t>
        </is>
      </c>
      <c r="K19" s="37" t="inlineStr">
        <is>
          <t>Sí</t>
        </is>
      </c>
      <c r="L19" s="18" t="inlineStr">
        <is>
          <t>Air Liquide Argentina - sucursal Piñeyro</t>
        </is>
      </c>
      <c r="M19" s="18" t="inlineStr">
        <is>
          <t>Gogniat</t>
        </is>
      </c>
      <c r="N19" s="18" t="inlineStr">
        <is>
          <t>Colector SC</t>
        </is>
      </c>
      <c r="O19" s="18" t="inlineStr">
        <is>
          <t>IRAM 3523 3.2.4.2 · IRAM 3550 3.2.2.2</t>
        </is>
      </c>
      <c r="P19" s="37" t="inlineStr">
        <is>
          <t>C</t>
        </is>
      </c>
      <c r="Q19" s="37" t="n"/>
      <c r="R19"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0" outlineLevel="1">
      <c r="A20" s="32" t="n">
        <v>2</v>
      </c>
      <c r="B20" s="32" t="inlineStr">
        <is>
          <t>ABC25-C4</t>
        </is>
      </c>
      <c r="C20" s="17" t="inlineStr">
        <is>
          <t xml:space="preserve">        Servicio de pintura en polvo al horno, rojo 03-1-050 (con preparación por quemado)</t>
        </is>
      </c>
      <c r="D20" s="32" t="n">
        <v>1</v>
      </c>
      <c r="E20" s="32" t="inlineStr">
        <is>
          <t>u</t>
        </is>
      </c>
      <c r="F20" s="33" t="n"/>
      <c r="G20" s="33" t="n"/>
      <c r="H20" s="32" t="inlineStr">
        <is>
          <t>Servicio tercerizado</t>
        </is>
      </c>
      <c r="I20" s="17" t="inlineStr">
        <is>
          <t>superficie exterior 0,616 m²</t>
        </is>
      </c>
      <c r="J20" s="32" t="inlineStr">
        <is>
          <t>Compra (servicio)</t>
        </is>
      </c>
      <c r="K20" s="32" t="inlineStr">
        <is>
          <t>Sí</t>
        </is>
      </c>
      <c r="L20" s="17" t="inlineStr">
        <is>
          <t>Pintor de carros (cotización por mensaje)</t>
        </is>
      </c>
      <c r="M20" s="17" t="inlineStr">
        <is>
          <t>Prymax</t>
        </is>
      </c>
      <c r="N20" s="17" t="inlineStr">
        <is>
          <t>17 Pintura tercerizada</t>
        </is>
      </c>
      <c r="O20" s="17" t="inlineStr">
        <is>
          <t>IRAM 3523 5.3 / IRAM 3550 3.11 · IRAM 121</t>
        </is>
      </c>
      <c r="P20" s="32" t="inlineStr">
        <is>
          <t>Q</t>
        </is>
      </c>
      <c r="Q20" s="32" t="n"/>
      <c r="R20" s="17" t="inlineStr">
        <is>
          <t>Q-CARROS (precio por carro); exigir informe de niebla salina del sistema de pintura; tercerización aceptada por el Ministerio (Res. 349/07 art. 18)</t>
        </is>
      </c>
    </row>
    <row r="21" outlineLevel="1">
      <c r="A21" s="39" t="n">
        <v>2</v>
      </c>
      <c r="B21" s="39" t="inlineStr">
        <is>
          <t>ABC25-T1</t>
        </is>
      </c>
      <c r="C21" s="19" t="inlineStr">
        <is>
          <t xml:space="preserve">        Tapón protector de rosca del cuello</t>
        </is>
      </c>
      <c r="D21" s="39" t="n">
        <v>1</v>
      </c>
      <c r="E21" s="39" t="inlineStr">
        <is>
          <t>u</t>
        </is>
      </c>
      <c r="F21" s="40" t="n"/>
      <c r="G21" s="40" t="n"/>
      <c r="H21" s="39" t="inlineStr">
        <is>
          <t>Polietileno</t>
        </is>
      </c>
      <c r="I21" s="19" t="inlineStr">
        <is>
          <t>para rosca M30x1,5 (plano FL_REC_ABC_25kg hoja 3, R4)</t>
        </is>
      </c>
      <c r="J21" s="39" t="inlineStr">
        <is>
          <t>Compra</t>
        </is>
      </c>
      <c r="K21" s="39" t="inlineStr">
        <is>
          <t>Sí</t>
        </is>
      </c>
      <c r="L21" s="19" t="inlineStr">
        <is>
          <t>-</t>
        </is>
      </c>
      <c r="M21" s="19" t="inlineStr">
        <is>
          <t>-</t>
        </is>
      </c>
      <c r="N21" s="19" t="inlineStr">
        <is>
          <t>Embalaje</t>
        </is>
      </c>
      <c r="O21" s="19" t="n"/>
      <c r="P21" s="39" t="inlineStr">
        <is>
          <t>P</t>
        </is>
      </c>
      <c r="Q21" s="39" t="n"/>
      <c r="R21" s="19" t="n"/>
    </row>
    <row r="22" outlineLevel="1">
      <c r="A22" s="32" t="n">
        <v>2</v>
      </c>
      <c r="B22" s="32" t="inlineStr">
        <is>
          <t>ABC25-T2</t>
        </is>
      </c>
      <c r="C22" s="17" t="inlineStr">
        <is>
          <t xml:space="preserve">        Marcado del recipiente: estampado en la cúpula, en arco junto al cuello (puesto 11, después de la PH y el secado)</t>
        </is>
      </c>
      <c r="D22" s="32" t="n">
        <v>1</v>
      </c>
      <c r="E22" s="32" t="inlineStr">
        <is>
          <t>u</t>
        </is>
      </c>
      <c r="F22" s="33" t="n"/>
      <c r="G22" s="33" t="n"/>
      <c r="H22" s="32" t="inlineStr">
        <is>
          <t>-</t>
        </is>
      </c>
      <c r="I22" s="17" t="inlineStr">
        <is>
          <t>Fabricante, n° de serie, año, presión de ensayo; en arco junto al cuello, letra 5 mm; cuño DPS 15 × 7 junto al n°</t>
        </is>
      </c>
      <c r="J22" s="32" t="inlineStr">
        <is>
          <t>Proceso</t>
        </is>
      </c>
      <c r="K22" s="32" t="inlineStr">
        <is>
          <t>No</t>
        </is>
      </c>
      <c r="L22" s="17" t="n"/>
      <c r="M22" s="17" t="n"/>
      <c r="N22" s="17" t="inlineStr">
        <is>
          <t>Marcado</t>
        </is>
      </c>
      <c r="O22" s="17" t="inlineStr">
        <is>
          <t>IRAM 3550 5.1 · Res. 349/07 anexo IV</t>
        </is>
      </c>
      <c r="P22" s="32" t="inlineStr">
        <is>
          <t>N</t>
        </is>
      </c>
      <c r="Q22" s="32" t="n"/>
      <c r="R22" s="17" t="n"/>
    </row>
    <row r="23" outlineLevel="1">
      <c r="A23" s="32" t="n">
        <v>2</v>
      </c>
      <c r="B23" s="32" t="inlineStr">
        <is>
          <t>ABC25-T3</t>
        </is>
      </c>
      <c r="C23" s="17" t="inlineStr">
        <is>
          <t xml:space="preserve">        Etiqueta de identificación del cilindro suelto</t>
        </is>
      </c>
      <c r="D23" s="32" t="n">
        <v>1</v>
      </c>
      <c r="E23" s="32" t="inlineStr">
        <is>
          <t>u</t>
        </is>
      </c>
      <c r="F23" s="33" t="n"/>
      <c r="G23" s="33" t="n"/>
      <c r="H23" s="32" t="inlineStr">
        <is>
          <t>Poliéster autoadhesivo removible</t>
        </is>
      </c>
      <c r="I23" s="17" t="inlineStr">
        <is>
          <t>100 × 60, impresión térmica, QR GS1</t>
        </is>
      </c>
      <c r="J23" s="32" t="inlineStr">
        <is>
          <t>Compra</t>
        </is>
      </c>
      <c r="K23" s="32" t="inlineStr">
        <is>
          <t>Sí</t>
        </is>
      </c>
      <c r="L23" s="17" t="inlineStr">
        <is>
          <t>Astuprint</t>
        </is>
      </c>
      <c r="M23" s="17" t="inlineStr">
        <is>
          <t>GS1 Argentina</t>
        </is>
      </c>
      <c r="N23" s="17" t="inlineStr">
        <is>
          <t>Etiquetado</t>
        </is>
      </c>
      <c r="O23" s="17" t="n"/>
      <c r="P23" s="32" t="inlineStr">
        <is>
          <t>P</t>
        </is>
      </c>
      <c r="Q23" s="32" t="inlineStr">
        <is>
          <t>FL_REC_ABC_25kg hoja 3</t>
        </is>
      </c>
      <c r="R23" s="17" t="n"/>
    </row>
    <row r="24" outlineLevel="1">
      <c r="A24" s="32" t="n">
        <v>2</v>
      </c>
      <c r="B24" s="32" t="inlineStr">
        <is>
          <t>ABC25-T4</t>
        </is>
      </c>
      <c r="C24" s="17" t="inlineStr">
        <is>
          <t xml:space="preserve">        Protocolo de ensayo hidrostático (certificado que acompaña)</t>
        </is>
      </c>
      <c r="D24" s="32" t="n">
        <v>1</v>
      </c>
      <c r="E24" s="32" t="inlineStr">
        <is>
          <t>u</t>
        </is>
      </c>
      <c r="F24" s="33" t="n">
        <v>0.005</v>
      </c>
      <c r="G24" s="33">
        <f>D24*F24</f>
        <v/>
      </c>
      <c r="H24" s="32" t="inlineStr">
        <is>
          <t>Papel</t>
        </is>
      </c>
      <c r="I24" s="17" t="inlineStr">
        <is>
          <t>A5</t>
        </is>
      </c>
      <c r="J24" s="32" t="inlineStr">
        <is>
          <t>Proceso</t>
        </is>
      </c>
      <c r="K24" s="32" t="inlineStr">
        <is>
          <t>No</t>
        </is>
      </c>
      <c r="L24" s="17" t="n"/>
      <c r="M24" s="17" t="n"/>
      <c r="N24" s="17" t="inlineStr">
        <is>
          <t>Control de calidad</t>
        </is>
      </c>
      <c r="O24" s="17" t="inlineStr">
        <is>
          <t>IRAM 3550 4.1 y cap. 6 · IRAM 2587</t>
        </is>
      </c>
      <c r="P24" s="32" t="inlineStr">
        <is>
          <t>N</t>
        </is>
      </c>
      <c r="Q24" s="32" t="inlineStr">
        <is>
          <t>FL_REC_ABC_25kg hoja 3</t>
        </is>
      </c>
      <c r="R24" s="17" t="n"/>
    </row>
    <row r="25">
      <c r="A25" s="29" t="n">
        <v>1</v>
      </c>
      <c r="B25" s="29" t="inlineStr">
        <is>
          <t>ABC25-S7</t>
        </is>
      </c>
      <c r="C25" s="30" t="inlineStr">
        <is>
          <t xml:space="preserve">    Embalaje</t>
        </is>
      </c>
      <c r="D25" s="29" t="n">
        <v>1</v>
      </c>
      <c r="E25" s="29" t="inlineStr">
        <is>
          <t>u</t>
        </is>
      </c>
      <c r="F25" s="31" t="n"/>
      <c r="G25" s="31">
        <f>G28</f>
        <v/>
      </c>
      <c r="H25" s="29" t="n"/>
      <c r="I25" s="30" t="n"/>
      <c r="J25" s="29" t="inlineStr">
        <is>
          <t>Compra</t>
        </is>
      </c>
      <c r="K25" s="29" t="n"/>
      <c r="L25" s="30" t="n"/>
      <c r="M25" s="30" t="n"/>
      <c r="N25" s="30" t="inlineStr">
        <is>
          <t>23 Embalaje -&gt; 24 envolvedora (T11)</t>
        </is>
      </c>
      <c r="O25" s="30" t="n"/>
      <c r="P25" s="29" t="n"/>
      <c r="Q25" s="29" t="n"/>
      <c r="R25" s="30" t="n"/>
    </row>
    <row r="26" outlineLevel="1">
      <c r="A26" s="32" t="n">
        <v>2</v>
      </c>
      <c r="B26" s="32" t="inlineStr">
        <is>
          <t>ABC25-E1</t>
        </is>
      </c>
      <c r="C26" s="17" t="inlineStr">
        <is>
          <t xml:space="preserve">        Esquineros y funda de polietileno</t>
        </is>
      </c>
      <c r="D26" s="32" t="n">
        <v>1</v>
      </c>
      <c r="E26" s="32" t="inlineStr">
        <is>
          <t>jgo</t>
        </is>
      </c>
      <c r="F26" s="33" t="n"/>
      <c r="G26" s="33" t="n"/>
      <c r="H26" s="32" t="inlineStr">
        <is>
          <t>PE / cartón</t>
        </is>
      </c>
      <c r="I26" s="17" t="inlineStr">
        <is>
          <t>a medida de la envolvente del plano</t>
        </is>
      </c>
      <c r="J26" s="32" t="inlineStr">
        <is>
          <t>Compra</t>
        </is>
      </c>
      <c r="K26" s="32" t="inlineStr">
        <is>
          <t>Sí</t>
        </is>
      </c>
      <c r="L26" s="17" t="inlineStr">
        <is>
          <t>MV Embalajes</t>
        </is>
      </c>
      <c r="M26" s="17" t="inlineStr">
        <is>
          <t>Embalpack</t>
        </is>
      </c>
      <c r="N26" s="17" t="inlineStr">
        <is>
          <t>23 Embalaje</t>
        </is>
      </c>
      <c r="O26" s="17" t="n"/>
      <c r="P26" s="32" t="inlineStr">
        <is>
          <t>P</t>
        </is>
      </c>
      <c r="Q26" s="32" t="n"/>
      <c r="R26" s="17" t="inlineStr">
        <is>
          <t>Medida del plano</t>
        </is>
      </c>
    </row>
    <row r="27" outlineLevel="1">
      <c r="A27" s="32" t="n">
        <v>2</v>
      </c>
      <c r="B27" s="32" t="inlineStr">
        <is>
          <t>ABC25-E3</t>
        </is>
      </c>
      <c r="C27" s="17" t="inlineStr">
        <is>
          <t xml:space="preserve">        Pallet 1200 × 1000 (fracción)</t>
        </is>
      </c>
      <c r="D27" s="32" t="n">
        <v>0.0833</v>
      </c>
      <c r="E27" s="32" t="inlineStr">
        <is>
          <t>u</t>
        </is>
      </c>
      <c r="F27" s="33" t="n"/>
      <c r="G27" s="33" t="n"/>
      <c r="H27" s="32" t="inlineStr">
        <is>
          <t>Madera</t>
        </is>
      </c>
      <c r="I27" s="17" t="inlineStr">
        <is>
          <t>12 u por pallet</t>
        </is>
      </c>
      <c r="J27" s="32" t="inlineStr">
        <is>
          <t>Compra</t>
        </is>
      </c>
      <c r="K27" s="32" t="inlineStr">
        <is>
          <t>Sí</t>
        </is>
      </c>
      <c r="L27" s="17" t="inlineStr">
        <is>
          <t>IndusPallets</t>
        </is>
      </c>
      <c r="M27" s="17" t="inlineStr">
        <is>
          <t>-</t>
        </is>
      </c>
      <c r="N27" s="17" t="inlineStr">
        <is>
          <t>23 Embalaje</t>
        </is>
      </c>
      <c r="O27" s="17" t="n"/>
      <c r="P27" s="32" t="inlineStr">
        <is>
          <t>C</t>
        </is>
      </c>
      <c r="Q27" s="32" t="n"/>
      <c r="R27" s="17" t="inlineStr">
        <is>
          <t>u por pallet = acomodo de la caja (plano) en 1200 × 1000 × 1450 de alto</t>
        </is>
      </c>
    </row>
    <row r="28" outlineLevel="1">
      <c r="A28" s="37" t="n">
        <v>2</v>
      </c>
      <c r="B28" s="37" t="inlineStr">
        <is>
          <t>ABC25-E4</t>
        </is>
      </c>
      <c r="C28" s="18" t="inlineStr">
        <is>
          <t xml:space="preserve">        Film stretch (fracción del pallet)</t>
        </is>
      </c>
      <c r="D28" s="37" t="n">
        <v>0.01</v>
      </c>
      <c r="E28" s="37" t="inlineStr">
        <is>
          <t>kg</t>
        </is>
      </c>
      <c r="F28" s="38" t="n">
        <v>1</v>
      </c>
      <c r="G28" s="38">
        <f>D28*F28</f>
        <v/>
      </c>
      <c r="H28" s="37" t="inlineStr">
        <is>
          <t>PE lineal 23 µm</t>
        </is>
      </c>
      <c r="I28" s="18" t="inlineStr">
        <is>
          <t>0,12 kg por pallet / 12 u</t>
        </is>
      </c>
      <c r="J28" s="37" t="inlineStr">
        <is>
          <t>Compra</t>
        </is>
      </c>
      <c r="K28" s="37" t="inlineStr">
        <is>
          <t>Sí</t>
        </is>
      </c>
      <c r="L28" s="18" t="inlineStr">
        <is>
          <t>MV Embalajes</t>
        </is>
      </c>
      <c r="M28" s="18" t="inlineStr">
        <is>
          <t>Embalpack</t>
        </is>
      </c>
      <c r="N28" s="18" t="inlineStr">
        <is>
          <t>24 Envolvedora (T11)</t>
        </is>
      </c>
      <c r="O28" s="18" t="n"/>
      <c r="P28" s="37" t="inlineStr">
        <is>
          <t>C</t>
        </is>
      </c>
      <c r="Q28" s="37" t="n"/>
      <c r="R28"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29" outlineLevel="1">
      <c r="A29" s="32" t="n">
        <v>2</v>
      </c>
      <c r="B29" s="32" t="inlineStr">
        <is>
          <t>ABC25-E5</t>
        </is>
      </c>
      <c r="C29" s="17" t="inlineStr">
        <is>
          <t xml:space="preserve">        Etiqueta de pallet (lote y destino, fracción)</t>
        </is>
      </c>
      <c r="D29" s="32" t="n">
        <v>0.0833</v>
      </c>
      <c r="E29" s="32" t="inlineStr">
        <is>
          <t>u</t>
        </is>
      </c>
      <c r="F29" s="33" t="n"/>
      <c r="G29" s="33" t="n"/>
      <c r="H29" s="32" t="inlineStr">
        <is>
          <t>Papel térmico</t>
        </is>
      </c>
      <c r="I29" s="17" t="inlineStr">
        <is>
          <t>100 × 150</t>
        </is>
      </c>
      <c r="J29" s="32" t="inlineStr">
        <is>
          <t>Compra</t>
        </is>
      </c>
      <c r="K29" s="32" t="inlineStr">
        <is>
          <t>Sí</t>
        </is>
      </c>
      <c r="L29" s="17" t="inlineStr">
        <is>
          <t>Astuprint</t>
        </is>
      </c>
      <c r="M29" s="17" t="inlineStr">
        <is>
          <t>Multilabel Argentina S.A.</t>
        </is>
      </c>
      <c r="N29" s="17" t="inlineStr">
        <is>
          <t>24 Envolvedora</t>
        </is>
      </c>
      <c r="O29" s="17" t="n"/>
      <c r="P29" s="32" t="inlineStr">
        <is>
          <t>C</t>
        </is>
      </c>
      <c r="Q29" s="32" t="n"/>
      <c r="R29" s="17" t="n"/>
    </row>
    <row r="30" outlineLevel="1">
      <c r="A30" s="32" t="n">
        <v>2</v>
      </c>
      <c r="B30" s="32" t="inlineStr">
        <is>
          <t>ABC25-E8</t>
        </is>
      </c>
      <c r="C30" s="17" t="inlineStr">
        <is>
          <t xml:space="preserve">        Separador de capa de cartón 1200 × 1000 (fracción del pallet)</t>
        </is>
      </c>
      <c r="D30" s="32" t="n">
        <v>0</v>
      </c>
      <c r="E30" s="32" t="inlineStr">
        <is>
          <t>u</t>
        </is>
      </c>
      <c r="F30" s="33" t="n"/>
      <c r="G30" s="33" t="n"/>
      <c r="H30" s="32" t="inlineStr">
        <is>
          <t>Cartón</t>
        </is>
      </c>
      <c r="I30" s="17" t="inlineStr">
        <is>
          <t>1 capas → 0 separadores por pallet / 12 u</t>
        </is>
      </c>
      <c r="J30" s="32" t="inlineStr">
        <is>
          <t>Compra</t>
        </is>
      </c>
      <c r="K30" s="32" t="inlineStr">
        <is>
          <t>Sí</t>
        </is>
      </c>
      <c r="L30" s="17" t="inlineStr">
        <is>
          <t>Maxipack</t>
        </is>
      </c>
      <c r="M30" s="17" t="inlineStr">
        <is>
          <t>Cartocan</t>
        </is>
      </c>
      <c r="N30" s="17" t="inlineStr">
        <is>
          <t>23 Embalaje</t>
        </is>
      </c>
      <c r="O30" s="17" t="n"/>
      <c r="P30" s="32" t="inlineStr">
        <is>
          <t>C</t>
        </is>
      </c>
      <c r="Q30" s="32" t="n"/>
      <c r="R30" s="17" t="inlineStr">
        <is>
          <t>Planilla MP-61</t>
        </is>
      </c>
    </row>
  </sheetData>
  <autoFilter ref="A10:R30"/>
  <pageMargins left="0.75" right="0.75" top="1" bottom="1" header="0.5" footer="0.5"/>
  <pageSetup orientation="landscape" fitToHeight="0" fitToWidth="1"/>
</worksheet>
</file>

<file path=xl/worksheets/sheet38.xml><?xml version="1.0" encoding="utf-8"?>
<worksheet xmlns="http://schemas.openxmlformats.org/spreadsheetml/2006/main">
  <sheetPr>
    <tabColor rgb="001F4E79"/>
    <outlinePr summaryBelow="0" summaryRight="1"/>
    <pageSetUpPr fitToPage="1"/>
  </sheetPr>
  <dimension ref="A1:R30"/>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FL_REC_ABC_50kg</t>
        </is>
      </c>
    </row>
    <row r="2">
      <c r="A2" s="58" t="inlineStr">
        <is>
          <t>Cilindro (recipiente) ABC 50 kg rodante - repuesto vacío sin válvula</t>
        </is>
      </c>
    </row>
    <row r="3">
      <c r="A3" s="2" t="inlineStr">
        <is>
          <t>Plano de origen</t>
        </is>
      </c>
      <c r="C3" t="inlineStr">
        <is>
          <t>FL_REC_ABC_50kg  (recipiente para venta suelta)</t>
        </is>
      </c>
      <c r="E3" s="2" t="inlineStr">
        <is>
          <t>Peso vacío S1-S4 (kg)</t>
        </is>
      </c>
      <c r="G3" s="59">
        <f>G12</f>
        <v/>
      </c>
    </row>
    <row r="4">
      <c r="A4" s="2" t="inlineStr">
        <is>
          <t>Plano de despiece</t>
        </is>
      </c>
      <c r="C4" t="inlineStr">
        <is>
          <t>FL_REC_ABC_50kg hoja 3</t>
        </is>
      </c>
      <c r="E4" s="2" t="inlineStr">
        <is>
          <t>Peso cargado S1-S6 (kg)</t>
        </is>
      </c>
      <c r="G4" s="59">
        <f>G12</f>
        <v/>
      </c>
    </row>
    <row r="5">
      <c r="A5" s="2" t="inlineStr">
        <is>
          <t>Norma del producto</t>
        </is>
      </c>
      <c r="C5" t="inlineStr">
        <is>
          <t>IRAM 3550</t>
        </is>
      </c>
      <c r="E5" s="2" t="inlineStr">
        <is>
          <t>Peso con soporte y embalaje (kg)</t>
        </is>
      </c>
      <c r="G5" s="59">
        <f>G12+G25</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FL_REC_ABC_50kg</t>
        </is>
      </c>
      <c r="C11" s="27" t="inlineStr">
        <is>
          <t>Cilindro (recipiente) ABC 50 kg rodante - repuesto vacío sin válvula</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FL_REC_ABC_50kg</t>
        </is>
      </c>
      <c r="R11" s="27" t="inlineStr">
        <is>
          <t>Fabricación propia</t>
        </is>
      </c>
    </row>
    <row r="12">
      <c r="A12" s="29" t="n">
        <v>1</v>
      </c>
      <c r="B12" s="29" t="inlineStr">
        <is>
          <t>ABC50-S1</t>
        </is>
      </c>
      <c r="C12" s="30" t="inlineStr">
        <is>
          <t xml:space="preserve">    Recipiente (cilindro)</t>
        </is>
      </c>
      <c r="D12" s="29" t="n">
        <v>1</v>
      </c>
      <c r="E12" s="29" t="inlineStr">
        <is>
          <t>u</t>
        </is>
      </c>
      <c r="F12" s="31" t="n"/>
      <c r="G12" s="31">
        <f>G13+G15+G16+G17+G18+G24</f>
        <v/>
      </c>
      <c r="H12" s="29" t="n"/>
      <c r="I12" s="30" t="n"/>
      <c r="J12" s="29" t="inlineStr">
        <is>
          <t>Fabricación</t>
        </is>
      </c>
      <c r="K12" s="29" t="n"/>
      <c r="L12" s="30" t="n"/>
      <c r="M12" s="30" t="n"/>
      <c r="N12" s="30" t="n"/>
      <c r="O12" s="30" t="inlineStr">
        <is>
          <t>IRAM 3523 / 3550 (recipiente)</t>
        </is>
      </c>
      <c r="P12" s="29" t="inlineStr">
        <is>
          <t>P</t>
        </is>
      </c>
      <c r="Q12" s="29" t="inlineStr">
        <is>
          <t>FL_DES_ABC_50kg</t>
        </is>
      </c>
      <c r="R12" s="30" t="n"/>
    </row>
    <row r="13" outlineLevel="1">
      <c r="A13" s="32" t="n">
        <v>2</v>
      </c>
      <c r="B13" s="32" t="inlineStr">
        <is>
          <t>ABC50-01</t>
        </is>
      </c>
      <c r="C13" s="17" t="inlineStr">
        <is>
          <t xml:space="preserve">        Cuerpo (virola)</t>
        </is>
      </c>
      <c r="D13" s="32" t="n">
        <v>1</v>
      </c>
      <c r="E13" s="32" t="inlineStr">
        <is>
          <t>u</t>
        </is>
      </c>
      <c r="F13" s="33" t="n">
        <v>16.0005</v>
      </c>
      <c r="G13" s="33">
        <f>D13*F13</f>
        <v/>
      </c>
      <c r="H13" s="32" t="inlineStr">
        <is>
          <t>Chapa LAC IRAM-IAS U 500-04 e=3,2</t>
        </is>
      </c>
      <c r="I13" s="17" t="inlineStr">
        <is>
          <t>Ø320 × e3,2 × 640 de alto; desarrollo 995,3 × 640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O13" s="17" t="n"/>
      <c r="P13" s="32" t="inlineStr">
        <is>
          <t>P</t>
        </is>
      </c>
      <c r="Q13" s="32" t="inlineStr">
        <is>
          <t>FL_DES_ABC_50kg</t>
        </is>
      </c>
      <c r="R13" s="17" t="inlineStr">
        <is>
          <t>costura long. MAG</t>
        </is>
      </c>
    </row>
    <row r="14" outlineLevel="2">
      <c r="A14" s="34" t="n">
        <v>3</v>
      </c>
      <c r="B14" s="34" t="inlineStr">
        <is>
          <t>MP-HOJA</t>
        </is>
      </c>
      <c r="C14" s="35" t="inlineStr">
        <is>
          <t xml:space="preserve">            Recorte de hoja LAC 1500 × 3000 e=3,2</t>
        </is>
      </c>
      <c r="D14" s="34" t="n">
        <v>1</v>
      </c>
      <c r="E14" s="34" t="inlineStr">
        <is>
          <t>u</t>
        </is>
      </c>
      <c r="F14" s="36" t="n">
        <v>18.845</v>
      </c>
      <c r="G14" s="36">
        <f>D14*F14</f>
        <v/>
      </c>
      <c r="H14" s="34" t="inlineStr">
        <is>
          <t>Chapa LAC IRAM-IAS U 500-04 LAC</t>
        </is>
      </c>
      <c r="I14" s="35" t="inlineStr">
        <is>
          <t>640 × 994 (aprovech. 84,8 %)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ABC50-02</t>
        </is>
      </c>
      <c r="C15" s="17" t="inlineStr">
        <is>
          <t xml:space="preserve">        Cúpula</t>
        </is>
      </c>
      <c r="D15" s="32" t="n">
        <v>1</v>
      </c>
      <c r="E15" s="32" t="inlineStr">
        <is>
          <t>u</t>
        </is>
      </c>
      <c r="F15" s="33" t="n">
        <v>3.1376</v>
      </c>
      <c r="G15" s="33">
        <f>D15*F15</f>
        <v/>
      </c>
      <c r="H15" s="32" t="inlineStr">
        <is>
          <t>Chapa LAC IRAM-IAS U 500-04 e=3,2</t>
        </is>
      </c>
      <c r="I15" s="17" t="inlineStr">
        <is>
          <t>Ø320 × e3,2 × 109,9 de alto; disco Ø410,8</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 -&gt; 11 marcado (estampado en arco junto al cuello)</t>
        </is>
      </c>
      <c r="O15" s="17" t="n"/>
      <c r="P15" s="32" t="inlineStr">
        <is>
          <t>P</t>
        </is>
      </c>
      <c r="Q15" s="32" t="inlineStr">
        <is>
          <t>FL_DES_ABC_50kg</t>
        </is>
      </c>
      <c r="R15" s="17" t="inlineStr">
        <is>
          <t>embutida</t>
        </is>
      </c>
    </row>
    <row r="16" outlineLevel="1">
      <c r="A16" s="32" t="n">
        <v>2</v>
      </c>
      <c r="B16" s="32" t="inlineStr">
        <is>
          <t>ABC50-03</t>
        </is>
      </c>
      <c r="C16" s="17" t="inlineStr">
        <is>
          <t xml:space="preserve">        Fondo</t>
        </is>
      </c>
      <c r="D16" s="32" t="n">
        <v>1</v>
      </c>
      <c r="E16" s="32" t="inlineStr">
        <is>
          <t>u</t>
        </is>
      </c>
      <c r="F16" s="33" t="n">
        <v>3.3358</v>
      </c>
      <c r="G16" s="33">
        <f>D16*F16</f>
        <v/>
      </c>
      <c r="H16" s="32" t="inlineStr">
        <is>
          <t>Chapa LAC IRAM-IAS U 500-04 e=3,2</t>
        </is>
      </c>
      <c r="I16" s="17" t="inlineStr">
        <is>
          <t>Ø320 × e3,2 × 113 de alto; disco Ø423,5</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FL_DES_ABC_50kg</t>
        </is>
      </c>
      <c r="R16" s="17" t="inlineStr">
        <is>
          <t>embutido</t>
        </is>
      </c>
    </row>
    <row r="17" outlineLevel="1">
      <c r="A17" s="32" t="n">
        <v>2</v>
      </c>
      <c r="B17" s="32" t="inlineStr">
        <is>
          <t>ABC50-04</t>
        </is>
      </c>
      <c r="C17" s="17" t="inlineStr">
        <is>
          <t xml:space="preserve">        Cuello roscado</t>
        </is>
      </c>
      <c r="D17" s="32" t="n">
        <v>1</v>
      </c>
      <c r="E17" s="32" t="inlineStr">
        <is>
          <t>u</t>
        </is>
      </c>
      <c r="F17" s="33" t="n">
        <v>0.6084000000000001</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FL_DES_ABC_50kg</t>
        </is>
      </c>
      <c r="R17" s="17" t="inlineStr">
        <is>
          <t>RBSP 2 1/2"-11 h</t>
        </is>
      </c>
    </row>
    <row r="18" outlineLevel="1">
      <c r="A18" s="37" t="n">
        <v>2</v>
      </c>
      <c r="B18" s="37" t="inlineStr">
        <is>
          <t>ABC50-C1</t>
        </is>
      </c>
      <c r="C18" s="18" t="inlineStr">
        <is>
          <t xml:space="preserve">        Alambre MAG ER70S-6 Ø1,0 (AWS A5.18)</t>
        </is>
      </c>
      <c r="D18" s="37" t="n">
        <v>0.4262</v>
      </c>
      <c r="E18" s="37" t="inlineStr">
        <is>
          <t>kg</t>
        </is>
      </c>
      <c r="F18" s="38" t="n">
        <v>0.95</v>
      </c>
      <c r="G18" s="38">
        <f>D18*F18</f>
        <v/>
      </c>
      <c r="H18" s="37" t="inlineStr">
        <is>
          <t>ER70S-6</t>
        </is>
      </c>
      <c r="I18" s="18" t="inlineStr">
        <is>
          <t>metal depositado de los cordones del plano 405 g / rendimiento 0,95</t>
        </is>
      </c>
      <c r="J18" s="37" t="inlineStr">
        <is>
          <t>Compra</t>
        </is>
      </c>
      <c r="K18" s="37" t="inlineStr">
        <is>
          <t>Sí</t>
        </is>
      </c>
      <c r="L18" s="18" t="inlineStr">
        <is>
          <t>Conarco (ESAB Argentina)</t>
        </is>
      </c>
      <c r="M18" s="18" t="inlineStr">
        <is>
          <t>-</t>
        </is>
      </c>
      <c r="N18" s="18" t="inlineStr">
        <is>
          <t>5 sold. long. / 6 cupla / 7 circunferencial</t>
        </is>
      </c>
      <c r="O18" s="18" t="inlineStr">
        <is>
          <t>IRAM 3523 3.2.4.2 · IRAM 3550 4.1.2</t>
        </is>
      </c>
      <c r="P18" s="37" t="inlineStr">
        <is>
          <t>C</t>
        </is>
      </c>
      <c r="Q18" s="37" t="n"/>
      <c r="R18"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19" outlineLevel="1">
      <c r="A19" s="37" t="n">
        <v>2</v>
      </c>
      <c r="B19" s="37" t="inlineStr">
        <is>
          <t>ABC50-C2</t>
        </is>
      </c>
      <c r="C19" s="18" t="inlineStr">
        <is>
          <t xml:space="preserve">        Gas de protección MAG Arcal 21 / ARCAL Speed (Ar + 8 % CO₂, M20)</t>
        </is>
      </c>
      <c r="D19" s="37" t="n">
        <v>68.3</v>
      </c>
      <c r="E19" s="37" t="inlineStr">
        <is>
          <t>L</t>
        </is>
      </c>
      <c r="F19" s="38" t="n"/>
      <c r="G19" s="38" t="n"/>
      <c r="H19" s="37" t="inlineStr">
        <is>
          <t>EN ISO 14175 M20-ArC-8</t>
        </is>
      </c>
      <c r="I19" s="18" t="inlineStr">
        <is>
          <t>14 L/min × 4,88 min de arco (cordones 2.927 mm: long. 640 + circ. 2.011 + cuello 276, a 600 mm/min)</t>
        </is>
      </c>
      <c r="J19" s="37" t="inlineStr">
        <is>
          <t>Compra</t>
        </is>
      </c>
      <c r="K19" s="37" t="inlineStr">
        <is>
          <t>Sí</t>
        </is>
      </c>
      <c r="L19" s="18" t="inlineStr">
        <is>
          <t>Air Liquide Argentina - sucursal Piñeyro</t>
        </is>
      </c>
      <c r="M19" s="18" t="inlineStr">
        <is>
          <t>Gogniat</t>
        </is>
      </c>
      <c r="N19" s="18" t="inlineStr">
        <is>
          <t>Colector SC</t>
        </is>
      </c>
      <c r="O19" s="18" t="inlineStr">
        <is>
          <t>IRAM 3523 3.2.4.2 · IRAM 3550 3.2.2.2</t>
        </is>
      </c>
      <c r="P19" s="37" t="inlineStr">
        <is>
          <t>C</t>
        </is>
      </c>
      <c r="Q19" s="37" t="n"/>
      <c r="R19"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0" outlineLevel="1">
      <c r="A20" s="32" t="n">
        <v>2</v>
      </c>
      <c r="B20" s="32" t="inlineStr">
        <is>
          <t>ABC50-C4</t>
        </is>
      </c>
      <c r="C20" s="17" t="inlineStr">
        <is>
          <t xml:space="preserve">        Servicio de pintura en polvo al horno, rojo 03-1-050 (con preparación por quemado)</t>
        </is>
      </c>
      <c r="D20" s="32" t="n">
        <v>1</v>
      </c>
      <c r="E20" s="32" t="inlineStr">
        <is>
          <t>u</t>
        </is>
      </c>
      <c r="F20" s="33" t="n"/>
      <c r="G20" s="33" t="n"/>
      <c r="H20" s="32" t="inlineStr">
        <is>
          <t>Servicio tercerizado</t>
        </is>
      </c>
      <c r="I20" s="17" t="inlineStr">
        <is>
          <t>superficie exterior 0,895 m²</t>
        </is>
      </c>
      <c r="J20" s="32" t="inlineStr">
        <is>
          <t>Compra (servicio)</t>
        </is>
      </c>
      <c r="K20" s="32" t="inlineStr">
        <is>
          <t>Sí</t>
        </is>
      </c>
      <c r="L20" s="17" t="inlineStr">
        <is>
          <t>Pintor de carros (cotización por mensaje)</t>
        </is>
      </c>
      <c r="M20" s="17" t="inlineStr">
        <is>
          <t>Prymax</t>
        </is>
      </c>
      <c r="N20" s="17" t="inlineStr">
        <is>
          <t>17 Pintura tercerizada</t>
        </is>
      </c>
      <c r="O20" s="17" t="inlineStr">
        <is>
          <t>IRAM 3523 5.3 / IRAM 3550 3.11 · IRAM 121</t>
        </is>
      </c>
      <c r="P20" s="32" t="inlineStr">
        <is>
          <t>Q</t>
        </is>
      </c>
      <c r="Q20" s="32" t="n"/>
      <c r="R20" s="17" t="inlineStr">
        <is>
          <t>Q-CARROS (precio por carro); exigir informe de niebla salina del sistema de pintura; tercerización aceptada por el Ministerio (Res. 349/07 art. 18)</t>
        </is>
      </c>
    </row>
    <row r="21" outlineLevel="1">
      <c r="A21" s="39" t="n">
        <v>2</v>
      </c>
      <c r="B21" s="39" t="inlineStr">
        <is>
          <t>ABC50-T1</t>
        </is>
      </c>
      <c r="C21" s="19" t="inlineStr">
        <is>
          <t xml:space="preserve">        Tapón protector de rosca del cuello</t>
        </is>
      </c>
      <c r="D21" s="39" t="n">
        <v>1</v>
      </c>
      <c r="E21" s="39" t="inlineStr">
        <is>
          <t>u</t>
        </is>
      </c>
      <c r="F21" s="40" t="n"/>
      <c r="G21" s="40" t="n"/>
      <c r="H21" s="39" t="inlineStr">
        <is>
          <t>Polietileno</t>
        </is>
      </c>
      <c r="I21" s="19" t="inlineStr">
        <is>
          <t>para rosca RBSP 2 1/2"-11 h (plano FL_REC_ABC_50kg hoja 3, R4)</t>
        </is>
      </c>
      <c r="J21" s="39" t="inlineStr">
        <is>
          <t>Compra</t>
        </is>
      </c>
      <c r="K21" s="39" t="inlineStr">
        <is>
          <t>Sí</t>
        </is>
      </c>
      <c r="L21" s="19" t="inlineStr">
        <is>
          <t>-</t>
        </is>
      </c>
      <c r="M21" s="19" t="inlineStr">
        <is>
          <t>-</t>
        </is>
      </c>
      <c r="N21" s="19" t="inlineStr">
        <is>
          <t>Embalaje</t>
        </is>
      </c>
      <c r="O21" s="19" t="n"/>
      <c r="P21" s="39" t="inlineStr">
        <is>
          <t>P</t>
        </is>
      </c>
      <c r="Q21" s="39" t="n"/>
      <c r="R21" s="19" t="n"/>
    </row>
    <row r="22" outlineLevel="1">
      <c r="A22" s="32" t="n">
        <v>2</v>
      </c>
      <c r="B22" s="32" t="inlineStr">
        <is>
          <t>ABC50-T2</t>
        </is>
      </c>
      <c r="C22" s="17" t="inlineStr">
        <is>
          <t xml:space="preserve">        Marcado del recipiente: estampado en la cúpula, en arco junto al cuello (puesto 11, después de la PH y el secado)</t>
        </is>
      </c>
      <c r="D22" s="32" t="n">
        <v>1</v>
      </c>
      <c r="E22" s="32" t="inlineStr">
        <is>
          <t>u</t>
        </is>
      </c>
      <c r="F22" s="33" t="n"/>
      <c r="G22" s="33" t="n"/>
      <c r="H22" s="32" t="inlineStr">
        <is>
          <t>-</t>
        </is>
      </c>
      <c r="I22" s="17" t="inlineStr">
        <is>
          <t>Fabricante, n° de serie, año, presión de ensayo; en arco junto al cuello, letra 5 mm; cuño DPS 15 × 7 junto al n°</t>
        </is>
      </c>
      <c r="J22" s="32" t="inlineStr">
        <is>
          <t>Proceso</t>
        </is>
      </c>
      <c r="K22" s="32" t="inlineStr">
        <is>
          <t>No</t>
        </is>
      </c>
      <c r="L22" s="17" t="n"/>
      <c r="M22" s="17" t="n"/>
      <c r="N22" s="17" t="inlineStr">
        <is>
          <t>Marcado</t>
        </is>
      </c>
      <c r="O22" s="17" t="inlineStr">
        <is>
          <t>IRAM 3550 5.1 · Res. 349/07 anexo IV</t>
        </is>
      </c>
      <c r="P22" s="32" t="inlineStr">
        <is>
          <t>N</t>
        </is>
      </c>
      <c r="Q22" s="32" t="n"/>
      <c r="R22" s="17" t="n"/>
    </row>
    <row r="23" outlineLevel="1">
      <c r="A23" s="32" t="n">
        <v>2</v>
      </c>
      <c r="B23" s="32" t="inlineStr">
        <is>
          <t>ABC50-T3</t>
        </is>
      </c>
      <c r="C23" s="17" t="inlineStr">
        <is>
          <t xml:space="preserve">        Etiqueta de identificación del cilindro suelto</t>
        </is>
      </c>
      <c r="D23" s="32" t="n">
        <v>1</v>
      </c>
      <c r="E23" s="32" t="inlineStr">
        <is>
          <t>u</t>
        </is>
      </c>
      <c r="F23" s="33" t="n"/>
      <c r="G23" s="33" t="n"/>
      <c r="H23" s="32" t="inlineStr">
        <is>
          <t>Poliéster autoadhesivo removible</t>
        </is>
      </c>
      <c r="I23" s="17" t="inlineStr">
        <is>
          <t>100 × 60, impresión térmica, QR GS1</t>
        </is>
      </c>
      <c r="J23" s="32" t="inlineStr">
        <is>
          <t>Compra</t>
        </is>
      </c>
      <c r="K23" s="32" t="inlineStr">
        <is>
          <t>Sí</t>
        </is>
      </c>
      <c r="L23" s="17" t="inlineStr">
        <is>
          <t>Astuprint</t>
        </is>
      </c>
      <c r="M23" s="17" t="inlineStr">
        <is>
          <t>GS1 Argentina</t>
        </is>
      </c>
      <c r="N23" s="17" t="inlineStr">
        <is>
          <t>Etiquetado</t>
        </is>
      </c>
      <c r="O23" s="17" t="n"/>
      <c r="P23" s="32" t="inlineStr">
        <is>
          <t>P</t>
        </is>
      </c>
      <c r="Q23" s="32" t="inlineStr">
        <is>
          <t>FL_REC_ABC_50kg hoja 3</t>
        </is>
      </c>
      <c r="R23" s="17" t="n"/>
    </row>
    <row r="24" outlineLevel="1">
      <c r="A24" s="32" t="n">
        <v>2</v>
      </c>
      <c r="B24" s="32" t="inlineStr">
        <is>
          <t>ABC50-T4</t>
        </is>
      </c>
      <c r="C24" s="17" t="inlineStr">
        <is>
          <t xml:space="preserve">        Protocolo de ensayo hidrostático (certificado que acompaña)</t>
        </is>
      </c>
      <c r="D24" s="32" t="n">
        <v>1</v>
      </c>
      <c r="E24" s="32" t="inlineStr">
        <is>
          <t>u</t>
        </is>
      </c>
      <c r="F24" s="33" t="n">
        <v>0.005</v>
      </c>
      <c r="G24" s="33">
        <f>D24*F24</f>
        <v/>
      </c>
      <c r="H24" s="32" t="inlineStr">
        <is>
          <t>Papel</t>
        </is>
      </c>
      <c r="I24" s="17" t="inlineStr">
        <is>
          <t>A5</t>
        </is>
      </c>
      <c r="J24" s="32" t="inlineStr">
        <is>
          <t>Proceso</t>
        </is>
      </c>
      <c r="K24" s="32" t="inlineStr">
        <is>
          <t>No</t>
        </is>
      </c>
      <c r="L24" s="17" t="n"/>
      <c r="M24" s="17" t="n"/>
      <c r="N24" s="17" t="inlineStr">
        <is>
          <t>Control de calidad</t>
        </is>
      </c>
      <c r="O24" s="17" t="inlineStr">
        <is>
          <t>IRAM 3550 4.1 y cap. 6 · IRAM 2587</t>
        </is>
      </c>
      <c r="P24" s="32" t="inlineStr">
        <is>
          <t>N</t>
        </is>
      </c>
      <c r="Q24" s="32" t="inlineStr">
        <is>
          <t>FL_REC_ABC_50kg hoja 3</t>
        </is>
      </c>
      <c r="R24" s="17" t="n"/>
    </row>
    <row r="25">
      <c r="A25" s="29" t="n">
        <v>1</v>
      </c>
      <c r="B25" s="29" t="inlineStr">
        <is>
          <t>ABC50-S7</t>
        </is>
      </c>
      <c r="C25" s="30" t="inlineStr">
        <is>
          <t xml:space="preserve">    Embalaje</t>
        </is>
      </c>
      <c r="D25" s="29" t="n">
        <v>1</v>
      </c>
      <c r="E25" s="29" t="inlineStr">
        <is>
          <t>u</t>
        </is>
      </c>
      <c r="F25" s="31" t="n"/>
      <c r="G25" s="31">
        <f>G28</f>
        <v/>
      </c>
      <c r="H25" s="29" t="n"/>
      <c r="I25" s="30" t="n"/>
      <c r="J25" s="29" t="inlineStr">
        <is>
          <t>Compra</t>
        </is>
      </c>
      <c r="K25" s="29" t="n"/>
      <c r="L25" s="30" t="n"/>
      <c r="M25" s="30" t="n"/>
      <c r="N25" s="30" t="inlineStr">
        <is>
          <t>23 Embalaje -&gt; 24 envolvedora (T11)</t>
        </is>
      </c>
      <c r="O25" s="30" t="n"/>
      <c r="P25" s="29" t="n"/>
      <c r="Q25" s="29" t="n"/>
      <c r="R25" s="30" t="n"/>
    </row>
    <row r="26" outlineLevel="1">
      <c r="A26" s="32" t="n">
        <v>2</v>
      </c>
      <c r="B26" s="32" t="inlineStr">
        <is>
          <t>ABC50-E1</t>
        </is>
      </c>
      <c r="C26" s="17" t="inlineStr">
        <is>
          <t xml:space="preserve">        Esquineros y funda de polietileno</t>
        </is>
      </c>
      <c r="D26" s="32" t="n">
        <v>1</v>
      </c>
      <c r="E26" s="32" t="inlineStr">
        <is>
          <t>jgo</t>
        </is>
      </c>
      <c r="F26" s="33" t="n"/>
      <c r="G26" s="33" t="n"/>
      <c r="H26" s="32" t="inlineStr">
        <is>
          <t>PE / cartón</t>
        </is>
      </c>
      <c r="I26" s="17" t="inlineStr">
        <is>
          <t>a medida de la envolvente del plano</t>
        </is>
      </c>
      <c r="J26" s="32" t="inlineStr">
        <is>
          <t>Compra</t>
        </is>
      </c>
      <c r="K26" s="32" t="inlineStr">
        <is>
          <t>Sí</t>
        </is>
      </c>
      <c r="L26" s="17" t="inlineStr">
        <is>
          <t>MV Embalajes</t>
        </is>
      </c>
      <c r="M26" s="17" t="inlineStr">
        <is>
          <t>Embalpack</t>
        </is>
      </c>
      <c r="N26" s="17" t="inlineStr">
        <is>
          <t>23 Embalaje</t>
        </is>
      </c>
      <c r="O26" s="17" t="n"/>
      <c r="P26" s="32" t="inlineStr">
        <is>
          <t>P</t>
        </is>
      </c>
      <c r="Q26" s="32" t="n"/>
      <c r="R26" s="17" t="inlineStr">
        <is>
          <t>Medida del plano</t>
        </is>
      </c>
    </row>
    <row r="27" outlineLevel="1">
      <c r="A27" s="32" t="n">
        <v>2</v>
      </c>
      <c r="B27" s="32" t="inlineStr">
        <is>
          <t>ABC50-E3</t>
        </is>
      </c>
      <c r="C27" s="17" t="inlineStr">
        <is>
          <t xml:space="preserve">        Pallet 1200 × 1000 (fracción)</t>
        </is>
      </c>
      <c r="D27" s="32" t="n">
        <v>0.1111</v>
      </c>
      <c r="E27" s="32" t="inlineStr">
        <is>
          <t>u</t>
        </is>
      </c>
      <c r="F27" s="33" t="n"/>
      <c r="G27" s="33" t="n"/>
      <c r="H27" s="32" t="inlineStr">
        <is>
          <t>Madera</t>
        </is>
      </c>
      <c r="I27" s="17" t="inlineStr">
        <is>
          <t>9 u por pallet</t>
        </is>
      </c>
      <c r="J27" s="32" t="inlineStr">
        <is>
          <t>Compra</t>
        </is>
      </c>
      <c r="K27" s="32" t="inlineStr">
        <is>
          <t>Sí</t>
        </is>
      </c>
      <c r="L27" s="17" t="inlineStr">
        <is>
          <t>IndusPallets</t>
        </is>
      </c>
      <c r="M27" s="17" t="inlineStr">
        <is>
          <t>-</t>
        </is>
      </c>
      <c r="N27" s="17" t="inlineStr">
        <is>
          <t>23 Embalaje</t>
        </is>
      </c>
      <c r="O27" s="17" t="n"/>
      <c r="P27" s="32" t="inlineStr">
        <is>
          <t>C</t>
        </is>
      </c>
      <c r="Q27" s="32" t="n"/>
      <c r="R27" s="17" t="inlineStr">
        <is>
          <t>u por pallet = acomodo de la caja (plano) en 1200 × 1000 × 1450 de alto</t>
        </is>
      </c>
    </row>
    <row r="28" outlineLevel="1">
      <c r="A28" s="37" t="n">
        <v>2</v>
      </c>
      <c r="B28" s="37" t="inlineStr">
        <is>
          <t>ABC50-E4</t>
        </is>
      </c>
      <c r="C28" s="18" t="inlineStr">
        <is>
          <t xml:space="preserve">        Film stretch (fracción del pallet)</t>
        </is>
      </c>
      <c r="D28" s="37" t="n">
        <v>0.0133</v>
      </c>
      <c r="E28" s="37" t="inlineStr">
        <is>
          <t>kg</t>
        </is>
      </c>
      <c r="F28" s="38" t="n">
        <v>1</v>
      </c>
      <c r="G28" s="38">
        <f>D28*F28</f>
        <v/>
      </c>
      <c r="H28" s="37" t="inlineStr">
        <is>
          <t>PE lineal 23 µm</t>
        </is>
      </c>
      <c r="I28" s="18" t="inlineStr">
        <is>
          <t>0,12 kg por pallet / 9 u</t>
        </is>
      </c>
      <c r="J28" s="37" t="inlineStr">
        <is>
          <t>Compra</t>
        </is>
      </c>
      <c r="K28" s="37" t="inlineStr">
        <is>
          <t>Sí</t>
        </is>
      </c>
      <c r="L28" s="18" t="inlineStr">
        <is>
          <t>MV Embalajes</t>
        </is>
      </c>
      <c r="M28" s="18" t="inlineStr">
        <is>
          <t>Embalpack</t>
        </is>
      </c>
      <c r="N28" s="18" t="inlineStr">
        <is>
          <t>24 Envolvedora (T11)</t>
        </is>
      </c>
      <c r="O28" s="18" t="n"/>
      <c r="P28" s="37" t="inlineStr">
        <is>
          <t>C</t>
        </is>
      </c>
      <c r="Q28" s="37" t="n"/>
      <c r="R28"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29" outlineLevel="1">
      <c r="A29" s="32" t="n">
        <v>2</v>
      </c>
      <c r="B29" s="32" t="inlineStr">
        <is>
          <t>ABC50-E5</t>
        </is>
      </c>
      <c r="C29" s="17" t="inlineStr">
        <is>
          <t xml:space="preserve">        Etiqueta de pallet (lote y destino, fracción)</t>
        </is>
      </c>
      <c r="D29" s="32" t="n">
        <v>0.1111</v>
      </c>
      <c r="E29" s="32" t="inlineStr">
        <is>
          <t>u</t>
        </is>
      </c>
      <c r="F29" s="33" t="n"/>
      <c r="G29" s="33" t="n"/>
      <c r="H29" s="32" t="inlineStr">
        <is>
          <t>Papel térmico</t>
        </is>
      </c>
      <c r="I29" s="17" t="inlineStr">
        <is>
          <t>100 × 150</t>
        </is>
      </c>
      <c r="J29" s="32" t="inlineStr">
        <is>
          <t>Compra</t>
        </is>
      </c>
      <c r="K29" s="32" t="inlineStr">
        <is>
          <t>Sí</t>
        </is>
      </c>
      <c r="L29" s="17" t="inlineStr">
        <is>
          <t>Astuprint</t>
        </is>
      </c>
      <c r="M29" s="17" t="inlineStr">
        <is>
          <t>Multilabel Argentina S.A.</t>
        </is>
      </c>
      <c r="N29" s="17" t="inlineStr">
        <is>
          <t>24 Envolvedora</t>
        </is>
      </c>
      <c r="O29" s="17" t="n"/>
      <c r="P29" s="32" t="inlineStr">
        <is>
          <t>C</t>
        </is>
      </c>
      <c r="Q29" s="32" t="n"/>
      <c r="R29" s="17" t="n"/>
    </row>
    <row r="30" outlineLevel="1">
      <c r="A30" s="32" t="n">
        <v>2</v>
      </c>
      <c r="B30" s="32" t="inlineStr">
        <is>
          <t>ABC50-E8</t>
        </is>
      </c>
      <c r="C30" s="17" t="inlineStr">
        <is>
          <t xml:space="preserve">        Separador de capa de cartón 1200 × 1000 (fracción del pallet)</t>
        </is>
      </c>
      <c r="D30" s="32" t="n">
        <v>0</v>
      </c>
      <c r="E30" s="32" t="inlineStr">
        <is>
          <t>u</t>
        </is>
      </c>
      <c r="F30" s="33" t="n"/>
      <c r="G30" s="33" t="n"/>
      <c r="H30" s="32" t="inlineStr">
        <is>
          <t>Cartón</t>
        </is>
      </c>
      <c r="I30" s="17" t="inlineStr">
        <is>
          <t>1 capas → 0 separadores por pallet / 9 u</t>
        </is>
      </c>
      <c r="J30" s="32" t="inlineStr">
        <is>
          <t>Compra</t>
        </is>
      </c>
      <c r="K30" s="32" t="inlineStr">
        <is>
          <t>Sí</t>
        </is>
      </c>
      <c r="L30" s="17" t="inlineStr">
        <is>
          <t>Maxipack</t>
        </is>
      </c>
      <c r="M30" s="17" t="inlineStr">
        <is>
          <t>Cartocan</t>
        </is>
      </c>
      <c r="N30" s="17" t="inlineStr">
        <is>
          <t>23 Embalaje</t>
        </is>
      </c>
      <c r="O30" s="17" t="n"/>
      <c r="P30" s="32" t="inlineStr">
        <is>
          <t>C</t>
        </is>
      </c>
      <c r="Q30" s="32" t="n"/>
      <c r="R30" s="17" t="inlineStr">
        <is>
          <t>Planilla MP-61</t>
        </is>
      </c>
    </row>
  </sheetData>
  <autoFilter ref="A10:R30"/>
  <pageMargins left="0.75" right="0.75" top="1" bottom="1" header="0.5" footer="0.5"/>
  <pageSetup orientation="landscape" fitToHeight="0" fitToWidth="1"/>
</worksheet>
</file>

<file path=xl/worksheets/sheet39.xml><?xml version="1.0" encoding="utf-8"?>
<worksheet xmlns="http://schemas.openxmlformats.org/spreadsheetml/2006/main">
  <sheetPr>
    <tabColor rgb="001F4E79"/>
    <outlinePr summaryBelow="0" summaryRight="1"/>
    <pageSetUpPr fitToPage="1"/>
  </sheetPr>
  <dimension ref="A1:R31"/>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FL_REC_ABC_70kg</t>
        </is>
      </c>
    </row>
    <row r="2">
      <c r="A2" s="58" t="inlineStr">
        <is>
          <t>Cilindro (recipiente) ABC 70 kg rodante - repuesto vacío sin válvula</t>
        </is>
      </c>
    </row>
    <row r="3">
      <c r="A3" s="2" t="inlineStr">
        <is>
          <t>Plano de origen</t>
        </is>
      </c>
      <c r="C3" t="inlineStr">
        <is>
          <t>FL_REC_ABC_70kg  (recipiente para venta suelta)</t>
        </is>
      </c>
      <c r="E3" s="2" t="inlineStr">
        <is>
          <t>Peso vacío S1-S4 (kg)</t>
        </is>
      </c>
      <c r="G3" s="59">
        <f>G12</f>
        <v/>
      </c>
    </row>
    <row r="4">
      <c r="A4" s="2" t="inlineStr">
        <is>
          <t>Plano de despiece</t>
        </is>
      </c>
      <c r="C4" t="inlineStr">
        <is>
          <t>FL_REC_ABC_70kg hoja 3</t>
        </is>
      </c>
      <c r="E4" s="2" t="inlineStr">
        <is>
          <t>Peso cargado S1-S6 (kg)</t>
        </is>
      </c>
      <c r="G4" s="59">
        <f>G12</f>
        <v/>
      </c>
    </row>
    <row r="5">
      <c r="A5" s="2" t="inlineStr">
        <is>
          <t>Norma del producto</t>
        </is>
      </c>
      <c r="C5" t="inlineStr">
        <is>
          <t>IRAM 3550</t>
        </is>
      </c>
      <c r="E5" s="2" t="inlineStr">
        <is>
          <t>Peso con soporte y embalaje (kg)</t>
        </is>
      </c>
      <c r="G5" s="59">
        <f>G12+G26</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FL_REC_ABC_70kg</t>
        </is>
      </c>
      <c r="C11" s="27" t="inlineStr">
        <is>
          <t>Cilindro (recipiente) ABC 70 kg rodante - repuesto vacío sin válvula</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FL_REC_ABC_70kg</t>
        </is>
      </c>
      <c r="R11" s="27" t="inlineStr">
        <is>
          <t>Fabricación propia</t>
        </is>
      </c>
    </row>
    <row r="12">
      <c r="A12" s="29" t="n">
        <v>1</v>
      </c>
      <c r="B12" s="29" t="inlineStr">
        <is>
          <t>ABC70-S1</t>
        </is>
      </c>
      <c r="C12" s="30" t="inlineStr">
        <is>
          <t xml:space="preserve">    Recipiente (cilindro)</t>
        </is>
      </c>
      <c r="D12" s="29" t="n">
        <v>1</v>
      </c>
      <c r="E12" s="29" t="inlineStr">
        <is>
          <t>u</t>
        </is>
      </c>
      <c r="F12" s="31" t="n"/>
      <c r="G12" s="31">
        <f>G13+G15+G16+G17+G18+G19+G25</f>
        <v/>
      </c>
      <c r="H12" s="29" t="n"/>
      <c r="I12" s="30" t="n"/>
      <c r="J12" s="29" t="inlineStr">
        <is>
          <t>Fabricación</t>
        </is>
      </c>
      <c r="K12" s="29" t="n"/>
      <c r="L12" s="30" t="n"/>
      <c r="M12" s="30" t="n"/>
      <c r="N12" s="30" t="n"/>
      <c r="O12" s="30" t="inlineStr">
        <is>
          <t>IRAM 3523 / 3550 (recipiente)</t>
        </is>
      </c>
      <c r="P12" s="29" t="inlineStr">
        <is>
          <t>P</t>
        </is>
      </c>
      <c r="Q12" s="29" t="inlineStr">
        <is>
          <t>FL_DES_ABC_70kg</t>
        </is>
      </c>
      <c r="R12" s="30" t="n"/>
    </row>
    <row r="13" outlineLevel="1">
      <c r="A13" s="32" t="n">
        <v>2</v>
      </c>
      <c r="B13" s="32" t="inlineStr">
        <is>
          <t>ABC70-01</t>
        </is>
      </c>
      <c r="C13" s="17" t="inlineStr">
        <is>
          <t xml:space="preserve">        Cuerpo (virola)</t>
        </is>
      </c>
      <c r="D13" s="32" t="n">
        <v>1</v>
      </c>
      <c r="E13" s="32" t="inlineStr">
        <is>
          <t>u</t>
        </is>
      </c>
      <c r="F13" s="33" t="n">
        <v>30.6877</v>
      </c>
      <c r="G13" s="33">
        <f>D13*F13</f>
        <v/>
      </c>
      <c r="H13" s="32" t="inlineStr">
        <is>
          <t>Chapa LAC IRAM-IAS U 500-04 e=4,75</t>
        </is>
      </c>
      <c r="I13" s="17" t="inlineStr">
        <is>
          <t>Ø390 × e4,75 × 680 de alto; desarrollo 1.210,3 × 680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O13" s="17" t="n"/>
      <c r="P13" s="32" t="inlineStr">
        <is>
          <t>P</t>
        </is>
      </c>
      <c r="Q13" s="32" t="inlineStr">
        <is>
          <t>FL_DES_ABC_70kg</t>
        </is>
      </c>
      <c r="R13" s="17" t="inlineStr">
        <is>
          <t>costura long. MAG</t>
        </is>
      </c>
    </row>
    <row r="14" outlineLevel="2">
      <c r="A14" s="34" t="n">
        <v>3</v>
      </c>
      <c r="B14" s="34" t="inlineStr">
        <is>
          <t>MP-HOJA</t>
        </is>
      </c>
      <c r="C14" s="35" t="inlineStr">
        <is>
          <t xml:space="preserve">            Recorte de hoja LAC 1500 × 3000 e=4,75</t>
        </is>
      </c>
      <c r="D14" s="34" t="n">
        <v>1</v>
      </c>
      <c r="E14" s="34" t="inlineStr">
        <is>
          <t>u</t>
        </is>
      </c>
      <c r="F14" s="36" t="n">
        <v>38.802</v>
      </c>
      <c r="G14" s="36">
        <f>D14*F14</f>
        <v/>
      </c>
      <c r="H14" s="34" t="inlineStr">
        <is>
          <t>Chapa LAC IRAM-IAS U 500-04 LAC</t>
        </is>
      </c>
      <c r="I14" s="35" t="inlineStr">
        <is>
          <t>680 × 1.212 (aprovech. 79,2 %)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ABC70-02</t>
        </is>
      </c>
      <c r="C15" s="17" t="inlineStr">
        <is>
          <t xml:space="preserve">        Cúpula</t>
        </is>
      </c>
      <c r="D15" s="32" t="n">
        <v>1</v>
      </c>
      <c r="E15" s="32" t="inlineStr">
        <is>
          <t>u</t>
        </is>
      </c>
      <c r="F15" s="33" t="n">
        <v>7.1038</v>
      </c>
      <c r="G15" s="33">
        <f>D15*F15</f>
        <v/>
      </c>
      <c r="H15" s="32" t="inlineStr">
        <is>
          <t>Chapa LAC IRAM-IAS U 500-04 e=4,75</t>
        </is>
      </c>
      <c r="I15" s="17" t="inlineStr">
        <is>
          <t>Ø390 × e4,75 × 137,3 de alto; disco Ø507,3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 -&gt; 11 marcado (estampado en arco junto al cuello)</t>
        </is>
      </c>
      <c r="O15" s="17" t="n"/>
      <c r="P15" s="32" t="inlineStr">
        <is>
          <t>P</t>
        </is>
      </c>
      <c r="Q15" s="32" t="inlineStr">
        <is>
          <t>FL_DES_ABC_70kg</t>
        </is>
      </c>
      <c r="R15" s="17" t="inlineStr">
        <is>
          <t>embutida</t>
        </is>
      </c>
    </row>
    <row r="16" outlineLevel="1">
      <c r="A16" s="32" t="n">
        <v>2</v>
      </c>
      <c r="B16" s="32" t="inlineStr">
        <is>
          <t>ABC70-03</t>
        </is>
      </c>
      <c r="C16" s="17" t="inlineStr">
        <is>
          <t xml:space="preserve">        Fondo</t>
        </is>
      </c>
      <c r="D16" s="32" t="n">
        <v>1</v>
      </c>
      <c r="E16" s="32" t="inlineStr">
        <is>
          <t>u</t>
        </is>
      </c>
      <c r="F16" s="33" t="n">
        <v>7.4086</v>
      </c>
      <c r="G16" s="33">
        <f>D16*F16</f>
        <v/>
      </c>
      <c r="H16" s="32" t="inlineStr">
        <is>
          <t>Chapa LAC IRAM-IAS U 500-04 e=4,75</t>
        </is>
      </c>
      <c r="I16" s="17" t="inlineStr">
        <is>
          <t>Ø390 × e4,75 × 139,8 de alto; disco Ø518,1</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FL_DES_ABC_70kg</t>
        </is>
      </c>
      <c r="R16" s="17" t="inlineStr">
        <is>
          <t>embutido</t>
        </is>
      </c>
    </row>
    <row r="17" outlineLevel="1">
      <c r="A17" s="32" t="n">
        <v>2</v>
      </c>
      <c r="B17" s="32" t="inlineStr">
        <is>
          <t>ABC70-04</t>
        </is>
      </c>
      <c r="C17" s="17" t="inlineStr">
        <is>
          <t xml:space="preserve">        Cuello roscado</t>
        </is>
      </c>
      <c r="D17" s="32" t="n">
        <v>1</v>
      </c>
      <c r="E17" s="32" t="inlineStr">
        <is>
          <t>u</t>
        </is>
      </c>
      <c r="F17" s="33" t="n">
        <v>0.6198</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FL_DES_ABC_70kg</t>
        </is>
      </c>
      <c r="R17" s="17" t="inlineStr">
        <is>
          <t>RBSP 2 1/2"-11 h</t>
        </is>
      </c>
    </row>
    <row r="18" outlineLevel="1">
      <c r="A18" s="32" t="n">
        <v>2</v>
      </c>
      <c r="B18" s="32" t="inlineStr">
        <is>
          <t>ABC70-05</t>
        </is>
      </c>
      <c r="C18" s="17" t="inlineStr">
        <is>
          <t xml:space="preserve">        Placas de refuerzo (2)</t>
        </is>
      </c>
      <c r="D18" s="32" t="n">
        <v>1</v>
      </c>
      <c r="E18" s="32" t="inlineStr">
        <is>
          <t>u</t>
        </is>
      </c>
      <c r="F18" s="33" t="n">
        <v>1.5106</v>
      </c>
      <c r="G18" s="33">
        <f>D18*F18</f>
        <v/>
      </c>
      <c r="H18" s="32" t="inlineStr">
        <is>
          <t>Chapa LAC 4,75 curvada a Ø380</t>
        </is>
      </c>
      <c r="I18" s="17" t="inlineStr">
        <is>
          <t>2 × 200 × 100 × 4,75 curvadas a Ø380, a 100 mm de cada boca</t>
        </is>
      </c>
      <c r="J18" s="32" t="inlineStr">
        <is>
          <t>Fabricación</t>
        </is>
      </c>
      <c r="K18" s="32" t="inlineStr">
        <is>
          <t>No</t>
        </is>
      </c>
      <c r="L18" s="17" t="n"/>
      <c r="M18" s="17" t="n"/>
      <c r="N18" s="17" t="inlineStr">
        <is>
          <t>2 Tira de orilla 200 × 900 -&gt; 3 rolado a Ø380 -&gt; corte con amoladora -&gt; 4 punteo interior (4 esquinas)</t>
        </is>
      </c>
      <c r="O18" s="17" t="n"/>
      <c r="P18" s="32" t="inlineStr">
        <is>
          <t>P</t>
        </is>
      </c>
      <c r="Q18" s="32" t="inlineStr">
        <is>
          <t>FL_DES_ABC_70kg</t>
        </is>
      </c>
      <c r="R18" s="17" t="inlineStr">
        <is>
          <t>Proceso FLAMA de carros: por dentro sobre la costura longitudinal, una en cada extremo a 100 mm de la boca; salen de las orillas de 4,75 (sin compra)</t>
        </is>
      </c>
    </row>
    <row r="19" outlineLevel="1">
      <c r="A19" s="37" t="n">
        <v>2</v>
      </c>
      <c r="B19" s="37" t="inlineStr">
        <is>
          <t>ABC70-C1</t>
        </is>
      </c>
      <c r="C19" s="18" t="inlineStr">
        <is>
          <t xml:space="preserve">        Alambre MAG ER70S-6 Ø1,0 (AWS A5.18)</t>
        </is>
      </c>
      <c r="D19" s="37" t="n">
        <v>1.0749</v>
      </c>
      <c r="E19" s="37" t="inlineStr">
        <is>
          <t>kg</t>
        </is>
      </c>
      <c r="F19" s="38" t="n">
        <v>0.95</v>
      </c>
      <c r="G19" s="38">
        <f>D19*F19</f>
        <v/>
      </c>
      <c r="H19" s="37" t="inlineStr">
        <is>
          <t>ER70S-6</t>
        </is>
      </c>
      <c r="I19" s="18" t="inlineStr">
        <is>
          <t>metal depositado de los cordones del plano 1.021 g / rendimiento 0,95</t>
        </is>
      </c>
      <c r="J19" s="37" t="inlineStr">
        <is>
          <t>Compra</t>
        </is>
      </c>
      <c r="K19" s="37" t="inlineStr">
        <is>
          <t>Sí</t>
        </is>
      </c>
      <c r="L19" s="18" t="inlineStr">
        <is>
          <t>Conarco (ESAB Argentina)</t>
        </is>
      </c>
      <c r="M19" s="18" t="inlineStr">
        <is>
          <t>-</t>
        </is>
      </c>
      <c r="N19" s="18" t="inlineStr">
        <is>
          <t>5 sold. long. / 6 cupla / 7 circunferencial</t>
        </is>
      </c>
      <c r="O19" s="18" t="inlineStr">
        <is>
          <t>IRAM 3523 3.2.4.2 · IRAM 3550 4.1.2</t>
        </is>
      </c>
      <c r="P19" s="37" t="inlineStr">
        <is>
          <t>C</t>
        </is>
      </c>
      <c r="Q19" s="37" t="n"/>
      <c r="R1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0" outlineLevel="1">
      <c r="A20" s="37" t="n">
        <v>2</v>
      </c>
      <c r="B20" s="37" t="inlineStr">
        <is>
          <t>ABC70-C2</t>
        </is>
      </c>
      <c r="C20" s="18" t="inlineStr">
        <is>
          <t xml:space="preserve">        Gas de protección MAG Arcal 21 / ARCAL Speed (Ar + 8 % CO₂, M20)</t>
        </is>
      </c>
      <c r="D20" s="37" t="n">
        <v>79.5</v>
      </c>
      <c r="E20" s="37" t="inlineStr">
        <is>
          <t>L</t>
        </is>
      </c>
      <c r="F20" s="38" t="n"/>
      <c r="G20" s="38" t="n"/>
      <c r="H20" s="37" t="inlineStr">
        <is>
          <t>EN ISO 14175 M20-ArC-8</t>
        </is>
      </c>
      <c r="I20" s="18" t="inlineStr">
        <is>
          <t>14 L/min × 5,68 min de arco (cordones 3.407 mm: long. 680 + circ. 2.450 + cuello 276, a 600 mm/min)</t>
        </is>
      </c>
      <c r="J20" s="37" t="inlineStr">
        <is>
          <t>Compra</t>
        </is>
      </c>
      <c r="K20" s="37" t="inlineStr">
        <is>
          <t>Sí</t>
        </is>
      </c>
      <c r="L20" s="18" t="inlineStr">
        <is>
          <t>Air Liquide Argentina - sucursal Piñeyro</t>
        </is>
      </c>
      <c r="M20" s="18" t="inlineStr">
        <is>
          <t>Gogniat</t>
        </is>
      </c>
      <c r="N20" s="18" t="inlineStr">
        <is>
          <t>Colector SC</t>
        </is>
      </c>
      <c r="O20" s="18" t="inlineStr">
        <is>
          <t>IRAM 3523 3.2.4.2 · IRAM 3550 3.2.2.2</t>
        </is>
      </c>
      <c r="P20" s="37" t="inlineStr">
        <is>
          <t>C</t>
        </is>
      </c>
      <c r="Q20" s="37" t="n"/>
      <c r="R2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1" outlineLevel="1">
      <c r="A21" s="32" t="n">
        <v>2</v>
      </c>
      <c r="B21" s="32" t="inlineStr">
        <is>
          <t>ABC70-C4</t>
        </is>
      </c>
      <c r="C21" s="17" t="inlineStr">
        <is>
          <t xml:space="preserve">        Servicio de pintura en polvo al horno, rojo 03-1-050 (con preparación por quemado)</t>
        </is>
      </c>
      <c r="D21" s="32" t="n">
        <v>1</v>
      </c>
      <c r="E21" s="32" t="inlineStr">
        <is>
          <t>u</t>
        </is>
      </c>
      <c r="F21" s="33" t="n"/>
      <c r="G21" s="33" t="n"/>
      <c r="H21" s="32" t="inlineStr">
        <is>
          <t>Servicio tercerizado</t>
        </is>
      </c>
      <c r="I21" s="17" t="inlineStr">
        <is>
          <t>superficie exterior 1,212 m²</t>
        </is>
      </c>
      <c r="J21" s="32" t="inlineStr">
        <is>
          <t>Compra (servicio)</t>
        </is>
      </c>
      <c r="K21" s="32" t="inlineStr">
        <is>
          <t>Sí</t>
        </is>
      </c>
      <c r="L21" s="17" t="inlineStr">
        <is>
          <t>Pintor de carros (cotización por mensaje)</t>
        </is>
      </c>
      <c r="M21" s="17" t="inlineStr">
        <is>
          <t>Prymax</t>
        </is>
      </c>
      <c r="N21" s="17" t="inlineStr">
        <is>
          <t>17 Pintura tercerizada</t>
        </is>
      </c>
      <c r="O21" s="17" t="inlineStr">
        <is>
          <t>IRAM 3523 5.3 / IRAM 3550 3.11 · IRAM 121</t>
        </is>
      </c>
      <c r="P21" s="32" t="inlineStr">
        <is>
          <t>Q</t>
        </is>
      </c>
      <c r="Q21" s="32" t="n"/>
      <c r="R21" s="17" t="inlineStr">
        <is>
          <t>Q-CARROS (precio por carro); exigir informe de niebla salina del sistema de pintura; tercerización aceptada por el Ministerio (Res. 349/07 art. 18)</t>
        </is>
      </c>
    </row>
    <row r="22" outlineLevel="1">
      <c r="A22" s="39" t="n">
        <v>2</v>
      </c>
      <c r="B22" s="39" t="inlineStr">
        <is>
          <t>ABC70-T1</t>
        </is>
      </c>
      <c r="C22" s="19" t="inlineStr">
        <is>
          <t xml:space="preserve">        Tapón protector de rosca del cuello</t>
        </is>
      </c>
      <c r="D22" s="39" t="n">
        <v>1</v>
      </c>
      <c r="E22" s="39" t="inlineStr">
        <is>
          <t>u</t>
        </is>
      </c>
      <c r="F22" s="40" t="n"/>
      <c r="G22" s="40" t="n"/>
      <c r="H22" s="39" t="inlineStr">
        <is>
          <t>Polietileno</t>
        </is>
      </c>
      <c r="I22" s="19" t="inlineStr">
        <is>
          <t>para rosca RBSP 2 1/2"-11 h (plano FL_REC_ABC_70kg hoja 3, R4)</t>
        </is>
      </c>
      <c r="J22" s="39" t="inlineStr">
        <is>
          <t>Compra</t>
        </is>
      </c>
      <c r="K22" s="39" t="inlineStr">
        <is>
          <t>Sí</t>
        </is>
      </c>
      <c r="L22" s="19" t="inlineStr">
        <is>
          <t>-</t>
        </is>
      </c>
      <c r="M22" s="19" t="inlineStr">
        <is>
          <t>-</t>
        </is>
      </c>
      <c r="N22" s="19" t="inlineStr">
        <is>
          <t>Embalaje</t>
        </is>
      </c>
      <c r="O22" s="19" t="n"/>
      <c r="P22" s="39" t="inlineStr">
        <is>
          <t>P</t>
        </is>
      </c>
      <c r="Q22" s="39" t="n"/>
      <c r="R22" s="19" t="n"/>
    </row>
    <row r="23" outlineLevel="1">
      <c r="A23" s="32" t="n">
        <v>2</v>
      </c>
      <c r="B23" s="32" t="inlineStr">
        <is>
          <t>ABC70-T2</t>
        </is>
      </c>
      <c r="C23" s="17" t="inlineStr">
        <is>
          <t xml:space="preserve">        Marcado del recipiente: estampado en la cúpula, en arco junto al cuello (puesto 11, después de la PH y el secado)</t>
        </is>
      </c>
      <c r="D23" s="32" t="n">
        <v>1</v>
      </c>
      <c r="E23" s="32" t="inlineStr">
        <is>
          <t>u</t>
        </is>
      </c>
      <c r="F23" s="33" t="n"/>
      <c r="G23" s="33" t="n"/>
      <c r="H23" s="32" t="inlineStr">
        <is>
          <t>-</t>
        </is>
      </c>
      <c r="I23" s="17" t="inlineStr">
        <is>
          <t>Fabricante, n° de serie, año, presión de ensayo; en arco junto al cuello, letra 5 mm; cuño DPS 15 × 7 junto al n°</t>
        </is>
      </c>
      <c r="J23" s="32" t="inlineStr">
        <is>
          <t>Proceso</t>
        </is>
      </c>
      <c r="K23" s="32" t="inlineStr">
        <is>
          <t>No</t>
        </is>
      </c>
      <c r="L23" s="17" t="n"/>
      <c r="M23" s="17" t="n"/>
      <c r="N23" s="17" t="inlineStr">
        <is>
          <t>Marcado</t>
        </is>
      </c>
      <c r="O23" s="17" t="inlineStr">
        <is>
          <t>IRAM 3550 5.1 · Res. 349/07 anexo IV</t>
        </is>
      </c>
      <c r="P23" s="32" t="inlineStr">
        <is>
          <t>N</t>
        </is>
      </c>
      <c r="Q23" s="32" t="n"/>
      <c r="R23" s="17" t="n"/>
    </row>
    <row r="24" outlineLevel="1">
      <c r="A24" s="32" t="n">
        <v>2</v>
      </c>
      <c r="B24" s="32" t="inlineStr">
        <is>
          <t>ABC70-T3</t>
        </is>
      </c>
      <c r="C24" s="17" t="inlineStr">
        <is>
          <t xml:space="preserve">        Etiqueta de identificación del cilindro suelto</t>
        </is>
      </c>
      <c r="D24" s="32" t="n">
        <v>1</v>
      </c>
      <c r="E24" s="32" t="inlineStr">
        <is>
          <t>u</t>
        </is>
      </c>
      <c r="F24" s="33" t="n"/>
      <c r="G24" s="33" t="n"/>
      <c r="H24" s="32" t="inlineStr">
        <is>
          <t>Poliéster autoadhesivo removible</t>
        </is>
      </c>
      <c r="I24" s="17" t="inlineStr">
        <is>
          <t>100 × 60, impresión térmica, QR GS1</t>
        </is>
      </c>
      <c r="J24" s="32" t="inlineStr">
        <is>
          <t>Compra</t>
        </is>
      </c>
      <c r="K24" s="32" t="inlineStr">
        <is>
          <t>Sí</t>
        </is>
      </c>
      <c r="L24" s="17" t="inlineStr">
        <is>
          <t>Astuprint</t>
        </is>
      </c>
      <c r="M24" s="17" t="inlineStr">
        <is>
          <t>GS1 Argentina</t>
        </is>
      </c>
      <c r="N24" s="17" t="inlineStr">
        <is>
          <t>Etiquetado</t>
        </is>
      </c>
      <c r="O24" s="17" t="n"/>
      <c r="P24" s="32" t="inlineStr">
        <is>
          <t>P</t>
        </is>
      </c>
      <c r="Q24" s="32" t="inlineStr">
        <is>
          <t>FL_REC_ABC_70kg hoja 3</t>
        </is>
      </c>
      <c r="R24" s="17" t="n"/>
    </row>
    <row r="25" outlineLevel="1">
      <c r="A25" s="32" t="n">
        <v>2</v>
      </c>
      <c r="B25" s="32" t="inlineStr">
        <is>
          <t>ABC70-T4</t>
        </is>
      </c>
      <c r="C25" s="17" t="inlineStr">
        <is>
          <t xml:space="preserve">        Protocolo de ensayo hidrostático (certificado que acompaña)</t>
        </is>
      </c>
      <c r="D25" s="32" t="n">
        <v>1</v>
      </c>
      <c r="E25" s="32" t="inlineStr">
        <is>
          <t>u</t>
        </is>
      </c>
      <c r="F25" s="33" t="n">
        <v>0.005</v>
      </c>
      <c r="G25" s="33">
        <f>D25*F25</f>
        <v/>
      </c>
      <c r="H25" s="32" t="inlineStr">
        <is>
          <t>Papel</t>
        </is>
      </c>
      <c r="I25" s="17" t="inlineStr">
        <is>
          <t>A5</t>
        </is>
      </c>
      <c r="J25" s="32" t="inlineStr">
        <is>
          <t>Proceso</t>
        </is>
      </c>
      <c r="K25" s="32" t="inlineStr">
        <is>
          <t>No</t>
        </is>
      </c>
      <c r="L25" s="17" t="n"/>
      <c r="M25" s="17" t="n"/>
      <c r="N25" s="17" t="inlineStr">
        <is>
          <t>Control de calidad</t>
        </is>
      </c>
      <c r="O25" s="17" t="inlineStr">
        <is>
          <t>IRAM 3550 4.1 y cap. 6 · IRAM 2587</t>
        </is>
      </c>
      <c r="P25" s="32" t="inlineStr">
        <is>
          <t>N</t>
        </is>
      </c>
      <c r="Q25" s="32" t="inlineStr">
        <is>
          <t>FL_REC_ABC_70kg hoja 3</t>
        </is>
      </c>
      <c r="R25" s="17" t="n"/>
    </row>
    <row r="26">
      <c r="A26" s="29" t="n">
        <v>1</v>
      </c>
      <c r="B26" s="29" t="inlineStr">
        <is>
          <t>ABC70-S7</t>
        </is>
      </c>
      <c r="C26" s="30" t="inlineStr">
        <is>
          <t xml:space="preserve">    Embalaje</t>
        </is>
      </c>
      <c r="D26" s="29" t="n">
        <v>1</v>
      </c>
      <c r="E26" s="29" t="inlineStr">
        <is>
          <t>u</t>
        </is>
      </c>
      <c r="F26" s="31" t="n"/>
      <c r="G26" s="31">
        <f>G29</f>
        <v/>
      </c>
      <c r="H26" s="29" t="n"/>
      <c r="I26" s="30" t="n"/>
      <c r="J26" s="29" t="inlineStr">
        <is>
          <t>Compra</t>
        </is>
      </c>
      <c r="K26" s="29" t="n"/>
      <c r="L26" s="30" t="n"/>
      <c r="M26" s="30" t="n"/>
      <c r="N26" s="30" t="inlineStr">
        <is>
          <t>23 Embalaje -&gt; 24 envolvedora (T11)</t>
        </is>
      </c>
      <c r="O26" s="30" t="n"/>
      <c r="P26" s="29" t="n"/>
      <c r="Q26" s="29" t="n"/>
      <c r="R26" s="30" t="n"/>
    </row>
    <row r="27" outlineLevel="1">
      <c r="A27" s="32" t="n">
        <v>2</v>
      </c>
      <c r="B27" s="32" t="inlineStr">
        <is>
          <t>ABC70-E1</t>
        </is>
      </c>
      <c r="C27" s="17" t="inlineStr">
        <is>
          <t xml:space="preserve">        Esquineros y funda de polietileno</t>
        </is>
      </c>
      <c r="D27" s="32" t="n">
        <v>1</v>
      </c>
      <c r="E27" s="32" t="inlineStr">
        <is>
          <t>jgo</t>
        </is>
      </c>
      <c r="F27" s="33" t="n"/>
      <c r="G27" s="33" t="n"/>
      <c r="H27" s="32" t="inlineStr">
        <is>
          <t>PE / cartón</t>
        </is>
      </c>
      <c r="I27" s="17" t="inlineStr">
        <is>
          <t>a medida de la envolvente del plano</t>
        </is>
      </c>
      <c r="J27" s="32" t="inlineStr">
        <is>
          <t>Compra</t>
        </is>
      </c>
      <c r="K27" s="32" t="inlineStr">
        <is>
          <t>Sí</t>
        </is>
      </c>
      <c r="L27" s="17" t="inlineStr">
        <is>
          <t>MV Embalajes</t>
        </is>
      </c>
      <c r="M27" s="17" t="inlineStr">
        <is>
          <t>Embalpack</t>
        </is>
      </c>
      <c r="N27" s="17" t="inlineStr">
        <is>
          <t>23 Embalaje</t>
        </is>
      </c>
      <c r="O27" s="17" t="n"/>
      <c r="P27" s="32" t="inlineStr">
        <is>
          <t>P</t>
        </is>
      </c>
      <c r="Q27" s="32" t="n"/>
      <c r="R27" s="17" t="inlineStr">
        <is>
          <t>Medida del plano</t>
        </is>
      </c>
    </row>
    <row r="28" outlineLevel="1">
      <c r="A28" s="32" t="n">
        <v>2</v>
      </c>
      <c r="B28" s="32" t="inlineStr">
        <is>
          <t>ABC70-E3</t>
        </is>
      </c>
      <c r="C28" s="17" t="inlineStr">
        <is>
          <t xml:space="preserve">        Pallet 1200 × 1000 (fracción)</t>
        </is>
      </c>
      <c r="D28" s="32" t="n">
        <v>0.1667</v>
      </c>
      <c r="E28" s="32" t="inlineStr">
        <is>
          <t>u</t>
        </is>
      </c>
      <c r="F28" s="33" t="n"/>
      <c r="G28" s="33" t="n"/>
      <c r="H28" s="32" t="inlineStr">
        <is>
          <t>Madera</t>
        </is>
      </c>
      <c r="I28" s="17" t="inlineStr">
        <is>
          <t>6 u por pallet</t>
        </is>
      </c>
      <c r="J28" s="32" t="inlineStr">
        <is>
          <t>Compra</t>
        </is>
      </c>
      <c r="K28" s="32" t="inlineStr">
        <is>
          <t>Sí</t>
        </is>
      </c>
      <c r="L28" s="17" t="inlineStr">
        <is>
          <t>IndusPallets</t>
        </is>
      </c>
      <c r="M28" s="17" t="inlineStr">
        <is>
          <t>-</t>
        </is>
      </c>
      <c r="N28" s="17" t="inlineStr">
        <is>
          <t>23 Embalaje</t>
        </is>
      </c>
      <c r="O28" s="17" t="n"/>
      <c r="P28" s="32" t="inlineStr">
        <is>
          <t>C</t>
        </is>
      </c>
      <c r="Q28" s="32" t="n"/>
      <c r="R28" s="17" t="inlineStr">
        <is>
          <t>u por pallet = acomodo de la caja (plano) en 1200 × 1000 × 1450 de alto</t>
        </is>
      </c>
    </row>
    <row r="29" outlineLevel="1">
      <c r="A29" s="37" t="n">
        <v>2</v>
      </c>
      <c r="B29" s="37" t="inlineStr">
        <is>
          <t>ABC70-E4</t>
        </is>
      </c>
      <c r="C29" s="18" t="inlineStr">
        <is>
          <t xml:space="preserve">        Film stretch (fracción del pallet)</t>
        </is>
      </c>
      <c r="D29" s="37" t="n">
        <v>0.02</v>
      </c>
      <c r="E29" s="37" t="inlineStr">
        <is>
          <t>kg</t>
        </is>
      </c>
      <c r="F29" s="38" t="n">
        <v>1</v>
      </c>
      <c r="G29" s="38">
        <f>D29*F29</f>
        <v/>
      </c>
      <c r="H29" s="37" t="inlineStr">
        <is>
          <t>PE lineal 23 µm</t>
        </is>
      </c>
      <c r="I29" s="18" t="inlineStr">
        <is>
          <t>0,12 kg por pallet / 6 u</t>
        </is>
      </c>
      <c r="J29" s="37" t="inlineStr">
        <is>
          <t>Compra</t>
        </is>
      </c>
      <c r="K29" s="37" t="inlineStr">
        <is>
          <t>Sí</t>
        </is>
      </c>
      <c r="L29" s="18" t="inlineStr">
        <is>
          <t>MV Embalajes</t>
        </is>
      </c>
      <c r="M29" s="18" t="inlineStr">
        <is>
          <t>Embalpack</t>
        </is>
      </c>
      <c r="N29" s="18" t="inlineStr">
        <is>
          <t>24 Envolvedora (T11)</t>
        </is>
      </c>
      <c r="O29" s="18" t="n"/>
      <c r="P29" s="37" t="inlineStr">
        <is>
          <t>C</t>
        </is>
      </c>
      <c r="Q29" s="37" t="n"/>
      <c r="R29"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0" outlineLevel="1">
      <c r="A30" s="32" t="n">
        <v>2</v>
      </c>
      <c r="B30" s="32" t="inlineStr">
        <is>
          <t>ABC70-E5</t>
        </is>
      </c>
      <c r="C30" s="17" t="inlineStr">
        <is>
          <t xml:space="preserve">        Etiqueta de pallet (lote y destino, fracción)</t>
        </is>
      </c>
      <c r="D30" s="32" t="n">
        <v>0.1667</v>
      </c>
      <c r="E30" s="32" t="inlineStr">
        <is>
          <t>u</t>
        </is>
      </c>
      <c r="F30" s="33" t="n"/>
      <c r="G30" s="33" t="n"/>
      <c r="H30" s="32" t="inlineStr">
        <is>
          <t>Papel térmico</t>
        </is>
      </c>
      <c r="I30" s="17" t="inlineStr">
        <is>
          <t>100 × 150</t>
        </is>
      </c>
      <c r="J30" s="32" t="inlineStr">
        <is>
          <t>Compra</t>
        </is>
      </c>
      <c r="K30" s="32" t="inlineStr">
        <is>
          <t>Sí</t>
        </is>
      </c>
      <c r="L30" s="17" t="inlineStr">
        <is>
          <t>Astuprint</t>
        </is>
      </c>
      <c r="M30" s="17" t="inlineStr">
        <is>
          <t>Multilabel Argentina S.A.</t>
        </is>
      </c>
      <c r="N30" s="17" t="inlineStr">
        <is>
          <t>24 Envolvedora</t>
        </is>
      </c>
      <c r="O30" s="17" t="n"/>
      <c r="P30" s="32" t="inlineStr">
        <is>
          <t>C</t>
        </is>
      </c>
      <c r="Q30" s="32" t="n"/>
      <c r="R30" s="17" t="n"/>
    </row>
    <row r="31" outlineLevel="1">
      <c r="A31" s="32" t="n">
        <v>2</v>
      </c>
      <c r="B31" s="32" t="inlineStr">
        <is>
          <t>ABC70-E8</t>
        </is>
      </c>
      <c r="C31" s="17" t="inlineStr">
        <is>
          <t xml:space="preserve">        Separador de capa de cartón 1200 × 1000 (fracción del pallet)</t>
        </is>
      </c>
      <c r="D31" s="32" t="n">
        <v>0</v>
      </c>
      <c r="E31" s="32" t="inlineStr">
        <is>
          <t>u</t>
        </is>
      </c>
      <c r="F31" s="33" t="n"/>
      <c r="G31" s="33" t="n"/>
      <c r="H31" s="32" t="inlineStr">
        <is>
          <t>Cartón</t>
        </is>
      </c>
      <c r="I31" s="17" t="inlineStr">
        <is>
          <t>1 capas → 0 separadores por pallet / 6 u</t>
        </is>
      </c>
      <c r="J31" s="32" t="inlineStr">
        <is>
          <t>Compra</t>
        </is>
      </c>
      <c r="K31" s="32" t="inlineStr">
        <is>
          <t>Sí</t>
        </is>
      </c>
      <c r="L31" s="17" t="inlineStr">
        <is>
          <t>Maxipack</t>
        </is>
      </c>
      <c r="M31" s="17" t="inlineStr">
        <is>
          <t>Cartocan</t>
        </is>
      </c>
      <c r="N31" s="17" t="inlineStr">
        <is>
          <t>23 Embalaje</t>
        </is>
      </c>
      <c r="O31" s="17" t="n"/>
      <c r="P31" s="32" t="inlineStr">
        <is>
          <t>C</t>
        </is>
      </c>
      <c r="Q31" s="32" t="n"/>
      <c r="R31" s="17" t="inlineStr">
        <is>
          <t>Planilla MP-61</t>
        </is>
      </c>
    </row>
  </sheetData>
  <autoFilter ref="A10:R31"/>
  <pageMargins left="0.75" right="0.75" top="1" bottom="1" header="0.5" footer="0.5"/>
  <pageSetup orientation="landscape" fitToHeight="0" fitToWidth="1"/>
</worksheet>
</file>

<file path=xl/worksheets/sheet40.xml><?xml version="1.0" encoding="utf-8"?>
<worksheet xmlns="http://schemas.openxmlformats.org/spreadsheetml/2006/main">
  <sheetPr>
    <tabColor rgb="001F4E79"/>
    <outlinePr summaryBelow="0" summaryRight="1"/>
    <pageSetUpPr fitToPage="1"/>
  </sheetPr>
  <dimension ref="A1:R31"/>
  <sheetViews>
    <sheetView workbookViewId="0">
      <pane xSplit="3" ySplit="10" topLeftCell="D11"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52" customWidth="1" min="3" max="3"/>
    <col width="9" customWidth="1" min="4" max="4"/>
    <col width="6" customWidth="1" min="5" max="5"/>
    <col width="11" customWidth="1" min="6" max="6"/>
    <col width="11" customWidth="1" min="7" max="7"/>
    <col width="30" customWidth="1" min="8" max="8"/>
    <col width="52" customWidth="1" min="9" max="9"/>
    <col width="20" customWidth="1" min="10" max="10"/>
    <col width="8" customWidth="1" min="11" max="11"/>
    <col width="26" customWidth="1" min="12" max="12"/>
    <col width="24" customWidth="1" min="13" max="13"/>
    <col width="40" customWidth="1" min="14" max="14"/>
    <col width="32" customWidth="1" min="15" max="15"/>
    <col width="5" customWidth="1" min="16" max="16"/>
    <col width="20" customWidth="1" min="17" max="17"/>
    <col width="60" customWidth="1" min="18" max="18"/>
  </cols>
  <sheetData>
    <row r="1">
      <c r="A1" s="1" t="inlineStr">
        <is>
          <t>FLAMA S.A. - Lista de materiales (BOM) multinivel - FL_REC_ABC_100kg</t>
        </is>
      </c>
    </row>
    <row r="2">
      <c r="A2" s="58" t="inlineStr">
        <is>
          <t>Cilindro (recipiente) ABC 100 kg rodante - repuesto vacío sin válvula</t>
        </is>
      </c>
    </row>
    <row r="3">
      <c r="A3" s="2" t="inlineStr">
        <is>
          <t>Plano de origen</t>
        </is>
      </c>
      <c r="C3" t="inlineStr">
        <is>
          <t>FL_REC_ABC_100kg  (recipiente para venta suelta)</t>
        </is>
      </c>
      <c r="E3" s="2" t="inlineStr">
        <is>
          <t>Peso vacío S1-S4 (kg)</t>
        </is>
      </c>
      <c r="G3" s="59">
        <f>G12</f>
        <v/>
      </c>
    </row>
    <row r="4">
      <c r="A4" s="2" t="inlineStr">
        <is>
          <t>Plano de despiece</t>
        </is>
      </c>
      <c r="C4" t="inlineStr">
        <is>
          <t>FL_REC_ABC_100kg hoja 3</t>
        </is>
      </c>
      <c r="E4" s="2" t="inlineStr">
        <is>
          <t>Peso cargado S1-S6 (kg)</t>
        </is>
      </c>
      <c r="G4" s="59">
        <f>G12</f>
        <v/>
      </c>
    </row>
    <row r="5">
      <c r="A5" s="2" t="inlineStr">
        <is>
          <t>Norma del producto</t>
        </is>
      </c>
      <c r="C5" t="inlineStr">
        <is>
          <t>IRAM 3550</t>
        </is>
      </c>
      <c r="E5" s="2" t="inlineStr">
        <is>
          <t>Peso con soporte y embalaje (kg)</t>
        </is>
      </c>
      <c r="G5" s="59">
        <f>G12+G26</f>
        <v/>
      </c>
    </row>
    <row r="6">
      <c r="A6" s="2" t="inlineStr">
        <is>
          <t>Fabricación</t>
        </is>
      </c>
      <c r="C6" t="inlineStr">
        <is>
          <t>Fabricación propia</t>
        </is>
      </c>
      <c r="E6" s="2" t="n"/>
    </row>
    <row r="7">
      <c r="A7" s="2" t="inlineStr">
        <is>
          <t>Peso cargado de referencia (kg)</t>
        </is>
      </c>
    </row>
    <row r="8">
      <c r="A8" s="60" t="inlineStr">
        <is>
          <t>Niveles: 0 producto · 1 subconjunto · 2 pieza / insumo · 3 materia prima (cursiva, no suma). Botones 1-2-3 de la izquierda para plegar. Entra MRP = Sí: se compra; No: se fabrica (se explota en su materia prima) o viene dentro de un conjunto comprado. Fte.: ver 01_Indice.</t>
        </is>
      </c>
    </row>
    <row r="9">
      <c r="A9" s="11" t="inlineStr">
        <is>
          <t>Colores:</t>
        </is>
      </c>
      <c r="B9" s="12" t="inlineStr">
        <is>
          <t>Validado</t>
        </is>
      </c>
      <c r="D9" s="13" t="inlineStr">
        <is>
          <t>Estimado</t>
        </is>
      </c>
      <c r="F9" s="14" t="inlineStr">
        <is>
          <t>A validar</t>
        </is>
      </c>
      <c r="H9" s="15" t="inlineStr">
        <is>
          <t>No cumple o decisión pendiente</t>
        </is>
      </c>
    </row>
    <row r="10" ht="30" customHeight="1">
      <c r="A10" s="25" t="inlineStr">
        <is>
          <t>Nivel</t>
        </is>
      </c>
      <c r="B10" s="25" t="inlineStr">
        <is>
          <t>Código</t>
        </is>
      </c>
      <c r="C10" s="25" t="inlineStr">
        <is>
          <t>Descripción</t>
        </is>
      </c>
      <c r="D10" s="25" t="inlineStr">
        <is>
          <t>Cant.</t>
        </is>
      </c>
      <c r="E10" s="25" t="inlineStr">
        <is>
          <t>UM</t>
        </is>
      </c>
      <c r="F10" s="25" t="inlineStr">
        <is>
          <t>Peso unit. (kg/UM)</t>
        </is>
      </c>
      <c r="G10" s="25" t="inlineStr">
        <is>
          <t>Peso total (kg)</t>
        </is>
      </c>
      <c r="H10" s="25" t="inlineStr">
        <is>
          <t>Material</t>
        </is>
      </c>
      <c r="I10" s="25" t="inlineStr">
        <is>
          <t>Medida (mm)</t>
        </is>
      </c>
      <c r="J10" s="25" t="inlineStr">
        <is>
          <t>Origen</t>
        </is>
      </c>
      <c r="K10" s="25" t="inlineStr">
        <is>
          <t>Entra MRP</t>
        </is>
      </c>
      <c r="L10" s="25" t="inlineStr">
        <is>
          <t>Proveedor principal</t>
        </is>
      </c>
      <c r="M10" s="25" t="inlineStr">
        <is>
          <t>Alternativa</t>
        </is>
      </c>
      <c r="N10" s="25" t="inlineStr">
        <is>
          <t>Operación / puesto (layout FLAMA)</t>
        </is>
      </c>
      <c r="O10" s="25" t="inlineStr">
        <is>
          <t>Norma / referencia</t>
        </is>
      </c>
      <c r="P10" s="25" t="inlineStr">
        <is>
          <t>Fte.</t>
        </is>
      </c>
      <c r="Q10" s="25" t="inlineStr">
        <is>
          <t>Plano</t>
        </is>
      </c>
      <c r="R10" s="25" t="inlineStr">
        <is>
          <t>Observaciones</t>
        </is>
      </c>
    </row>
    <row r="11">
      <c r="A11" s="26" t="n">
        <v>0</v>
      </c>
      <c r="B11" s="26" t="inlineStr">
        <is>
          <t>FL_REC_ABC_100kg</t>
        </is>
      </c>
      <c r="C11" s="27" t="inlineStr">
        <is>
          <t>Cilindro (recipiente) ABC 100 kg rodante - repuesto vacío sin válvula</t>
        </is>
      </c>
      <c r="D11" s="26" t="n">
        <v>1</v>
      </c>
      <c r="E11" s="26" t="inlineStr">
        <is>
          <t>u</t>
        </is>
      </c>
      <c r="F11" s="28" t="n"/>
      <c r="G11" s="28">
        <f>G5</f>
        <v/>
      </c>
      <c r="H11" s="26" t="n"/>
      <c r="I11" s="27" t="n"/>
      <c r="J11" s="26" t="n"/>
      <c r="K11" s="26" t="n"/>
      <c r="L11" s="27" t="n"/>
      <c r="M11" s="27" t="n"/>
      <c r="N11" s="27" t="n"/>
      <c r="O11" s="27" t="inlineStr">
        <is>
          <t>IRAM 3550</t>
        </is>
      </c>
      <c r="P11" s="26" t="inlineStr">
        <is>
          <t>P</t>
        </is>
      </c>
      <c r="Q11" s="26" t="inlineStr">
        <is>
          <t>FL_REC_ABC_100kg</t>
        </is>
      </c>
      <c r="R11" s="27" t="inlineStr">
        <is>
          <t>Fabricación propia</t>
        </is>
      </c>
    </row>
    <row r="12">
      <c r="A12" s="29" t="n">
        <v>1</v>
      </c>
      <c r="B12" s="29" t="inlineStr">
        <is>
          <t>ABC100-S1</t>
        </is>
      </c>
      <c r="C12" s="30" t="inlineStr">
        <is>
          <t xml:space="preserve">    Recipiente (cilindro)</t>
        </is>
      </c>
      <c r="D12" s="29" t="n">
        <v>1</v>
      </c>
      <c r="E12" s="29" t="inlineStr">
        <is>
          <t>u</t>
        </is>
      </c>
      <c r="F12" s="31" t="n"/>
      <c r="G12" s="31">
        <f>G13+G15+G16+G17+G18+G19+G25</f>
        <v/>
      </c>
      <c r="H12" s="29" t="n"/>
      <c r="I12" s="30" t="n"/>
      <c r="J12" s="29" t="inlineStr">
        <is>
          <t>Fabricación</t>
        </is>
      </c>
      <c r="K12" s="29" t="n"/>
      <c r="L12" s="30" t="n"/>
      <c r="M12" s="30" t="n"/>
      <c r="N12" s="30" t="n"/>
      <c r="O12" s="30" t="inlineStr">
        <is>
          <t>IRAM 3523 / 3550 (recipiente)</t>
        </is>
      </c>
      <c r="P12" s="29" t="inlineStr">
        <is>
          <t>P</t>
        </is>
      </c>
      <c r="Q12" s="29" t="inlineStr">
        <is>
          <t>FL_DES_ABC_100kg</t>
        </is>
      </c>
      <c r="R12" s="30" t="n"/>
    </row>
    <row r="13" outlineLevel="1">
      <c r="A13" s="32" t="n">
        <v>2</v>
      </c>
      <c r="B13" s="32" t="inlineStr">
        <is>
          <t>ABC100-01</t>
        </is>
      </c>
      <c r="C13" s="17" t="inlineStr">
        <is>
          <t xml:space="preserve">        Cuerpo (virola)</t>
        </is>
      </c>
      <c r="D13" s="32" t="n">
        <v>1</v>
      </c>
      <c r="E13" s="32" t="inlineStr">
        <is>
          <t>u</t>
        </is>
      </c>
      <c r="F13" s="33" t="n">
        <v>40.6161</v>
      </c>
      <c r="G13" s="33">
        <f>D13*F13</f>
        <v/>
      </c>
      <c r="H13" s="32" t="inlineStr">
        <is>
          <t>Chapa LAC IRAM-IAS U 500-04 e=4,75</t>
        </is>
      </c>
      <c r="I13" s="17" t="inlineStr">
        <is>
          <t>Ø390 × e4,75 × 900 de alto; desarrollo 1.210,3 × 900</t>
        </is>
      </c>
      <c r="J13" s="32" t="inlineStr">
        <is>
          <t>Fabricación</t>
        </is>
      </c>
      <c r="K13" s="32" t="inlineStr">
        <is>
          <t>No</t>
        </is>
      </c>
      <c r="L13" s="17" t="n"/>
      <c r="M13" s="17" t="n"/>
      <c r="N13" s="17" t="inlineStr">
        <is>
          <t>2 Corte (guillotina) -&gt; 3 cilindrado -&gt; 4 punteo (modelo y lote con marcador; placas de refuerzo 70/100) -&gt; 5 sold. longitudinal -&gt; 7 armado y sold. circunferencial -&gt; 8 sold. de accesorios -&gt; 9 PH -&gt; 10 secado -&gt; 11 marcado (estampado en la cúpula) -&gt; 12 pintura</t>
        </is>
      </c>
      <c r="O13" s="17" t="n"/>
      <c r="P13" s="32" t="inlineStr">
        <is>
          <t>P</t>
        </is>
      </c>
      <c r="Q13" s="32" t="inlineStr">
        <is>
          <t>FL_DES_ABC_100kg</t>
        </is>
      </c>
      <c r="R13" s="17" t="inlineStr">
        <is>
          <t>costura long. MAG</t>
        </is>
      </c>
    </row>
    <row r="14" outlineLevel="2">
      <c r="A14" s="34" t="n">
        <v>3</v>
      </c>
      <c r="B14" s="34" t="inlineStr">
        <is>
          <t>MP-HOJA</t>
        </is>
      </c>
      <c r="C14" s="35" t="inlineStr">
        <is>
          <t xml:space="preserve">            Recorte de hoja LAC 1500 × 3000 e=4,75</t>
        </is>
      </c>
      <c r="D14" s="34" t="n">
        <v>1</v>
      </c>
      <c r="E14" s="34" t="inlineStr">
        <is>
          <t>u</t>
        </is>
      </c>
      <c r="F14" s="36" t="n">
        <v>51.355</v>
      </c>
      <c r="G14" s="36">
        <f>D14*F14</f>
        <v/>
      </c>
      <c r="H14" s="34" t="inlineStr">
        <is>
          <t>Chapa LAC IRAM-IAS U 500-04 LAC</t>
        </is>
      </c>
      <c r="I14" s="35" t="inlineStr">
        <is>
          <t>900 × 1.212 (aprovech. 79,2 %)</t>
        </is>
      </c>
      <c r="J14" s="34" t="inlineStr">
        <is>
          <t>Compra</t>
        </is>
      </c>
      <c r="K14" s="34" t="inlineStr">
        <is>
          <t>Sí</t>
        </is>
      </c>
      <c r="L14" s="35" t="inlineStr">
        <is>
          <t>Pradecon S.A.</t>
        </is>
      </c>
      <c r="M14" s="35" t="inlineStr">
        <is>
          <t>Pacheco Chapas</t>
        </is>
      </c>
      <c r="N14" s="35" t="inlineStr">
        <is>
          <t>AL-1H paquetes de hojas</t>
        </is>
      </c>
      <c r="O14" s="35" t="n"/>
      <c r="P14" s="34" t="inlineStr">
        <is>
          <t>L</t>
        </is>
      </c>
      <c r="Q14" s="34" t="inlineStr">
        <is>
          <t>FL_PI_04 h2</t>
        </is>
      </c>
      <c r="R14" s="35" t="n"/>
    </row>
    <row r="15" outlineLevel="1">
      <c r="A15" s="32" t="n">
        <v>2</v>
      </c>
      <c r="B15" s="32" t="inlineStr">
        <is>
          <t>ABC100-02</t>
        </is>
      </c>
      <c r="C15" s="17" t="inlineStr">
        <is>
          <t xml:space="preserve">        Cúpula</t>
        </is>
      </c>
      <c r="D15" s="32" t="n">
        <v>1</v>
      </c>
      <c r="E15" s="32" t="inlineStr">
        <is>
          <t>u</t>
        </is>
      </c>
      <c r="F15" s="33" t="n">
        <v>7.1038</v>
      </c>
      <c r="G15" s="33">
        <f>D15*F15</f>
        <v/>
      </c>
      <c r="H15" s="32" t="inlineStr">
        <is>
          <t>Chapa LAC IRAM-IAS U 500-04 e=4,75</t>
        </is>
      </c>
      <c r="I15" s="17" t="inlineStr">
        <is>
          <t>Ø390 × e4,75 × 137,3 de alto; disco Ø507,3</t>
        </is>
      </c>
      <c r="J15" s="32" t="inlineStr">
        <is>
          <t>Compra (tapa embutida tercerizada)</t>
        </is>
      </c>
      <c r="K15" s="32" t="inlineStr">
        <is>
          <t>Sí</t>
        </is>
      </c>
      <c r="L15" s="17" t="inlineStr">
        <is>
          <t>Gockel Ingeniería S.R.L.</t>
        </is>
      </c>
      <c r="M15" s="17" t="inlineStr">
        <is>
          <t>-</t>
        </is>
      </c>
      <c r="N15" s="17" t="inlineStr">
        <is>
          <t>Compra -&gt; 6 soldadura de cupla -&gt; 7 armado y sold. circunferencial -&gt; 11 marcado (estampado en arco junto al cuello)</t>
        </is>
      </c>
      <c r="O15" s="17" t="n"/>
      <c r="P15" s="32" t="inlineStr">
        <is>
          <t>P</t>
        </is>
      </c>
      <c r="Q15" s="32" t="inlineStr">
        <is>
          <t>FL_DES_ABC_100kg</t>
        </is>
      </c>
      <c r="R15" s="17" t="inlineStr">
        <is>
          <t>embutida</t>
        </is>
      </c>
    </row>
    <row r="16" outlineLevel="1">
      <c r="A16" s="32" t="n">
        <v>2</v>
      </c>
      <c r="B16" s="32" t="inlineStr">
        <is>
          <t>ABC100-03</t>
        </is>
      </c>
      <c r="C16" s="17" t="inlineStr">
        <is>
          <t xml:space="preserve">        Fondo</t>
        </is>
      </c>
      <c r="D16" s="32" t="n">
        <v>1</v>
      </c>
      <c r="E16" s="32" t="inlineStr">
        <is>
          <t>u</t>
        </is>
      </c>
      <c r="F16" s="33" t="n">
        <v>7.4086</v>
      </c>
      <c r="G16" s="33">
        <f>D16*F16</f>
        <v/>
      </c>
      <c r="H16" s="32" t="inlineStr">
        <is>
          <t>Chapa LAC IRAM-IAS U 500-04 e=4,75</t>
        </is>
      </c>
      <c r="I16" s="17" t="inlineStr">
        <is>
          <t>Ø390 × e4,75 × 139,8 de alto; disco Ø518,1</t>
        </is>
      </c>
      <c r="J16" s="32" t="inlineStr">
        <is>
          <t>Compra (tapa embutida tercerizada)</t>
        </is>
      </c>
      <c r="K16" s="32" t="inlineStr">
        <is>
          <t>Sí</t>
        </is>
      </c>
      <c r="L16" s="17" t="inlineStr">
        <is>
          <t>Gockel Ingeniería S.R.L.</t>
        </is>
      </c>
      <c r="M16" s="17" t="inlineStr">
        <is>
          <t>-</t>
        </is>
      </c>
      <c r="N16" s="17" t="inlineStr">
        <is>
          <t>Compra -&gt; 7 armado y sold. circunferencial</t>
        </is>
      </c>
      <c r="O16" s="17" t="n"/>
      <c r="P16" s="32" t="inlineStr">
        <is>
          <t>P</t>
        </is>
      </c>
      <c r="Q16" s="32" t="inlineStr">
        <is>
          <t>FL_DES_ABC_100kg</t>
        </is>
      </c>
      <c r="R16" s="17" t="inlineStr">
        <is>
          <t>embutido</t>
        </is>
      </c>
    </row>
    <row r="17" outlineLevel="1">
      <c r="A17" s="32" t="n">
        <v>2</v>
      </c>
      <c r="B17" s="32" t="inlineStr">
        <is>
          <t>ABC100-04</t>
        </is>
      </c>
      <c r="C17" s="17" t="inlineStr">
        <is>
          <t xml:space="preserve">        Cuello roscado</t>
        </is>
      </c>
      <c r="D17" s="32" t="n">
        <v>1</v>
      </c>
      <c r="E17" s="32" t="inlineStr">
        <is>
          <t>u</t>
        </is>
      </c>
      <c r="F17" s="33" t="n">
        <v>0.6198</v>
      </c>
      <c r="G17" s="33">
        <f>D17*F17</f>
        <v/>
      </c>
      <c r="H17" s="32" t="inlineStr">
        <is>
          <t>Acero SAE 1010</t>
        </is>
      </c>
      <c r="I17" s="17" t="inlineStr">
        <is>
          <t>Ø88 × 37 de alto, rosca RBSP 2 1/2"-11 h, asiento Ø80</t>
        </is>
      </c>
      <c r="J17" s="32" t="inlineStr">
        <is>
          <t>Compra (mecanizado, Eli-Met)</t>
        </is>
      </c>
      <c r="K17" s="32" t="inlineStr">
        <is>
          <t>Sí</t>
        </is>
      </c>
      <c r="L17" s="17" t="inlineStr">
        <is>
          <t>Eli-Met</t>
        </is>
      </c>
      <c r="M17" s="17" t="inlineStr">
        <is>
          <t>-</t>
        </is>
      </c>
      <c r="N17" s="17" t="inlineStr">
        <is>
          <t>Compra -&gt; 6 soldadura de cupla en la cúpula (tapón plástico hasta la carga)</t>
        </is>
      </c>
      <c r="O17" s="17" t="n"/>
      <c r="P17" s="32" t="inlineStr">
        <is>
          <t>P</t>
        </is>
      </c>
      <c r="Q17" s="32" t="inlineStr">
        <is>
          <t>FL_DES_ABC_100kg</t>
        </is>
      </c>
      <c r="R17" s="17" t="inlineStr">
        <is>
          <t>RBSP 2 1/2"-11 h</t>
        </is>
      </c>
    </row>
    <row r="18" outlineLevel="1">
      <c r="A18" s="32" t="n">
        <v>2</v>
      </c>
      <c r="B18" s="32" t="inlineStr">
        <is>
          <t>ABC100-05</t>
        </is>
      </c>
      <c r="C18" s="17" t="inlineStr">
        <is>
          <t xml:space="preserve">        Placas de refuerzo (2)</t>
        </is>
      </c>
      <c r="D18" s="32" t="n">
        <v>1</v>
      </c>
      <c r="E18" s="32" t="inlineStr">
        <is>
          <t>u</t>
        </is>
      </c>
      <c r="F18" s="33" t="n">
        <v>1.5106</v>
      </c>
      <c r="G18" s="33">
        <f>D18*F18</f>
        <v/>
      </c>
      <c r="H18" s="32" t="inlineStr">
        <is>
          <t>Chapa LAC 4,75 curvada a Ø380</t>
        </is>
      </c>
      <c r="I18" s="17" t="inlineStr">
        <is>
          <t>2 × 200 × 100 × 4,75 curvadas a Ø380, a 100 mm de cada boca</t>
        </is>
      </c>
      <c r="J18" s="32" t="inlineStr">
        <is>
          <t>Fabricación</t>
        </is>
      </c>
      <c r="K18" s="32" t="inlineStr">
        <is>
          <t>No</t>
        </is>
      </c>
      <c r="L18" s="17" t="n"/>
      <c r="M18" s="17" t="n"/>
      <c r="N18" s="17" t="inlineStr">
        <is>
          <t>2 Tira de orilla 200 × 900 -&gt; 3 rolado a Ø380 -&gt; corte con amoladora -&gt; 4 punteo interior (4 esquinas)</t>
        </is>
      </c>
      <c r="O18" s="17" t="n"/>
      <c r="P18" s="32" t="inlineStr">
        <is>
          <t>P</t>
        </is>
      </c>
      <c r="Q18" s="32" t="inlineStr">
        <is>
          <t>FL_DES_ABC_100kg</t>
        </is>
      </c>
      <c r="R18" s="17" t="inlineStr">
        <is>
          <t>Proceso FLAMA de carros: por dentro sobre la costura longitudinal, una en cada extremo a 100 mm de la boca; salen de las orillas de 4,75 (sin compra)</t>
        </is>
      </c>
    </row>
    <row r="19" outlineLevel="1">
      <c r="A19" s="37" t="n">
        <v>2</v>
      </c>
      <c r="B19" s="37" t="inlineStr">
        <is>
          <t>ABC100-C1</t>
        </is>
      </c>
      <c r="C19" s="18" t="inlineStr">
        <is>
          <t xml:space="preserve">        Alambre MAG ER70S-6 Ø1,0 (AWS A5.18)</t>
        </is>
      </c>
      <c r="D19" s="37" t="n">
        <v>1.0956</v>
      </c>
      <c r="E19" s="37" t="inlineStr">
        <is>
          <t>kg</t>
        </is>
      </c>
      <c r="F19" s="38" t="n">
        <v>0.95</v>
      </c>
      <c r="G19" s="38">
        <f>D19*F19</f>
        <v/>
      </c>
      <c r="H19" s="37" t="inlineStr">
        <is>
          <t>ER70S-6</t>
        </is>
      </c>
      <c r="I19" s="18" t="inlineStr">
        <is>
          <t>metal depositado de los cordones del plano 1.041 g / rendimiento 0,95</t>
        </is>
      </c>
      <c r="J19" s="37" t="inlineStr">
        <is>
          <t>Compra</t>
        </is>
      </c>
      <c r="K19" s="37" t="inlineStr">
        <is>
          <t>Sí</t>
        </is>
      </c>
      <c r="L19" s="18" t="inlineStr">
        <is>
          <t>Conarco (ESAB Argentina)</t>
        </is>
      </c>
      <c r="M19" s="18" t="inlineStr">
        <is>
          <t>-</t>
        </is>
      </c>
      <c r="N19" s="18" t="inlineStr">
        <is>
          <t>5 sold. long. / 6 cupla / 7 circunferencial</t>
        </is>
      </c>
      <c r="O19" s="18" t="inlineStr">
        <is>
          <t>IRAM 3523 3.2.4.2 · IRAM 3550 4.1.2</t>
        </is>
      </c>
      <c r="P19" s="37" t="inlineStr">
        <is>
          <t>C</t>
        </is>
      </c>
      <c r="Q19" s="37" t="n"/>
      <c r="R19" s="18" t="inlineStr">
        <is>
          <t>Peso unit. = fracción que queda en la pieza (el resto es salpicadura). Depositado = volumen de los cordones del modelo × 7,85. Rendimiento de deposición del alambre macizo MAG 90-97 % (ESAB): se adopta 0,95. Medir en la prueba de soldadura del equipo (Getweld)</t>
        </is>
      </c>
    </row>
    <row r="20" outlineLevel="1">
      <c r="A20" s="37" t="n">
        <v>2</v>
      </c>
      <c r="B20" s="37" t="inlineStr">
        <is>
          <t>ABC100-C2</t>
        </is>
      </c>
      <c r="C20" s="18" t="inlineStr">
        <is>
          <t xml:space="preserve">        Gas de protección MAG Arcal 21 / ARCAL Speed (Ar + 8 % CO₂, M20)</t>
        </is>
      </c>
      <c r="D20" s="37" t="n">
        <v>84.59999999999999</v>
      </c>
      <c r="E20" s="37" t="inlineStr">
        <is>
          <t>L</t>
        </is>
      </c>
      <c r="F20" s="38" t="n"/>
      <c r="G20" s="38" t="n"/>
      <c r="H20" s="37" t="inlineStr">
        <is>
          <t>EN ISO 14175 M20-ArC-8</t>
        </is>
      </c>
      <c r="I20" s="18" t="inlineStr">
        <is>
          <t>14 L/min × 6,04 min de arco (cordones 3.627 mm: long. 900 + circ. 2.450 + cuello 276, a 600 mm/min)</t>
        </is>
      </c>
      <c r="J20" s="37" t="inlineStr">
        <is>
          <t>Compra</t>
        </is>
      </c>
      <c r="K20" s="37" t="inlineStr">
        <is>
          <t>Sí</t>
        </is>
      </c>
      <c r="L20" s="18" t="inlineStr">
        <is>
          <t>Air Liquide Argentina - sucursal Piñeyro</t>
        </is>
      </c>
      <c r="M20" s="18" t="inlineStr">
        <is>
          <t>Gogniat</t>
        </is>
      </c>
      <c r="N20" s="18" t="inlineStr">
        <is>
          <t>Colector SC</t>
        </is>
      </c>
      <c r="O20" s="18" t="inlineStr">
        <is>
          <t>IRAM 3523 3.2.4.2 · IRAM 3550 3.2.2.2</t>
        </is>
      </c>
      <c r="P20" s="37" t="inlineStr">
        <is>
          <t>C</t>
        </is>
      </c>
      <c r="Q20" s="37" t="n"/>
      <c r="R20" s="18" t="inlineStr">
        <is>
          <t>Caudal 12-16 L/min para alambre 0,9-1,2 (Air Liquide; Ingemecánica): se adopta 14. Velocidad: Getweld 0-1500 mm/min; se adopta 600. Decisión FLAMA: MAG 135 con Arcal 21; la norma nombra «atmósfera inerte»: acreditar con el certificador en el ensayo de tipo. No incluye la soldadura del carro</t>
        </is>
      </c>
    </row>
    <row r="21" outlineLevel="1">
      <c r="A21" s="32" t="n">
        <v>2</v>
      </c>
      <c r="B21" s="32" t="inlineStr">
        <is>
          <t>ABC100-C4</t>
        </is>
      </c>
      <c r="C21" s="17" t="inlineStr">
        <is>
          <t xml:space="preserve">        Servicio de pintura en polvo al horno, rojo 03-1-050 (con preparación por quemado)</t>
        </is>
      </c>
      <c r="D21" s="32" t="n">
        <v>1</v>
      </c>
      <c r="E21" s="32" t="inlineStr">
        <is>
          <t>u</t>
        </is>
      </c>
      <c r="F21" s="33" t="n"/>
      <c r="G21" s="33" t="n"/>
      <c r="H21" s="32" t="inlineStr">
        <is>
          <t>Servicio tercerizado</t>
        </is>
      </c>
      <c r="I21" s="17" t="inlineStr">
        <is>
          <t>superficie exterior 1,478 m²</t>
        </is>
      </c>
      <c r="J21" s="32" t="inlineStr">
        <is>
          <t>Compra (servicio)</t>
        </is>
      </c>
      <c r="K21" s="32" t="inlineStr">
        <is>
          <t>Sí</t>
        </is>
      </c>
      <c r="L21" s="17" t="inlineStr">
        <is>
          <t>Pintor de carros (cotización por mensaje)</t>
        </is>
      </c>
      <c r="M21" s="17" t="inlineStr">
        <is>
          <t>Prymax</t>
        </is>
      </c>
      <c r="N21" s="17" t="inlineStr">
        <is>
          <t>17 Pintura tercerizada</t>
        </is>
      </c>
      <c r="O21" s="17" t="inlineStr">
        <is>
          <t>IRAM 3523 5.3 / IRAM 3550 3.11 · IRAM 121</t>
        </is>
      </c>
      <c r="P21" s="32" t="inlineStr">
        <is>
          <t>Q</t>
        </is>
      </c>
      <c r="Q21" s="32" t="n"/>
      <c r="R21" s="17" t="inlineStr">
        <is>
          <t>Q-CARROS (precio por carro); exigir informe de niebla salina del sistema de pintura; tercerización aceptada por el Ministerio (Res. 349/07 art. 18)</t>
        </is>
      </c>
    </row>
    <row r="22" outlineLevel="1">
      <c r="A22" s="39" t="n">
        <v>2</v>
      </c>
      <c r="B22" s="39" t="inlineStr">
        <is>
          <t>ABC100-T1</t>
        </is>
      </c>
      <c r="C22" s="19" t="inlineStr">
        <is>
          <t xml:space="preserve">        Tapón protector de rosca del cuello</t>
        </is>
      </c>
      <c r="D22" s="39" t="n">
        <v>1</v>
      </c>
      <c r="E22" s="39" t="inlineStr">
        <is>
          <t>u</t>
        </is>
      </c>
      <c r="F22" s="40" t="n"/>
      <c r="G22" s="40" t="n"/>
      <c r="H22" s="39" t="inlineStr">
        <is>
          <t>Polietileno</t>
        </is>
      </c>
      <c r="I22" s="19" t="inlineStr">
        <is>
          <t>para rosca RBSP 2 1/2"-11 h (plano FL_REC_ABC_100kg hoja 3, R4)</t>
        </is>
      </c>
      <c r="J22" s="39" t="inlineStr">
        <is>
          <t>Compra</t>
        </is>
      </c>
      <c r="K22" s="39" t="inlineStr">
        <is>
          <t>Sí</t>
        </is>
      </c>
      <c r="L22" s="19" t="inlineStr">
        <is>
          <t>-</t>
        </is>
      </c>
      <c r="M22" s="19" t="inlineStr">
        <is>
          <t>-</t>
        </is>
      </c>
      <c r="N22" s="19" t="inlineStr">
        <is>
          <t>Embalaje</t>
        </is>
      </c>
      <c r="O22" s="19" t="n"/>
      <c r="P22" s="39" t="inlineStr">
        <is>
          <t>P</t>
        </is>
      </c>
      <c r="Q22" s="39" t="n"/>
      <c r="R22" s="19" t="n"/>
    </row>
    <row r="23" outlineLevel="1">
      <c r="A23" s="32" t="n">
        <v>2</v>
      </c>
      <c r="B23" s="32" t="inlineStr">
        <is>
          <t>ABC100-T2</t>
        </is>
      </c>
      <c r="C23" s="17" t="inlineStr">
        <is>
          <t xml:space="preserve">        Marcado del recipiente: estampado en la cúpula, en arco junto al cuello (puesto 11, después de la PH y el secado)</t>
        </is>
      </c>
      <c r="D23" s="32" t="n">
        <v>1</v>
      </c>
      <c r="E23" s="32" t="inlineStr">
        <is>
          <t>u</t>
        </is>
      </c>
      <c r="F23" s="33" t="n"/>
      <c r="G23" s="33" t="n"/>
      <c r="H23" s="32" t="inlineStr">
        <is>
          <t>-</t>
        </is>
      </c>
      <c r="I23" s="17" t="inlineStr">
        <is>
          <t>Fabricante, n° de serie, año, presión de ensayo; en arco junto al cuello, letra 5 mm; cuño DPS 15 × 7 junto al n°</t>
        </is>
      </c>
      <c r="J23" s="32" t="inlineStr">
        <is>
          <t>Proceso</t>
        </is>
      </c>
      <c r="K23" s="32" t="inlineStr">
        <is>
          <t>No</t>
        </is>
      </c>
      <c r="L23" s="17" t="n"/>
      <c r="M23" s="17" t="n"/>
      <c r="N23" s="17" t="inlineStr">
        <is>
          <t>Marcado</t>
        </is>
      </c>
      <c r="O23" s="17" t="inlineStr">
        <is>
          <t>IRAM 3550 5.1 · Res. 349/07 anexo IV</t>
        </is>
      </c>
      <c r="P23" s="32" t="inlineStr">
        <is>
          <t>N</t>
        </is>
      </c>
      <c r="Q23" s="32" t="n"/>
      <c r="R23" s="17" t="n"/>
    </row>
    <row r="24" outlineLevel="1">
      <c r="A24" s="32" t="n">
        <v>2</v>
      </c>
      <c r="B24" s="32" t="inlineStr">
        <is>
          <t>ABC100-T3</t>
        </is>
      </c>
      <c r="C24" s="17" t="inlineStr">
        <is>
          <t xml:space="preserve">        Etiqueta de identificación del cilindro suelto</t>
        </is>
      </c>
      <c r="D24" s="32" t="n">
        <v>1</v>
      </c>
      <c r="E24" s="32" t="inlineStr">
        <is>
          <t>u</t>
        </is>
      </c>
      <c r="F24" s="33" t="n"/>
      <c r="G24" s="33" t="n"/>
      <c r="H24" s="32" t="inlineStr">
        <is>
          <t>Poliéster autoadhesivo removible</t>
        </is>
      </c>
      <c r="I24" s="17" t="inlineStr">
        <is>
          <t>100 × 60, impresión térmica, QR GS1</t>
        </is>
      </c>
      <c r="J24" s="32" t="inlineStr">
        <is>
          <t>Compra</t>
        </is>
      </c>
      <c r="K24" s="32" t="inlineStr">
        <is>
          <t>Sí</t>
        </is>
      </c>
      <c r="L24" s="17" t="inlineStr">
        <is>
          <t>Astuprint</t>
        </is>
      </c>
      <c r="M24" s="17" t="inlineStr">
        <is>
          <t>GS1 Argentina</t>
        </is>
      </c>
      <c r="N24" s="17" t="inlineStr">
        <is>
          <t>Etiquetado</t>
        </is>
      </c>
      <c r="O24" s="17" t="n"/>
      <c r="P24" s="32" t="inlineStr">
        <is>
          <t>P</t>
        </is>
      </c>
      <c r="Q24" s="32" t="inlineStr">
        <is>
          <t>FL_REC_ABC_100kg hoja 3</t>
        </is>
      </c>
      <c r="R24" s="17" t="n"/>
    </row>
    <row r="25" outlineLevel="1">
      <c r="A25" s="32" t="n">
        <v>2</v>
      </c>
      <c r="B25" s="32" t="inlineStr">
        <is>
          <t>ABC100-T4</t>
        </is>
      </c>
      <c r="C25" s="17" t="inlineStr">
        <is>
          <t xml:space="preserve">        Protocolo de ensayo hidrostático (certificado que acompaña)</t>
        </is>
      </c>
      <c r="D25" s="32" t="n">
        <v>1</v>
      </c>
      <c r="E25" s="32" t="inlineStr">
        <is>
          <t>u</t>
        </is>
      </c>
      <c r="F25" s="33" t="n">
        <v>0.005</v>
      </c>
      <c r="G25" s="33">
        <f>D25*F25</f>
        <v/>
      </c>
      <c r="H25" s="32" t="inlineStr">
        <is>
          <t>Papel</t>
        </is>
      </c>
      <c r="I25" s="17" t="inlineStr">
        <is>
          <t>A5</t>
        </is>
      </c>
      <c r="J25" s="32" t="inlineStr">
        <is>
          <t>Proceso</t>
        </is>
      </c>
      <c r="K25" s="32" t="inlineStr">
        <is>
          <t>No</t>
        </is>
      </c>
      <c r="L25" s="17" t="n"/>
      <c r="M25" s="17" t="n"/>
      <c r="N25" s="17" t="inlineStr">
        <is>
          <t>Control de calidad</t>
        </is>
      </c>
      <c r="O25" s="17" t="inlineStr">
        <is>
          <t>IRAM 3550 4.1 y cap. 6 · IRAM 2587</t>
        </is>
      </c>
      <c r="P25" s="32" t="inlineStr">
        <is>
          <t>N</t>
        </is>
      </c>
      <c r="Q25" s="32" t="inlineStr">
        <is>
          <t>FL_REC_ABC_100kg hoja 3</t>
        </is>
      </c>
      <c r="R25" s="17" t="n"/>
    </row>
    <row r="26">
      <c r="A26" s="29" t="n">
        <v>1</v>
      </c>
      <c r="B26" s="29" t="inlineStr">
        <is>
          <t>ABC100-S7</t>
        </is>
      </c>
      <c r="C26" s="30" t="inlineStr">
        <is>
          <t xml:space="preserve">    Embalaje</t>
        </is>
      </c>
      <c r="D26" s="29" t="n">
        <v>1</v>
      </c>
      <c r="E26" s="29" t="inlineStr">
        <is>
          <t>u</t>
        </is>
      </c>
      <c r="F26" s="31" t="n"/>
      <c r="G26" s="31">
        <f>G29</f>
        <v/>
      </c>
      <c r="H26" s="29" t="n"/>
      <c r="I26" s="30" t="n"/>
      <c r="J26" s="29" t="inlineStr">
        <is>
          <t>Compra</t>
        </is>
      </c>
      <c r="K26" s="29" t="n"/>
      <c r="L26" s="30" t="n"/>
      <c r="M26" s="30" t="n"/>
      <c r="N26" s="30" t="inlineStr">
        <is>
          <t>23 Embalaje -&gt; 24 envolvedora (T11)</t>
        </is>
      </c>
      <c r="O26" s="30" t="n"/>
      <c r="P26" s="29" t="n"/>
      <c r="Q26" s="29" t="n"/>
      <c r="R26" s="30" t="n"/>
    </row>
    <row r="27" outlineLevel="1">
      <c r="A27" s="32" t="n">
        <v>2</v>
      </c>
      <c r="B27" s="32" t="inlineStr">
        <is>
          <t>ABC100-E1</t>
        </is>
      </c>
      <c r="C27" s="17" t="inlineStr">
        <is>
          <t xml:space="preserve">        Esquineros y funda de polietileno</t>
        </is>
      </c>
      <c r="D27" s="32" t="n">
        <v>1</v>
      </c>
      <c r="E27" s="32" t="inlineStr">
        <is>
          <t>jgo</t>
        </is>
      </c>
      <c r="F27" s="33" t="n"/>
      <c r="G27" s="33" t="n"/>
      <c r="H27" s="32" t="inlineStr">
        <is>
          <t>PE / cartón</t>
        </is>
      </c>
      <c r="I27" s="17" t="inlineStr">
        <is>
          <t>a medida de la envolvente del plano</t>
        </is>
      </c>
      <c r="J27" s="32" t="inlineStr">
        <is>
          <t>Compra</t>
        </is>
      </c>
      <c r="K27" s="32" t="inlineStr">
        <is>
          <t>Sí</t>
        </is>
      </c>
      <c r="L27" s="17" t="inlineStr">
        <is>
          <t>MV Embalajes</t>
        </is>
      </c>
      <c r="M27" s="17" t="inlineStr">
        <is>
          <t>Embalpack</t>
        </is>
      </c>
      <c r="N27" s="17" t="inlineStr">
        <is>
          <t>23 Embalaje</t>
        </is>
      </c>
      <c r="O27" s="17" t="n"/>
      <c r="P27" s="32" t="inlineStr">
        <is>
          <t>P</t>
        </is>
      </c>
      <c r="Q27" s="32" t="n"/>
      <c r="R27" s="17" t="inlineStr">
        <is>
          <t>Medida del plano</t>
        </is>
      </c>
    </row>
    <row r="28" outlineLevel="1">
      <c r="A28" s="32" t="n">
        <v>2</v>
      </c>
      <c r="B28" s="32" t="inlineStr">
        <is>
          <t>ABC100-E3</t>
        </is>
      </c>
      <c r="C28" s="17" t="inlineStr">
        <is>
          <t xml:space="preserve">        Pallet 1200 × 1000 (fracción)</t>
        </is>
      </c>
      <c r="D28" s="32" t="n">
        <v>0.1667</v>
      </c>
      <c r="E28" s="32" t="inlineStr">
        <is>
          <t>u</t>
        </is>
      </c>
      <c r="F28" s="33" t="n"/>
      <c r="G28" s="33" t="n"/>
      <c r="H28" s="32" t="inlineStr">
        <is>
          <t>Madera</t>
        </is>
      </c>
      <c r="I28" s="17" t="inlineStr">
        <is>
          <t>6 u por pallet</t>
        </is>
      </c>
      <c r="J28" s="32" t="inlineStr">
        <is>
          <t>Compra</t>
        </is>
      </c>
      <c r="K28" s="32" t="inlineStr">
        <is>
          <t>Sí</t>
        </is>
      </c>
      <c r="L28" s="17" t="inlineStr">
        <is>
          <t>IndusPallets</t>
        </is>
      </c>
      <c r="M28" s="17" t="inlineStr">
        <is>
          <t>-</t>
        </is>
      </c>
      <c r="N28" s="17" t="inlineStr">
        <is>
          <t>23 Embalaje</t>
        </is>
      </c>
      <c r="O28" s="17" t="n"/>
      <c r="P28" s="32" t="inlineStr">
        <is>
          <t>C</t>
        </is>
      </c>
      <c r="Q28" s="32" t="n"/>
      <c r="R28" s="17" t="inlineStr">
        <is>
          <t>u por pallet = acomodo de la caja (plano) en 1200 × 1000 × 1450 de alto</t>
        </is>
      </c>
    </row>
    <row r="29" outlineLevel="1">
      <c r="A29" s="37" t="n">
        <v>2</v>
      </c>
      <c r="B29" s="37" t="inlineStr">
        <is>
          <t>ABC100-E4</t>
        </is>
      </c>
      <c r="C29" s="18" t="inlineStr">
        <is>
          <t xml:space="preserve">        Film stretch (fracción del pallet)</t>
        </is>
      </c>
      <c r="D29" s="37" t="n">
        <v>0.02</v>
      </c>
      <c r="E29" s="37" t="inlineStr">
        <is>
          <t>kg</t>
        </is>
      </c>
      <c r="F29" s="38" t="n">
        <v>1</v>
      </c>
      <c r="G29" s="38">
        <f>D29*F29</f>
        <v/>
      </c>
      <c r="H29" s="37" t="inlineStr">
        <is>
          <t>PE lineal 23 µm</t>
        </is>
      </c>
      <c r="I29" s="18" t="inlineStr">
        <is>
          <t>0,12 kg por pallet / 6 u</t>
        </is>
      </c>
      <c r="J29" s="37" t="inlineStr">
        <is>
          <t>Compra</t>
        </is>
      </c>
      <c r="K29" s="37" t="inlineStr">
        <is>
          <t>Sí</t>
        </is>
      </c>
      <c r="L29" s="18" t="inlineStr">
        <is>
          <t>MV Embalajes</t>
        </is>
      </c>
      <c r="M29" s="18" t="inlineStr">
        <is>
          <t>Embalpack</t>
        </is>
      </c>
      <c r="N29" s="18" t="inlineStr">
        <is>
          <t>24 Envolvedora (T11)</t>
        </is>
      </c>
      <c r="O29" s="18" t="n"/>
      <c r="P29" s="37" t="inlineStr">
        <is>
          <t>C</t>
        </is>
      </c>
      <c r="Q29" s="37" t="n"/>
      <c r="R29" s="18" t="inlineStr">
        <is>
          <t>Perímetro del pallet 4,4 m × 9 vueltas = 40 m aplicados; con pre-estirado 250 % (1 m de bobina = 3,5 m aplicados) = 11,4 m de bobina × 0,5 m × 23 µm × 0,92 g/cm³ = 0,12 kg. Fuentes: fichas de film 23 µm × 500 mm (MV Embalajes / Embalpack) y pre-estirado de la envolvedora. Medir en la puesta en marcha</t>
        </is>
      </c>
    </row>
    <row r="30" outlineLevel="1">
      <c r="A30" s="32" t="n">
        <v>2</v>
      </c>
      <c r="B30" s="32" t="inlineStr">
        <is>
          <t>ABC100-E5</t>
        </is>
      </c>
      <c r="C30" s="17" t="inlineStr">
        <is>
          <t xml:space="preserve">        Etiqueta de pallet (lote y destino, fracción)</t>
        </is>
      </c>
      <c r="D30" s="32" t="n">
        <v>0.1667</v>
      </c>
      <c r="E30" s="32" t="inlineStr">
        <is>
          <t>u</t>
        </is>
      </c>
      <c r="F30" s="33" t="n"/>
      <c r="G30" s="33" t="n"/>
      <c r="H30" s="32" t="inlineStr">
        <is>
          <t>Papel térmico</t>
        </is>
      </c>
      <c r="I30" s="17" t="inlineStr">
        <is>
          <t>100 × 150</t>
        </is>
      </c>
      <c r="J30" s="32" t="inlineStr">
        <is>
          <t>Compra</t>
        </is>
      </c>
      <c r="K30" s="32" t="inlineStr">
        <is>
          <t>Sí</t>
        </is>
      </c>
      <c r="L30" s="17" t="inlineStr">
        <is>
          <t>Astuprint</t>
        </is>
      </c>
      <c r="M30" s="17" t="inlineStr">
        <is>
          <t>Multilabel Argentina S.A.</t>
        </is>
      </c>
      <c r="N30" s="17" t="inlineStr">
        <is>
          <t>24 Envolvedora</t>
        </is>
      </c>
      <c r="O30" s="17" t="n"/>
      <c r="P30" s="32" t="inlineStr">
        <is>
          <t>C</t>
        </is>
      </c>
      <c r="Q30" s="32" t="n"/>
      <c r="R30" s="17" t="n"/>
    </row>
    <row r="31" outlineLevel="1">
      <c r="A31" s="32" t="n">
        <v>2</v>
      </c>
      <c r="B31" s="32" t="inlineStr">
        <is>
          <t>ABC100-E8</t>
        </is>
      </c>
      <c r="C31" s="17" t="inlineStr">
        <is>
          <t xml:space="preserve">        Separador de capa de cartón 1200 × 1000 (fracción del pallet)</t>
        </is>
      </c>
      <c r="D31" s="32" t="n">
        <v>0</v>
      </c>
      <c r="E31" s="32" t="inlineStr">
        <is>
          <t>u</t>
        </is>
      </c>
      <c r="F31" s="33" t="n"/>
      <c r="G31" s="33" t="n"/>
      <c r="H31" s="32" t="inlineStr">
        <is>
          <t>Cartón</t>
        </is>
      </c>
      <c r="I31" s="17" t="inlineStr">
        <is>
          <t>1 capas → 0 separadores por pallet / 6 u</t>
        </is>
      </c>
      <c r="J31" s="32" t="inlineStr">
        <is>
          <t>Compra</t>
        </is>
      </c>
      <c r="K31" s="32" t="inlineStr">
        <is>
          <t>Sí</t>
        </is>
      </c>
      <c r="L31" s="17" t="inlineStr">
        <is>
          <t>Maxipack</t>
        </is>
      </c>
      <c r="M31" s="17" t="inlineStr">
        <is>
          <t>Cartocan</t>
        </is>
      </c>
      <c r="N31" s="17" t="inlineStr">
        <is>
          <t>23 Embalaje</t>
        </is>
      </c>
      <c r="O31" s="17" t="n"/>
      <c r="P31" s="32" t="inlineStr">
        <is>
          <t>C</t>
        </is>
      </c>
      <c r="Q31" s="32" t="n"/>
      <c r="R31" s="17" t="inlineStr">
        <is>
          <t>Planilla MP-61</t>
        </is>
      </c>
    </row>
  </sheetData>
  <autoFilter ref="A10:R3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2026-10-12T16:52:48Z</dcterms:created>
  <dcterms:modified xmlns:dcterms="http://purl.org/dc/terms/" xmlns:xsi="http://www.w3.org/2001/XMLSchema-instance" xsi:type="dcterms:W3CDTF">2026-10-12T16:56:03Z</dcterms:modified>
</cp:coreProperties>
</file>